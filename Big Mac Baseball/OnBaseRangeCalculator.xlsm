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sandford\source\repos\Big Mac Baseball\Big Mac Baseball\"/>
    </mc:Choice>
  </mc:AlternateContent>
  <xr:revisionPtr revIDLastSave="0" documentId="13_ncr:1_{9EFF10D3-53C9-4ADC-ACC1-B4BD6F704A8D}" xr6:coauthVersionLast="28" xr6:coauthVersionMax="28" xr10:uidLastSave="{00000000-0000-0000-0000-000000000000}"/>
  <bookViews>
    <workbookView xWindow="1395" yWindow="0" windowWidth="28800" windowHeight="12210" activeTab="3" xr2:uid="{00000000-000D-0000-FFFF-FFFF00000000}"/>
  </bookViews>
  <sheets>
    <sheet name="Team Data" sheetId="1" r:id="rId1"/>
    <sheet name="OB Format" sheetId="2" r:id="rId2"/>
    <sheet name="Range Generators" sheetId="5" r:id="rId3"/>
    <sheet name="Results" sheetId="6" r:id="rId4"/>
    <sheet name="Notes" sheetId="3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6" l="1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28" i="6"/>
  <c r="L7" i="5" l="1"/>
  <c r="K4" i="5" l="1"/>
  <c r="H13" i="5"/>
  <c r="G13" i="5"/>
  <c r="F13" i="5"/>
  <c r="J4" i="5"/>
  <c r="I4" i="5"/>
  <c r="H4" i="5"/>
  <c r="G4" i="5"/>
  <c r="F4" i="5"/>
  <c r="E13" i="2"/>
  <c r="F13" i="2"/>
  <c r="G13" i="2"/>
  <c r="H13" i="2"/>
  <c r="I13" i="2"/>
  <c r="J13" i="2"/>
  <c r="K13" i="2"/>
  <c r="L13" i="2"/>
  <c r="N13" i="2"/>
  <c r="O13" i="2"/>
  <c r="Q13" i="2"/>
  <c r="R13" i="2"/>
  <c r="S13" i="2"/>
  <c r="E14" i="2"/>
  <c r="F14" i="2"/>
  <c r="G14" i="2"/>
  <c r="H14" i="2"/>
  <c r="I14" i="2"/>
  <c r="J14" i="2"/>
  <c r="K14" i="2"/>
  <c r="L14" i="2"/>
  <c r="M14" i="2"/>
  <c r="N14" i="2"/>
  <c r="O14" i="2"/>
  <c r="Q14" i="2"/>
  <c r="R14" i="2"/>
  <c r="S14" i="2"/>
  <c r="E15" i="2"/>
  <c r="F15" i="2"/>
  <c r="G15" i="2"/>
  <c r="H15" i="2"/>
  <c r="M15" i="2" s="1"/>
  <c r="I15" i="2"/>
  <c r="J15" i="2"/>
  <c r="K15" i="2"/>
  <c r="L15" i="2"/>
  <c r="N15" i="2"/>
  <c r="P15" i="2" s="1"/>
  <c r="O15" i="2"/>
  <c r="Q15" i="2"/>
  <c r="R15" i="2"/>
  <c r="S15" i="2"/>
  <c r="E16" i="2"/>
  <c r="F16" i="2"/>
  <c r="G16" i="2"/>
  <c r="H16" i="2"/>
  <c r="I16" i="2"/>
  <c r="J16" i="2"/>
  <c r="K16" i="2"/>
  <c r="M16" i="2" s="1"/>
  <c r="L16" i="2"/>
  <c r="N16" i="2"/>
  <c r="O16" i="2"/>
  <c r="Q16" i="2"/>
  <c r="R16" i="2"/>
  <c r="S16" i="2"/>
  <c r="E17" i="2"/>
  <c r="F17" i="2"/>
  <c r="G17" i="2"/>
  <c r="H17" i="2"/>
  <c r="I17" i="2"/>
  <c r="J17" i="2"/>
  <c r="K17" i="2"/>
  <c r="L17" i="2"/>
  <c r="N17" i="2"/>
  <c r="O17" i="2"/>
  <c r="P17" i="2"/>
  <c r="Q17" i="2"/>
  <c r="R17" i="2"/>
  <c r="S17" i="2"/>
  <c r="E18" i="2"/>
  <c r="F18" i="2"/>
  <c r="G18" i="2"/>
  <c r="H18" i="2"/>
  <c r="I18" i="2"/>
  <c r="J18" i="2"/>
  <c r="K18" i="2"/>
  <c r="L18" i="2"/>
  <c r="M18" i="2"/>
  <c r="N18" i="2"/>
  <c r="O18" i="2"/>
  <c r="Q18" i="2"/>
  <c r="R18" i="2"/>
  <c r="S18" i="2"/>
  <c r="E19" i="2"/>
  <c r="F19" i="2"/>
  <c r="G19" i="2"/>
  <c r="H19" i="2"/>
  <c r="I19" i="2"/>
  <c r="J19" i="2"/>
  <c r="K19" i="2"/>
  <c r="L19" i="2"/>
  <c r="N19" i="2"/>
  <c r="P19" i="2" s="1"/>
  <c r="O19" i="2"/>
  <c r="Q19" i="2"/>
  <c r="R19" i="2"/>
  <c r="S19" i="2"/>
  <c r="E20" i="2"/>
  <c r="P20" i="2" s="1"/>
  <c r="F20" i="2"/>
  <c r="G20" i="2"/>
  <c r="H20" i="2"/>
  <c r="I20" i="2"/>
  <c r="J20" i="2"/>
  <c r="K20" i="2"/>
  <c r="M20" i="2" s="1"/>
  <c r="L20" i="2"/>
  <c r="N20" i="2"/>
  <c r="O20" i="2"/>
  <c r="Q20" i="2"/>
  <c r="R20" i="2"/>
  <c r="S20" i="2"/>
  <c r="E21" i="2"/>
  <c r="F21" i="2"/>
  <c r="G21" i="2"/>
  <c r="H21" i="2"/>
  <c r="I21" i="2"/>
  <c r="J21" i="2"/>
  <c r="K21" i="2"/>
  <c r="L21" i="2"/>
  <c r="N21" i="2"/>
  <c r="O21" i="2"/>
  <c r="Q21" i="2"/>
  <c r="R21" i="2"/>
  <c r="S21" i="2"/>
  <c r="E22" i="2"/>
  <c r="F22" i="2"/>
  <c r="G22" i="2"/>
  <c r="H22" i="2"/>
  <c r="I22" i="2"/>
  <c r="J22" i="2"/>
  <c r="K22" i="2"/>
  <c r="L22" i="2"/>
  <c r="M22" i="2"/>
  <c r="N22" i="2"/>
  <c r="O22" i="2"/>
  <c r="Q22" i="2"/>
  <c r="R22" i="2"/>
  <c r="S22" i="2"/>
  <c r="E23" i="2"/>
  <c r="F23" i="2"/>
  <c r="G23" i="2"/>
  <c r="H23" i="2"/>
  <c r="M23" i="2" s="1"/>
  <c r="I23" i="2"/>
  <c r="J23" i="2"/>
  <c r="K23" i="2"/>
  <c r="L23" i="2"/>
  <c r="N23" i="2"/>
  <c r="P23" i="2" s="1"/>
  <c r="O23" i="2"/>
  <c r="Q23" i="2"/>
  <c r="R23" i="2"/>
  <c r="S23" i="2"/>
  <c r="E24" i="2"/>
  <c r="F24" i="2"/>
  <c r="G24" i="2"/>
  <c r="H24" i="2"/>
  <c r="I24" i="2"/>
  <c r="J24" i="2"/>
  <c r="K24" i="2"/>
  <c r="M24" i="2" s="1"/>
  <c r="L24" i="2"/>
  <c r="N24" i="2"/>
  <c r="O24" i="2"/>
  <c r="Q24" i="2"/>
  <c r="R24" i="2"/>
  <c r="S24" i="2"/>
  <c r="E25" i="2"/>
  <c r="F25" i="2"/>
  <c r="G25" i="2"/>
  <c r="H25" i="2"/>
  <c r="I25" i="2"/>
  <c r="J25" i="2"/>
  <c r="K25" i="2"/>
  <c r="L25" i="2"/>
  <c r="N25" i="2"/>
  <c r="O25" i="2"/>
  <c r="P25" i="2"/>
  <c r="Q25" i="2"/>
  <c r="R25" i="2"/>
  <c r="S25" i="2"/>
  <c r="E26" i="2"/>
  <c r="F26" i="2"/>
  <c r="G26" i="2"/>
  <c r="H26" i="2"/>
  <c r="I26" i="2"/>
  <c r="J26" i="2"/>
  <c r="K26" i="2"/>
  <c r="L26" i="2"/>
  <c r="M26" i="2"/>
  <c r="N26" i="2"/>
  <c r="O26" i="2"/>
  <c r="Q26" i="2"/>
  <c r="R26" i="2"/>
  <c r="S26" i="2"/>
  <c r="E27" i="2"/>
  <c r="F27" i="2"/>
  <c r="G27" i="2"/>
  <c r="H27" i="2"/>
  <c r="I27" i="2"/>
  <c r="J27" i="2"/>
  <c r="K27" i="2"/>
  <c r="L27" i="2"/>
  <c r="N27" i="2"/>
  <c r="P27" i="2" s="1"/>
  <c r="O27" i="2"/>
  <c r="Q27" i="2"/>
  <c r="R27" i="2"/>
  <c r="S27" i="2"/>
  <c r="E28" i="2"/>
  <c r="P28" i="2" s="1"/>
  <c r="F28" i="2"/>
  <c r="G28" i="2"/>
  <c r="H28" i="2"/>
  <c r="I28" i="2"/>
  <c r="J28" i="2"/>
  <c r="K28" i="2"/>
  <c r="M28" i="2" s="1"/>
  <c r="L28" i="2"/>
  <c r="N28" i="2"/>
  <c r="O28" i="2"/>
  <c r="Q28" i="2"/>
  <c r="R28" i="2"/>
  <c r="S28" i="2"/>
  <c r="E29" i="2"/>
  <c r="F29" i="2"/>
  <c r="G29" i="2"/>
  <c r="H29" i="2"/>
  <c r="I29" i="2"/>
  <c r="J29" i="2"/>
  <c r="K29" i="2"/>
  <c r="L29" i="2"/>
  <c r="N29" i="2"/>
  <c r="O29" i="2"/>
  <c r="Q29" i="2"/>
  <c r="R29" i="2"/>
  <c r="S29" i="2"/>
  <c r="E30" i="2"/>
  <c r="F30" i="2"/>
  <c r="G30" i="2"/>
  <c r="H30" i="2"/>
  <c r="I30" i="2"/>
  <c r="J30" i="2"/>
  <c r="K30" i="2"/>
  <c r="L30" i="2"/>
  <c r="M30" i="2"/>
  <c r="N30" i="2"/>
  <c r="O30" i="2"/>
  <c r="Q30" i="2"/>
  <c r="R30" i="2"/>
  <c r="S30" i="2"/>
  <c r="E31" i="2"/>
  <c r="F31" i="2"/>
  <c r="G31" i="2"/>
  <c r="H31" i="2"/>
  <c r="M31" i="2" s="1"/>
  <c r="I31" i="2"/>
  <c r="J31" i="2"/>
  <c r="K31" i="2"/>
  <c r="L31" i="2"/>
  <c r="N31" i="2"/>
  <c r="P31" i="2" s="1"/>
  <c r="O31" i="2"/>
  <c r="Q31" i="2"/>
  <c r="R31" i="2"/>
  <c r="S31" i="2"/>
  <c r="E32" i="2"/>
  <c r="F32" i="2"/>
  <c r="G32" i="2"/>
  <c r="H32" i="2"/>
  <c r="I32" i="2"/>
  <c r="J32" i="2"/>
  <c r="K32" i="2"/>
  <c r="M32" i="2" s="1"/>
  <c r="L32" i="2"/>
  <c r="N32" i="2"/>
  <c r="O32" i="2"/>
  <c r="Q32" i="2"/>
  <c r="R32" i="2"/>
  <c r="S32" i="2"/>
  <c r="E33" i="2"/>
  <c r="F33" i="2"/>
  <c r="G33" i="2"/>
  <c r="H33" i="2"/>
  <c r="I33" i="2"/>
  <c r="J33" i="2"/>
  <c r="K33" i="2"/>
  <c r="L33" i="2"/>
  <c r="N33" i="2"/>
  <c r="O33" i="2"/>
  <c r="Q33" i="2"/>
  <c r="R33" i="2"/>
  <c r="S33" i="2"/>
  <c r="E34" i="2"/>
  <c r="F34" i="2"/>
  <c r="G34" i="2"/>
  <c r="H34" i="2"/>
  <c r="I34" i="2"/>
  <c r="J34" i="2"/>
  <c r="K34" i="2"/>
  <c r="L34" i="2"/>
  <c r="M34" i="2"/>
  <c r="N34" i="2"/>
  <c r="O34" i="2"/>
  <c r="Q34" i="2"/>
  <c r="R34" i="2"/>
  <c r="S34" i="2"/>
  <c r="E35" i="2"/>
  <c r="F35" i="2"/>
  <c r="G35" i="2"/>
  <c r="H35" i="2"/>
  <c r="I35" i="2"/>
  <c r="J35" i="2"/>
  <c r="K35" i="2"/>
  <c r="L35" i="2"/>
  <c r="N35" i="2"/>
  <c r="P35" i="2" s="1"/>
  <c r="O35" i="2"/>
  <c r="Q35" i="2"/>
  <c r="R35" i="2"/>
  <c r="S35" i="2"/>
  <c r="E36" i="2"/>
  <c r="P36" i="2" s="1"/>
  <c r="F36" i="2"/>
  <c r="G36" i="2"/>
  <c r="H36" i="2"/>
  <c r="I36" i="2"/>
  <c r="J36" i="2"/>
  <c r="K36" i="2"/>
  <c r="M36" i="2" s="1"/>
  <c r="L36" i="2"/>
  <c r="N36" i="2"/>
  <c r="O36" i="2"/>
  <c r="Q36" i="2"/>
  <c r="R36" i="2"/>
  <c r="S36" i="2"/>
  <c r="E37" i="2"/>
  <c r="F37" i="2"/>
  <c r="G37" i="2"/>
  <c r="H37" i="2"/>
  <c r="I37" i="2"/>
  <c r="J37" i="2"/>
  <c r="K37" i="2"/>
  <c r="L37" i="2"/>
  <c r="N37" i="2"/>
  <c r="O37" i="2"/>
  <c r="Q37" i="2"/>
  <c r="R37" i="2"/>
  <c r="S37" i="2"/>
  <c r="E38" i="2"/>
  <c r="F38" i="2"/>
  <c r="G38" i="2"/>
  <c r="H38" i="2"/>
  <c r="I38" i="2"/>
  <c r="J38" i="2"/>
  <c r="K38" i="2"/>
  <c r="L38" i="2"/>
  <c r="M38" i="2"/>
  <c r="N38" i="2"/>
  <c r="O38" i="2"/>
  <c r="Q38" i="2"/>
  <c r="R38" i="2"/>
  <c r="S38" i="2"/>
  <c r="E39" i="2"/>
  <c r="F39" i="2"/>
  <c r="G39" i="2"/>
  <c r="H39" i="2"/>
  <c r="M39" i="2" s="1"/>
  <c r="I39" i="2"/>
  <c r="J39" i="2"/>
  <c r="K39" i="2"/>
  <c r="L39" i="2"/>
  <c r="N39" i="2"/>
  <c r="P39" i="2" s="1"/>
  <c r="O39" i="2"/>
  <c r="Q39" i="2"/>
  <c r="R39" i="2"/>
  <c r="S39" i="2"/>
  <c r="E40" i="2"/>
  <c r="F40" i="2"/>
  <c r="G40" i="2"/>
  <c r="H40" i="2"/>
  <c r="I40" i="2"/>
  <c r="J40" i="2"/>
  <c r="K40" i="2"/>
  <c r="M40" i="2" s="1"/>
  <c r="L40" i="2"/>
  <c r="N40" i="2"/>
  <c r="O40" i="2"/>
  <c r="Q40" i="2"/>
  <c r="R40" i="2"/>
  <c r="S40" i="2"/>
  <c r="E41" i="2"/>
  <c r="F41" i="2"/>
  <c r="G41" i="2"/>
  <c r="H41" i="2"/>
  <c r="I41" i="2"/>
  <c r="J41" i="2"/>
  <c r="K41" i="2"/>
  <c r="L41" i="2"/>
  <c r="N41" i="2"/>
  <c r="O41" i="2"/>
  <c r="Q41" i="2"/>
  <c r="R41" i="2"/>
  <c r="S41" i="2"/>
  <c r="E42" i="2"/>
  <c r="F42" i="2"/>
  <c r="G42" i="2"/>
  <c r="H42" i="2"/>
  <c r="I42" i="2"/>
  <c r="J42" i="2"/>
  <c r="K42" i="2"/>
  <c r="L42" i="2"/>
  <c r="M42" i="2"/>
  <c r="N42" i="2"/>
  <c r="O42" i="2"/>
  <c r="Q42" i="2"/>
  <c r="R42" i="2"/>
  <c r="S42" i="2"/>
  <c r="E43" i="2"/>
  <c r="F43" i="2"/>
  <c r="G43" i="2"/>
  <c r="H43" i="2"/>
  <c r="I43" i="2"/>
  <c r="J43" i="2"/>
  <c r="K43" i="2"/>
  <c r="L43" i="2"/>
  <c r="N43" i="2"/>
  <c r="P43" i="2" s="1"/>
  <c r="O43" i="2"/>
  <c r="Q43" i="2"/>
  <c r="R43" i="2"/>
  <c r="S43" i="2"/>
  <c r="E44" i="2"/>
  <c r="P44" i="2" s="1"/>
  <c r="F44" i="2"/>
  <c r="G44" i="2"/>
  <c r="H44" i="2"/>
  <c r="I44" i="2"/>
  <c r="J44" i="2"/>
  <c r="K44" i="2"/>
  <c r="M44" i="2" s="1"/>
  <c r="L44" i="2"/>
  <c r="N44" i="2"/>
  <c r="O44" i="2"/>
  <c r="Q44" i="2"/>
  <c r="R44" i="2"/>
  <c r="S44" i="2"/>
  <c r="E45" i="2"/>
  <c r="F45" i="2"/>
  <c r="G45" i="2"/>
  <c r="H45" i="2"/>
  <c r="I45" i="2"/>
  <c r="J45" i="2"/>
  <c r="K45" i="2"/>
  <c r="L45" i="2"/>
  <c r="N45" i="2"/>
  <c r="O45" i="2"/>
  <c r="Q45" i="2"/>
  <c r="R45" i="2"/>
  <c r="S45" i="2"/>
  <c r="E46" i="2"/>
  <c r="F46" i="2"/>
  <c r="G46" i="2"/>
  <c r="H46" i="2"/>
  <c r="I46" i="2"/>
  <c r="J46" i="2"/>
  <c r="K46" i="2"/>
  <c r="L46" i="2"/>
  <c r="M46" i="2"/>
  <c r="N46" i="2"/>
  <c r="O46" i="2"/>
  <c r="Q46" i="2"/>
  <c r="R46" i="2"/>
  <c r="S46" i="2"/>
  <c r="E47" i="2"/>
  <c r="F47" i="2"/>
  <c r="G47" i="2"/>
  <c r="H47" i="2"/>
  <c r="M47" i="2" s="1"/>
  <c r="I47" i="2"/>
  <c r="J47" i="2"/>
  <c r="K47" i="2"/>
  <c r="L47" i="2"/>
  <c r="N47" i="2"/>
  <c r="P47" i="2" s="1"/>
  <c r="O47" i="2"/>
  <c r="Q47" i="2"/>
  <c r="R47" i="2"/>
  <c r="S47" i="2"/>
  <c r="E48" i="2"/>
  <c r="F48" i="2"/>
  <c r="G48" i="2"/>
  <c r="H48" i="2"/>
  <c r="I48" i="2"/>
  <c r="J48" i="2"/>
  <c r="K48" i="2"/>
  <c r="M48" i="2" s="1"/>
  <c r="L48" i="2"/>
  <c r="N48" i="2"/>
  <c r="O48" i="2"/>
  <c r="Q48" i="2"/>
  <c r="R48" i="2"/>
  <c r="S48" i="2"/>
  <c r="E49" i="2"/>
  <c r="F49" i="2"/>
  <c r="G49" i="2"/>
  <c r="H49" i="2"/>
  <c r="I49" i="2"/>
  <c r="J49" i="2"/>
  <c r="K49" i="2"/>
  <c r="L49" i="2"/>
  <c r="N49" i="2"/>
  <c r="O49" i="2"/>
  <c r="Q49" i="2"/>
  <c r="R49" i="2"/>
  <c r="S49" i="2"/>
  <c r="E50" i="2"/>
  <c r="F50" i="2"/>
  <c r="G50" i="2"/>
  <c r="H50" i="2"/>
  <c r="I50" i="2"/>
  <c r="J50" i="2"/>
  <c r="K50" i="2"/>
  <c r="L50" i="2"/>
  <c r="M50" i="2"/>
  <c r="N50" i="2"/>
  <c r="O50" i="2"/>
  <c r="Q50" i="2"/>
  <c r="R50" i="2"/>
  <c r="S50" i="2"/>
  <c r="E51" i="2"/>
  <c r="F51" i="2"/>
  <c r="G51" i="2"/>
  <c r="H51" i="2"/>
  <c r="I51" i="2"/>
  <c r="J51" i="2"/>
  <c r="K51" i="2"/>
  <c r="L51" i="2"/>
  <c r="N51" i="2"/>
  <c r="P51" i="2" s="1"/>
  <c r="O51" i="2"/>
  <c r="Q51" i="2"/>
  <c r="R51" i="2"/>
  <c r="S51" i="2"/>
  <c r="E52" i="2"/>
  <c r="P52" i="2" s="1"/>
  <c r="F52" i="2"/>
  <c r="G52" i="2"/>
  <c r="H52" i="2"/>
  <c r="I52" i="2"/>
  <c r="J52" i="2"/>
  <c r="K52" i="2"/>
  <c r="M52" i="2" s="1"/>
  <c r="L52" i="2"/>
  <c r="N52" i="2"/>
  <c r="O52" i="2"/>
  <c r="Q52" i="2"/>
  <c r="R52" i="2"/>
  <c r="S52" i="2"/>
  <c r="E53" i="2"/>
  <c r="F53" i="2"/>
  <c r="G53" i="2"/>
  <c r="H53" i="2"/>
  <c r="I53" i="2"/>
  <c r="J53" i="2"/>
  <c r="K53" i="2"/>
  <c r="L53" i="2"/>
  <c r="N53" i="2"/>
  <c r="O53" i="2"/>
  <c r="P53" i="2"/>
  <c r="Q53" i="2"/>
  <c r="R53" i="2"/>
  <c r="S53" i="2"/>
  <c r="E54" i="2"/>
  <c r="F54" i="2"/>
  <c r="G54" i="2"/>
  <c r="H54" i="2"/>
  <c r="I54" i="2"/>
  <c r="J54" i="2"/>
  <c r="K54" i="2"/>
  <c r="L54" i="2"/>
  <c r="M54" i="2"/>
  <c r="N54" i="2"/>
  <c r="O54" i="2"/>
  <c r="Q54" i="2"/>
  <c r="R54" i="2"/>
  <c r="S54" i="2"/>
  <c r="E55" i="2"/>
  <c r="F55" i="2"/>
  <c r="G55" i="2"/>
  <c r="H55" i="2"/>
  <c r="M55" i="2" s="1"/>
  <c r="I55" i="2"/>
  <c r="J55" i="2"/>
  <c r="K55" i="2"/>
  <c r="L55" i="2"/>
  <c r="N55" i="2"/>
  <c r="P55" i="2" s="1"/>
  <c r="O55" i="2"/>
  <c r="Q55" i="2"/>
  <c r="R55" i="2"/>
  <c r="S55" i="2"/>
  <c r="E56" i="2"/>
  <c r="F56" i="2"/>
  <c r="G56" i="2"/>
  <c r="H56" i="2"/>
  <c r="I56" i="2"/>
  <c r="J56" i="2"/>
  <c r="K56" i="2"/>
  <c r="M56" i="2" s="1"/>
  <c r="L56" i="2"/>
  <c r="N56" i="2"/>
  <c r="O56" i="2"/>
  <c r="Q56" i="2"/>
  <c r="R56" i="2"/>
  <c r="S56" i="2"/>
  <c r="E57" i="2"/>
  <c r="F57" i="2"/>
  <c r="G57" i="2"/>
  <c r="H57" i="2"/>
  <c r="I57" i="2"/>
  <c r="J57" i="2"/>
  <c r="K57" i="2"/>
  <c r="L57" i="2"/>
  <c r="N57" i="2"/>
  <c r="O57" i="2"/>
  <c r="Q57" i="2"/>
  <c r="R57" i="2"/>
  <c r="S57" i="2"/>
  <c r="E58" i="2"/>
  <c r="F58" i="2"/>
  <c r="G58" i="2"/>
  <c r="H58" i="2"/>
  <c r="I58" i="2"/>
  <c r="J58" i="2"/>
  <c r="K58" i="2"/>
  <c r="L58" i="2"/>
  <c r="M58" i="2"/>
  <c r="N58" i="2"/>
  <c r="O58" i="2"/>
  <c r="Q58" i="2"/>
  <c r="R58" i="2"/>
  <c r="S58" i="2"/>
  <c r="E59" i="2"/>
  <c r="F59" i="2"/>
  <c r="G59" i="2"/>
  <c r="H59" i="2"/>
  <c r="I59" i="2"/>
  <c r="J59" i="2"/>
  <c r="K59" i="2"/>
  <c r="L59" i="2"/>
  <c r="N59" i="2"/>
  <c r="P59" i="2" s="1"/>
  <c r="O59" i="2"/>
  <c r="Q59" i="2"/>
  <c r="R59" i="2"/>
  <c r="S59" i="2"/>
  <c r="E60" i="2"/>
  <c r="P60" i="2" s="1"/>
  <c r="F60" i="2"/>
  <c r="G60" i="2"/>
  <c r="H60" i="2"/>
  <c r="I60" i="2"/>
  <c r="J60" i="2"/>
  <c r="K60" i="2"/>
  <c r="M60" i="2" s="1"/>
  <c r="L60" i="2"/>
  <c r="N60" i="2"/>
  <c r="O60" i="2"/>
  <c r="Q60" i="2"/>
  <c r="R60" i="2"/>
  <c r="S60" i="2"/>
  <c r="E61" i="2"/>
  <c r="F61" i="2"/>
  <c r="G61" i="2"/>
  <c r="H61" i="2"/>
  <c r="I61" i="2"/>
  <c r="J61" i="2"/>
  <c r="K61" i="2"/>
  <c r="L61" i="2"/>
  <c r="N61" i="2"/>
  <c r="O61" i="2"/>
  <c r="Q61" i="2"/>
  <c r="R61" i="2"/>
  <c r="S61" i="2"/>
  <c r="E62" i="2"/>
  <c r="F62" i="2"/>
  <c r="G62" i="2"/>
  <c r="H62" i="2"/>
  <c r="I62" i="2"/>
  <c r="J62" i="2"/>
  <c r="K62" i="2"/>
  <c r="L62" i="2"/>
  <c r="M62" i="2"/>
  <c r="N62" i="2"/>
  <c r="O62" i="2"/>
  <c r="Q62" i="2"/>
  <c r="R62" i="2"/>
  <c r="S62" i="2"/>
  <c r="E63" i="2"/>
  <c r="F63" i="2"/>
  <c r="G63" i="2"/>
  <c r="H63" i="2"/>
  <c r="M63" i="2" s="1"/>
  <c r="I63" i="2"/>
  <c r="J63" i="2"/>
  <c r="K63" i="2"/>
  <c r="L63" i="2"/>
  <c r="N63" i="2"/>
  <c r="P63" i="2" s="1"/>
  <c r="O63" i="2"/>
  <c r="Q63" i="2"/>
  <c r="R63" i="2"/>
  <c r="S63" i="2"/>
  <c r="E64" i="2"/>
  <c r="F64" i="2"/>
  <c r="G64" i="2"/>
  <c r="H64" i="2"/>
  <c r="I64" i="2"/>
  <c r="J64" i="2"/>
  <c r="K64" i="2"/>
  <c r="M64" i="2" s="1"/>
  <c r="L64" i="2"/>
  <c r="N64" i="2"/>
  <c r="O64" i="2"/>
  <c r="Q64" i="2"/>
  <c r="R64" i="2"/>
  <c r="S64" i="2"/>
  <c r="E65" i="2"/>
  <c r="F65" i="2"/>
  <c r="G65" i="2"/>
  <c r="H65" i="2"/>
  <c r="I65" i="2"/>
  <c r="J65" i="2"/>
  <c r="K65" i="2"/>
  <c r="L65" i="2"/>
  <c r="N65" i="2"/>
  <c r="O65" i="2"/>
  <c r="Q65" i="2"/>
  <c r="R65" i="2"/>
  <c r="S65" i="2"/>
  <c r="E66" i="2"/>
  <c r="F66" i="2"/>
  <c r="G66" i="2"/>
  <c r="H66" i="2"/>
  <c r="I66" i="2"/>
  <c r="J66" i="2"/>
  <c r="K66" i="2"/>
  <c r="L66" i="2"/>
  <c r="M66" i="2"/>
  <c r="N66" i="2"/>
  <c r="O66" i="2"/>
  <c r="Q66" i="2"/>
  <c r="R66" i="2"/>
  <c r="S66" i="2"/>
  <c r="E67" i="2"/>
  <c r="F67" i="2"/>
  <c r="G67" i="2"/>
  <c r="H67" i="2"/>
  <c r="I67" i="2"/>
  <c r="J67" i="2"/>
  <c r="K67" i="2"/>
  <c r="L67" i="2"/>
  <c r="N67" i="2"/>
  <c r="P67" i="2" s="1"/>
  <c r="O67" i="2"/>
  <c r="Q67" i="2"/>
  <c r="R67" i="2"/>
  <c r="S67" i="2"/>
  <c r="E68" i="2"/>
  <c r="P68" i="2" s="1"/>
  <c r="F68" i="2"/>
  <c r="G68" i="2"/>
  <c r="H68" i="2"/>
  <c r="I68" i="2"/>
  <c r="J68" i="2"/>
  <c r="K68" i="2"/>
  <c r="M68" i="2" s="1"/>
  <c r="L68" i="2"/>
  <c r="N68" i="2"/>
  <c r="O68" i="2"/>
  <c r="Q68" i="2"/>
  <c r="R68" i="2"/>
  <c r="S68" i="2"/>
  <c r="E69" i="2"/>
  <c r="F69" i="2"/>
  <c r="G69" i="2"/>
  <c r="H69" i="2"/>
  <c r="I69" i="2"/>
  <c r="J69" i="2"/>
  <c r="K69" i="2"/>
  <c r="L69" i="2"/>
  <c r="N69" i="2"/>
  <c r="O69" i="2"/>
  <c r="Q69" i="2"/>
  <c r="R69" i="2"/>
  <c r="S69" i="2"/>
  <c r="E70" i="2"/>
  <c r="F70" i="2"/>
  <c r="G70" i="2"/>
  <c r="H70" i="2"/>
  <c r="I70" i="2"/>
  <c r="J70" i="2"/>
  <c r="K70" i="2"/>
  <c r="L70" i="2"/>
  <c r="M70" i="2"/>
  <c r="N70" i="2"/>
  <c r="O70" i="2"/>
  <c r="Q70" i="2"/>
  <c r="R70" i="2"/>
  <c r="S70" i="2"/>
  <c r="E71" i="2"/>
  <c r="F71" i="2"/>
  <c r="G71" i="2"/>
  <c r="H71" i="2"/>
  <c r="M71" i="2" s="1"/>
  <c r="I71" i="2"/>
  <c r="J71" i="2"/>
  <c r="K71" i="2"/>
  <c r="L71" i="2"/>
  <c r="N71" i="2"/>
  <c r="P71" i="2" s="1"/>
  <c r="O71" i="2"/>
  <c r="Q71" i="2"/>
  <c r="R71" i="2"/>
  <c r="S71" i="2"/>
  <c r="E72" i="2"/>
  <c r="F72" i="2"/>
  <c r="G72" i="2"/>
  <c r="H72" i="2"/>
  <c r="I72" i="2"/>
  <c r="J72" i="2"/>
  <c r="K72" i="2"/>
  <c r="M72" i="2" s="1"/>
  <c r="L72" i="2"/>
  <c r="N72" i="2"/>
  <c r="O72" i="2"/>
  <c r="Q72" i="2"/>
  <c r="R72" i="2"/>
  <c r="S72" i="2"/>
  <c r="E73" i="2"/>
  <c r="F73" i="2"/>
  <c r="G73" i="2"/>
  <c r="H73" i="2"/>
  <c r="I73" i="2"/>
  <c r="J73" i="2"/>
  <c r="K73" i="2"/>
  <c r="L73" i="2"/>
  <c r="N73" i="2"/>
  <c r="O73" i="2"/>
  <c r="Q73" i="2"/>
  <c r="R73" i="2"/>
  <c r="S73" i="2"/>
  <c r="E74" i="2"/>
  <c r="F74" i="2"/>
  <c r="G74" i="2"/>
  <c r="H74" i="2"/>
  <c r="I74" i="2"/>
  <c r="J74" i="2"/>
  <c r="K74" i="2"/>
  <c r="L74" i="2"/>
  <c r="M74" i="2"/>
  <c r="N74" i="2"/>
  <c r="O74" i="2"/>
  <c r="Q74" i="2"/>
  <c r="R74" i="2"/>
  <c r="S74" i="2"/>
  <c r="E75" i="2"/>
  <c r="F75" i="2"/>
  <c r="G75" i="2"/>
  <c r="H75" i="2"/>
  <c r="I75" i="2"/>
  <c r="J75" i="2"/>
  <c r="K75" i="2"/>
  <c r="L75" i="2"/>
  <c r="N75" i="2"/>
  <c r="P75" i="2" s="1"/>
  <c r="O75" i="2"/>
  <c r="Q75" i="2"/>
  <c r="R75" i="2"/>
  <c r="S75" i="2"/>
  <c r="E76" i="2"/>
  <c r="P76" i="2" s="1"/>
  <c r="F76" i="2"/>
  <c r="G76" i="2"/>
  <c r="H76" i="2"/>
  <c r="I76" i="2"/>
  <c r="J76" i="2"/>
  <c r="K76" i="2"/>
  <c r="M76" i="2" s="1"/>
  <c r="L76" i="2"/>
  <c r="N76" i="2"/>
  <c r="O76" i="2"/>
  <c r="Q76" i="2"/>
  <c r="R76" i="2"/>
  <c r="S76" i="2"/>
  <c r="E77" i="2"/>
  <c r="F77" i="2"/>
  <c r="G77" i="2"/>
  <c r="H77" i="2"/>
  <c r="I77" i="2"/>
  <c r="J77" i="2"/>
  <c r="K77" i="2"/>
  <c r="L77" i="2"/>
  <c r="N77" i="2"/>
  <c r="O77" i="2"/>
  <c r="Q77" i="2"/>
  <c r="R77" i="2"/>
  <c r="S77" i="2"/>
  <c r="E78" i="2"/>
  <c r="F78" i="2"/>
  <c r="G78" i="2"/>
  <c r="H78" i="2"/>
  <c r="I78" i="2"/>
  <c r="J78" i="2"/>
  <c r="K78" i="2"/>
  <c r="L78" i="2"/>
  <c r="M78" i="2"/>
  <c r="N78" i="2"/>
  <c r="O78" i="2"/>
  <c r="Q78" i="2"/>
  <c r="R78" i="2"/>
  <c r="S78" i="2"/>
  <c r="E79" i="2"/>
  <c r="F79" i="2"/>
  <c r="G79" i="2"/>
  <c r="H79" i="2"/>
  <c r="M79" i="2" s="1"/>
  <c r="I79" i="2"/>
  <c r="J79" i="2"/>
  <c r="K79" i="2"/>
  <c r="L79" i="2"/>
  <c r="N79" i="2"/>
  <c r="P79" i="2" s="1"/>
  <c r="O79" i="2"/>
  <c r="Q79" i="2"/>
  <c r="R79" i="2"/>
  <c r="S79" i="2"/>
  <c r="E80" i="2"/>
  <c r="F80" i="2"/>
  <c r="G80" i="2"/>
  <c r="H80" i="2"/>
  <c r="I80" i="2"/>
  <c r="J80" i="2"/>
  <c r="K80" i="2"/>
  <c r="M80" i="2" s="1"/>
  <c r="L80" i="2"/>
  <c r="N80" i="2"/>
  <c r="O80" i="2"/>
  <c r="Q80" i="2"/>
  <c r="R80" i="2"/>
  <c r="S80" i="2"/>
  <c r="E81" i="2"/>
  <c r="F81" i="2"/>
  <c r="G81" i="2"/>
  <c r="H81" i="2"/>
  <c r="I81" i="2"/>
  <c r="J81" i="2"/>
  <c r="K81" i="2"/>
  <c r="L81" i="2"/>
  <c r="N81" i="2"/>
  <c r="O81" i="2"/>
  <c r="Q81" i="2"/>
  <c r="R81" i="2"/>
  <c r="S81" i="2"/>
  <c r="E82" i="2"/>
  <c r="F82" i="2"/>
  <c r="G82" i="2"/>
  <c r="H82" i="2"/>
  <c r="I82" i="2"/>
  <c r="J82" i="2"/>
  <c r="K82" i="2"/>
  <c r="L82" i="2"/>
  <c r="M82" i="2"/>
  <c r="N82" i="2"/>
  <c r="O82" i="2"/>
  <c r="Q82" i="2"/>
  <c r="R82" i="2"/>
  <c r="S82" i="2"/>
  <c r="E83" i="2"/>
  <c r="F83" i="2"/>
  <c r="G83" i="2"/>
  <c r="H83" i="2"/>
  <c r="I83" i="2"/>
  <c r="J83" i="2"/>
  <c r="K83" i="2"/>
  <c r="L83" i="2"/>
  <c r="N83" i="2"/>
  <c r="P83" i="2" s="1"/>
  <c r="O83" i="2"/>
  <c r="Q83" i="2"/>
  <c r="R83" i="2"/>
  <c r="S83" i="2"/>
  <c r="E84" i="2"/>
  <c r="P84" i="2" s="1"/>
  <c r="F84" i="2"/>
  <c r="G84" i="2"/>
  <c r="H84" i="2"/>
  <c r="I84" i="2"/>
  <c r="J84" i="2"/>
  <c r="K84" i="2"/>
  <c r="M84" i="2" s="1"/>
  <c r="L84" i="2"/>
  <c r="N84" i="2"/>
  <c r="O84" i="2"/>
  <c r="Q84" i="2"/>
  <c r="R84" i="2"/>
  <c r="S84" i="2"/>
  <c r="E85" i="2"/>
  <c r="F85" i="2"/>
  <c r="G85" i="2"/>
  <c r="H85" i="2"/>
  <c r="I85" i="2"/>
  <c r="J85" i="2"/>
  <c r="K85" i="2"/>
  <c r="L85" i="2"/>
  <c r="N85" i="2"/>
  <c r="O85" i="2"/>
  <c r="P85" i="2"/>
  <c r="Q85" i="2"/>
  <c r="R85" i="2"/>
  <c r="S85" i="2"/>
  <c r="E86" i="2"/>
  <c r="F86" i="2"/>
  <c r="G86" i="2"/>
  <c r="H86" i="2"/>
  <c r="I86" i="2"/>
  <c r="J86" i="2"/>
  <c r="K86" i="2"/>
  <c r="L86" i="2"/>
  <c r="M86" i="2"/>
  <c r="N86" i="2"/>
  <c r="O86" i="2"/>
  <c r="Q86" i="2"/>
  <c r="R86" i="2"/>
  <c r="S86" i="2"/>
  <c r="E87" i="2"/>
  <c r="F87" i="2"/>
  <c r="G87" i="2"/>
  <c r="H87" i="2"/>
  <c r="M87" i="2" s="1"/>
  <c r="I87" i="2"/>
  <c r="J87" i="2"/>
  <c r="K87" i="2"/>
  <c r="L87" i="2"/>
  <c r="N87" i="2"/>
  <c r="P87" i="2" s="1"/>
  <c r="O87" i="2"/>
  <c r="Q87" i="2"/>
  <c r="R87" i="2"/>
  <c r="S87" i="2"/>
  <c r="E88" i="2"/>
  <c r="F88" i="2"/>
  <c r="G88" i="2"/>
  <c r="H88" i="2"/>
  <c r="I88" i="2"/>
  <c r="J88" i="2"/>
  <c r="K88" i="2"/>
  <c r="M88" i="2" s="1"/>
  <c r="L88" i="2"/>
  <c r="N88" i="2"/>
  <c r="O88" i="2"/>
  <c r="Q88" i="2"/>
  <c r="R88" i="2"/>
  <c r="S88" i="2"/>
  <c r="E89" i="2"/>
  <c r="F89" i="2"/>
  <c r="G89" i="2"/>
  <c r="H89" i="2"/>
  <c r="I89" i="2"/>
  <c r="J89" i="2"/>
  <c r="K89" i="2"/>
  <c r="L89" i="2"/>
  <c r="N89" i="2"/>
  <c r="O89" i="2"/>
  <c r="Q89" i="2"/>
  <c r="R89" i="2"/>
  <c r="S89" i="2"/>
  <c r="E90" i="2"/>
  <c r="F90" i="2"/>
  <c r="G90" i="2"/>
  <c r="H90" i="2"/>
  <c r="I90" i="2"/>
  <c r="J90" i="2"/>
  <c r="K90" i="2"/>
  <c r="L90" i="2"/>
  <c r="M90" i="2"/>
  <c r="N90" i="2"/>
  <c r="O90" i="2"/>
  <c r="Q90" i="2"/>
  <c r="R90" i="2"/>
  <c r="S90" i="2"/>
  <c r="E91" i="2"/>
  <c r="F91" i="2"/>
  <c r="G91" i="2"/>
  <c r="H91" i="2"/>
  <c r="I91" i="2"/>
  <c r="J91" i="2"/>
  <c r="K91" i="2"/>
  <c r="L91" i="2"/>
  <c r="N91" i="2"/>
  <c r="P91" i="2" s="1"/>
  <c r="O91" i="2"/>
  <c r="Q91" i="2"/>
  <c r="R91" i="2"/>
  <c r="S91" i="2"/>
  <c r="E92" i="2"/>
  <c r="P92" i="2" s="1"/>
  <c r="F92" i="2"/>
  <c r="G92" i="2"/>
  <c r="H92" i="2"/>
  <c r="I92" i="2"/>
  <c r="J92" i="2"/>
  <c r="K92" i="2"/>
  <c r="M92" i="2" s="1"/>
  <c r="L92" i="2"/>
  <c r="N92" i="2"/>
  <c r="O92" i="2"/>
  <c r="Q92" i="2"/>
  <c r="R92" i="2"/>
  <c r="S92" i="2"/>
  <c r="E93" i="2"/>
  <c r="F93" i="2"/>
  <c r="G93" i="2"/>
  <c r="H93" i="2"/>
  <c r="I93" i="2"/>
  <c r="J93" i="2"/>
  <c r="K93" i="2"/>
  <c r="L93" i="2"/>
  <c r="N93" i="2"/>
  <c r="O93" i="2"/>
  <c r="Q93" i="2"/>
  <c r="R93" i="2"/>
  <c r="S93" i="2"/>
  <c r="E94" i="2"/>
  <c r="F94" i="2"/>
  <c r="G94" i="2"/>
  <c r="H94" i="2"/>
  <c r="I94" i="2"/>
  <c r="J94" i="2"/>
  <c r="K94" i="2"/>
  <c r="L94" i="2"/>
  <c r="M94" i="2"/>
  <c r="N94" i="2"/>
  <c r="O94" i="2"/>
  <c r="Q94" i="2"/>
  <c r="R94" i="2"/>
  <c r="S94" i="2"/>
  <c r="E95" i="2"/>
  <c r="F95" i="2"/>
  <c r="G95" i="2"/>
  <c r="H95" i="2"/>
  <c r="M95" i="2" s="1"/>
  <c r="I95" i="2"/>
  <c r="J95" i="2"/>
  <c r="K95" i="2"/>
  <c r="L95" i="2"/>
  <c r="N95" i="2"/>
  <c r="P95" i="2" s="1"/>
  <c r="O95" i="2"/>
  <c r="Q95" i="2"/>
  <c r="R95" i="2"/>
  <c r="S95" i="2"/>
  <c r="E96" i="2"/>
  <c r="F96" i="2"/>
  <c r="G96" i="2"/>
  <c r="H96" i="2"/>
  <c r="I96" i="2"/>
  <c r="J96" i="2"/>
  <c r="K96" i="2"/>
  <c r="M96" i="2" s="1"/>
  <c r="L96" i="2"/>
  <c r="N96" i="2"/>
  <c r="O96" i="2"/>
  <c r="Q96" i="2"/>
  <c r="R96" i="2"/>
  <c r="S96" i="2"/>
  <c r="E97" i="2"/>
  <c r="F97" i="2"/>
  <c r="G97" i="2"/>
  <c r="H97" i="2"/>
  <c r="I97" i="2"/>
  <c r="J97" i="2"/>
  <c r="K97" i="2"/>
  <c r="L97" i="2"/>
  <c r="N97" i="2"/>
  <c r="O97" i="2"/>
  <c r="Q97" i="2"/>
  <c r="R97" i="2"/>
  <c r="S97" i="2"/>
  <c r="E98" i="2"/>
  <c r="F98" i="2"/>
  <c r="G98" i="2"/>
  <c r="H98" i="2"/>
  <c r="I98" i="2"/>
  <c r="J98" i="2"/>
  <c r="K98" i="2"/>
  <c r="L98" i="2"/>
  <c r="M98" i="2"/>
  <c r="N98" i="2"/>
  <c r="O98" i="2"/>
  <c r="Q98" i="2"/>
  <c r="R98" i="2"/>
  <c r="S98" i="2"/>
  <c r="E99" i="2"/>
  <c r="F99" i="2"/>
  <c r="G99" i="2"/>
  <c r="H99" i="2"/>
  <c r="I99" i="2"/>
  <c r="J99" i="2"/>
  <c r="K99" i="2"/>
  <c r="L99" i="2"/>
  <c r="N99" i="2"/>
  <c r="P99" i="2" s="1"/>
  <c r="O99" i="2"/>
  <c r="Q99" i="2"/>
  <c r="R99" i="2"/>
  <c r="S99" i="2"/>
  <c r="E100" i="2"/>
  <c r="P100" i="2" s="1"/>
  <c r="F100" i="2"/>
  <c r="G100" i="2"/>
  <c r="H100" i="2"/>
  <c r="I100" i="2"/>
  <c r="J100" i="2"/>
  <c r="K100" i="2"/>
  <c r="M100" i="2" s="1"/>
  <c r="L100" i="2"/>
  <c r="N100" i="2"/>
  <c r="O100" i="2"/>
  <c r="Q100" i="2"/>
  <c r="R100" i="2"/>
  <c r="S100" i="2"/>
  <c r="E101" i="2"/>
  <c r="F101" i="2"/>
  <c r="G101" i="2"/>
  <c r="H101" i="2"/>
  <c r="I101" i="2"/>
  <c r="J101" i="2"/>
  <c r="K101" i="2"/>
  <c r="L101" i="2"/>
  <c r="N101" i="2"/>
  <c r="O101" i="2"/>
  <c r="Q101" i="2"/>
  <c r="R101" i="2"/>
  <c r="S101" i="2"/>
  <c r="E102" i="2"/>
  <c r="F102" i="2"/>
  <c r="G102" i="2"/>
  <c r="H102" i="2"/>
  <c r="I102" i="2"/>
  <c r="J102" i="2"/>
  <c r="K102" i="2"/>
  <c r="L102" i="2"/>
  <c r="M102" i="2"/>
  <c r="N102" i="2"/>
  <c r="O102" i="2"/>
  <c r="Q102" i="2"/>
  <c r="R102" i="2"/>
  <c r="S102" i="2"/>
  <c r="E103" i="2"/>
  <c r="F103" i="2"/>
  <c r="G103" i="2"/>
  <c r="H103" i="2"/>
  <c r="M103" i="2" s="1"/>
  <c r="I103" i="2"/>
  <c r="J103" i="2"/>
  <c r="K103" i="2"/>
  <c r="L103" i="2"/>
  <c r="N103" i="2"/>
  <c r="P103" i="2" s="1"/>
  <c r="O103" i="2"/>
  <c r="Q103" i="2"/>
  <c r="R103" i="2"/>
  <c r="S103" i="2"/>
  <c r="E104" i="2"/>
  <c r="F104" i="2"/>
  <c r="G104" i="2"/>
  <c r="H104" i="2"/>
  <c r="I104" i="2"/>
  <c r="J104" i="2"/>
  <c r="K104" i="2"/>
  <c r="M104" i="2" s="1"/>
  <c r="L104" i="2"/>
  <c r="N104" i="2"/>
  <c r="O104" i="2"/>
  <c r="Q104" i="2"/>
  <c r="R104" i="2"/>
  <c r="S104" i="2"/>
  <c r="E105" i="2"/>
  <c r="F105" i="2"/>
  <c r="G105" i="2"/>
  <c r="H105" i="2"/>
  <c r="I105" i="2"/>
  <c r="J105" i="2"/>
  <c r="K105" i="2"/>
  <c r="L105" i="2"/>
  <c r="N105" i="2"/>
  <c r="O105" i="2"/>
  <c r="Q105" i="2"/>
  <c r="R105" i="2"/>
  <c r="S105" i="2"/>
  <c r="E106" i="2"/>
  <c r="F106" i="2"/>
  <c r="G106" i="2"/>
  <c r="H106" i="2"/>
  <c r="I106" i="2"/>
  <c r="J106" i="2"/>
  <c r="K106" i="2"/>
  <c r="L106" i="2"/>
  <c r="M106" i="2"/>
  <c r="N106" i="2"/>
  <c r="O106" i="2"/>
  <c r="Q106" i="2"/>
  <c r="R106" i="2"/>
  <c r="S106" i="2"/>
  <c r="E107" i="2"/>
  <c r="F107" i="2"/>
  <c r="G107" i="2"/>
  <c r="H107" i="2"/>
  <c r="I107" i="2"/>
  <c r="J107" i="2"/>
  <c r="K107" i="2"/>
  <c r="L107" i="2"/>
  <c r="N107" i="2"/>
  <c r="P107" i="2" s="1"/>
  <c r="O107" i="2"/>
  <c r="Q107" i="2"/>
  <c r="R107" i="2"/>
  <c r="S107" i="2"/>
  <c r="E108" i="2"/>
  <c r="P108" i="2" s="1"/>
  <c r="F108" i="2"/>
  <c r="G108" i="2"/>
  <c r="H108" i="2"/>
  <c r="I108" i="2"/>
  <c r="J108" i="2"/>
  <c r="K108" i="2"/>
  <c r="M108" i="2" s="1"/>
  <c r="L108" i="2"/>
  <c r="N108" i="2"/>
  <c r="O108" i="2"/>
  <c r="Q108" i="2"/>
  <c r="R108" i="2"/>
  <c r="S108" i="2"/>
  <c r="E109" i="2"/>
  <c r="F109" i="2"/>
  <c r="G109" i="2"/>
  <c r="H109" i="2"/>
  <c r="I109" i="2"/>
  <c r="J109" i="2"/>
  <c r="K109" i="2"/>
  <c r="L109" i="2"/>
  <c r="N109" i="2"/>
  <c r="O109" i="2"/>
  <c r="Q109" i="2"/>
  <c r="R109" i="2"/>
  <c r="S109" i="2"/>
  <c r="E110" i="2"/>
  <c r="F110" i="2"/>
  <c r="G110" i="2"/>
  <c r="H110" i="2"/>
  <c r="I110" i="2"/>
  <c r="J110" i="2"/>
  <c r="K110" i="2"/>
  <c r="L110" i="2"/>
  <c r="M110" i="2"/>
  <c r="N110" i="2"/>
  <c r="O110" i="2"/>
  <c r="Q110" i="2"/>
  <c r="R110" i="2"/>
  <c r="S110" i="2"/>
  <c r="E111" i="2"/>
  <c r="F111" i="2"/>
  <c r="G111" i="2"/>
  <c r="H111" i="2"/>
  <c r="M111" i="2" s="1"/>
  <c r="I111" i="2"/>
  <c r="J111" i="2"/>
  <c r="K111" i="2"/>
  <c r="L111" i="2"/>
  <c r="N111" i="2"/>
  <c r="P111" i="2" s="1"/>
  <c r="O111" i="2"/>
  <c r="Q111" i="2"/>
  <c r="R111" i="2"/>
  <c r="S111" i="2"/>
  <c r="E112" i="2"/>
  <c r="F112" i="2"/>
  <c r="G112" i="2"/>
  <c r="H112" i="2"/>
  <c r="I112" i="2"/>
  <c r="J112" i="2"/>
  <c r="K112" i="2"/>
  <c r="M112" i="2" s="1"/>
  <c r="L112" i="2"/>
  <c r="N112" i="2"/>
  <c r="O112" i="2"/>
  <c r="Q112" i="2"/>
  <c r="R112" i="2"/>
  <c r="S112" i="2"/>
  <c r="E113" i="2"/>
  <c r="F113" i="2"/>
  <c r="G113" i="2"/>
  <c r="H113" i="2"/>
  <c r="I113" i="2"/>
  <c r="J113" i="2"/>
  <c r="K113" i="2"/>
  <c r="L113" i="2"/>
  <c r="N113" i="2"/>
  <c r="O113" i="2"/>
  <c r="Q113" i="2"/>
  <c r="R113" i="2"/>
  <c r="S113" i="2"/>
  <c r="E114" i="2"/>
  <c r="F114" i="2"/>
  <c r="G114" i="2"/>
  <c r="H114" i="2"/>
  <c r="I114" i="2"/>
  <c r="J114" i="2"/>
  <c r="K114" i="2"/>
  <c r="L114" i="2"/>
  <c r="M114" i="2"/>
  <c r="N114" i="2"/>
  <c r="O114" i="2"/>
  <c r="Q114" i="2"/>
  <c r="R114" i="2"/>
  <c r="S114" i="2"/>
  <c r="E115" i="2"/>
  <c r="F115" i="2"/>
  <c r="G115" i="2"/>
  <c r="H115" i="2"/>
  <c r="I115" i="2"/>
  <c r="J115" i="2"/>
  <c r="K115" i="2"/>
  <c r="L115" i="2"/>
  <c r="N115" i="2"/>
  <c r="P115" i="2" s="1"/>
  <c r="O115" i="2"/>
  <c r="Q115" i="2"/>
  <c r="R115" i="2"/>
  <c r="S115" i="2"/>
  <c r="E116" i="2"/>
  <c r="P116" i="2" s="1"/>
  <c r="F116" i="2"/>
  <c r="G116" i="2"/>
  <c r="H116" i="2"/>
  <c r="I116" i="2"/>
  <c r="J116" i="2"/>
  <c r="K116" i="2"/>
  <c r="M116" i="2" s="1"/>
  <c r="L116" i="2"/>
  <c r="N116" i="2"/>
  <c r="O116" i="2"/>
  <c r="Q116" i="2"/>
  <c r="R116" i="2"/>
  <c r="S116" i="2"/>
  <c r="E117" i="2"/>
  <c r="F117" i="2"/>
  <c r="G117" i="2"/>
  <c r="H117" i="2"/>
  <c r="I117" i="2"/>
  <c r="J117" i="2"/>
  <c r="K117" i="2"/>
  <c r="L117" i="2"/>
  <c r="N117" i="2"/>
  <c r="O117" i="2"/>
  <c r="P117" i="2"/>
  <c r="Q117" i="2"/>
  <c r="R117" i="2"/>
  <c r="S117" i="2"/>
  <c r="E118" i="2"/>
  <c r="F118" i="2"/>
  <c r="G118" i="2"/>
  <c r="H118" i="2"/>
  <c r="I118" i="2"/>
  <c r="J118" i="2"/>
  <c r="K118" i="2"/>
  <c r="L118" i="2"/>
  <c r="M118" i="2"/>
  <c r="N118" i="2"/>
  <c r="O118" i="2"/>
  <c r="Q118" i="2"/>
  <c r="R118" i="2"/>
  <c r="S118" i="2"/>
  <c r="E119" i="2"/>
  <c r="F119" i="2"/>
  <c r="G119" i="2"/>
  <c r="H119" i="2"/>
  <c r="M119" i="2" s="1"/>
  <c r="I119" i="2"/>
  <c r="J119" i="2"/>
  <c r="K119" i="2"/>
  <c r="L119" i="2"/>
  <c r="N119" i="2"/>
  <c r="P119" i="2" s="1"/>
  <c r="O119" i="2"/>
  <c r="Q119" i="2"/>
  <c r="R119" i="2"/>
  <c r="S119" i="2"/>
  <c r="E120" i="2"/>
  <c r="F120" i="2"/>
  <c r="G120" i="2"/>
  <c r="H120" i="2"/>
  <c r="I120" i="2"/>
  <c r="J120" i="2"/>
  <c r="K120" i="2"/>
  <c r="M120" i="2" s="1"/>
  <c r="L120" i="2"/>
  <c r="N120" i="2"/>
  <c r="O120" i="2"/>
  <c r="Q120" i="2"/>
  <c r="R120" i="2"/>
  <c r="S120" i="2"/>
  <c r="E121" i="2"/>
  <c r="F121" i="2"/>
  <c r="G121" i="2"/>
  <c r="H121" i="2"/>
  <c r="I121" i="2"/>
  <c r="J121" i="2"/>
  <c r="K121" i="2"/>
  <c r="L121" i="2"/>
  <c r="N121" i="2"/>
  <c r="O121" i="2"/>
  <c r="Q121" i="2"/>
  <c r="R121" i="2"/>
  <c r="S121" i="2"/>
  <c r="E122" i="2"/>
  <c r="F122" i="2"/>
  <c r="G122" i="2"/>
  <c r="H122" i="2"/>
  <c r="I122" i="2"/>
  <c r="J122" i="2"/>
  <c r="K122" i="2"/>
  <c r="L122" i="2"/>
  <c r="M122" i="2"/>
  <c r="N122" i="2"/>
  <c r="O122" i="2"/>
  <c r="Q122" i="2"/>
  <c r="R122" i="2"/>
  <c r="S122" i="2"/>
  <c r="E123" i="2"/>
  <c r="F123" i="2"/>
  <c r="G123" i="2"/>
  <c r="H123" i="2"/>
  <c r="I123" i="2"/>
  <c r="J123" i="2"/>
  <c r="K123" i="2"/>
  <c r="L123" i="2"/>
  <c r="N123" i="2"/>
  <c r="P123" i="2" s="1"/>
  <c r="O123" i="2"/>
  <c r="Q123" i="2"/>
  <c r="R123" i="2"/>
  <c r="S123" i="2"/>
  <c r="E124" i="2"/>
  <c r="P124" i="2" s="1"/>
  <c r="F124" i="2"/>
  <c r="G124" i="2"/>
  <c r="H124" i="2"/>
  <c r="I124" i="2"/>
  <c r="J124" i="2"/>
  <c r="K124" i="2"/>
  <c r="M124" i="2" s="1"/>
  <c r="L124" i="2"/>
  <c r="N124" i="2"/>
  <c r="O124" i="2"/>
  <c r="Q124" i="2"/>
  <c r="R124" i="2"/>
  <c r="S124" i="2"/>
  <c r="E125" i="2"/>
  <c r="F125" i="2"/>
  <c r="G125" i="2"/>
  <c r="H125" i="2"/>
  <c r="I125" i="2"/>
  <c r="J125" i="2"/>
  <c r="K125" i="2"/>
  <c r="L125" i="2"/>
  <c r="N125" i="2"/>
  <c r="O125" i="2"/>
  <c r="Q125" i="2"/>
  <c r="R125" i="2"/>
  <c r="S125" i="2"/>
  <c r="E126" i="2"/>
  <c r="F126" i="2"/>
  <c r="G126" i="2"/>
  <c r="H126" i="2"/>
  <c r="I126" i="2"/>
  <c r="J126" i="2"/>
  <c r="K126" i="2"/>
  <c r="L126" i="2"/>
  <c r="M126" i="2"/>
  <c r="N126" i="2"/>
  <c r="O126" i="2"/>
  <c r="Q126" i="2"/>
  <c r="R126" i="2"/>
  <c r="S126" i="2"/>
  <c r="E127" i="2"/>
  <c r="F127" i="2"/>
  <c r="G127" i="2"/>
  <c r="H127" i="2"/>
  <c r="M127" i="2" s="1"/>
  <c r="I127" i="2"/>
  <c r="J127" i="2"/>
  <c r="K127" i="2"/>
  <c r="L127" i="2"/>
  <c r="N127" i="2"/>
  <c r="P127" i="2" s="1"/>
  <c r="O127" i="2"/>
  <c r="Q127" i="2"/>
  <c r="R127" i="2"/>
  <c r="S127" i="2"/>
  <c r="E128" i="2"/>
  <c r="F128" i="2"/>
  <c r="G128" i="2"/>
  <c r="H128" i="2"/>
  <c r="I128" i="2"/>
  <c r="J128" i="2"/>
  <c r="K128" i="2"/>
  <c r="M128" i="2" s="1"/>
  <c r="L128" i="2"/>
  <c r="N128" i="2"/>
  <c r="O128" i="2"/>
  <c r="Q128" i="2"/>
  <c r="R128" i="2"/>
  <c r="S128" i="2"/>
  <c r="E129" i="2"/>
  <c r="F129" i="2"/>
  <c r="G129" i="2"/>
  <c r="H129" i="2"/>
  <c r="I129" i="2"/>
  <c r="J129" i="2"/>
  <c r="K129" i="2"/>
  <c r="L129" i="2"/>
  <c r="N129" i="2"/>
  <c r="O129" i="2"/>
  <c r="Q129" i="2"/>
  <c r="R129" i="2"/>
  <c r="S129" i="2"/>
  <c r="E130" i="2"/>
  <c r="F130" i="2"/>
  <c r="G130" i="2"/>
  <c r="H130" i="2"/>
  <c r="I130" i="2"/>
  <c r="J130" i="2"/>
  <c r="K130" i="2"/>
  <c r="L130" i="2"/>
  <c r="M130" i="2"/>
  <c r="N130" i="2"/>
  <c r="O130" i="2"/>
  <c r="Q130" i="2"/>
  <c r="R130" i="2"/>
  <c r="S130" i="2"/>
  <c r="E131" i="2"/>
  <c r="F131" i="2"/>
  <c r="G131" i="2"/>
  <c r="H131" i="2"/>
  <c r="I131" i="2"/>
  <c r="J131" i="2"/>
  <c r="K131" i="2"/>
  <c r="L131" i="2"/>
  <c r="N131" i="2"/>
  <c r="P131" i="2" s="1"/>
  <c r="O131" i="2"/>
  <c r="Q131" i="2"/>
  <c r="R131" i="2"/>
  <c r="S131" i="2"/>
  <c r="E132" i="2"/>
  <c r="P132" i="2" s="1"/>
  <c r="F132" i="2"/>
  <c r="G132" i="2"/>
  <c r="H132" i="2"/>
  <c r="I132" i="2"/>
  <c r="J132" i="2"/>
  <c r="K132" i="2"/>
  <c r="M132" i="2" s="1"/>
  <c r="L132" i="2"/>
  <c r="N132" i="2"/>
  <c r="O132" i="2"/>
  <c r="Q132" i="2"/>
  <c r="R132" i="2"/>
  <c r="S132" i="2"/>
  <c r="E133" i="2"/>
  <c r="F133" i="2"/>
  <c r="G133" i="2"/>
  <c r="H133" i="2"/>
  <c r="I133" i="2"/>
  <c r="J133" i="2"/>
  <c r="K133" i="2"/>
  <c r="L133" i="2"/>
  <c r="N133" i="2"/>
  <c r="O133" i="2"/>
  <c r="Q133" i="2"/>
  <c r="R133" i="2"/>
  <c r="S133" i="2"/>
  <c r="E134" i="2"/>
  <c r="F134" i="2"/>
  <c r="G134" i="2"/>
  <c r="H134" i="2"/>
  <c r="I134" i="2"/>
  <c r="J134" i="2"/>
  <c r="K134" i="2"/>
  <c r="L134" i="2"/>
  <c r="M134" i="2"/>
  <c r="N134" i="2"/>
  <c r="O134" i="2"/>
  <c r="Q134" i="2"/>
  <c r="R134" i="2"/>
  <c r="S134" i="2"/>
  <c r="E135" i="2"/>
  <c r="F135" i="2"/>
  <c r="G135" i="2"/>
  <c r="H135" i="2"/>
  <c r="M135" i="2" s="1"/>
  <c r="I135" i="2"/>
  <c r="J135" i="2"/>
  <c r="K135" i="2"/>
  <c r="L135" i="2"/>
  <c r="N135" i="2"/>
  <c r="P135" i="2" s="1"/>
  <c r="O135" i="2"/>
  <c r="Q135" i="2"/>
  <c r="R135" i="2"/>
  <c r="S135" i="2"/>
  <c r="E136" i="2"/>
  <c r="F136" i="2"/>
  <c r="G136" i="2"/>
  <c r="H136" i="2"/>
  <c r="I136" i="2"/>
  <c r="J136" i="2"/>
  <c r="K136" i="2"/>
  <c r="M136" i="2" s="1"/>
  <c r="L136" i="2"/>
  <c r="N136" i="2"/>
  <c r="O136" i="2"/>
  <c r="Q136" i="2"/>
  <c r="R136" i="2"/>
  <c r="S136" i="2"/>
  <c r="E137" i="2"/>
  <c r="F137" i="2"/>
  <c r="G137" i="2"/>
  <c r="H137" i="2"/>
  <c r="I137" i="2"/>
  <c r="J137" i="2"/>
  <c r="K137" i="2"/>
  <c r="L137" i="2"/>
  <c r="N137" i="2"/>
  <c r="O137" i="2"/>
  <c r="Q137" i="2"/>
  <c r="R137" i="2"/>
  <c r="S137" i="2"/>
  <c r="E138" i="2"/>
  <c r="F138" i="2"/>
  <c r="G138" i="2"/>
  <c r="H138" i="2"/>
  <c r="I138" i="2"/>
  <c r="J138" i="2"/>
  <c r="K138" i="2"/>
  <c r="L138" i="2"/>
  <c r="M138" i="2"/>
  <c r="N138" i="2"/>
  <c r="O138" i="2"/>
  <c r="Q138" i="2"/>
  <c r="R138" i="2"/>
  <c r="S138" i="2"/>
  <c r="E139" i="2"/>
  <c r="F139" i="2"/>
  <c r="G139" i="2"/>
  <c r="H139" i="2"/>
  <c r="I139" i="2"/>
  <c r="J139" i="2"/>
  <c r="K139" i="2"/>
  <c r="L139" i="2"/>
  <c r="N139" i="2"/>
  <c r="P139" i="2" s="1"/>
  <c r="O139" i="2"/>
  <c r="Q139" i="2"/>
  <c r="R139" i="2"/>
  <c r="S139" i="2"/>
  <c r="E140" i="2"/>
  <c r="P140" i="2" s="1"/>
  <c r="F140" i="2"/>
  <c r="G140" i="2"/>
  <c r="H140" i="2"/>
  <c r="I140" i="2"/>
  <c r="J140" i="2"/>
  <c r="K140" i="2"/>
  <c r="M140" i="2" s="1"/>
  <c r="L140" i="2"/>
  <c r="N140" i="2"/>
  <c r="O140" i="2"/>
  <c r="Q140" i="2"/>
  <c r="R140" i="2"/>
  <c r="S140" i="2"/>
  <c r="E141" i="2"/>
  <c r="F141" i="2"/>
  <c r="G141" i="2"/>
  <c r="H141" i="2"/>
  <c r="I141" i="2"/>
  <c r="J141" i="2"/>
  <c r="K141" i="2"/>
  <c r="L141" i="2"/>
  <c r="N141" i="2"/>
  <c r="O141" i="2"/>
  <c r="Q141" i="2"/>
  <c r="R141" i="2"/>
  <c r="S141" i="2"/>
  <c r="E142" i="2"/>
  <c r="F142" i="2"/>
  <c r="G142" i="2"/>
  <c r="H142" i="2"/>
  <c r="I142" i="2"/>
  <c r="J142" i="2"/>
  <c r="K142" i="2"/>
  <c r="L142" i="2"/>
  <c r="M142" i="2"/>
  <c r="N142" i="2"/>
  <c r="O142" i="2"/>
  <c r="Q142" i="2"/>
  <c r="R142" i="2"/>
  <c r="S142" i="2"/>
  <c r="E143" i="2"/>
  <c r="F143" i="2"/>
  <c r="G143" i="2"/>
  <c r="H143" i="2"/>
  <c r="M143" i="2" s="1"/>
  <c r="I143" i="2"/>
  <c r="J143" i="2"/>
  <c r="K143" i="2"/>
  <c r="L143" i="2"/>
  <c r="N143" i="2"/>
  <c r="P143" i="2" s="1"/>
  <c r="O143" i="2"/>
  <c r="Q143" i="2"/>
  <c r="R143" i="2"/>
  <c r="S143" i="2"/>
  <c r="E144" i="2"/>
  <c r="F144" i="2"/>
  <c r="G144" i="2"/>
  <c r="H144" i="2"/>
  <c r="I144" i="2"/>
  <c r="J144" i="2"/>
  <c r="K144" i="2"/>
  <c r="M144" i="2" s="1"/>
  <c r="L144" i="2"/>
  <c r="N144" i="2"/>
  <c r="O144" i="2"/>
  <c r="Q144" i="2"/>
  <c r="R144" i="2"/>
  <c r="S144" i="2"/>
  <c r="E145" i="2"/>
  <c r="F145" i="2"/>
  <c r="G145" i="2"/>
  <c r="H145" i="2"/>
  <c r="I145" i="2"/>
  <c r="J145" i="2"/>
  <c r="K145" i="2"/>
  <c r="L145" i="2"/>
  <c r="N145" i="2"/>
  <c r="O145" i="2"/>
  <c r="Q145" i="2"/>
  <c r="R145" i="2"/>
  <c r="S145" i="2"/>
  <c r="E146" i="2"/>
  <c r="F146" i="2"/>
  <c r="G146" i="2"/>
  <c r="H146" i="2"/>
  <c r="I146" i="2"/>
  <c r="J146" i="2"/>
  <c r="K146" i="2"/>
  <c r="L146" i="2"/>
  <c r="M146" i="2"/>
  <c r="N146" i="2"/>
  <c r="O146" i="2"/>
  <c r="Q146" i="2"/>
  <c r="R146" i="2"/>
  <c r="S146" i="2"/>
  <c r="E147" i="2"/>
  <c r="F147" i="2"/>
  <c r="G147" i="2"/>
  <c r="H147" i="2"/>
  <c r="I147" i="2"/>
  <c r="J147" i="2"/>
  <c r="K147" i="2"/>
  <c r="L147" i="2"/>
  <c r="N147" i="2"/>
  <c r="P147" i="2" s="1"/>
  <c r="O147" i="2"/>
  <c r="Q147" i="2"/>
  <c r="R147" i="2"/>
  <c r="S147" i="2"/>
  <c r="E148" i="2"/>
  <c r="P148" i="2" s="1"/>
  <c r="F148" i="2"/>
  <c r="G148" i="2"/>
  <c r="H148" i="2"/>
  <c r="I148" i="2"/>
  <c r="J148" i="2"/>
  <c r="K148" i="2"/>
  <c r="M148" i="2" s="1"/>
  <c r="L148" i="2"/>
  <c r="N148" i="2"/>
  <c r="O148" i="2"/>
  <c r="Q148" i="2"/>
  <c r="R148" i="2"/>
  <c r="S148" i="2"/>
  <c r="E149" i="2"/>
  <c r="F149" i="2"/>
  <c r="G149" i="2"/>
  <c r="H149" i="2"/>
  <c r="I149" i="2"/>
  <c r="J149" i="2"/>
  <c r="K149" i="2"/>
  <c r="L149" i="2"/>
  <c r="N149" i="2"/>
  <c r="O149" i="2"/>
  <c r="P149" i="2"/>
  <c r="Q149" i="2"/>
  <c r="R149" i="2"/>
  <c r="S149" i="2"/>
  <c r="E150" i="2"/>
  <c r="F150" i="2"/>
  <c r="G150" i="2"/>
  <c r="H150" i="2"/>
  <c r="I150" i="2"/>
  <c r="J150" i="2"/>
  <c r="K150" i="2"/>
  <c r="L150" i="2"/>
  <c r="M150" i="2"/>
  <c r="N150" i="2"/>
  <c r="O150" i="2"/>
  <c r="Q150" i="2"/>
  <c r="R150" i="2"/>
  <c r="S150" i="2"/>
  <c r="E151" i="2"/>
  <c r="F151" i="2"/>
  <c r="G151" i="2"/>
  <c r="H151" i="2"/>
  <c r="M151" i="2" s="1"/>
  <c r="I151" i="2"/>
  <c r="J151" i="2"/>
  <c r="K151" i="2"/>
  <c r="L151" i="2"/>
  <c r="N151" i="2"/>
  <c r="P151" i="2" s="1"/>
  <c r="O151" i="2"/>
  <c r="Q151" i="2"/>
  <c r="R151" i="2"/>
  <c r="S151" i="2"/>
  <c r="E152" i="2"/>
  <c r="F152" i="2"/>
  <c r="G152" i="2"/>
  <c r="H152" i="2"/>
  <c r="I152" i="2"/>
  <c r="J152" i="2"/>
  <c r="K152" i="2"/>
  <c r="M152" i="2" s="1"/>
  <c r="L152" i="2"/>
  <c r="N152" i="2"/>
  <c r="O152" i="2"/>
  <c r="Q152" i="2"/>
  <c r="R152" i="2"/>
  <c r="S152" i="2"/>
  <c r="E153" i="2"/>
  <c r="F153" i="2"/>
  <c r="G153" i="2"/>
  <c r="H153" i="2"/>
  <c r="I153" i="2"/>
  <c r="J153" i="2"/>
  <c r="K153" i="2"/>
  <c r="L153" i="2"/>
  <c r="N153" i="2"/>
  <c r="O153" i="2"/>
  <c r="Q153" i="2"/>
  <c r="R153" i="2"/>
  <c r="S153" i="2"/>
  <c r="E154" i="2"/>
  <c r="F154" i="2"/>
  <c r="G154" i="2"/>
  <c r="H154" i="2"/>
  <c r="I154" i="2"/>
  <c r="J154" i="2"/>
  <c r="K154" i="2"/>
  <c r="L154" i="2"/>
  <c r="M154" i="2"/>
  <c r="N154" i="2"/>
  <c r="O154" i="2"/>
  <c r="Q154" i="2"/>
  <c r="R154" i="2"/>
  <c r="S154" i="2"/>
  <c r="E155" i="2"/>
  <c r="F155" i="2"/>
  <c r="G155" i="2"/>
  <c r="H155" i="2"/>
  <c r="I155" i="2"/>
  <c r="J155" i="2"/>
  <c r="K155" i="2"/>
  <c r="L155" i="2"/>
  <c r="N155" i="2"/>
  <c r="P155" i="2" s="1"/>
  <c r="O155" i="2"/>
  <c r="Q155" i="2"/>
  <c r="R155" i="2"/>
  <c r="S155" i="2"/>
  <c r="E156" i="2"/>
  <c r="P156" i="2" s="1"/>
  <c r="F156" i="2"/>
  <c r="G156" i="2"/>
  <c r="H156" i="2"/>
  <c r="I156" i="2"/>
  <c r="J156" i="2"/>
  <c r="K156" i="2"/>
  <c r="M156" i="2" s="1"/>
  <c r="L156" i="2"/>
  <c r="N156" i="2"/>
  <c r="O156" i="2"/>
  <c r="Q156" i="2"/>
  <c r="R156" i="2"/>
  <c r="S156" i="2"/>
  <c r="E157" i="2"/>
  <c r="F157" i="2"/>
  <c r="G157" i="2"/>
  <c r="H157" i="2"/>
  <c r="I157" i="2"/>
  <c r="J157" i="2"/>
  <c r="K157" i="2"/>
  <c r="L157" i="2"/>
  <c r="N157" i="2"/>
  <c r="O157" i="2"/>
  <c r="Q157" i="2"/>
  <c r="R157" i="2"/>
  <c r="S157" i="2"/>
  <c r="E158" i="2"/>
  <c r="F158" i="2"/>
  <c r="G158" i="2"/>
  <c r="H158" i="2"/>
  <c r="I158" i="2"/>
  <c r="J158" i="2"/>
  <c r="K158" i="2"/>
  <c r="L158" i="2"/>
  <c r="M158" i="2"/>
  <c r="N158" i="2"/>
  <c r="O158" i="2"/>
  <c r="Q158" i="2"/>
  <c r="R158" i="2"/>
  <c r="S158" i="2"/>
  <c r="E159" i="2"/>
  <c r="F159" i="2"/>
  <c r="G159" i="2"/>
  <c r="H159" i="2"/>
  <c r="M159" i="2" s="1"/>
  <c r="I159" i="2"/>
  <c r="J159" i="2"/>
  <c r="K159" i="2"/>
  <c r="L159" i="2"/>
  <c r="N159" i="2"/>
  <c r="P159" i="2" s="1"/>
  <c r="O159" i="2"/>
  <c r="Q159" i="2"/>
  <c r="R159" i="2"/>
  <c r="S159" i="2"/>
  <c r="E160" i="2"/>
  <c r="F160" i="2"/>
  <c r="G160" i="2"/>
  <c r="H160" i="2"/>
  <c r="I160" i="2"/>
  <c r="J160" i="2"/>
  <c r="K160" i="2"/>
  <c r="M160" i="2" s="1"/>
  <c r="L160" i="2"/>
  <c r="N160" i="2"/>
  <c r="O160" i="2"/>
  <c r="Q160" i="2"/>
  <c r="R160" i="2"/>
  <c r="S160" i="2"/>
  <c r="E161" i="2"/>
  <c r="F161" i="2"/>
  <c r="G161" i="2"/>
  <c r="H161" i="2"/>
  <c r="I161" i="2"/>
  <c r="J161" i="2"/>
  <c r="K161" i="2"/>
  <c r="L161" i="2"/>
  <c r="N161" i="2"/>
  <c r="O161" i="2"/>
  <c r="Q161" i="2"/>
  <c r="R161" i="2"/>
  <c r="S161" i="2"/>
  <c r="E162" i="2"/>
  <c r="F162" i="2"/>
  <c r="G162" i="2"/>
  <c r="H162" i="2"/>
  <c r="I162" i="2"/>
  <c r="J162" i="2"/>
  <c r="K162" i="2"/>
  <c r="L162" i="2"/>
  <c r="M162" i="2"/>
  <c r="N162" i="2"/>
  <c r="O162" i="2"/>
  <c r="Q162" i="2"/>
  <c r="R162" i="2"/>
  <c r="S162" i="2"/>
  <c r="E163" i="2"/>
  <c r="F163" i="2"/>
  <c r="G163" i="2"/>
  <c r="H163" i="2"/>
  <c r="I163" i="2"/>
  <c r="J163" i="2"/>
  <c r="K163" i="2"/>
  <c r="L163" i="2"/>
  <c r="N163" i="2"/>
  <c r="P163" i="2" s="1"/>
  <c r="O163" i="2"/>
  <c r="Q163" i="2"/>
  <c r="R163" i="2"/>
  <c r="S163" i="2"/>
  <c r="E164" i="2"/>
  <c r="P164" i="2" s="1"/>
  <c r="F164" i="2"/>
  <c r="G164" i="2"/>
  <c r="H164" i="2"/>
  <c r="I164" i="2"/>
  <c r="J164" i="2"/>
  <c r="K164" i="2"/>
  <c r="M164" i="2" s="1"/>
  <c r="L164" i="2"/>
  <c r="N164" i="2"/>
  <c r="O164" i="2"/>
  <c r="Q164" i="2"/>
  <c r="R164" i="2"/>
  <c r="S164" i="2"/>
  <c r="E165" i="2"/>
  <c r="F165" i="2"/>
  <c r="G165" i="2"/>
  <c r="H165" i="2"/>
  <c r="I165" i="2"/>
  <c r="J165" i="2"/>
  <c r="K165" i="2"/>
  <c r="L165" i="2"/>
  <c r="N165" i="2"/>
  <c r="O165" i="2"/>
  <c r="Q165" i="2"/>
  <c r="R165" i="2"/>
  <c r="S165" i="2"/>
  <c r="E166" i="2"/>
  <c r="F166" i="2"/>
  <c r="G166" i="2"/>
  <c r="H166" i="2"/>
  <c r="I166" i="2"/>
  <c r="J166" i="2"/>
  <c r="K166" i="2"/>
  <c r="L166" i="2"/>
  <c r="M166" i="2"/>
  <c r="N166" i="2"/>
  <c r="O166" i="2"/>
  <c r="Q166" i="2"/>
  <c r="R166" i="2"/>
  <c r="S166" i="2"/>
  <c r="E167" i="2"/>
  <c r="F167" i="2"/>
  <c r="G167" i="2"/>
  <c r="H167" i="2"/>
  <c r="M167" i="2" s="1"/>
  <c r="I167" i="2"/>
  <c r="J167" i="2"/>
  <c r="K167" i="2"/>
  <c r="L167" i="2"/>
  <c r="N167" i="2"/>
  <c r="P167" i="2" s="1"/>
  <c r="O167" i="2"/>
  <c r="Q167" i="2"/>
  <c r="R167" i="2"/>
  <c r="S167" i="2"/>
  <c r="E168" i="2"/>
  <c r="F168" i="2"/>
  <c r="G168" i="2"/>
  <c r="H168" i="2"/>
  <c r="I168" i="2"/>
  <c r="J168" i="2"/>
  <c r="K168" i="2"/>
  <c r="M168" i="2" s="1"/>
  <c r="L168" i="2"/>
  <c r="N168" i="2"/>
  <c r="O168" i="2"/>
  <c r="Q168" i="2"/>
  <c r="R168" i="2"/>
  <c r="S168" i="2"/>
  <c r="E169" i="2"/>
  <c r="F169" i="2"/>
  <c r="G169" i="2"/>
  <c r="H169" i="2"/>
  <c r="I169" i="2"/>
  <c r="J169" i="2"/>
  <c r="K169" i="2"/>
  <c r="L169" i="2"/>
  <c r="N169" i="2"/>
  <c r="O169" i="2"/>
  <c r="Q169" i="2"/>
  <c r="R169" i="2"/>
  <c r="S169" i="2"/>
  <c r="E170" i="2"/>
  <c r="F170" i="2"/>
  <c r="G170" i="2"/>
  <c r="H170" i="2"/>
  <c r="I170" i="2"/>
  <c r="J170" i="2"/>
  <c r="K170" i="2"/>
  <c r="L170" i="2"/>
  <c r="M170" i="2"/>
  <c r="N170" i="2"/>
  <c r="O170" i="2"/>
  <c r="Q170" i="2"/>
  <c r="R170" i="2"/>
  <c r="S170" i="2"/>
  <c r="E171" i="2"/>
  <c r="F171" i="2"/>
  <c r="G171" i="2"/>
  <c r="H171" i="2"/>
  <c r="I171" i="2"/>
  <c r="J171" i="2"/>
  <c r="K171" i="2"/>
  <c r="L171" i="2"/>
  <c r="N171" i="2"/>
  <c r="P171" i="2" s="1"/>
  <c r="O171" i="2"/>
  <c r="Q171" i="2"/>
  <c r="R171" i="2"/>
  <c r="S171" i="2"/>
  <c r="E172" i="2"/>
  <c r="F172" i="2"/>
  <c r="G172" i="2"/>
  <c r="H172" i="2"/>
  <c r="I172" i="2"/>
  <c r="J172" i="2"/>
  <c r="K172" i="2"/>
  <c r="L172" i="2"/>
  <c r="M172" i="2"/>
  <c r="N172" i="2"/>
  <c r="O172" i="2"/>
  <c r="Q172" i="2"/>
  <c r="R172" i="2"/>
  <c r="S172" i="2"/>
  <c r="E173" i="2"/>
  <c r="F173" i="2"/>
  <c r="G173" i="2"/>
  <c r="H173" i="2"/>
  <c r="I173" i="2"/>
  <c r="J173" i="2"/>
  <c r="K173" i="2"/>
  <c r="L173" i="2"/>
  <c r="N173" i="2"/>
  <c r="O173" i="2"/>
  <c r="P173" i="2"/>
  <c r="Q173" i="2"/>
  <c r="R173" i="2"/>
  <c r="S173" i="2"/>
  <c r="E174" i="2"/>
  <c r="F174" i="2"/>
  <c r="G174" i="2"/>
  <c r="H174" i="2"/>
  <c r="I174" i="2"/>
  <c r="J174" i="2"/>
  <c r="K174" i="2"/>
  <c r="L174" i="2"/>
  <c r="M174" i="2"/>
  <c r="N174" i="2"/>
  <c r="O174" i="2"/>
  <c r="Q174" i="2"/>
  <c r="R174" i="2"/>
  <c r="S174" i="2"/>
  <c r="E175" i="2"/>
  <c r="F175" i="2"/>
  <c r="G175" i="2"/>
  <c r="H175" i="2"/>
  <c r="I175" i="2"/>
  <c r="J175" i="2"/>
  <c r="K175" i="2"/>
  <c r="L175" i="2"/>
  <c r="N175" i="2"/>
  <c r="O175" i="2"/>
  <c r="P175" i="2"/>
  <c r="Q175" i="2"/>
  <c r="R175" i="2"/>
  <c r="S175" i="2"/>
  <c r="E176" i="2"/>
  <c r="F176" i="2"/>
  <c r="G176" i="2"/>
  <c r="H176" i="2"/>
  <c r="I176" i="2"/>
  <c r="J176" i="2"/>
  <c r="K176" i="2"/>
  <c r="L176" i="2"/>
  <c r="M176" i="2"/>
  <c r="N176" i="2"/>
  <c r="O176" i="2"/>
  <c r="Q176" i="2"/>
  <c r="R176" i="2"/>
  <c r="S176" i="2"/>
  <c r="E177" i="2"/>
  <c r="F177" i="2"/>
  <c r="G177" i="2"/>
  <c r="H177" i="2"/>
  <c r="I177" i="2"/>
  <c r="J177" i="2"/>
  <c r="K177" i="2"/>
  <c r="L177" i="2"/>
  <c r="N177" i="2"/>
  <c r="O177" i="2"/>
  <c r="P177" i="2"/>
  <c r="Q177" i="2"/>
  <c r="R177" i="2"/>
  <c r="S177" i="2"/>
  <c r="E178" i="2"/>
  <c r="F178" i="2"/>
  <c r="G178" i="2"/>
  <c r="H178" i="2"/>
  <c r="I178" i="2"/>
  <c r="J178" i="2"/>
  <c r="K178" i="2"/>
  <c r="L178" i="2"/>
  <c r="M178" i="2"/>
  <c r="N178" i="2"/>
  <c r="O178" i="2"/>
  <c r="Q178" i="2"/>
  <c r="R178" i="2"/>
  <c r="S178" i="2"/>
  <c r="E179" i="2"/>
  <c r="F179" i="2"/>
  <c r="G179" i="2"/>
  <c r="H179" i="2"/>
  <c r="I179" i="2"/>
  <c r="J179" i="2"/>
  <c r="K179" i="2"/>
  <c r="L179" i="2"/>
  <c r="N179" i="2"/>
  <c r="O179" i="2"/>
  <c r="P179" i="2"/>
  <c r="Q179" i="2"/>
  <c r="R179" i="2"/>
  <c r="S179" i="2"/>
  <c r="E180" i="2"/>
  <c r="F180" i="2"/>
  <c r="G180" i="2"/>
  <c r="H180" i="2"/>
  <c r="I180" i="2"/>
  <c r="J180" i="2"/>
  <c r="K180" i="2"/>
  <c r="L180" i="2"/>
  <c r="M180" i="2"/>
  <c r="N180" i="2"/>
  <c r="O180" i="2"/>
  <c r="Q180" i="2"/>
  <c r="R180" i="2"/>
  <c r="S180" i="2"/>
  <c r="E181" i="2"/>
  <c r="F181" i="2"/>
  <c r="G181" i="2"/>
  <c r="H181" i="2"/>
  <c r="I181" i="2"/>
  <c r="J181" i="2"/>
  <c r="K181" i="2"/>
  <c r="L181" i="2"/>
  <c r="N181" i="2"/>
  <c r="O181" i="2"/>
  <c r="P181" i="2"/>
  <c r="Q181" i="2"/>
  <c r="R181" i="2"/>
  <c r="S181" i="2"/>
  <c r="E182" i="2"/>
  <c r="P182" i="2" s="1"/>
  <c r="F182" i="2"/>
  <c r="G182" i="2"/>
  <c r="H182" i="2"/>
  <c r="I182" i="2"/>
  <c r="J182" i="2"/>
  <c r="K182" i="2"/>
  <c r="L182" i="2"/>
  <c r="M182" i="2"/>
  <c r="N182" i="2"/>
  <c r="O182" i="2"/>
  <c r="Q182" i="2"/>
  <c r="R182" i="2"/>
  <c r="S182" i="2"/>
  <c r="E183" i="2"/>
  <c r="F183" i="2"/>
  <c r="G183" i="2"/>
  <c r="H183" i="2"/>
  <c r="I183" i="2"/>
  <c r="J183" i="2"/>
  <c r="M183" i="2" s="1"/>
  <c r="K183" i="2"/>
  <c r="L183" i="2"/>
  <c r="N183" i="2"/>
  <c r="O183" i="2"/>
  <c r="Q183" i="2"/>
  <c r="R183" i="2"/>
  <c r="S183" i="2"/>
  <c r="E184" i="2"/>
  <c r="F184" i="2"/>
  <c r="G184" i="2"/>
  <c r="H184" i="2"/>
  <c r="I184" i="2"/>
  <c r="J184" i="2"/>
  <c r="M184" i="2" s="1"/>
  <c r="K184" i="2"/>
  <c r="L184" i="2"/>
  <c r="N184" i="2"/>
  <c r="O184" i="2"/>
  <c r="Q184" i="2"/>
  <c r="R184" i="2"/>
  <c r="S184" i="2"/>
  <c r="E185" i="2"/>
  <c r="F185" i="2"/>
  <c r="G185" i="2"/>
  <c r="H185" i="2"/>
  <c r="I185" i="2"/>
  <c r="J185" i="2"/>
  <c r="K185" i="2"/>
  <c r="L185" i="2"/>
  <c r="N185" i="2"/>
  <c r="O185" i="2"/>
  <c r="Q185" i="2"/>
  <c r="R185" i="2"/>
  <c r="S185" i="2"/>
  <c r="E186" i="2"/>
  <c r="P186" i="2" s="1"/>
  <c r="F186" i="2"/>
  <c r="G186" i="2"/>
  <c r="H186" i="2"/>
  <c r="I186" i="2"/>
  <c r="J186" i="2"/>
  <c r="K186" i="2"/>
  <c r="L186" i="2"/>
  <c r="M186" i="2"/>
  <c r="N186" i="2"/>
  <c r="O186" i="2"/>
  <c r="Q186" i="2"/>
  <c r="R186" i="2"/>
  <c r="S186" i="2"/>
  <c r="E187" i="2"/>
  <c r="F187" i="2"/>
  <c r="G187" i="2"/>
  <c r="H187" i="2"/>
  <c r="I187" i="2"/>
  <c r="J187" i="2"/>
  <c r="M187" i="2" s="1"/>
  <c r="K187" i="2"/>
  <c r="L187" i="2"/>
  <c r="N187" i="2"/>
  <c r="O187" i="2"/>
  <c r="Q187" i="2"/>
  <c r="R187" i="2"/>
  <c r="S187" i="2"/>
  <c r="E188" i="2"/>
  <c r="F188" i="2"/>
  <c r="G188" i="2"/>
  <c r="H188" i="2"/>
  <c r="I188" i="2"/>
  <c r="J188" i="2"/>
  <c r="M188" i="2" s="1"/>
  <c r="K188" i="2"/>
  <c r="L188" i="2"/>
  <c r="N188" i="2"/>
  <c r="O188" i="2"/>
  <c r="Q188" i="2"/>
  <c r="R188" i="2"/>
  <c r="S188" i="2"/>
  <c r="E189" i="2"/>
  <c r="F189" i="2"/>
  <c r="G189" i="2"/>
  <c r="H189" i="2"/>
  <c r="I189" i="2"/>
  <c r="J189" i="2"/>
  <c r="K189" i="2"/>
  <c r="L189" i="2"/>
  <c r="N189" i="2"/>
  <c r="O189" i="2"/>
  <c r="Q189" i="2"/>
  <c r="R189" i="2"/>
  <c r="S189" i="2"/>
  <c r="E190" i="2"/>
  <c r="P190" i="2" s="1"/>
  <c r="F190" i="2"/>
  <c r="G190" i="2"/>
  <c r="H190" i="2"/>
  <c r="I190" i="2"/>
  <c r="J190" i="2"/>
  <c r="K190" i="2"/>
  <c r="L190" i="2"/>
  <c r="M190" i="2"/>
  <c r="N190" i="2"/>
  <c r="O190" i="2"/>
  <c r="Q190" i="2"/>
  <c r="R190" i="2"/>
  <c r="S190" i="2"/>
  <c r="E191" i="2"/>
  <c r="F191" i="2"/>
  <c r="G191" i="2"/>
  <c r="H191" i="2"/>
  <c r="I191" i="2"/>
  <c r="J191" i="2"/>
  <c r="M191" i="2" s="1"/>
  <c r="K191" i="2"/>
  <c r="L191" i="2"/>
  <c r="N191" i="2"/>
  <c r="O191" i="2"/>
  <c r="Q191" i="2"/>
  <c r="R191" i="2"/>
  <c r="S191" i="2"/>
  <c r="E192" i="2"/>
  <c r="F192" i="2"/>
  <c r="G192" i="2"/>
  <c r="H192" i="2"/>
  <c r="I192" i="2"/>
  <c r="J192" i="2"/>
  <c r="M192" i="2" s="1"/>
  <c r="K192" i="2"/>
  <c r="L192" i="2"/>
  <c r="N192" i="2"/>
  <c r="O192" i="2"/>
  <c r="Q192" i="2"/>
  <c r="R192" i="2"/>
  <c r="S192" i="2"/>
  <c r="E193" i="2"/>
  <c r="F193" i="2"/>
  <c r="G193" i="2"/>
  <c r="H193" i="2"/>
  <c r="I193" i="2"/>
  <c r="J193" i="2"/>
  <c r="K193" i="2"/>
  <c r="L193" i="2"/>
  <c r="N193" i="2"/>
  <c r="O193" i="2"/>
  <c r="Q193" i="2"/>
  <c r="R193" i="2"/>
  <c r="S193" i="2"/>
  <c r="E194" i="2"/>
  <c r="P194" i="2" s="1"/>
  <c r="F194" i="2"/>
  <c r="G194" i="2"/>
  <c r="H194" i="2"/>
  <c r="I194" i="2"/>
  <c r="J194" i="2"/>
  <c r="K194" i="2"/>
  <c r="L194" i="2"/>
  <c r="M194" i="2"/>
  <c r="N194" i="2"/>
  <c r="O194" i="2"/>
  <c r="Q194" i="2"/>
  <c r="R194" i="2"/>
  <c r="S194" i="2"/>
  <c r="E195" i="2"/>
  <c r="F195" i="2"/>
  <c r="G195" i="2"/>
  <c r="H195" i="2"/>
  <c r="I195" i="2"/>
  <c r="J195" i="2"/>
  <c r="M195" i="2" s="1"/>
  <c r="K195" i="2"/>
  <c r="L195" i="2"/>
  <c r="N195" i="2"/>
  <c r="O195" i="2"/>
  <c r="Q195" i="2"/>
  <c r="R195" i="2"/>
  <c r="S195" i="2"/>
  <c r="E196" i="2"/>
  <c r="F196" i="2"/>
  <c r="G196" i="2"/>
  <c r="H196" i="2"/>
  <c r="I196" i="2"/>
  <c r="J196" i="2"/>
  <c r="M196" i="2" s="1"/>
  <c r="K196" i="2"/>
  <c r="L196" i="2"/>
  <c r="N196" i="2"/>
  <c r="O196" i="2"/>
  <c r="Q196" i="2"/>
  <c r="R196" i="2"/>
  <c r="S196" i="2"/>
  <c r="E197" i="2"/>
  <c r="F197" i="2"/>
  <c r="G197" i="2"/>
  <c r="H197" i="2"/>
  <c r="I197" i="2"/>
  <c r="J197" i="2"/>
  <c r="K197" i="2"/>
  <c r="L197" i="2"/>
  <c r="N197" i="2"/>
  <c r="O197" i="2"/>
  <c r="Q197" i="2"/>
  <c r="R197" i="2"/>
  <c r="S197" i="2"/>
  <c r="E198" i="2"/>
  <c r="P198" i="2" s="1"/>
  <c r="F198" i="2"/>
  <c r="G198" i="2"/>
  <c r="H198" i="2"/>
  <c r="I198" i="2"/>
  <c r="J198" i="2"/>
  <c r="K198" i="2"/>
  <c r="L198" i="2"/>
  <c r="M198" i="2"/>
  <c r="N198" i="2"/>
  <c r="O198" i="2"/>
  <c r="Q198" i="2"/>
  <c r="R198" i="2"/>
  <c r="S198" i="2"/>
  <c r="E199" i="2"/>
  <c r="F199" i="2"/>
  <c r="G199" i="2"/>
  <c r="H199" i="2"/>
  <c r="I199" i="2"/>
  <c r="J199" i="2"/>
  <c r="M199" i="2" s="1"/>
  <c r="K199" i="2"/>
  <c r="L199" i="2"/>
  <c r="N199" i="2"/>
  <c r="O199" i="2"/>
  <c r="Q199" i="2"/>
  <c r="R199" i="2"/>
  <c r="S199" i="2"/>
  <c r="E200" i="2"/>
  <c r="F200" i="2"/>
  <c r="G200" i="2"/>
  <c r="H200" i="2"/>
  <c r="I200" i="2"/>
  <c r="J200" i="2"/>
  <c r="M200" i="2" s="1"/>
  <c r="K200" i="2"/>
  <c r="L200" i="2"/>
  <c r="N200" i="2"/>
  <c r="O200" i="2"/>
  <c r="Q200" i="2"/>
  <c r="R200" i="2"/>
  <c r="S200" i="2"/>
  <c r="E201" i="2"/>
  <c r="F201" i="2"/>
  <c r="G201" i="2"/>
  <c r="H201" i="2"/>
  <c r="I201" i="2"/>
  <c r="J201" i="2"/>
  <c r="K201" i="2"/>
  <c r="L201" i="2"/>
  <c r="N201" i="2"/>
  <c r="O201" i="2"/>
  <c r="Q201" i="2"/>
  <c r="R201" i="2"/>
  <c r="S201" i="2"/>
  <c r="E202" i="2"/>
  <c r="P202" i="2" s="1"/>
  <c r="F202" i="2"/>
  <c r="G202" i="2"/>
  <c r="H202" i="2"/>
  <c r="I202" i="2"/>
  <c r="J202" i="2"/>
  <c r="K202" i="2"/>
  <c r="L202" i="2"/>
  <c r="M202" i="2"/>
  <c r="N202" i="2"/>
  <c r="O202" i="2"/>
  <c r="Q202" i="2"/>
  <c r="R202" i="2"/>
  <c r="S202" i="2"/>
  <c r="E203" i="2"/>
  <c r="F203" i="2"/>
  <c r="G203" i="2"/>
  <c r="H203" i="2"/>
  <c r="I203" i="2"/>
  <c r="J203" i="2"/>
  <c r="M203" i="2" s="1"/>
  <c r="K203" i="2"/>
  <c r="L203" i="2"/>
  <c r="N203" i="2"/>
  <c r="O203" i="2"/>
  <c r="Q203" i="2"/>
  <c r="R203" i="2"/>
  <c r="S203" i="2"/>
  <c r="E204" i="2"/>
  <c r="F204" i="2"/>
  <c r="G204" i="2"/>
  <c r="H204" i="2"/>
  <c r="I204" i="2"/>
  <c r="J204" i="2"/>
  <c r="M204" i="2" s="1"/>
  <c r="K204" i="2"/>
  <c r="L204" i="2"/>
  <c r="N204" i="2"/>
  <c r="O204" i="2"/>
  <c r="Q204" i="2"/>
  <c r="R204" i="2"/>
  <c r="S204" i="2"/>
  <c r="E205" i="2"/>
  <c r="F205" i="2"/>
  <c r="G205" i="2"/>
  <c r="H205" i="2"/>
  <c r="I205" i="2"/>
  <c r="J205" i="2"/>
  <c r="K205" i="2"/>
  <c r="L205" i="2"/>
  <c r="N205" i="2"/>
  <c r="O205" i="2"/>
  <c r="Q205" i="2"/>
  <c r="R205" i="2"/>
  <c r="S205" i="2"/>
  <c r="E206" i="2"/>
  <c r="P206" i="2" s="1"/>
  <c r="F206" i="2"/>
  <c r="G206" i="2"/>
  <c r="H206" i="2"/>
  <c r="I206" i="2"/>
  <c r="J206" i="2"/>
  <c r="K206" i="2"/>
  <c r="L206" i="2"/>
  <c r="M206" i="2"/>
  <c r="N206" i="2"/>
  <c r="O206" i="2"/>
  <c r="Q206" i="2"/>
  <c r="R206" i="2"/>
  <c r="S206" i="2"/>
  <c r="E207" i="2"/>
  <c r="F207" i="2"/>
  <c r="G207" i="2"/>
  <c r="H207" i="2"/>
  <c r="I207" i="2"/>
  <c r="J207" i="2"/>
  <c r="M207" i="2" s="1"/>
  <c r="K207" i="2"/>
  <c r="L207" i="2"/>
  <c r="N207" i="2"/>
  <c r="O207" i="2"/>
  <c r="Q207" i="2"/>
  <c r="R207" i="2"/>
  <c r="S207" i="2"/>
  <c r="E208" i="2"/>
  <c r="F208" i="2"/>
  <c r="G208" i="2"/>
  <c r="H208" i="2"/>
  <c r="I208" i="2"/>
  <c r="J208" i="2"/>
  <c r="M208" i="2" s="1"/>
  <c r="K208" i="2"/>
  <c r="L208" i="2"/>
  <c r="N208" i="2"/>
  <c r="O208" i="2"/>
  <c r="Q208" i="2"/>
  <c r="R208" i="2"/>
  <c r="S208" i="2"/>
  <c r="E209" i="2"/>
  <c r="F209" i="2"/>
  <c r="G209" i="2"/>
  <c r="H209" i="2"/>
  <c r="I209" i="2"/>
  <c r="J209" i="2"/>
  <c r="K209" i="2"/>
  <c r="L209" i="2"/>
  <c r="N209" i="2"/>
  <c r="O209" i="2"/>
  <c r="Q209" i="2"/>
  <c r="R209" i="2"/>
  <c r="S209" i="2"/>
  <c r="E210" i="2"/>
  <c r="P210" i="2" s="1"/>
  <c r="F210" i="2"/>
  <c r="G210" i="2"/>
  <c r="H210" i="2"/>
  <c r="I210" i="2"/>
  <c r="J210" i="2"/>
  <c r="K210" i="2"/>
  <c r="L210" i="2"/>
  <c r="M210" i="2"/>
  <c r="N210" i="2"/>
  <c r="O210" i="2"/>
  <c r="Q210" i="2"/>
  <c r="R210" i="2"/>
  <c r="S210" i="2"/>
  <c r="E211" i="2"/>
  <c r="F211" i="2"/>
  <c r="G211" i="2"/>
  <c r="H211" i="2"/>
  <c r="I211" i="2"/>
  <c r="J211" i="2"/>
  <c r="M211" i="2" s="1"/>
  <c r="K211" i="2"/>
  <c r="L211" i="2"/>
  <c r="N211" i="2"/>
  <c r="O211" i="2"/>
  <c r="Q211" i="2"/>
  <c r="R211" i="2"/>
  <c r="S211" i="2"/>
  <c r="E212" i="2"/>
  <c r="F212" i="2"/>
  <c r="G212" i="2"/>
  <c r="H212" i="2"/>
  <c r="I212" i="2"/>
  <c r="J212" i="2"/>
  <c r="M212" i="2" s="1"/>
  <c r="K212" i="2"/>
  <c r="L212" i="2"/>
  <c r="N212" i="2"/>
  <c r="O212" i="2"/>
  <c r="Q212" i="2"/>
  <c r="R212" i="2"/>
  <c r="S212" i="2"/>
  <c r="E213" i="2"/>
  <c r="F213" i="2"/>
  <c r="G213" i="2"/>
  <c r="H213" i="2"/>
  <c r="I213" i="2"/>
  <c r="J213" i="2"/>
  <c r="K213" i="2"/>
  <c r="L213" i="2"/>
  <c r="N213" i="2"/>
  <c r="O213" i="2"/>
  <c r="Q213" i="2"/>
  <c r="R213" i="2"/>
  <c r="S213" i="2"/>
  <c r="E214" i="2"/>
  <c r="P214" i="2" s="1"/>
  <c r="F214" i="2"/>
  <c r="G214" i="2"/>
  <c r="H214" i="2"/>
  <c r="I214" i="2"/>
  <c r="J214" i="2"/>
  <c r="K214" i="2"/>
  <c r="L214" i="2"/>
  <c r="M214" i="2"/>
  <c r="N214" i="2"/>
  <c r="O214" i="2"/>
  <c r="Q214" i="2"/>
  <c r="R214" i="2"/>
  <c r="S214" i="2"/>
  <c r="E215" i="2"/>
  <c r="F215" i="2"/>
  <c r="G215" i="2"/>
  <c r="H215" i="2"/>
  <c r="I215" i="2"/>
  <c r="J215" i="2"/>
  <c r="M215" i="2" s="1"/>
  <c r="K215" i="2"/>
  <c r="L215" i="2"/>
  <c r="N215" i="2"/>
  <c r="O215" i="2"/>
  <c r="Q215" i="2"/>
  <c r="R215" i="2"/>
  <c r="S215" i="2"/>
  <c r="E216" i="2"/>
  <c r="F216" i="2"/>
  <c r="G216" i="2"/>
  <c r="H216" i="2"/>
  <c r="I216" i="2"/>
  <c r="J216" i="2"/>
  <c r="M216" i="2" s="1"/>
  <c r="K216" i="2"/>
  <c r="L216" i="2"/>
  <c r="N216" i="2"/>
  <c r="O216" i="2"/>
  <c r="Q216" i="2"/>
  <c r="R216" i="2"/>
  <c r="S216" i="2"/>
  <c r="E217" i="2"/>
  <c r="F217" i="2"/>
  <c r="G217" i="2"/>
  <c r="H217" i="2"/>
  <c r="I217" i="2"/>
  <c r="J217" i="2"/>
  <c r="K217" i="2"/>
  <c r="L217" i="2"/>
  <c r="N217" i="2"/>
  <c r="O217" i="2"/>
  <c r="Q217" i="2"/>
  <c r="R217" i="2"/>
  <c r="S217" i="2"/>
  <c r="E218" i="2"/>
  <c r="P218" i="2" s="1"/>
  <c r="F218" i="2"/>
  <c r="G218" i="2"/>
  <c r="H218" i="2"/>
  <c r="I218" i="2"/>
  <c r="J218" i="2"/>
  <c r="K218" i="2"/>
  <c r="L218" i="2"/>
  <c r="M218" i="2"/>
  <c r="N218" i="2"/>
  <c r="O218" i="2"/>
  <c r="Q218" i="2"/>
  <c r="R218" i="2"/>
  <c r="S218" i="2"/>
  <c r="E219" i="2"/>
  <c r="F219" i="2"/>
  <c r="G219" i="2"/>
  <c r="H219" i="2"/>
  <c r="I219" i="2"/>
  <c r="J219" i="2"/>
  <c r="M219" i="2" s="1"/>
  <c r="K219" i="2"/>
  <c r="L219" i="2"/>
  <c r="N219" i="2"/>
  <c r="O219" i="2"/>
  <c r="Q219" i="2"/>
  <c r="R219" i="2"/>
  <c r="S219" i="2"/>
  <c r="E220" i="2"/>
  <c r="F220" i="2"/>
  <c r="G220" i="2"/>
  <c r="H220" i="2"/>
  <c r="I220" i="2"/>
  <c r="J220" i="2"/>
  <c r="M220" i="2" s="1"/>
  <c r="K220" i="2"/>
  <c r="L220" i="2"/>
  <c r="N220" i="2"/>
  <c r="O220" i="2"/>
  <c r="Q220" i="2"/>
  <c r="R220" i="2"/>
  <c r="S220" i="2"/>
  <c r="E221" i="2"/>
  <c r="F221" i="2"/>
  <c r="G221" i="2"/>
  <c r="H221" i="2"/>
  <c r="I221" i="2"/>
  <c r="J221" i="2"/>
  <c r="K221" i="2"/>
  <c r="L221" i="2"/>
  <c r="N221" i="2"/>
  <c r="O221" i="2"/>
  <c r="Q221" i="2"/>
  <c r="R221" i="2"/>
  <c r="S221" i="2"/>
  <c r="E222" i="2"/>
  <c r="P222" i="2" s="1"/>
  <c r="F222" i="2"/>
  <c r="G222" i="2"/>
  <c r="H222" i="2"/>
  <c r="I222" i="2"/>
  <c r="J222" i="2"/>
  <c r="K222" i="2"/>
  <c r="L222" i="2"/>
  <c r="M222" i="2"/>
  <c r="N222" i="2"/>
  <c r="O222" i="2"/>
  <c r="Q222" i="2"/>
  <c r="R222" i="2"/>
  <c r="S222" i="2"/>
  <c r="E223" i="2"/>
  <c r="F223" i="2"/>
  <c r="G223" i="2"/>
  <c r="H223" i="2"/>
  <c r="I223" i="2"/>
  <c r="J223" i="2"/>
  <c r="M223" i="2" s="1"/>
  <c r="K223" i="2"/>
  <c r="L223" i="2"/>
  <c r="N223" i="2"/>
  <c r="O223" i="2"/>
  <c r="Q223" i="2"/>
  <c r="R223" i="2"/>
  <c r="S223" i="2"/>
  <c r="E224" i="2"/>
  <c r="F224" i="2"/>
  <c r="G224" i="2"/>
  <c r="H224" i="2"/>
  <c r="I224" i="2"/>
  <c r="J224" i="2"/>
  <c r="M224" i="2" s="1"/>
  <c r="K224" i="2"/>
  <c r="L224" i="2"/>
  <c r="N224" i="2"/>
  <c r="O224" i="2"/>
  <c r="Q224" i="2"/>
  <c r="R224" i="2"/>
  <c r="S224" i="2"/>
  <c r="E225" i="2"/>
  <c r="F225" i="2"/>
  <c r="G225" i="2"/>
  <c r="H225" i="2"/>
  <c r="I225" i="2"/>
  <c r="J225" i="2"/>
  <c r="K225" i="2"/>
  <c r="L225" i="2"/>
  <c r="N225" i="2"/>
  <c r="O225" i="2"/>
  <c r="Q225" i="2"/>
  <c r="R225" i="2"/>
  <c r="S225" i="2"/>
  <c r="E226" i="2"/>
  <c r="P226" i="2" s="1"/>
  <c r="F226" i="2"/>
  <c r="G226" i="2"/>
  <c r="H226" i="2"/>
  <c r="I226" i="2"/>
  <c r="J226" i="2"/>
  <c r="K226" i="2"/>
  <c r="L226" i="2"/>
  <c r="M226" i="2"/>
  <c r="N226" i="2"/>
  <c r="O226" i="2"/>
  <c r="Q226" i="2"/>
  <c r="R226" i="2"/>
  <c r="S226" i="2"/>
  <c r="E227" i="2"/>
  <c r="F227" i="2"/>
  <c r="G227" i="2"/>
  <c r="H227" i="2"/>
  <c r="I227" i="2"/>
  <c r="J227" i="2"/>
  <c r="M227" i="2" s="1"/>
  <c r="K227" i="2"/>
  <c r="L227" i="2"/>
  <c r="N227" i="2"/>
  <c r="O227" i="2"/>
  <c r="Q227" i="2"/>
  <c r="R227" i="2"/>
  <c r="S227" i="2"/>
  <c r="E228" i="2"/>
  <c r="F228" i="2"/>
  <c r="G228" i="2"/>
  <c r="H228" i="2"/>
  <c r="I228" i="2"/>
  <c r="J228" i="2"/>
  <c r="M228" i="2" s="1"/>
  <c r="K228" i="2"/>
  <c r="L228" i="2"/>
  <c r="N228" i="2"/>
  <c r="O228" i="2"/>
  <c r="Q228" i="2"/>
  <c r="R228" i="2"/>
  <c r="S228" i="2"/>
  <c r="E229" i="2"/>
  <c r="F229" i="2"/>
  <c r="G229" i="2"/>
  <c r="H229" i="2"/>
  <c r="I229" i="2"/>
  <c r="J229" i="2"/>
  <c r="K229" i="2"/>
  <c r="L229" i="2"/>
  <c r="N229" i="2"/>
  <c r="O229" i="2"/>
  <c r="Q229" i="2"/>
  <c r="R229" i="2"/>
  <c r="S229" i="2"/>
  <c r="E230" i="2"/>
  <c r="P230" i="2" s="1"/>
  <c r="F230" i="2"/>
  <c r="G230" i="2"/>
  <c r="H230" i="2"/>
  <c r="I230" i="2"/>
  <c r="J230" i="2"/>
  <c r="K230" i="2"/>
  <c r="L230" i="2"/>
  <c r="M230" i="2"/>
  <c r="N230" i="2"/>
  <c r="O230" i="2"/>
  <c r="Q230" i="2"/>
  <c r="R230" i="2"/>
  <c r="S230" i="2"/>
  <c r="E231" i="2"/>
  <c r="F231" i="2"/>
  <c r="G231" i="2"/>
  <c r="H231" i="2"/>
  <c r="I231" i="2"/>
  <c r="J231" i="2"/>
  <c r="M231" i="2" s="1"/>
  <c r="K231" i="2"/>
  <c r="L231" i="2"/>
  <c r="N231" i="2"/>
  <c r="O231" i="2"/>
  <c r="Q231" i="2"/>
  <c r="R231" i="2"/>
  <c r="S231" i="2"/>
  <c r="E232" i="2"/>
  <c r="F232" i="2"/>
  <c r="G232" i="2"/>
  <c r="H232" i="2"/>
  <c r="I232" i="2"/>
  <c r="J232" i="2"/>
  <c r="K232" i="2"/>
  <c r="L232" i="2"/>
  <c r="M232" i="2"/>
  <c r="N232" i="2"/>
  <c r="O232" i="2"/>
  <c r="Q232" i="2"/>
  <c r="R232" i="2"/>
  <c r="S232" i="2"/>
  <c r="E233" i="2"/>
  <c r="F233" i="2"/>
  <c r="G233" i="2"/>
  <c r="H233" i="2"/>
  <c r="I233" i="2"/>
  <c r="J233" i="2"/>
  <c r="K233" i="2"/>
  <c r="L233" i="2"/>
  <c r="N233" i="2"/>
  <c r="O233" i="2"/>
  <c r="P233" i="2"/>
  <c r="Q233" i="2"/>
  <c r="R233" i="2"/>
  <c r="S233" i="2"/>
  <c r="E234" i="2"/>
  <c r="F234" i="2"/>
  <c r="G234" i="2"/>
  <c r="H234" i="2"/>
  <c r="I234" i="2"/>
  <c r="J234" i="2"/>
  <c r="K234" i="2"/>
  <c r="L234" i="2"/>
  <c r="M234" i="2"/>
  <c r="N234" i="2"/>
  <c r="O234" i="2"/>
  <c r="Q234" i="2"/>
  <c r="R234" i="2"/>
  <c r="S234" i="2"/>
  <c r="E235" i="2"/>
  <c r="F235" i="2"/>
  <c r="G235" i="2"/>
  <c r="H235" i="2"/>
  <c r="I235" i="2"/>
  <c r="J235" i="2"/>
  <c r="M235" i="2" s="1"/>
  <c r="K235" i="2"/>
  <c r="L235" i="2"/>
  <c r="N235" i="2"/>
  <c r="O235" i="2"/>
  <c r="Q235" i="2"/>
  <c r="R235" i="2"/>
  <c r="S235" i="2"/>
  <c r="E236" i="2"/>
  <c r="F236" i="2"/>
  <c r="G236" i="2"/>
  <c r="H236" i="2"/>
  <c r="I236" i="2"/>
  <c r="J236" i="2"/>
  <c r="M236" i="2" s="1"/>
  <c r="K236" i="2"/>
  <c r="L236" i="2"/>
  <c r="N236" i="2"/>
  <c r="O236" i="2"/>
  <c r="Q236" i="2"/>
  <c r="R236" i="2"/>
  <c r="S236" i="2"/>
  <c r="E237" i="2"/>
  <c r="F237" i="2"/>
  <c r="G237" i="2"/>
  <c r="H237" i="2"/>
  <c r="I237" i="2"/>
  <c r="J237" i="2"/>
  <c r="K237" i="2"/>
  <c r="L237" i="2"/>
  <c r="N237" i="2"/>
  <c r="O237" i="2"/>
  <c r="Q237" i="2"/>
  <c r="R237" i="2"/>
  <c r="S237" i="2"/>
  <c r="E238" i="2"/>
  <c r="F238" i="2"/>
  <c r="G238" i="2"/>
  <c r="H238" i="2"/>
  <c r="I238" i="2"/>
  <c r="J238" i="2"/>
  <c r="K238" i="2"/>
  <c r="L238" i="2"/>
  <c r="N238" i="2"/>
  <c r="O238" i="2"/>
  <c r="Q238" i="2"/>
  <c r="R238" i="2"/>
  <c r="S238" i="2"/>
  <c r="E239" i="2"/>
  <c r="P239" i="2" s="1"/>
  <c r="F239" i="2"/>
  <c r="G239" i="2"/>
  <c r="H239" i="2"/>
  <c r="I239" i="2"/>
  <c r="J239" i="2"/>
  <c r="K239" i="2"/>
  <c r="L239" i="2"/>
  <c r="M239" i="2"/>
  <c r="N239" i="2"/>
  <c r="O239" i="2"/>
  <c r="Q239" i="2"/>
  <c r="R239" i="2"/>
  <c r="S239" i="2"/>
  <c r="E240" i="2"/>
  <c r="F240" i="2"/>
  <c r="G240" i="2"/>
  <c r="H240" i="2"/>
  <c r="I240" i="2"/>
  <c r="J240" i="2"/>
  <c r="M240" i="2" s="1"/>
  <c r="K240" i="2"/>
  <c r="L240" i="2"/>
  <c r="N240" i="2"/>
  <c r="O240" i="2"/>
  <c r="Q240" i="2"/>
  <c r="R240" i="2"/>
  <c r="S240" i="2"/>
  <c r="E241" i="2"/>
  <c r="F241" i="2"/>
  <c r="G241" i="2"/>
  <c r="H241" i="2"/>
  <c r="I241" i="2"/>
  <c r="J241" i="2"/>
  <c r="K241" i="2"/>
  <c r="L241" i="2"/>
  <c r="N241" i="2"/>
  <c r="O241" i="2"/>
  <c r="Q241" i="2"/>
  <c r="R241" i="2"/>
  <c r="S241" i="2"/>
  <c r="E242" i="2"/>
  <c r="F242" i="2"/>
  <c r="G242" i="2"/>
  <c r="H242" i="2"/>
  <c r="I242" i="2"/>
  <c r="J242" i="2"/>
  <c r="K242" i="2"/>
  <c r="L242" i="2"/>
  <c r="M242" i="2"/>
  <c r="N242" i="2"/>
  <c r="O242" i="2"/>
  <c r="Q242" i="2"/>
  <c r="R242" i="2"/>
  <c r="S242" i="2"/>
  <c r="E243" i="2"/>
  <c r="F243" i="2"/>
  <c r="G243" i="2"/>
  <c r="H243" i="2"/>
  <c r="I243" i="2"/>
  <c r="J243" i="2"/>
  <c r="M243" i="2" s="1"/>
  <c r="K243" i="2"/>
  <c r="L243" i="2"/>
  <c r="N243" i="2"/>
  <c r="O243" i="2"/>
  <c r="Q243" i="2"/>
  <c r="R243" i="2"/>
  <c r="S243" i="2"/>
  <c r="E244" i="2"/>
  <c r="F244" i="2"/>
  <c r="G244" i="2"/>
  <c r="H244" i="2"/>
  <c r="I244" i="2"/>
  <c r="J244" i="2"/>
  <c r="K244" i="2"/>
  <c r="L244" i="2"/>
  <c r="N244" i="2"/>
  <c r="O244" i="2"/>
  <c r="Q244" i="2"/>
  <c r="R244" i="2"/>
  <c r="S244" i="2"/>
  <c r="E245" i="2"/>
  <c r="F245" i="2"/>
  <c r="G245" i="2"/>
  <c r="H245" i="2"/>
  <c r="I245" i="2"/>
  <c r="J245" i="2"/>
  <c r="K245" i="2"/>
  <c r="L245" i="2"/>
  <c r="N245" i="2"/>
  <c r="O245" i="2"/>
  <c r="Q245" i="2"/>
  <c r="R245" i="2"/>
  <c r="S245" i="2"/>
  <c r="E246" i="2"/>
  <c r="F246" i="2"/>
  <c r="G246" i="2"/>
  <c r="H246" i="2"/>
  <c r="I246" i="2"/>
  <c r="J246" i="2"/>
  <c r="K246" i="2"/>
  <c r="L246" i="2"/>
  <c r="N246" i="2"/>
  <c r="O246" i="2"/>
  <c r="Q246" i="2"/>
  <c r="R246" i="2"/>
  <c r="S246" i="2"/>
  <c r="E247" i="2"/>
  <c r="F247" i="2"/>
  <c r="G247" i="2"/>
  <c r="H247" i="2"/>
  <c r="I247" i="2"/>
  <c r="J247" i="2"/>
  <c r="K247" i="2"/>
  <c r="L247" i="2"/>
  <c r="N247" i="2"/>
  <c r="O247" i="2"/>
  <c r="Q247" i="2"/>
  <c r="R247" i="2"/>
  <c r="S247" i="2"/>
  <c r="E248" i="2"/>
  <c r="F248" i="2"/>
  <c r="G248" i="2"/>
  <c r="H248" i="2"/>
  <c r="I248" i="2"/>
  <c r="J248" i="2"/>
  <c r="K248" i="2"/>
  <c r="L248" i="2"/>
  <c r="M248" i="2"/>
  <c r="N248" i="2"/>
  <c r="O248" i="2"/>
  <c r="Q248" i="2"/>
  <c r="R248" i="2"/>
  <c r="S248" i="2"/>
  <c r="E249" i="2"/>
  <c r="F249" i="2"/>
  <c r="G249" i="2"/>
  <c r="H249" i="2"/>
  <c r="I249" i="2"/>
  <c r="J249" i="2"/>
  <c r="K249" i="2"/>
  <c r="L249" i="2"/>
  <c r="N249" i="2"/>
  <c r="O249" i="2"/>
  <c r="P249" i="2"/>
  <c r="Q249" i="2"/>
  <c r="R249" i="2"/>
  <c r="S249" i="2"/>
  <c r="E250" i="2"/>
  <c r="F250" i="2"/>
  <c r="G250" i="2"/>
  <c r="H250" i="2"/>
  <c r="I250" i="2"/>
  <c r="J250" i="2"/>
  <c r="K250" i="2"/>
  <c r="L250" i="2"/>
  <c r="M250" i="2"/>
  <c r="N250" i="2"/>
  <c r="O250" i="2"/>
  <c r="Q250" i="2"/>
  <c r="R250" i="2"/>
  <c r="S250" i="2"/>
  <c r="E251" i="2"/>
  <c r="F251" i="2"/>
  <c r="G251" i="2"/>
  <c r="H251" i="2"/>
  <c r="I251" i="2"/>
  <c r="J251" i="2"/>
  <c r="M251" i="2" s="1"/>
  <c r="K251" i="2"/>
  <c r="L251" i="2"/>
  <c r="N251" i="2"/>
  <c r="O251" i="2"/>
  <c r="Q251" i="2"/>
  <c r="R251" i="2"/>
  <c r="S251" i="2"/>
  <c r="E252" i="2"/>
  <c r="F252" i="2"/>
  <c r="G252" i="2"/>
  <c r="H252" i="2"/>
  <c r="I252" i="2"/>
  <c r="J252" i="2"/>
  <c r="M252" i="2" s="1"/>
  <c r="K252" i="2"/>
  <c r="L252" i="2"/>
  <c r="N252" i="2"/>
  <c r="O252" i="2"/>
  <c r="Q252" i="2"/>
  <c r="R252" i="2"/>
  <c r="S252" i="2"/>
  <c r="E253" i="2"/>
  <c r="F253" i="2"/>
  <c r="G253" i="2"/>
  <c r="H253" i="2"/>
  <c r="I253" i="2"/>
  <c r="J253" i="2"/>
  <c r="K253" i="2"/>
  <c r="L253" i="2"/>
  <c r="N253" i="2"/>
  <c r="O253" i="2"/>
  <c r="Q253" i="2"/>
  <c r="R253" i="2"/>
  <c r="S253" i="2"/>
  <c r="E254" i="2"/>
  <c r="F254" i="2"/>
  <c r="G254" i="2"/>
  <c r="H254" i="2"/>
  <c r="I254" i="2"/>
  <c r="J254" i="2"/>
  <c r="K254" i="2"/>
  <c r="L254" i="2"/>
  <c r="N254" i="2"/>
  <c r="O254" i="2"/>
  <c r="Q254" i="2"/>
  <c r="R254" i="2"/>
  <c r="S254" i="2"/>
  <c r="E255" i="2"/>
  <c r="P255" i="2" s="1"/>
  <c r="F255" i="2"/>
  <c r="G255" i="2"/>
  <c r="H255" i="2"/>
  <c r="I255" i="2"/>
  <c r="J255" i="2"/>
  <c r="K255" i="2"/>
  <c r="L255" i="2"/>
  <c r="M255" i="2"/>
  <c r="N255" i="2"/>
  <c r="O255" i="2"/>
  <c r="Q255" i="2"/>
  <c r="R255" i="2"/>
  <c r="S255" i="2"/>
  <c r="E256" i="2"/>
  <c r="F256" i="2"/>
  <c r="G256" i="2"/>
  <c r="H256" i="2"/>
  <c r="I256" i="2"/>
  <c r="J256" i="2"/>
  <c r="M256" i="2" s="1"/>
  <c r="K256" i="2"/>
  <c r="L256" i="2"/>
  <c r="N256" i="2"/>
  <c r="O256" i="2"/>
  <c r="Q256" i="2"/>
  <c r="R256" i="2"/>
  <c r="S256" i="2"/>
  <c r="E257" i="2"/>
  <c r="F257" i="2"/>
  <c r="G257" i="2"/>
  <c r="H257" i="2"/>
  <c r="I257" i="2"/>
  <c r="J257" i="2"/>
  <c r="K257" i="2"/>
  <c r="L257" i="2"/>
  <c r="N257" i="2"/>
  <c r="O257" i="2"/>
  <c r="Q257" i="2"/>
  <c r="R257" i="2"/>
  <c r="S257" i="2"/>
  <c r="E258" i="2"/>
  <c r="F258" i="2"/>
  <c r="G258" i="2"/>
  <c r="H258" i="2"/>
  <c r="I258" i="2"/>
  <c r="J258" i="2"/>
  <c r="M258" i="2" s="1"/>
  <c r="K258" i="2"/>
  <c r="L258" i="2"/>
  <c r="N258" i="2"/>
  <c r="O258" i="2"/>
  <c r="Q258" i="2"/>
  <c r="R258" i="2"/>
  <c r="S258" i="2"/>
  <c r="E259" i="2"/>
  <c r="F259" i="2"/>
  <c r="G259" i="2"/>
  <c r="H259" i="2"/>
  <c r="I259" i="2"/>
  <c r="J259" i="2"/>
  <c r="K259" i="2"/>
  <c r="L259" i="2"/>
  <c r="N259" i="2"/>
  <c r="O259" i="2"/>
  <c r="Q259" i="2"/>
  <c r="R259" i="2"/>
  <c r="S259" i="2"/>
  <c r="E260" i="2"/>
  <c r="F260" i="2"/>
  <c r="G260" i="2"/>
  <c r="H260" i="2"/>
  <c r="I260" i="2"/>
  <c r="J260" i="2"/>
  <c r="K260" i="2"/>
  <c r="L260" i="2"/>
  <c r="N260" i="2"/>
  <c r="O260" i="2"/>
  <c r="Q260" i="2"/>
  <c r="R260" i="2"/>
  <c r="S260" i="2"/>
  <c r="E261" i="2"/>
  <c r="P261" i="2" s="1"/>
  <c r="F261" i="2"/>
  <c r="G261" i="2"/>
  <c r="H261" i="2"/>
  <c r="I261" i="2"/>
  <c r="J261" i="2"/>
  <c r="K261" i="2"/>
  <c r="L261" i="2"/>
  <c r="M261" i="2"/>
  <c r="N261" i="2"/>
  <c r="O261" i="2"/>
  <c r="Q261" i="2"/>
  <c r="R261" i="2"/>
  <c r="S261" i="2"/>
  <c r="E262" i="2"/>
  <c r="F262" i="2"/>
  <c r="G262" i="2"/>
  <c r="H262" i="2"/>
  <c r="I262" i="2"/>
  <c r="J262" i="2"/>
  <c r="M262" i="2" s="1"/>
  <c r="K262" i="2"/>
  <c r="L262" i="2"/>
  <c r="N262" i="2"/>
  <c r="O262" i="2"/>
  <c r="Q262" i="2"/>
  <c r="R262" i="2"/>
  <c r="S262" i="2"/>
  <c r="E263" i="2"/>
  <c r="F263" i="2"/>
  <c r="G263" i="2"/>
  <c r="H263" i="2"/>
  <c r="I263" i="2"/>
  <c r="J263" i="2"/>
  <c r="K263" i="2"/>
  <c r="L263" i="2"/>
  <c r="N263" i="2"/>
  <c r="O263" i="2"/>
  <c r="Q263" i="2"/>
  <c r="R263" i="2"/>
  <c r="S263" i="2"/>
  <c r="E264" i="2"/>
  <c r="F264" i="2"/>
  <c r="G264" i="2"/>
  <c r="H264" i="2"/>
  <c r="I264" i="2"/>
  <c r="J264" i="2"/>
  <c r="K264" i="2"/>
  <c r="L264" i="2"/>
  <c r="N264" i="2"/>
  <c r="O264" i="2"/>
  <c r="Q264" i="2"/>
  <c r="R264" i="2"/>
  <c r="S264" i="2"/>
  <c r="E265" i="2"/>
  <c r="P265" i="2" s="1"/>
  <c r="F265" i="2"/>
  <c r="G265" i="2"/>
  <c r="H265" i="2"/>
  <c r="I265" i="2"/>
  <c r="J265" i="2"/>
  <c r="K265" i="2"/>
  <c r="L265" i="2"/>
  <c r="M265" i="2"/>
  <c r="N265" i="2"/>
  <c r="O265" i="2"/>
  <c r="Q265" i="2"/>
  <c r="R265" i="2"/>
  <c r="S265" i="2"/>
  <c r="E266" i="2"/>
  <c r="F266" i="2"/>
  <c r="G266" i="2"/>
  <c r="H266" i="2"/>
  <c r="I266" i="2"/>
  <c r="J266" i="2"/>
  <c r="M266" i="2" s="1"/>
  <c r="K266" i="2"/>
  <c r="L266" i="2"/>
  <c r="N266" i="2"/>
  <c r="O266" i="2"/>
  <c r="Q266" i="2"/>
  <c r="R266" i="2"/>
  <c r="S266" i="2"/>
  <c r="E267" i="2"/>
  <c r="F267" i="2"/>
  <c r="G267" i="2"/>
  <c r="H267" i="2"/>
  <c r="I267" i="2"/>
  <c r="J267" i="2"/>
  <c r="K267" i="2"/>
  <c r="L267" i="2"/>
  <c r="N267" i="2"/>
  <c r="O267" i="2"/>
  <c r="Q267" i="2"/>
  <c r="R267" i="2"/>
  <c r="S267" i="2"/>
  <c r="E268" i="2"/>
  <c r="F268" i="2"/>
  <c r="G268" i="2"/>
  <c r="H268" i="2"/>
  <c r="I268" i="2"/>
  <c r="J268" i="2"/>
  <c r="K268" i="2"/>
  <c r="L268" i="2"/>
  <c r="N268" i="2"/>
  <c r="O268" i="2"/>
  <c r="Q268" i="2"/>
  <c r="R268" i="2"/>
  <c r="S268" i="2"/>
  <c r="E269" i="2"/>
  <c r="P269" i="2" s="1"/>
  <c r="F269" i="2"/>
  <c r="G269" i="2"/>
  <c r="H269" i="2"/>
  <c r="I269" i="2"/>
  <c r="J269" i="2"/>
  <c r="K269" i="2"/>
  <c r="L269" i="2"/>
  <c r="M269" i="2"/>
  <c r="N269" i="2"/>
  <c r="O269" i="2"/>
  <c r="Q269" i="2"/>
  <c r="R269" i="2"/>
  <c r="S269" i="2"/>
  <c r="E270" i="2"/>
  <c r="F270" i="2"/>
  <c r="G270" i="2"/>
  <c r="H270" i="2"/>
  <c r="I270" i="2"/>
  <c r="J270" i="2"/>
  <c r="M270" i="2" s="1"/>
  <c r="K270" i="2"/>
  <c r="L270" i="2"/>
  <c r="N270" i="2"/>
  <c r="O270" i="2"/>
  <c r="Q270" i="2"/>
  <c r="R270" i="2"/>
  <c r="S270" i="2"/>
  <c r="E271" i="2"/>
  <c r="F271" i="2"/>
  <c r="G271" i="2"/>
  <c r="H271" i="2"/>
  <c r="I271" i="2"/>
  <c r="J271" i="2"/>
  <c r="K271" i="2"/>
  <c r="L271" i="2"/>
  <c r="N271" i="2"/>
  <c r="O271" i="2"/>
  <c r="Q271" i="2"/>
  <c r="R271" i="2"/>
  <c r="S271" i="2"/>
  <c r="E272" i="2"/>
  <c r="F272" i="2"/>
  <c r="G272" i="2"/>
  <c r="H272" i="2"/>
  <c r="I272" i="2"/>
  <c r="J272" i="2"/>
  <c r="K272" i="2"/>
  <c r="L272" i="2"/>
  <c r="N272" i="2"/>
  <c r="O272" i="2"/>
  <c r="Q272" i="2"/>
  <c r="R272" i="2"/>
  <c r="S272" i="2"/>
  <c r="E273" i="2"/>
  <c r="P273" i="2" s="1"/>
  <c r="F273" i="2"/>
  <c r="G273" i="2"/>
  <c r="H273" i="2"/>
  <c r="I273" i="2"/>
  <c r="J273" i="2"/>
  <c r="K273" i="2"/>
  <c r="L273" i="2"/>
  <c r="M273" i="2"/>
  <c r="N273" i="2"/>
  <c r="O273" i="2"/>
  <c r="Q273" i="2"/>
  <c r="R273" i="2"/>
  <c r="S273" i="2"/>
  <c r="E274" i="2"/>
  <c r="F274" i="2"/>
  <c r="G274" i="2"/>
  <c r="H274" i="2"/>
  <c r="I274" i="2"/>
  <c r="J274" i="2"/>
  <c r="M274" i="2" s="1"/>
  <c r="K274" i="2"/>
  <c r="L274" i="2"/>
  <c r="N274" i="2"/>
  <c r="O274" i="2"/>
  <c r="Q274" i="2"/>
  <c r="R274" i="2"/>
  <c r="S274" i="2"/>
  <c r="E275" i="2"/>
  <c r="F275" i="2"/>
  <c r="G275" i="2"/>
  <c r="H275" i="2"/>
  <c r="I275" i="2"/>
  <c r="J275" i="2"/>
  <c r="K275" i="2"/>
  <c r="L275" i="2"/>
  <c r="N275" i="2"/>
  <c r="O275" i="2"/>
  <c r="Q275" i="2"/>
  <c r="R275" i="2"/>
  <c r="S275" i="2"/>
  <c r="E276" i="2"/>
  <c r="F276" i="2"/>
  <c r="G276" i="2"/>
  <c r="H276" i="2"/>
  <c r="I276" i="2"/>
  <c r="J276" i="2"/>
  <c r="K276" i="2"/>
  <c r="L276" i="2"/>
  <c r="N276" i="2"/>
  <c r="O276" i="2"/>
  <c r="Q276" i="2"/>
  <c r="R276" i="2"/>
  <c r="S276" i="2"/>
  <c r="E277" i="2"/>
  <c r="P277" i="2" s="1"/>
  <c r="F277" i="2"/>
  <c r="G277" i="2"/>
  <c r="H277" i="2"/>
  <c r="I277" i="2"/>
  <c r="J277" i="2"/>
  <c r="K277" i="2"/>
  <c r="L277" i="2"/>
  <c r="M277" i="2"/>
  <c r="N277" i="2"/>
  <c r="O277" i="2"/>
  <c r="Q277" i="2"/>
  <c r="R277" i="2"/>
  <c r="S277" i="2"/>
  <c r="E278" i="2"/>
  <c r="F278" i="2"/>
  <c r="G278" i="2"/>
  <c r="H278" i="2"/>
  <c r="I278" i="2"/>
  <c r="J278" i="2"/>
  <c r="M278" i="2" s="1"/>
  <c r="K278" i="2"/>
  <c r="L278" i="2"/>
  <c r="N278" i="2"/>
  <c r="O278" i="2"/>
  <c r="Q278" i="2"/>
  <c r="R278" i="2"/>
  <c r="S278" i="2"/>
  <c r="E279" i="2"/>
  <c r="F279" i="2"/>
  <c r="G279" i="2"/>
  <c r="H279" i="2"/>
  <c r="I279" i="2"/>
  <c r="J279" i="2"/>
  <c r="K279" i="2"/>
  <c r="L279" i="2"/>
  <c r="N279" i="2"/>
  <c r="O279" i="2"/>
  <c r="Q279" i="2"/>
  <c r="R279" i="2"/>
  <c r="S279" i="2"/>
  <c r="E280" i="2"/>
  <c r="F280" i="2"/>
  <c r="G280" i="2"/>
  <c r="H280" i="2"/>
  <c r="I280" i="2"/>
  <c r="J280" i="2"/>
  <c r="K280" i="2"/>
  <c r="L280" i="2"/>
  <c r="N280" i="2"/>
  <c r="O280" i="2"/>
  <c r="Q280" i="2"/>
  <c r="R280" i="2"/>
  <c r="S280" i="2"/>
  <c r="E281" i="2"/>
  <c r="P281" i="2" s="1"/>
  <c r="F281" i="2"/>
  <c r="G281" i="2"/>
  <c r="H281" i="2"/>
  <c r="I281" i="2"/>
  <c r="J281" i="2"/>
  <c r="K281" i="2"/>
  <c r="L281" i="2"/>
  <c r="M281" i="2"/>
  <c r="N281" i="2"/>
  <c r="O281" i="2"/>
  <c r="Q281" i="2"/>
  <c r="R281" i="2"/>
  <c r="S281" i="2"/>
  <c r="E282" i="2"/>
  <c r="F282" i="2"/>
  <c r="G282" i="2"/>
  <c r="H282" i="2"/>
  <c r="I282" i="2"/>
  <c r="J282" i="2"/>
  <c r="M282" i="2" s="1"/>
  <c r="K282" i="2"/>
  <c r="L282" i="2"/>
  <c r="N282" i="2"/>
  <c r="O282" i="2"/>
  <c r="Q282" i="2"/>
  <c r="R282" i="2"/>
  <c r="S282" i="2"/>
  <c r="E283" i="2"/>
  <c r="F283" i="2"/>
  <c r="G283" i="2"/>
  <c r="H283" i="2"/>
  <c r="I283" i="2"/>
  <c r="J283" i="2"/>
  <c r="K283" i="2"/>
  <c r="L283" i="2"/>
  <c r="N283" i="2"/>
  <c r="O283" i="2"/>
  <c r="Q283" i="2"/>
  <c r="R283" i="2"/>
  <c r="S283" i="2"/>
  <c r="E284" i="2"/>
  <c r="F284" i="2"/>
  <c r="G284" i="2"/>
  <c r="H284" i="2"/>
  <c r="I284" i="2"/>
  <c r="J284" i="2"/>
  <c r="K284" i="2"/>
  <c r="L284" i="2"/>
  <c r="N284" i="2"/>
  <c r="O284" i="2"/>
  <c r="Q284" i="2"/>
  <c r="R284" i="2"/>
  <c r="S284" i="2"/>
  <c r="E285" i="2"/>
  <c r="P285" i="2" s="1"/>
  <c r="F285" i="2"/>
  <c r="G285" i="2"/>
  <c r="H285" i="2"/>
  <c r="I285" i="2"/>
  <c r="J285" i="2"/>
  <c r="K285" i="2"/>
  <c r="L285" i="2"/>
  <c r="M285" i="2"/>
  <c r="N285" i="2"/>
  <c r="O285" i="2"/>
  <c r="Q285" i="2"/>
  <c r="R285" i="2"/>
  <c r="S285" i="2"/>
  <c r="E286" i="2"/>
  <c r="F286" i="2"/>
  <c r="G286" i="2"/>
  <c r="H286" i="2"/>
  <c r="I286" i="2"/>
  <c r="J286" i="2"/>
  <c r="M286" i="2" s="1"/>
  <c r="K286" i="2"/>
  <c r="L286" i="2"/>
  <c r="N286" i="2"/>
  <c r="O286" i="2"/>
  <c r="Q286" i="2"/>
  <c r="R286" i="2"/>
  <c r="S286" i="2"/>
  <c r="E287" i="2"/>
  <c r="F287" i="2"/>
  <c r="G287" i="2"/>
  <c r="H287" i="2"/>
  <c r="I287" i="2"/>
  <c r="J287" i="2"/>
  <c r="K287" i="2"/>
  <c r="L287" i="2"/>
  <c r="N287" i="2"/>
  <c r="O287" i="2"/>
  <c r="Q287" i="2"/>
  <c r="R287" i="2"/>
  <c r="S287" i="2"/>
  <c r="E288" i="2"/>
  <c r="F288" i="2"/>
  <c r="G288" i="2"/>
  <c r="H288" i="2"/>
  <c r="I288" i="2"/>
  <c r="J288" i="2"/>
  <c r="K288" i="2"/>
  <c r="L288" i="2"/>
  <c r="N288" i="2"/>
  <c r="O288" i="2"/>
  <c r="Q288" i="2"/>
  <c r="R288" i="2"/>
  <c r="S288" i="2"/>
  <c r="E289" i="2"/>
  <c r="P289" i="2" s="1"/>
  <c r="F289" i="2"/>
  <c r="G289" i="2"/>
  <c r="H289" i="2"/>
  <c r="I289" i="2"/>
  <c r="J289" i="2"/>
  <c r="K289" i="2"/>
  <c r="L289" i="2"/>
  <c r="M289" i="2"/>
  <c r="N289" i="2"/>
  <c r="O289" i="2"/>
  <c r="Q289" i="2"/>
  <c r="R289" i="2"/>
  <c r="S289" i="2"/>
  <c r="E290" i="2"/>
  <c r="F290" i="2"/>
  <c r="G290" i="2"/>
  <c r="H290" i="2"/>
  <c r="I290" i="2"/>
  <c r="J290" i="2"/>
  <c r="M290" i="2" s="1"/>
  <c r="K290" i="2"/>
  <c r="L290" i="2"/>
  <c r="N290" i="2"/>
  <c r="O290" i="2"/>
  <c r="Q290" i="2"/>
  <c r="R290" i="2"/>
  <c r="S290" i="2"/>
  <c r="E291" i="2"/>
  <c r="F291" i="2"/>
  <c r="G291" i="2"/>
  <c r="H291" i="2"/>
  <c r="I291" i="2"/>
  <c r="J291" i="2"/>
  <c r="K291" i="2"/>
  <c r="L291" i="2"/>
  <c r="N291" i="2"/>
  <c r="O291" i="2"/>
  <c r="Q291" i="2"/>
  <c r="R291" i="2"/>
  <c r="S291" i="2"/>
  <c r="E292" i="2"/>
  <c r="F292" i="2"/>
  <c r="G292" i="2"/>
  <c r="H292" i="2"/>
  <c r="I292" i="2"/>
  <c r="J292" i="2"/>
  <c r="K292" i="2"/>
  <c r="L292" i="2"/>
  <c r="N292" i="2"/>
  <c r="O292" i="2"/>
  <c r="Q292" i="2"/>
  <c r="R292" i="2"/>
  <c r="S292" i="2"/>
  <c r="E293" i="2"/>
  <c r="P293" i="2" s="1"/>
  <c r="F293" i="2"/>
  <c r="G293" i="2"/>
  <c r="H293" i="2"/>
  <c r="I293" i="2"/>
  <c r="J293" i="2"/>
  <c r="K293" i="2"/>
  <c r="L293" i="2"/>
  <c r="M293" i="2"/>
  <c r="N293" i="2"/>
  <c r="O293" i="2"/>
  <c r="Q293" i="2"/>
  <c r="R293" i="2"/>
  <c r="S293" i="2"/>
  <c r="E294" i="2"/>
  <c r="F294" i="2"/>
  <c r="G294" i="2"/>
  <c r="H294" i="2"/>
  <c r="I294" i="2"/>
  <c r="J294" i="2"/>
  <c r="M294" i="2" s="1"/>
  <c r="K294" i="2"/>
  <c r="L294" i="2"/>
  <c r="N294" i="2"/>
  <c r="O294" i="2"/>
  <c r="Q294" i="2"/>
  <c r="R294" i="2"/>
  <c r="S294" i="2"/>
  <c r="E295" i="2"/>
  <c r="F295" i="2"/>
  <c r="G295" i="2"/>
  <c r="H295" i="2"/>
  <c r="I295" i="2"/>
  <c r="J295" i="2"/>
  <c r="K295" i="2"/>
  <c r="L295" i="2"/>
  <c r="N295" i="2"/>
  <c r="O295" i="2"/>
  <c r="Q295" i="2"/>
  <c r="R295" i="2"/>
  <c r="S295" i="2"/>
  <c r="E296" i="2"/>
  <c r="F296" i="2"/>
  <c r="G296" i="2"/>
  <c r="H296" i="2"/>
  <c r="I296" i="2"/>
  <c r="J296" i="2"/>
  <c r="K296" i="2"/>
  <c r="L296" i="2"/>
  <c r="N296" i="2"/>
  <c r="O296" i="2"/>
  <c r="Q296" i="2"/>
  <c r="R296" i="2"/>
  <c r="S296" i="2"/>
  <c r="E297" i="2"/>
  <c r="P297" i="2" s="1"/>
  <c r="F297" i="2"/>
  <c r="G297" i="2"/>
  <c r="H297" i="2"/>
  <c r="I297" i="2"/>
  <c r="J297" i="2"/>
  <c r="K297" i="2"/>
  <c r="L297" i="2"/>
  <c r="M297" i="2"/>
  <c r="N297" i="2"/>
  <c r="O297" i="2"/>
  <c r="Q297" i="2"/>
  <c r="R297" i="2"/>
  <c r="S297" i="2"/>
  <c r="E298" i="2"/>
  <c r="F298" i="2"/>
  <c r="G298" i="2"/>
  <c r="H298" i="2"/>
  <c r="I298" i="2"/>
  <c r="J298" i="2"/>
  <c r="M298" i="2" s="1"/>
  <c r="K298" i="2"/>
  <c r="L298" i="2"/>
  <c r="N298" i="2"/>
  <c r="O298" i="2"/>
  <c r="Q298" i="2"/>
  <c r="R298" i="2"/>
  <c r="S298" i="2"/>
  <c r="E299" i="2"/>
  <c r="F299" i="2"/>
  <c r="G299" i="2"/>
  <c r="H299" i="2"/>
  <c r="I299" i="2"/>
  <c r="J299" i="2"/>
  <c r="K299" i="2"/>
  <c r="L299" i="2"/>
  <c r="N299" i="2"/>
  <c r="O299" i="2"/>
  <c r="Q299" i="2"/>
  <c r="R299" i="2"/>
  <c r="S299" i="2"/>
  <c r="E300" i="2"/>
  <c r="F300" i="2"/>
  <c r="G300" i="2"/>
  <c r="H300" i="2"/>
  <c r="I300" i="2"/>
  <c r="J300" i="2"/>
  <c r="K300" i="2"/>
  <c r="L300" i="2"/>
  <c r="N300" i="2"/>
  <c r="O300" i="2"/>
  <c r="Q300" i="2"/>
  <c r="R300" i="2"/>
  <c r="S300" i="2"/>
  <c r="E301" i="2"/>
  <c r="P301" i="2" s="1"/>
  <c r="F301" i="2"/>
  <c r="G301" i="2"/>
  <c r="H301" i="2"/>
  <c r="I301" i="2"/>
  <c r="J301" i="2"/>
  <c r="K301" i="2"/>
  <c r="L301" i="2"/>
  <c r="M301" i="2"/>
  <c r="N301" i="2"/>
  <c r="O301" i="2"/>
  <c r="Q301" i="2"/>
  <c r="R301" i="2"/>
  <c r="S301" i="2"/>
  <c r="E302" i="2"/>
  <c r="F302" i="2"/>
  <c r="G302" i="2"/>
  <c r="H302" i="2"/>
  <c r="I302" i="2"/>
  <c r="J302" i="2"/>
  <c r="M302" i="2" s="1"/>
  <c r="K302" i="2"/>
  <c r="L302" i="2"/>
  <c r="N302" i="2"/>
  <c r="O302" i="2"/>
  <c r="Q302" i="2"/>
  <c r="R302" i="2"/>
  <c r="S302" i="2"/>
  <c r="E303" i="2"/>
  <c r="F303" i="2"/>
  <c r="G303" i="2"/>
  <c r="H303" i="2"/>
  <c r="I303" i="2"/>
  <c r="J303" i="2"/>
  <c r="K303" i="2"/>
  <c r="L303" i="2"/>
  <c r="N303" i="2"/>
  <c r="O303" i="2"/>
  <c r="Q303" i="2"/>
  <c r="R303" i="2"/>
  <c r="S303" i="2"/>
  <c r="E304" i="2"/>
  <c r="F304" i="2"/>
  <c r="G304" i="2"/>
  <c r="H304" i="2"/>
  <c r="I304" i="2"/>
  <c r="J304" i="2"/>
  <c r="K304" i="2"/>
  <c r="L304" i="2"/>
  <c r="N304" i="2"/>
  <c r="O304" i="2"/>
  <c r="Q304" i="2"/>
  <c r="R304" i="2"/>
  <c r="S304" i="2"/>
  <c r="E305" i="2"/>
  <c r="P305" i="2" s="1"/>
  <c r="F305" i="2"/>
  <c r="G305" i="2"/>
  <c r="H305" i="2"/>
  <c r="I305" i="2"/>
  <c r="J305" i="2"/>
  <c r="K305" i="2"/>
  <c r="L305" i="2"/>
  <c r="M305" i="2"/>
  <c r="N305" i="2"/>
  <c r="O305" i="2"/>
  <c r="Q305" i="2"/>
  <c r="R305" i="2"/>
  <c r="S305" i="2"/>
  <c r="E306" i="2"/>
  <c r="F306" i="2"/>
  <c r="G306" i="2"/>
  <c r="H306" i="2"/>
  <c r="I306" i="2"/>
  <c r="J306" i="2"/>
  <c r="M306" i="2" s="1"/>
  <c r="K306" i="2"/>
  <c r="L306" i="2"/>
  <c r="N306" i="2"/>
  <c r="O306" i="2"/>
  <c r="Q306" i="2"/>
  <c r="R306" i="2"/>
  <c r="S306" i="2"/>
  <c r="E307" i="2"/>
  <c r="F307" i="2"/>
  <c r="G307" i="2"/>
  <c r="H307" i="2"/>
  <c r="I307" i="2"/>
  <c r="J307" i="2"/>
  <c r="K307" i="2"/>
  <c r="L307" i="2"/>
  <c r="N307" i="2"/>
  <c r="O307" i="2"/>
  <c r="Q307" i="2"/>
  <c r="R307" i="2"/>
  <c r="S307" i="2"/>
  <c r="E308" i="2"/>
  <c r="F308" i="2"/>
  <c r="G308" i="2"/>
  <c r="H308" i="2"/>
  <c r="I308" i="2"/>
  <c r="J308" i="2"/>
  <c r="K308" i="2"/>
  <c r="L308" i="2"/>
  <c r="N308" i="2"/>
  <c r="O308" i="2"/>
  <c r="Q308" i="2"/>
  <c r="R308" i="2"/>
  <c r="S308" i="2"/>
  <c r="E309" i="2"/>
  <c r="P309" i="2" s="1"/>
  <c r="F309" i="2"/>
  <c r="G309" i="2"/>
  <c r="H309" i="2"/>
  <c r="I309" i="2"/>
  <c r="J309" i="2"/>
  <c r="K309" i="2"/>
  <c r="L309" i="2"/>
  <c r="M309" i="2"/>
  <c r="N309" i="2"/>
  <c r="O309" i="2"/>
  <c r="Q309" i="2"/>
  <c r="R309" i="2"/>
  <c r="S309" i="2"/>
  <c r="E310" i="2"/>
  <c r="F310" i="2"/>
  <c r="G310" i="2"/>
  <c r="H310" i="2"/>
  <c r="I310" i="2"/>
  <c r="J310" i="2"/>
  <c r="M310" i="2" s="1"/>
  <c r="K310" i="2"/>
  <c r="L310" i="2"/>
  <c r="N310" i="2"/>
  <c r="O310" i="2"/>
  <c r="Q310" i="2"/>
  <c r="R310" i="2"/>
  <c r="S310" i="2"/>
  <c r="E311" i="2"/>
  <c r="F311" i="2"/>
  <c r="G311" i="2"/>
  <c r="H311" i="2"/>
  <c r="I311" i="2"/>
  <c r="J311" i="2"/>
  <c r="K311" i="2"/>
  <c r="L311" i="2"/>
  <c r="N311" i="2"/>
  <c r="O311" i="2"/>
  <c r="Q311" i="2"/>
  <c r="R311" i="2"/>
  <c r="S311" i="2"/>
  <c r="E312" i="2"/>
  <c r="F312" i="2"/>
  <c r="G312" i="2"/>
  <c r="H312" i="2"/>
  <c r="I312" i="2"/>
  <c r="J312" i="2"/>
  <c r="K312" i="2"/>
  <c r="L312" i="2"/>
  <c r="N312" i="2"/>
  <c r="O312" i="2"/>
  <c r="Q312" i="2"/>
  <c r="R312" i="2"/>
  <c r="S312" i="2"/>
  <c r="E313" i="2"/>
  <c r="P313" i="2" s="1"/>
  <c r="F313" i="2"/>
  <c r="G313" i="2"/>
  <c r="H313" i="2"/>
  <c r="I313" i="2"/>
  <c r="J313" i="2"/>
  <c r="K313" i="2"/>
  <c r="L313" i="2"/>
  <c r="M313" i="2"/>
  <c r="N313" i="2"/>
  <c r="O313" i="2"/>
  <c r="Q313" i="2"/>
  <c r="R313" i="2"/>
  <c r="S313" i="2"/>
  <c r="E314" i="2"/>
  <c r="F314" i="2"/>
  <c r="G314" i="2"/>
  <c r="H314" i="2"/>
  <c r="I314" i="2"/>
  <c r="J314" i="2"/>
  <c r="M314" i="2" s="1"/>
  <c r="K314" i="2"/>
  <c r="L314" i="2"/>
  <c r="N314" i="2"/>
  <c r="O314" i="2"/>
  <c r="Q314" i="2"/>
  <c r="R314" i="2"/>
  <c r="S314" i="2"/>
  <c r="E315" i="2"/>
  <c r="F315" i="2"/>
  <c r="G315" i="2"/>
  <c r="H315" i="2"/>
  <c r="I315" i="2"/>
  <c r="J315" i="2"/>
  <c r="K315" i="2"/>
  <c r="L315" i="2"/>
  <c r="N315" i="2"/>
  <c r="O315" i="2"/>
  <c r="Q315" i="2"/>
  <c r="R315" i="2"/>
  <c r="S315" i="2"/>
  <c r="E316" i="2"/>
  <c r="F316" i="2"/>
  <c r="G316" i="2"/>
  <c r="H316" i="2"/>
  <c r="I316" i="2"/>
  <c r="J316" i="2"/>
  <c r="K316" i="2"/>
  <c r="L316" i="2"/>
  <c r="N316" i="2"/>
  <c r="O316" i="2"/>
  <c r="Q316" i="2"/>
  <c r="R316" i="2"/>
  <c r="S316" i="2"/>
  <c r="E317" i="2"/>
  <c r="P317" i="2" s="1"/>
  <c r="F317" i="2"/>
  <c r="G317" i="2"/>
  <c r="H317" i="2"/>
  <c r="I317" i="2"/>
  <c r="J317" i="2"/>
  <c r="K317" i="2"/>
  <c r="L317" i="2"/>
  <c r="M317" i="2"/>
  <c r="N317" i="2"/>
  <c r="O317" i="2"/>
  <c r="Q317" i="2"/>
  <c r="R317" i="2"/>
  <c r="S317" i="2"/>
  <c r="E318" i="2"/>
  <c r="F318" i="2"/>
  <c r="G318" i="2"/>
  <c r="H318" i="2"/>
  <c r="I318" i="2"/>
  <c r="J318" i="2"/>
  <c r="M318" i="2" s="1"/>
  <c r="K318" i="2"/>
  <c r="L318" i="2"/>
  <c r="N318" i="2"/>
  <c r="O318" i="2"/>
  <c r="Q318" i="2"/>
  <c r="R318" i="2"/>
  <c r="S318" i="2"/>
  <c r="E319" i="2"/>
  <c r="F319" i="2"/>
  <c r="G319" i="2"/>
  <c r="H319" i="2"/>
  <c r="I319" i="2"/>
  <c r="J319" i="2"/>
  <c r="K319" i="2"/>
  <c r="L319" i="2"/>
  <c r="N319" i="2"/>
  <c r="O319" i="2"/>
  <c r="Q319" i="2"/>
  <c r="R319" i="2"/>
  <c r="S319" i="2"/>
  <c r="E320" i="2"/>
  <c r="F320" i="2"/>
  <c r="G320" i="2"/>
  <c r="H320" i="2"/>
  <c r="I320" i="2"/>
  <c r="J320" i="2"/>
  <c r="K320" i="2"/>
  <c r="L320" i="2"/>
  <c r="N320" i="2"/>
  <c r="O320" i="2"/>
  <c r="Q320" i="2"/>
  <c r="R320" i="2"/>
  <c r="S320" i="2"/>
  <c r="E321" i="2"/>
  <c r="P321" i="2" s="1"/>
  <c r="F321" i="2"/>
  <c r="G321" i="2"/>
  <c r="H321" i="2"/>
  <c r="I321" i="2"/>
  <c r="J321" i="2"/>
  <c r="K321" i="2"/>
  <c r="L321" i="2"/>
  <c r="M321" i="2"/>
  <c r="N321" i="2"/>
  <c r="O321" i="2"/>
  <c r="Q321" i="2"/>
  <c r="R321" i="2"/>
  <c r="S321" i="2"/>
  <c r="E322" i="2"/>
  <c r="F322" i="2"/>
  <c r="G322" i="2"/>
  <c r="H322" i="2"/>
  <c r="I322" i="2"/>
  <c r="J322" i="2"/>
  <c r="M322" i="2" s="1"/>
  <c r="K322" i="2"/>
  <c r="L322" i="2"/>
  <c r="N322" i="2"/>
  <c r="O322" i="2"/>
  <c r="Q322" i="2"/>
  <c r="R322" i="2"/>
  <c r="S322" i="2"/>
  <c r="E323" i="2"/>
  <c r="F323" i="2"/>
  <c r="G323" i="2"/>
  <c r="H323" i="2"/>
  <c r="I323" i="2"/>
  <c r="J323" i="2"/>
  <c r="K323" i="2"/>
  <c r="L323" i="2"/>
  <c r="N323" i="2"/>
  <c r="O323" i="2"/>
  <c r="Q323" i="2"/>
  <c r="R323" i="2"/>
  <c r="S323" i="2"/>
  <c r="E324" i="2"/>
  <c r="F324" i="2"/>
  <c r="G324" i="2"/>
  <c r="H324" i="2"/>
  <c r="I324" i="2"/>
  <c r="J324" i="2"/>
  <c r="K324" i="2"/>
  <c r="L324" i="2"/>
  <c r="N324" i="2"/>
  <c r="O324" i="2"/>
  <c r="Q324" i="2"/>
  <c r="R324" i="2"/>
  <c r="S324" i="2"/>
  <c r="E325" i="2"/>
  <c r="P325" i="2" s="1"/>
  <c r="F325" i="2"/>
  <c r="G325" i="2"/>
  <c r="H325" i="2"/>
  <c r="I325" i="2"/>
  <c r="J325" i="2"/>
  <c r="K325" i="2"/>
  <c r="L325" i="2"/>
  <c r="M325" i="2"/>
  <c r="N325" i="2"/>
  <c r="O325" i="2"/>
  <c r="Q325" i="2"/>
  <c r="R325" i="2"/>
  <c r="S325" i="2"/>
  <c r="E326" i="2"/>
  <c r="F326" i="2"/>
  <c r="G326" i="2"/>
  <c r="H326" i="2"/>
  <c r="I326" i="2"/>
  <c r="J326" i="2"/>
  <c r="M326" i="2" s="1"/>
  <c r="K326" i="2"/>
  <c r="L326" i="2"/>
  <c r="N326" i="2"/>
  <c r="O326" i="2"/>
  <c r="Q326" i="2"/>
  <c r="R326" i="2"/>
  <c r="S326" i="2"/>
  <c r="E327" i="2"/>
  <c r="F327" i="2"/>
  <c r="G327" i="2"/>
  <c r="H327" i="2"/>
  <c r="I327" i="2"/>
  <c r="J327" i="2"/>
  <c r="K327" i="2"/>
  <c r="L327" i="2"/>
  <c r="N327" i="2"/>
  <c r="O327" i="2"/>
  <c r="Q327" i="2"/>
  <c r="R327" i="2"/>
  <c r="S327" i="2"/>
  <c r="E328" i="2"/>
  <c r="F328" i="2"/>
  <c r="G328" i="2"/>
  <c r="H328" i="2"/>
  <c r="I328" i="2"/>
  <c r="J328" i="2"/>
  <c r="K328" i="2"/>
  <c r="L328" i="2"/>
  <c r="N328" i="2"/>
  <c r="O328" i="2"/>
  <c r="Q328" i="2"/>
  <c r="R328" i="2"/>
  <c r="S328" i="2"/>
  <c r="E329" i="2"/>
  <c r="P329" i="2" s="1"/>
  <c r="F329" i="2"/>
  <c r="G329" i="2"/>
  <c r="H329" i="2"/>
  <c r="I329" i="2"/>
  <c r="J329" i="2"/>
  <c r="K329" i="2"/>
  <c r="L329" i="2"/>
  <c r="M329" i="2"/>
  <c r="N329" i="2"/>
  <c r="O329" i="2"/>
  <c r="Q329" i="2"/>
  <c r="R329" i="2"/>
  <c r="S329" i="2"/>
  <c r="E330" i="2"/>
  <c r="F330" i="2"/>
  <c r="G330" i="2"/>
  <c r="H330" i="2"/>
  <c r="I330" i="2"/>
  <c r="J330" i="2"/>
  <c r="M330" i="2" s="1"/>
  <c r="K330" i="2"/>
  <c r="L330" i="2"/>
  <c r="N330" i="2"/>
  <c r="O330" i="2"/>
  <c r="Q330" i="2"/>
  <c r="R330" i="2"/>
  <c r="S330" i="2"/>
  <c r="E331" i="2"/>
  <c r="F331" i="2"/>
  <c r="G331" i="2"/>
  <c r="H331" i="2"/>
  <c r="I331" i="2"/>
  <c r="J331" i="2"/>
  <c r="K331" i="2"/>
  <c r="L331" i="2"/>
  <c r="N331" i="2"/>
  <c r="O331" i="2"/>
  <c r="Q331" i="2"/>
  <c r="R331" i="2"/>
  <c r="S331" i="2"/>
  <c r="E332" i="2"/>
  <c r="F332" i="2"/>
  <c r="G332" i="2"/>
  <c r="H332" i="2"/>
  <c r="I332" i="2"/>
  <c r="J332" i="2"/>
  <c r="K332" i="2"/>
  <c r="L332" i="2"/>
  <c r="N332" i="2"/>
  <c r="O332" i="2"/>
  <c r="Q332" i="2"/>
  <c r="R332" i="2"/>
  <c r="S332" i="2"/>
  <c r="E333" i="2"/>
  <c r="P333" i="2" s="1"/>
  <c r="F333" i="2"/>
  <c r="G333" i="2"/>
  <c r="H333" i="2"/>
  <c r="I333" i="2"/>
  <c r="J333" i="2"/>
  <c r="K333" i="2"/>
  <c r="L333" i="2"/>
  <c r="M333" i="2"/>
  <c r="N333" i="2"/>
  <c r="O333" i="2"/>
  <c r="Q333" i="2"/>
  <c r="R333" i="2"/>
  <c r="S333" i="2"/>
  <c r="E334" i="2"/>
  <c r="F334" i="2"/>
  <c r="G334" i="2"/>
  <c r="H334" i="2"/>
  <c r="I334" i="2"/>
  <c r="J334" i="2"/>
  <c r="M334" i="2" s="1"/>
  <c r="K334" i="2"/>
  <c r="L334" i="2"/>
  <c r="N334" i="2"/>
  <c r="O334" i="2"/>
  <c r="Q334" i="2"/>
  <c r="R334" i="2"/>
  <c r="S334" i="2"/>
  <c r="E335" i="2"/>
  <c r="F335" i="2"/>
  <c r="G335" i="2"/>
  <c r="H335" i="2"/>
  <c r="I335" i="2"/>
  <c r="J335" i="2"/>
  <c r="K335" i="2"/>
  <c r="L335" i="2"/>
  <c r="N335" i="2"/>
  <c r="O335" i="2"/>
  <c r="Q335" i="2"/>
  <c r="R335" i="2"/>
  <c r="S335" i="2"/>
  <c r="E336" i="2"/>
  <c r="F336" i="2"/>
  <c r="G336" i="2"/>
  <c r="H336" i="2"/>
  <c r="I336" i="2"/>
  <c r="J336" i="2"/>
  <c r="K336" i="2"/>
  <c r="L336" i="2"/>
  <c r="N336" i="2"/>
  <c r="O336" i="2"/>
  <c r="Q336" i="2"/>
  <c r="R336" i="2"/>
  <c r="S336" i="2"/>
  <c r="E337" i="2"/>
  <c r="P337" i="2" s="1"/>
  <c r="F337" i="2"/>
  <c r="G337" i="2"/>
  <c r="H337" i="2"/>
  <c r="I337" i="2"/>
  <c r="J337" i="2"/>
  <c r="K337" i="2"/>
  <c r="L337" i="2"/>
  <c r="M337" i="2"/>
  <c r="N337" i="2"/>
  <c r="O337" i="2"/>
  <c r="Q337" i="2"/>
  <c r="R337" i="2"/>
  <c r="S337" i="2"/>
  <c r="E338" i="2"/>
  <c r="P338" i="2" s="1"/>
  <c r="F338" i="2"/>
  <c r="G338" i="2"/>
  <c r="H338" i="2"/>
  <c r="I338" i="2"/>
  <c r="J338" i="2"/>
  <c r="M338" i="2" s="1"/>
  <c r="K338" i="2"/>
  <c r="L338" i="2"/>
  <c r="N338" i="2"/>
  <c r="O338" i="2"/>
  <c r="Q338" i="2"/>
  <c r="R338" i="2"/>
  <c r="S338" i="2"/>
  <c r="E339" i="2"/>
  <c r="F339" i="2"/>
  <c r="G339" i="2"/>
  <c r="H339" i="2"/>
  <c r="I339" i="2"/>
  <c r="J339" i="2"/>
  <c r="M339" i="2" s="1"/>
  <c r="K339" i="2"/>
  <c r="L339" i="2"/>
  <c r="N339" i="2"/>
  <c r="O339" i="2"/>
  <c r="Q339" i="2"/>
  <c r="R339" i="2"/>
  <c r="S339" i="2"/>
  <c r="E340" i="2"/>
  <c r="F340" i="2"/>
  <c r="G340" i="2"/>
  <c r="H340" i="2"/>
  <c r="I340" i="2"/>
  <c r="J340" i="2"/>
  <c r="K340" i="2"/>
  <c r="L340" i="2"/>
  <c r="N340" i="2"/>
  <c r="O340" i="2"/>
  <c r="Q340" i="2"/>
  <c r="R340" i="2"/>
  <c r="S340" i="2"/>
  <c r="E341" i="2"/>
  <c r="F341" i="2"/>
  <c r="G341" i="2"/>
  <c r="H341" i="2"/>
  <c r="I341" i="2"/>
  <c r="J341" i="2"/>
  <c r="K341" i="2"/>
  <c r="L341" i="2"/>
  <c r="N341" i="2"/>
  <c r="O341" i="2"/>
  <c r="P341" i="2"/>
  <c r="Q341" i="2"/>
  <c r="R341" i="2"/>
  <c r="S341" i="2"/>
  <c r="E342" i="2"/>
  <c r="F342" i="2"/>
  <c r="G342" i="2"/>
  <c r="H342" i="2"/>
  <c r="I342" i="2"/>
  <c r="J342" i="2"/>
  <c r="K342" i="2"/>
  <c r="L342" i="2"/>
  <c r="M342" i="2"/>
  <c r="N342" i="2"/>
  <c r="O342" i="2"/>
  <c r="Q342" i="2"/>
  <c r="R342" i="2"/>
  <c r="S342" i="2"/>
  <c r="E343" i="2"/>
  <c r="F343" i="2"/>
  <c r="G343" i="2"/>
  <c r="H343" i="2"/>
  <c r="I343" i="2"/>
  <c r="J343" i="2"/>
  <c r="M343" i="2" s="1"/>
  <c r="K343" i="2"/>
  <c r="L343" i="2"/>
  <c r="N343" i="2"/>
  <c r="O343" i="2"/>
  <c r="Q343" i="2"/>
  <c r="R343" i="2"/>
  <c r="S343" i="2"/>
  <c r="E344" i="2"/>
  <c r="F344" i="2"/>
  <c r="G344" i="2"/>
  <c r="H344" i="2"/>
  <c r="I344" i="2"/>
  <c r="J344" i="2"/>
  <c r="K344" i="2"/>
  <c r="L344" i="2"/>
  <c r="N344" i="2"/>
  <c r="O344" i="2"/>
  <c r="Q344" i="2"/>
  <c r="R344" i="2"/>
  <c r="S344" i="2"/>
  <c r="E345" i="2"/>
  <c r="P345" i="2" s="1"/>
  <c r="F345" i="2"/>
  <c r="G345" i="2"/>
  <c r="H345" i="2"/>
  <c r="I345" i="2"/>
  <c r="J345" i="2"/>
  <c r="K345" i="2"/>
  <c r="L345" i="2"/>
  <c r="M345" i="2"/>
  <c r="N345" i="2"/>
  <c r="O345" i="2"/>
  <c r="Q345" i="2"/>
  <c r="R345" i="2"/>
  <c r="S345" i="2"/>
  <c r="E346" i="2"/>
  <c r="P346" i="2" s="1"/>
  <c r="F346" i="2"/>
  <c r="G346" i="2"/>
  <c r="H346" i="2"/>
  <c r="I346" i="2"/>
  <c r="J346" i="2"/>
  <c r="M346" i="2" s="1"/>
  <c r="K346" i="2"/>
  <c r="L346" i="2"/>
  <c r="N346" i="2"/>
  <c r="O346" i="2"/>
  <c r="Q346" i="2"/>
  <c r="R346" i="2"/>
  <c r="S346" i="2"/>
  <c r="E347" i="2"/>
  <c r="F347" i="2"/>
  <c r="G347" i="2"/>
  <c r="H347" i="2"/>
  <c r="I347" i="2"/>
  <c r="J347" i="2"/>
  <c r="M347" i="2" s="1"/>
  <c r="K347" i="2"/>
  <c r="L347" i="2"/>
  <c r="N347" i="2"/>
  <c r="O347" i="2"/>
  <c r="Q347" i="2"/>
  <c r="R347" i="2"/>
  <c r="S347" i="2"/>
  <c r="E348" i="2"/>
  <c r="F348" i="2"/>
  <c r="G348" i="2"/>
  <c r="H348" i="2"/>
  <c r="I348" i="2"/>
  <c r="J348" i="2"/>
  <c r="K348" i="2"/>
  <c r="L348" i="2"/>
  <c r="N348" i="2"/>
  <c r="O348" i="2"/>
  <c r="Q348" i="2"/>
  <c r="R348" i="2"/>
  <c r="S348" i="2"/>
  <c r="E349" i="2"/>
  <c r="F349" i="2"/>
  <c r="G349" i="2"/>
  <c r="H349" i="2"/>
  <c r="I349" i="2"/>
  <c r="J349" i="2"/>
  <c r="K349" i="2"/>
  <c r="L349" i="2"/>
  <c r="N349" i="2"/>
  <c r="O349" i="2"/>
  <c r="P349" i="2"/>
  <c r="Q349" i="2"/>
  <c r="R349" i="2"/>
  <c r="S349" i="2"/>
  <c r="E350" i="2"/>
  <c r="F350" i="2"/>
  <c r="G350" i="2"/>
  <c r="H350" i="2"/>
  <c r="I350" i="2"/>
  <c r="J350" i="2"/>
  <c r="K350" i="2"/>
  <c r="L350" i="2"/>
  <c r="M350" i="2"/>
  <c r="N350" i="2"/>
  <c r="O350" i="2"/>
  <c r="Q350" i="2"/>
  <c r="R350" i="2"/>
  <c r="S350" i="2"/>
  <c r="E351" i="2"/>
  <c r="F351" i="2"/>
  <c r="G351" i="2"/>
  <c r="H351" i="2"/>
  <c r="I351" i="2"/>
  <c r="J351" i="2"/>
  <c r="M351" i="2" s="1"/>
  <c r="K351" i="2"/>
  <c r="L351" i="2"/>
  <c r="N351" i="2"/>
  <c r="O351" i="2"/>
  <c r="Q351" i="2"/>
  <c r="R351" i="2"/>
  <c r="S351" i="2"/>
  <c r="E352" i="2"/>
  <c r="F352" i="2"/>
  <c r="G352" i="2"/>
  <c r="H352" i="2"/>
  <c r="I352" i="2"/>
  <c r="J352" i="2"/>
  <c r="K352" i="2"/>
  <c r="L352" i="2"/>
  <c r="N352" i="2"/>
  <c r="O352" i="2"/>
  <c r="P352" i="2"/>
  <c r="Q352" i="2"/>
  <c r="R352" i="2"/>
  <c r="S352" i="2"/>
  <c r="E353" i="2"/>
  <c r="F353" i="2"/>
  <c r="G353" i="2"/>
  <c r="H353" i="2"/>
  <c r="I353" i="2"/>
  <c r="J353" i="2"/>
  <c r="K353" i="2"/>
  <c r="L353" i="2"/>
  <c r="M353" i="2"/>
  <c r="N353" i="2"/>
  <c r="O353" i="2"/>
  <c r="Q353" i="2"/>
  <c r="R353" i="2"/>
  <c r="S353" i="2"/>
  <c r="E354" i="2"/>
  <c r="F354" i="2"/>
  <c r="G354" i="2"/>
  <c r="H354" i="2"/>
  <c r="I354" i="2"/>
  <c r="J354" i="2"/>
  <c r="M354" i="2" s="1"/>
  <c r="K354" i="2"/>
  <c r="L354" i="2"/>
  <c r="N354" i="2"/>
  <c r="O354" i="2"/>
  <c r="Q354" i="2"/>
  <c r="R354" i="2"/>
  <c r="S354" i="2"/>
  <c r="E355" i="2"/>
  <c r="F355" i="2"/>
  <c r="G355" i="2"/>
  <c r="H355" i="2"/>
  <c r="I355" i="2"/>
  <c r="J355" i="2"/>
  <c r="M355" i="2" s="1"/>
  <c r="K355" i="2"/>
  <c r="L355" i="2"/>
  <c r="N355" i="2"/>
  <c r="O355" i="2"/>
  <c r="Q355" i="2"/>
  <c r="R355" i="2"/>
  <c r="S355" i="2"/>
  <c r="E356" i="2"/>
  <c r="F356" i="2"/>
  <c r="G356" i="2"/>
  <c r="H356" i="2"/>
  <c r="I356" i="2"/>
  <c r="J356" i="2"/>
  <c r="K356" i="2"/>
  <c r="L356" i="2"/>
  <c r="N356" i="2"/>
  <c r="O356" i="2"/>
  <c r="Q356" i="2"/>
  <c r="R356" i="2"/>
  <c r="S356" i="2"/>
  <c r="E357" i="2"/>
  <c r="F357" i="2"/>
  <c r="G357" i="2"/>
  <c r="H357" i="2"/>
  <c r="I357" i="2"/>
  <c r="J357" i="2"/>
  <c r="K357" i="2"/>
  <c r="L357" i="2"/>
  <c r="N357" i="2"/>
  <c r="O357" i="2"/>
  <c r="P357" i="2" s="1"/>
  <c r="Q357" i="2"/>
  <c r="R357" i="2"/>
  <c r="S357" i="2"/>
  <c r="E358" i="2"/>
  <c r="F358" i="2"/>
  <c r="G358" i="2"/>
  <c r="H358" i="2"/>
  <c r="I358" i="2"/>
  <c r="J358" i="2"/>
  <c r="K358" i="2"/>
  <c r="L358" i="2"/>
  <c r="N358" i="2"/>
  <c r="O358" i="2"/>
  <c r="Q358" i="2"/>
  <c r="R358" i="2"/>
  <c r="S358" i="2"/>
  <c r="E359" i="2"/>
  <c r="F359" i="2"/>
  <c r="G359" i="2"/>
  <c r="H359" i="2"/>
  <c r="I359" i="2"/>
  <c r="J359" i="2"/>
  <c r="K359" i="2"/>
  <c r="L359" i="2"/>
  <c r="M359" i="2"/>
  <c r="N359" i="2"/>
  <c r="O359" i="2"/>
  <c r="Q359" i="2"/>
  <c r="R359" i="2"/>
  <c r="S359" i="2"/>
  <c r="E360" i="2"/>
  <c r="F360" i="2"/>
  <c r="G360" i="2"/>
  <c r="H360" i="2"/>
  <c r="I360" i="2"/>
  <c r="J360" i="2"/>
  <c r="K360" i="2"/>
  <c r="L360" i="2"/>
  <c r="N360" i="2"/>
  <c r="O360" i="2"/>
  <c r="P360" i="2"/>
  <c r="Q360" i="2"/>
  <c r="R360" i="2"/>
  <c r="S360" i="2"/>
  <c r="E361" i="2"/>
  <c r="F361" i="2"/>
  <c r="G361" i="2"/>
  <c r="H361" i="2"/>
  <c r="I361" i="2"/>
  <c r="J361" i="2"/>
  <c r="K361" i="2"/>
  <c r="L361" i="2"/>
  <c r="M361" i="2"/>
  <c r="N361" i="2"/>
  <c r="O361" i="2"/>
  <c r="Q361" i="2"/>
  <c r="R361" i="2"/>
  <c r="S361" i="2"/>
  <c r="E362" i="2"/>
  <c r="F362" i="2"/>
  <c r="G362" i="2"/>
  <c r="H362" i="2"/>
  <c r="I362" i="2"/>
  <c r="J362" i="2"/>
  <c r="M362" i="2" s="1"/>
  <c r="K362" i="2"/>
  <c r="L362" i="2"/>
  <c r="N362" i="2"/>
  <c r="O362" i="2"/>
  <c r="Q362" i="2"/>
  <c r="R362" i="2"/>
  <c r="S362" i="2"/>
  <c r="E363" i="2"/>
  <c r="F363" i="2"/>
  <c r="G363" i="2"/>
  <c r="H363" i="2"/>
  <c r="I363" i="2"/>
  <c r="J363" i="2"/>
  <c r="M363" i="2" s="1"/>
  <c r="K363" i="2"/>
  <c r="L363" i="2"/>
  <c r="N363" i="2"/>
  <c r="O363" i="2"/>
  <c r="Q363" i="2"/>
  <c r="R363" i="2"/>
  <c r="S363" i="2"/>
  <c r="E364" i="2"/>
  <c r="F364" i="2"/>
  <c r="G364" i="2"/>
  <c r="H364" i="2"/>
  <c r="I364" i="2"/>
  <c r="J364" i="2"/>
  <c r="K364" i="2"/>
  <c r="L364" i="2"/>
  <c r="N364" i="2"/>
  <c r="O364" i="2"/>
  <c r="Q364" i="2"/>
  <c r="R364" i="2"/>
  <c r="S364" i="2"/>
  <c r="E365" i="2"/>
  <c r="F365" i="2"/>
  <c r="G365" i="2"/>
  <c r="H365" i="2"/>
  <c r="I365" i="2"/>
  <c r="J365" i="2"/>
  <c r="K365" i="2"/>
  <c r="L365" i="2"/>
  <c r="N365" i="2"/>
  <c r="O365" i="2"/>
  <c r="Q365" i="2"/>
  <c r="R365" i="2"/>
  <c r="S365" i="2"/>
  <c r="E366" i="2"/>
  <c r="F366" i="2"/>
  <c r="G366" i="2"/>
  <c r="H366" i="2"/>
  <c r="M366" i="2" s="1"/>
  <c r="I366" i="2"/>
  <c r="J366" i="2"/>
  <c r="K366" i="2"/>
  <c r="L366" i="2"/>
  <c r="N366" i="2"/>
  <c r="O366" i="2"/>
  <c r="P366" i="2"/>
  <c r="Q366" i="2"/>
  <c r="R366" i="2"/>
  <c r="S366" i="2"/>
  <c r="E367" i="2"/>
  <c r="F367" i="2"/>
  <c r="G367" i="2"/>
  <c r="H367" i="2"/>
  <c r="I367" i="2"/>
  <c r="J367" i="2"/>
  <c r="K367" i="2"/>
  <c r="L367" i="2"/>
  <c r="M367" i="2"/>
  <c r="N367" i="2"/>
  <c r="O367" i="2"/>
  <c r="Q367" i="2"/>
  <c r="R367" i="2"/>
  <c r="S367" i="2"/>
  <c r="E368" i="2"/>
  <c r="F368" i="2"/>
  <c r="G368" i="2"/>
  <c r="H368" i="2"/>
  <c r="I368" i="2"/>
  <c r="J368" i="2"/>
  <c r="K368" i="2"/>
  <c r="L368" i="2"/>
  <c r="N368" i="2"/>
  <c r="O368" i="2"/>
  <c r="P368" i="2"/>
  <c r="Q368" i="2"/>
  <c r="R368" i="2"/>
  <c r="S368" i="2"/>
  <c r="E369" i="2"/>
  <c r="F369" i="2"/>
  <c r="G369" i="2"/>
  <c r="H369" i="2"/>
  <c r="I369" i="2"/>
  <c r="J369" i="2"/>
  <c r="K369" i="2"/>
  <c r="L369" i="2"/>
  <c r="M369" i="2"/>
  <c r="N369" i="2"/>
  <c r="O369" i="2"/>
  <c r="Q369" i="2"/>
  <c r="R369" i="2"/>
  <c r="S369" i="2"/>
  <c r="E370" i="2"/>
  <c r="F370" i="2"/>
  <c r="G370" i="2"/>
  <c r="H370" i="2"/>
  <c r="I370" i="2"/>
  <c r="J370" i="2"/>
  <c r="M370" i="2" s="1"/>
  <c r="K370" i="2"/>
  <c r="L370" i="2"/>
  <c r="N370" i="2"/>
  <c r="O370" i="2"/>
  <c r="Q370" i="2"/>
  <c r="R370" i="2"/>
  <c r="S370" i="2"/>
  <c r="E371" i="2"/>
  <c r="F371" i="2"/>
  <c r="G371" i="2"/>
  <c r="H371" i="2"/>
  <c r="I371" i="2"/>
  <c r="J371" i="2"/>
  <c r="M371" i="2" s="1"/>
  <c r="K371" i="2"/>
  <c r="L371" i="2"/>
  <c r="N371" i="2"/>
  <c r="O371" i="2"/>
  <c r="Q371" i="2"/>
  <c r="R371" i="2"/>
  <c r="S371" i="2"/>
  <c r="E372" i="2"/>
  <c r="F372" i="2"/>
  <c r="G372" i="2"/>
  <c r="H372" i="2"/>
  <c r="I372" i="2"/>
  <c r="J372" i="2"/>
  <c r="K372" i="2"/>
  <c r="L372" i="2"/>
  <c r="N372" i="2"/>
  <c r="O372" i="2"/>
  <c r="Q372" i="2"/>
  <c r="R372" i="2"/>
  <c r="S372" i="2"/>
  <c r="E373" i="2"/>
  <c r="F373" i="2"/>
  <c r="G373" i="2"/>
  <c r="H373" i="2"/>
  <c r="I373" i="2"/>
  <c r="J373" i="2"/>
  <c r="K373" i="2"/>
  <c r="L373" i="2"/>
  <c r="N373" i="2"/>
  <c r="O373" i="2"/>
  <c r="P373" i="2" s="1"/>
  <c r="Q373" i="2"/>
  <c r="R373" i="2"/>
  <c r="S373" i="2"/>
  <c r="E374" i="2"/>
  <c r="F374" i="2"/>
  <c r="G374" i="2"/>
  <c r="H374" i="2"/>
  <c r="I374" i="2"/>
  <c r="J374" i="2"/>
  <c r="K374" i="2"/>
  <c r="L374" i="2"/>
  <c r="N374" i="2"/>
  <c r="O374" i="2"/>
  <c r="P374" i="2"/>
  <c r="Q374" i="2"/>
  <c r="R374" i="2"/>
  <c r="S374" i="2"/>
  <c r="E375" i="2"/>
  <c r="F375" i="2"/>
  <c r="G375" i="2"/>
  <c r="H375" i="2"/>
  <c r="I375" i="2"/>
  <c r="J375" i="2"/>
  <c r="K375" i="2"/>
  <c r="L375" i="2"/>
  <c r="M375" i="2"/>
  <c r="N375" i="2"/>
  <c r="O375" i="2"/>
  <c r="Q375" i="2"/>
  <c r="R375" i="2"/>
  <c r="S375" i="2"/>
  <c r="E376" i="2"/>
  <c r="F376" i="2"/>
  <c r="G376" i="2"/>
  <c r="H376" i="2"/>
  <c r="I376" i="2"/>
  <c r="J376" i="2"/>
  <c r="K376" i="2"/>
  <c r="L376" i="2"/>
  <c r="N376" i="2"/>
  <c r="O376" i="2"/>
  <c r="P376" i="2"/>
  <c r="Q376" i="2"/>
  <c r="R376" i="2"/>
  <c r="S376" i="2"/>
  <c r="E377" i="2"/>
  <c r="F377" i="2"/>
  <c r="G377" i="2"/>
  <c r="H377" i="2"/>
  <c r="I377" i="2"/>
  <c r="J377" i="2"/>
  <c r="K377" i="2"/>
  <c r="L377" i="2"/>
  <c r="M377" i="2"/>
  <c r="N377" i="2"/>
  <c r="O377" i="2"/>
  <c r="Q377" i="2"/>
  <c r="R377" i="2"/>
  <c r="S377" i="2"/>
  <c r="E378" i="2"/>
  <c r="F378" i="2"/>
  <c r="G378" i="2"/>
  <c r="H378" i="2"/>
  <c r="I378" i="2"/>
  <c r="J378" i="2"/>
  <c r="M378" i="2" s="1"/>
  <c r="K378" i="2"/>
  <c r="L378" i="2"/>
  <c r="N378" i="2"/>
  <c r="O378" i="2"/>
  <c r="Q378" i="2"/>
  <c r="R378" i="2"/>
  <c r="S378" i="2"/>
  <c r="E379" i="2"/>
  <c r="F379" i="2"/>
  <c r="G379" i="2"/>
  <c r="H379" i="2"/>
  <c r="I379" i="2"/>
  <c r="J379" i="2"/>
  <c r="M379" i="2" s="1"/>
  <c r="K379" i="2"/>
  <c r="L379" i="2"/>
  <c r="N379" i="2"/>
  <c r="O379" i="2"/>
  <c r="Q379" i="2"/>
  <c r="R379" i="2"/>
  <c r="S379" i="2"/>
  <c r="E380" i="2"/>
  <c r="F380" i="2"/>
  <c r="G380" i="2"/>
  <c r="H380" i="2"/>
  <c r="I380" i="2"/>
  <c r="J380" i="2"/>
  <c r="K380" i="2"/>
  <c r="L380" i="2"/>
  <c r="N380" i="2"/>
  <c r="O380" i="2"/>
  <c r="Q380" i="2"/>
  <c r="R380" i="2"/>
  <c r="S380" i="2"/>
  <c r="E381" i="2"/>
  <c r="F381" i="2"/>
  <c r="G381" i="2"/>
  <c r="H381" i="2"/>
  <c r="I381" i="2"/>
  <c r="J381" i="2"/>
  <c r="K381" i="2"/>
  <c r="L381" i="2"/>
  <c r="N381" i="2"/>
  <c r="O381" i="2"/>
  <c r="Q381" i="2"/>
  <c r="R381" i="2"/>
  <c r="S381" i="2"/>
  <c r="E382" i="2"/>
  <c r="F382" i="2"/>
  <c r="G382" i="2"/>
  <c r="H382" i="2"/>
  <c r="M382" i="2" s="1"/>
  <c r="I382" i="2"/>
  <c r="J382" i="2"/>
  <c r="K382" i="2"/>
  <c r="L382" i="2"/>
  <c r="N382" i="2"/>
  <c r="O382" i="2"/>
  <c r="P382" i="2"/>
  <c r="Q382" i="2"/>
  <c r="R382" i="2"/>
  <c r="S382" i="2"/>
  <c r="E383" i="2"/>
  <c r="F383" i="2"/>
  <c r="G383" i="2"/>
  <c r="H383" i="2"/>
  <c r="I383" i="2"/>
  <c r="J383" i="2"/>
  <c r="K383" i="2"/>
  <c r="L383" i="2"/>
  <c r="M383" i="2"/>
  <c r="N383" i="2"/>
  <c r="O383" i="2"/>
  <c r="Q383" i="2"/>
  <c r="R383" i="2"/>
  <c r="S383" i="2"/>
  <c r="E384" i="2"/>
  <c r="F384" i="2"/>
  <c r="G384" i="2"/>
  <c r="H384" i="2"/>
  <c r="I384" i="2"/>
  <c r="J384" i="2"/>
  <c r="K384" i="2"/>
  <c r="L384" i="2"/>
  <c r="N384" i="2"/>
  <c r="O384" i="2"/>
  <c r="P384" i="2"/>
  <c r="Q384" i="2"/>
  <c r="R384" i="2"/>
  <c r="S384" i="2"/>
  <c r="E385" i="2"/>
  <c r="F385" i="2"/>
  <c r="G385" i="2"/>
  <c r="H385" i="2"/>
  <c r="I385" i="2"/>
  <c r="J385" i="2"/>
  <c r="K385" i="2"/>
  <c r="L385" i="2"/>
  <c r="M385" i="2"/>
  <c r="N385" i="2"/>
  <c r="O385" i="2"/>
  <c r="Q385" i="2"/>
  <c r="R385" i="2"/>
  <c r="S385" i="2"/>
  <c r="E386" i="2"/>
  <c r="F386" i="2"/>
  <c r="G386" i="2"/>
  <c r="H386" i="2"/>
  <c r="I386" i="2"/>
  <c r="J386" i="2"/>
  <c r="M386" i="2" s="1"/>
  <c r="K386" i="2"/>
  <c r="L386" i="2"/>
  <c r="N386" i="2"/>
  <c r="O386" i="2"/>
  <c r="Q386" i="2"/>
  <c r="R386" i="2"/>
  <c r="S386" i="2"/>
  <c r="E387" i="2"/>
  <c r="F387" i="2"/>
  <c r="G387" i="2"/>
  <c r="H387" i="2"/>
  <c r="I387" i="2"/>
  <c r="J387" i="2"/>
  <c r="M387" i="2" s="1"/>
  <c r="K387" i="2"/>
  <c r="L387" i="2"/>
  <c r="N387" i="2"/>
  <c r="O387" i="2"/>
  <c r="Q387" i="2"/>
  <c r="R387" i="2"/>
  <c r="S387" i="2"/>
  <c r="E388" i="2"/>
  <c r="F388" i="2"/>
  <c r="G388" i="2"/>
  <c r="H388" i="2"/>
  <c r="I388" i="2"/>
  <c r="J388" i="2"/>
  <c r="K388" i="2"/>
  <c r="L388" i="2"/>
  <c r="N388" i="2"/>
  <c r="O388" i="2"/>
  <c r="Q388" i="2"/>
  <c r="R388" i="2"/>
  <c r="S388" i="2"/>
  <c r="E389" i="2"/>
  <c r="F389" i="2"/>
  <c r="G389" i="2"/>
  <c r="H389" i="2"/>
  <c r="I389" i="2"/>
  <c r="J389" i="2"/>
  <c r="K389" i="2"/>
  <c r="L389" i="2"/>
  <c r="N389" i="2"/>
  <c r="O389" i="2"/>
  <c r="P389" i="2" s="1"/>
  <c r="Q389" i="2"/>
  <c r="R389" i="2"/>
  <c r="S389" i="2"/>
  <c r="E390" i="2"/>
  <c r="F390" i="2"/>
  <c r="G390" i="2"/>
  <c r="H390" i="2"/>
  <c r="I390" i="2"/>
  <c r="J390" i="2"/>
  <c r="K390" i="2"/>
  <c r="L390" i="2"/>
  <c r="N390" i="2"/>
  <c r="O390" i="2"/>
  <c r="P390" i="2"/>
  <c r="Q390" i="2"/>
  <c r="R390" i="2"/>
  <c r="S390" i="2"/>
  <c r="E391" i="2"/>
  <c r="F391" i="2"/>
  <c r="G391" i="2"/>
  <c r="H391" i="2"/>
  <c r="I391" i="2"/>
  <c r="J391" i="2"/>
  <c r="K391" i="2"/>
  <c r="L391" i="2"/>
  <c r="M391" i="2"/>
  <c r="N391" i="2"/>
  <c r="O391" i="2"/>
  <c r="Q391" i="2"/>
  <c r="R391" i="2"/>
  <c r="S391" i="2"/>
  <c r="E392" i="2"/>
  <c r="F392" i="2"/>
  <c r="G392" i="2"/>
  <c r="H392" i="2"/>
  <c r="I392" i="2"/>
  <c r="J392" i="2"/>
  <c r="K392" i="2"/>
  <c r="L392" i="2"/>
  <c r="N392" i="2"/>
  <c r="O392" i="2"/>
  <c r="P392" i="2"/>
  <c r="Q392" i="2"/>
  <c r="R392" i="2"/>
  <c r="S392" i="2"/>
  <c r="E393" i="2"/>
  <c r="F393" i="2"/>
  <c r="G393" i="2"/>
  <c r="H393" i="2"/>
  <c r="I393" i="2"/>
  <c r="J393" i="2"/>
  <c r="K393" i="2"/>
  <c r="L393" i="2"/>
  <c r="M393" i="2"/>
  <c r="N393" i="2"/>
  <c r="O393" i="2"/>
  <c r="Q393" i="2"/>
  <c r="R393" i="2"/>
  <c r="S393" i="2"/>
  <c r="E394" i="2"/>
  <c r="F394" i="2"/>
  <c r="G394" i="2"/>
  <c r="H394" i="2"/>
  <c r="I394" i="2"/>
  <c r="J394" i="2"/>
  <c r="M394" i="2" s="1"/>
  <c r="K394" i="2"/>
  <c r="L394" i="2"/>
  <c r="N394" i="2"/>
  <c r="O394" i="2"/>
  <c r="Q394" i="2"/>
  <c r="R394" i="2"/>
  <c r="S394" i="2"/>
  <c r="E395" i="2"/>
  <c r="F395" i="2"/>
  <c r="G395" i="2"/>
  <c r="H395" i="2"/>
  <c r="I395" i="2"/>
  <c r="J395" i="2"/>
  <c r="M395" i="2" s="1"/>
  <c r="K395" i="2"/>
  <c r="L395" i="2"/>
  <c r="N395" i="2"/>
  <c r="O395" i="2"/>
  <c r="Q395" i="2"/>
  <c r="R395" i="2"/>
  <c r="S395" i="2"/>
  <c r="E396" i="2"/>
  <c r="F396" i="2"/>
  <c r="G396" i="2"/>
  <c r="H396" i="2"/>
  <c r="I396" i="2"/>
  <c r="J396" i="2"/>
  <c r="K396" i="2"/>
  <c r="L396" i="2"/>
  <c r="N396" i="2"/>
  <c r="O396" i="2"/>
  <c r="Q396" i="2"/>
  <c r="R396" i="2"/>
  <c r="S396" i="2"/>
  <c r="E397" i="2"/>
  <c r="F397" i="2"/>
  <c r="G397" i="2"/>
  <c r="H397" i="2"/>
  <c r="I397" i="2"/>
  <c r="J397" i="2"/>
  <c r="K397" i="2"/>
  <c r="L397" i="2"/>
  <c r="N397" i="2"/>
  <c r="O397" i="2"/>
  <c r="Q397" i="2"/>
  <c r="R397" i="2"/>
  <c r="S397" i="2"/>
  <c r="E398" i="2"/>
  <c r="F398" i="2"/>
  <c r="G398" i="2"/>
  <c r="H398" i="2"/>
  <c r="M398" i="2" s="1"/>
  <c r="I398" i="2"/>
  <c r="J398" i="2"/>
  <c r="K398" i="2"/>
  <c r="L398" i="2"/>
  <c r="N398" i="2"/>
  <c r="O398" i="2"/>
  <c r="P398" i="2"/>
  <c r="Q398" i="2"/>
  <c r="R398" i="2"/>
  <c r="S398" i="2"/>
  <c r="E399" i="2"/>
  <c r="F399" i="2"/>
  <c r="G399" i="2"/>
  <c r="H399" i="2"/>
  <c r="I399" i="2"/>
  <c r="J399" i="2"/>
  <c r="K399" i="2"/>
  <c r="L399" i="2"/>
  <c r="M399" i="2"/>
  <c r="N399" i="2"/>
  <c r="O399" i="2"/>
  <c r="Q399" i="2"/>
  <c r="R399" i="2"/>
  <c r="S399" i="2"/>
  <c r="E400" i="2"/>
  <c r="F400" i="2"/>
  <c r="G400" i="2"/>
  <c r="H400" i="2"/>
  <c r="I400" i="2"/>
  <c r="J400" i="2"/>
  <c r="K400" i="2"/>
  <c r="L400" i="2"/>
  <c r="N400" i="2"/>
  <c r="O400" i="2"/>
  <c r="P400" i="2"/>
  <c r="Q400" i="2"/>
  <c r="R400" i="2"/>
  <c r="S400" i="2"/>
  <c r="E401" i="2"/>
  <c r="F401" i="2"/>
  <c r="G401" i="2"/>
  <c r="H401" i="2"/>
  <c r="I401" i="2"/>
  <c r="J401" i="2"/>
  <c r="K401" i="2"/>
  <c r="L401" i="2"/>
  <c r="M401" i="2"/>
  <c r="N401" i="2"/>
  <c r="O401" i="2"/>
  <c r="Q401" i="2"/>
  <c r="R401" i="2"/>
  <c r="S401" i="2"/>
  <c r="E402" i="2"/>
  <c r="F402" i="2"/>
  <c r="G402" i="2"/>
  <c r="H402" i="2"/>
  <c r="I402" i="2"/>
  <c r="J402" i="2"/>
  <c r="M402" i="2" s="1"/>
  <c r="K402" i="2"/>
  <c r="L402" i="2"/>
  <c r="N402" i="2"/>
  <c r="O402" i="2"/>
  <c r="Q402" i="2"/>
  <c r="R402" i="2"/>
  <c r="S402" i="2"/>
  <c r="E403" i="2"/>
  <c r="F403" i="2"/>
  <c r="G403" i="2"/>
  <c r="H403" i="2"/>
  <c r="I403" i="2"/>
  <c r="J403" i="2"/>
  <c r="M403" i="2" s="1"/>
  <c r="K403" i="2"/>
  <c r="L403" i="2"/>
  <c r="N403" i="2"/>
  <c r="O403" i="2"/>
  <c r="Q403" i="2"/>
  <c r="R403" i="2"/>
  <c r="S403" i="2"/>
  <c r="E404" i="2"/>
  <c r="F404" i="2"/>
  <c r="G404" i="2"/>
  <c r="H404" i="2"/>
  <c r="I404" i="2"/>
  <c r="J404" i="2"/>
  <c r="K404" i="2"/>
  <c r="L404" i="2"/>
  <c r="N404" i="2"/>
  <c r="O404" i="2"/>
  <c r="Q404" i="2"/>
  <c r="R404" i="2"/>
  <c r="S404" i="2"/>
  <c r="E405" i="2"/>
  <c r="F405" i="2"/>
  <c r="G405" i="2"/>
  <c r="H405" i="2"/>
  <c r="I405" i="2"/>
  <c r="J405" i="2"/>
  <c r="K405" i="2"/>
  <c r="L405" i="2"/>
  <c r="N405" i="2"/>
  <c r="O405" i="2"/>
  <c r="P405" i="2" s="1"/>
  <c r="Q405" i="2"/>
  <c r="R405" i="2"/>
  <c r="S405" i="2"/>
  <c r="E406" i="2"/>
  <c r="F406" i="2"/>
  <c r="G406" i="2"/>
  <c r="H406" i="2"/>
  <c r="I406" i="2"/>
  <c r="J406" i="2"/>
  <c r="K406" i="2"/>
  <c r="L406" i="2"/>
  <c r="N406" i="2"/>
  <c r="O406" i="2"/>
  <c r="P406" i="2"/>
  <c r="Q406" i="2"/>
  <c r="R406" i="2"/>
  <c r="S406" i="2"/>
  <c r="E407" i="2"/>
  <c r="F407" i="2"/>
  <c r="G407" i="2"/>
  <c r="H407" i="2"/>
  <c r="I407" i="2"/>
  <c r="J407" i="2"/>
  <c r="K407" i="2"/>
  <c r="L407" i="2"/>
  <c r="M407" i="2"/>
  <c r="N407" i="2"/>
  <c r="O407" i="2"/>
  <c r="Q407" i="2"/>
  <c r="R407" i="2"/>
  <c r="S407" i="2"/>
  <c r="E408" i="2"/>
  <c r="F408" i="2"/>
  <c r="G408" i="2"/>
  <c r="H408" i="2"/>
  <c r="I408" i="2"/>
  <c r="J408" i="2"/>
  <c r="K408" i="2"/>
  <c r="L408" i="2"/>
  <c r="N408" i="2"/>
  <c r="O408" i="2"/>
  <c r="P408" i="2"/>
  <c r="Q408" i="2"/>
  <c r="R408" i="2"/>
  <c r="S408" i="2"/>
  <c r="E409" i="2"/>
  <c r="F409" i="2"/>
  <c r="G409" i="2"/>
  <c r="H409" i="2"/>
  <c r="I409" i="2"/>
  <c r="J409" i="2"/>
  <c r="K409" i="2"/>
  <c r="L409" i="2"/>
  <c r="M409" i="2"/>
  <c r="N409" i="2"/>
  <c r="O409" i="2"/>
  <c r="Q409" i="2"/>
  <c r="R409" i="2"/>
  <c r="S409" i="2"/>
  <c r="E410" i="2"/>
  <c r="F410" i="2"/>
  <c r="G410" i="2"/>
  <c r="H410" i="2"/>
  <c r="I410" i="2"/>
  <c r="J410" i="2"/>
  <c r="M410" i="2" s="1"/>
  <c r="K410" i="2"/>
  <c r="L410" i="2"/>
  <c r="N410" i="2"/>
  <c r="O410" i="2"/>
  <c r="Q410" i="2"/>
  <c r="R410" i="2"/>
  <c r="S410" i="2"/>
  <c r="E411" i="2"/>
  <c r="F411" i="2"/>
  <c r="G411" i="2"/>
  <c r="H411" i="2"/>
  <c r="I411" i="2"/>
  <c r="J411" i="2"/>
  <c r="M411" i="2" s="1"/>
  <c r="K411" i="2"/>
  <c r="L411" i="2"/>
  <c r="N411" i="2"/>
  <c r="O411" i="2"/>
  <c r="Q411" i="2"/>
  <c r="R411" i="2"/>
  <c r="S411" i="2"/>
  <c r="E412" i="2"/>
  <c r="F412" i="2"/>
  <c r="G412" i="2"/>
  <c r="H412" i="2"/>
  <c r="I412" i="2"/>
  <c r="J412" i="2"/>
  <c r="K412" i="2"/>
  <c r="L412" i="2"/>
  <c r="N412" i="2"/>
  <c r="O412" i="2"/>
  <c r="Q412" i="2"/>
  <c r="R412" i="2"/>
  <c r="S412" i="2"/>
  <c r="E413" i="2"/>
  <c r="F413" i="2"/>
  <c r="G413" i="2"/>
  <c r="H413" i="2"/>
  <c r="I413" i="2"/>
  <c r="J413" i="2"/>
  <c r="K413" i="2"/>
  <c r="L413" i="2"/>
  <c r="N413" i="2"/>
  <c r="O413" i="2"/>
  <c r="Q413" i="2"/>
  <c r="R413" i="2"/>
  <c r="S413" i="2"/>
  <c r="E414" i="2"/>
  <c r="F414" i="2"/>
  <c r="G414" i="2"/>
  <c r="H414" i="2"/>
  <c r="M414" i="2" s="1"/>
  <c r="I414" i="2"/>
  <c r="J414" i="2"/>
  <c r="K414" i="2"/>
  <c r="L414" i="2"/>
  <c r="N414" i="2"/>
  <c r="O414" i="2"/>
  <c r="P414" i="2"/>
  <c r="Q414" i="2"/>
  <c r="R414" i="2"/>
  <c r="S414" i="2"/>
  <c r="E415" i="2"/>
  <c r="F415" i="2"/>
  <c r="G415" i="2"/>
  <c r="H415" i="2"/>
  <c r="I415" i="2"/>
  <c r="J415" i="2"/>
  <c r="K415" i="2"/>
  <c r="L415" i="2"/>
  <c r="M415" i="2"/>
  <c r="N415" i="2"/>
  <c r="O415" i="2"/>
  <c r="Q415" i="2"/>
  <c r="R415" i="2"/>
  <c r="S415" i="2"/>
  <c r="E416" i="2"/>
  <c r="F416" i="2"/>
  <c r="G416" i="2"/>
  <c r="H416" i="2"/>
  <c r="I416" i="2"/>
  <c r="J416" i="2"/>
  <c r="K416" i="2"/>
  <c r="L416" i="2"/>
  <c r="N416" i="2"/>
  <c r="O416" i="2"/>
  <c r="P416" i="2"/>
  <c r="Q416" i="2"/>
  <c r="R416" i="2"/>
  <c r="S416" i="2"/>
  <c r="E417" i="2"/>
  <c r="F417" i="2"/>
  <c r="G417" i="2"/>
  <c r="H417" i="2"/>
  <c r="I417" i="2"/>
  <c r="J417" i="2"/>
  <c r="K417" i="2"/>
  <c r="L417" i="2"/>
  <c r="M417" i="2"/>
  <c r="N417" i="2"/>
  <c r="O417" i="2"/>
  <c r="Q417" i="2"/>
  <c r="R417" i="2"/>
  <c r="S417" i="2"/>
  <c r="E418" i="2"/>
  <c r="F418" i="2"/>
  <c r="G418" i="2"/>
  <c r="H418" i="2"/>
  <c r="I418" i="2"/>
  <c r="J418" i="2"/>
  <c r="M418" i="2" s="1"/>
  <c r="K418" i="2"/>
  <c r="L418" i="2"/>
  <c r="N418" i="2"/>
  <c r="O418" i="2"/>
  <c r="Q418" i="2"/>
  <c r="R418" i="2"/>
  <c r="S418" i="2"/>
  <c r="E419" i="2"/>
  <c r="F419" i="2"/>
  <c r="G419" i="2"/>
  <c r="H419" i="2"/>
  <c r="I419" i="2"/>
  <c r="J419" i="2"/>
  <c r="M419" i="2" s="1"/>
  <c r="K419" i="2"/>
  <c r="L419" i="2"/>
  <c r="N419" i="2"/>
  <c r="O419" i="2"/>
  <c r="Q419" i="2"/>
  <c r="R419" i="2"/>
  <c r="S419" i="2"/>
  <c r="E420" i="2"/>
  <c r="F420" i="2"/>
  <c r="G420" i="2"/>
  <c r="H420" i="2"/>
  <c r="I420" i="2"/>
  <c r="J420" i="2"/>
  <c r="K420" i="2"/>
  <c r="L420" i="2"/>
  <c r="N420" i="2"/>
  <c r="O420" i="2"/>
  <c r="Q420" i="2"/>
  <c r="R420" i="2"/>
  <c r="S420" i="2"/>
  <c r="E421" i="2"/>
  <c r="F421" i="2"/>
  <c r="G421" i="2"/>
  <c r="H421" i="2"/>
  <c r="I421" i="2"/>
  <c r="J421" i="2"/>
  <c r="K421" i="2"/>
  <c r="L421" i="2"/>
  <c r="N421" i="2"/>
  <c r="O421" i="2"/>
  <c r="P421" i="2" s="1"/>
  <c r="Q421" i="2"/>
  <c r="R421" i="2"/>
  <c r="S421" i="2"/>
  <c r="E422" i="2"/>
  <c r="F422" i="2"/>
  <c r="G422" i="2"/>
  <c r="H422" i="2"/>
  <c r="I422" i="2"/>
  <c r="J422" i="2"/>
  <c r="K422" i="2"/>
  <c r="L422" i="2"/>
  <c r="N422" i="2"/>
  <c r="O422" i="2"/>
  <c r="P422" i="2"/>
  <c r="Q422" i="2"/>
  <c r="R422" i="2"/>
  <c r="S422" i="2"/>
  <c r="E423" i="2"/>
  <c r="F423" i="2"/>
  <c r="G423" i="2"/>
  <c r="H423" i="2"/>
  <c r="I423" i="2"/>
  <c r="J423" i="2"/>
  <c r="K423" i="2"/>
  <c r="L423" i="2"/>
  <c r="M423" i="2"/>
  <c r="N423" i="2"/>
  <c r="O423" i="2"/>
  <c r="Q423" i="2"/>
  <c r="R423" i="2"/>
  <c r="S423" i="2"/>
  <c r="E424" i="2"/>
  <c r="F424" i="2"/>
  <c r="G424" i="2"/>
  <c r="H424" i="2"/>
  <c r="I424" i="2"/>
  <c r="J424" i="2"/>
  <c r="K424" i="2"/>
  <c r="L424" i="2"/>
  <c r="N424" i="2"/>
  <c r="O424" i="2"/>
  <c r="P424" i="2"/>
  <c r="Q424" i="2"/>
  <c r="R424" i="2"/>
  <c r="S424" i="2"/>
  <c r="E425" i="2"/>
  <c r="F425" i="2"/>
  <c r="G425" i="2"/>
  <c r="H425" i="2"/>
  <c r="I425" i="2"/>
  <c r="J425" i="2"/>
  <c r="K425" i="2"/>
  <c r="L425" i="2"/>
  <c r="M425" i="2"/>
  <c r="N425" i="2"/>
  <c r="O425" i="2"/>
  <c r="Q425" i="2"/>
  <c r="R425" i="2"/>
  <c r="S425" i="2"/>
  <c r="E426" i="2"/>
  <c r="F426" i="2"/>
  <c r="G426" i="2"/>
  <c r="H426" i="2"/>
  <c r="I426" i="2"/>
  <c r="J426" i="2"/>
  <c r="M426" i="2" s="1"/>
  <c r="K426" i="2"/>
  <c r="L426" i="2"/>
  <c r="N426" i="2"/>
  <c r="O426" i="2"/>
  <c r="Q426" i="2"/>
  <c r="R426" i="2"/>
  <c r="S426" i="2"/>
  <c r="E427" i="2"/>
  <c r="F427" i="2"/>
  <c r="G427" i="2"/>
  <c r="H427" i="2"/>
  <c r="I427" i="2"/>
  <c r="J427" i="2"/>
  <c r="M427" i="2" s="1"/>
  <c r="K427" i="2"/>
  <c r="L427" i="2"/>
  <c r="N427" i="2"/>
  <c r="O427" i="2"/>
  <c r="Q427" i="2"/>
  <c r="R427" i="2"/>
  <c r="S427" i="2"/>
  <c r="E428" i="2"/>
  <c r="F428" i="2"/>
  <c r="G428" i="2"/>
  <c r="H428" i="2"/>
  <c r="I428" i="2"/>
  <c r="J428" i="2"/>
  <c r="K428" i="2"/>
  <c r="L428" i="2"/>
  <c r="N428" i="2"/>
  <c r="O428" i="2"/>
  <c r="Q428" i="2"/>
  <c r="R428" i="2"/>
  <c r="S428" i="2"/>
  <c r="E429" i="2"/>
  <c r="F429" i="2"/>
  <c r="G429" i="2"/>
  <c r="H429" i="2"/>
  <c r="I429" i="2"/>
  <c r="J429" i="2"/>
  <c r="K429" i="2"/>
  <c r="L429" i="2"/>
  <c r="N429" i="2"/>
  <c r="O429" i="2"/>
  <c r="Q429" i="2"/>
  <c r="R429" i="2"/>
  <c r="S429" i="2"/>
  <c r="E430" i="2"/>
  <c r="F430" i="2"/>
  <c r="G430" i="2"/>
  <c r="H430" i="2"/>
  <c r="M430" i="2" s="1"/>
  <c r="I430" i="2"/>
  <c r="J430" i="2"/>
  <c r="K430" i="2"/>
  <c r="L430" i="2"/>
  <c r="N430" i="2"/>
  <c r="O430" i="2"/>
  <c r="P430" i="2"/>
  <c r="Q430" i="2"/>
  <c r="R430" i="2"/>
  <c r="S430" i="2"/>
  <c r="E431" i="2"/>
  <c r="F431" i="2"/>
  <c r="G431" i="2"/>
  <c r="H431" i="2"/>
  <c r="I431" i="2"/>
  <c r="J431" i="2"/>
  <c r="K431" i="2"/>
  <c r="L431" i="2"/>
  <c r="M431" i="2"/>
  <c r="N431" i="2"/>
  <c r="O431" i="2"/>
  <c r="Q431" i="2"/>
  <c r="R431" i="2"/>
  <c r="S431" i="2"/>
  <c r="E432" i="2"/>
  <c r="F432" i="2"/>
  <c r="G432" i="2"/>
  <c r="H432" i="2"/>
  <c r="I432" i="2"/>
  <c r="J432" i="2"/>
  <c r="K432" i="2"/>
  <c r="L432" i="2"/>
  <c r="N432" i="2"/>
  <c r="O432" i="2"/>
  <c r="P432" i="2"/>
  <c r="Q432" i="2"/>
  <c r="R432" i="2"/>
  <c r="S432" i="2"/>
  <c r="E433" i="2"/>
  <c r="F433" i="2"/>
  <c r="G433" i="2"/>
  <c r="H433" i="2"/>
  <c r="I433" i="2"/>
  <c r="J433" i="2"/>
  <c r="K433" i="2"/>
  <c r="L433" i="2"/>
  <c r="M433" i="2"/>
  <c r="N433" i="2"/>
  <c r="O433" i="2"/>
  <c r="Q433" i="2"/>
  <c r="R433" i="2"/>
  <c r="S433" i="2"/>
  <c r="E434" i="2"/>
  <c r="F434" i="2"/>
  <c r="G434" i="2"/>
  <c r="H434" i="2"/>
  <c r="I434" i="2"/>
  <c r="J434" i="2"/>
  <c r="M434" i="2" s="1"/>
  <c r="K434" i="2"/>
  <c r="L434" i="2"/>
  <c r="N434" i="2"/>
  <c r="O434" i="2"/>
  <c r="Q434" i="2"/>
  <c r="R434" i="2"/>
  <c r="S434" i="2"/>
  <c r="E435" i="2"/>
  <c r="F435" i="2"/>
  <c r="G435" i="2"/>
  <c r="H435" i="2"/>
  <c r="I435" i="2"/>
  <c r="J435" i="2"/>
  <c r="M435" i="2" s="1"/>
  <c r="K435" i="2"/>
  <c r="L435" i="2"/>
  <c r="N435" i="2"/>
  <c r="O435" i="2"/>
  <c r="Q435" i="2"/>
  <c r="R435" i="2"/>
  <c r="S435" i="2"/>
  <c r="E436" i="2"/>
  <c r="F436" i="2"/>
  <c r="G436" i="2"/>
  <c r="H436" i="2"/>
  <c r="I436" i="2"/>
  <c r="J436" i="2"/>
  <c r="K436" i="2"/>
  <c r="L436" i="2"/>
  <c r="N436" i="2"/>
  <c r="O436" i="2"/>
  <c r="Q436" i="2"/>
  <c r="R436" i="2"/>
  <c r="S436" i="2"/>
  <c r="E437" i="2"/>
  <c r="F437" i="2"/>
  <c r="G437" i="2"/>
  <c r="H437" i="2"/>
  <c r="I437" i="2"/>
  <c r="J437" i="2"/>
  <c r="K437" i="2"/>
  <c r="L437" i="2"/>
  <c r="N437" i="2"/>
  <c r="O437" i="2"/>
  <c r="P437" i="2" s="1"/>
  <c r="Q437" i="2"/>
  <c r="R437" i="2"/>
  <c r="S437" i="2"/>
  <c r="E438" i="2"/>
  <c r="F438" i="2"/>
  <c r="G438" i="2"/>
  <c r="H438" i="2"/>
  <c r="I438" i="2"/>
  <c r="J438" i="2"/>
  <c r="K438" i="2"/>
  <c r="L438" i="2"/>
  <c r="N438" i="2"/>
  <c r="O438" i="2"/>
  <c r="P438" i="2"/>
  <c r="Q438" i="2"/>
  <c r="R438" i="2"/>
  <c r="S438" i="2"/>
  <c r="E439" i="2"/>
  <c r="F439" i="2"/>
  <c r="G439" i="2"/>
  <c r="H439" i="2"/>
  <c r="I439" i="2"/>
  <c r="J439" i="2"/>
  <c r="K439" i="2"/>
  <c r="L439" i="2"/>
  <c r="M439" i="2"/>
  <c r="N439" i="2"/>
  <c r="O439" i="2"/>
  <c r="Q439" i="2"/>
  <c r="R439" i="2"/>
  <c r="S439" i="2"/>
  <c r="E440" i="2"/>
  <c r="F440" i="2"/>
  <c r="G440" i="2"/>
  <c r="H440" i="2"/>
  <c r="I440" i="2"/>
  <c r="J440" i="2"/>
  <c r="K440" i="2"/>
  <c r="L440" i="2"/>
  <c r="N440" i="2"/>
  <c r="O440" i="2"/>
  <c r="P440" i="2"/>
  <c r="Q440" i="2"/>
  <c r="R440" i="2"/>
  <c r="S440" i="2"/>
  <c r="E441" i="2"/>
  <c r="F441" i="2"/>
  <c r="G441" i="2"/>
  <c r="H441" i="2"/>
  <c r="I441" i="2"/>
  <c r="J441" i="2"/>
  <c r="K441" i="2"/>
  <c r="L441" i="2"/>
  <c r="M441" i="2"/>
  <c r="N441" i="2"/>
  <c r="O441" i="2"/>
  <c r="Q441" i="2"/>
  <c r="R441" i="2"/>
  <c r="S441" i="2"/>
  <c r="E442" i="2"/>
  <c r="F442" i="2"/>
  <c r="G442" i="2"/>
  <c r="H442" i="2"/>
  <c r="I442" i="2"/>
  <c r="J442" i="2"/>
  <c r="M442" i="2" s="1"/>
  <c r="K442" i="2"/>
  <c r="L442" i="2"/>
  <c r="N442" i="2"/>
  <c r="O442" i="2"/>
  <c r="Q442" i="2"/>
  <c r="R442" i="2"/>
  <c r="S442" i="2"/>
  <c r="E443" i="2"/>
  <c r="F443" i="2"/>
  <c r="G443" i="2"/>
  <c r="H443" i="2"/>
  <c r="I443" i="2"/>
  <c r="J443" i="2"/>
  <c r="M443" i="2" s="1"/>
  <c r="K443" i="2"/>
  <c r="L443" i="2"/>
  <c r="N443" i="2"/>
  <c r="O443" i="2"/>
  <c r="Q443" i="2"/>
  <c r="R443" i="2"/>
  <c r="S443" i="2"/>
  <c r="E444" i="2"/>
  <c r="F444" i="2"/>
  <c r="G444" i="2"/>
  <c r="H444" i="2"/>
  <c r="I444" i="2"/>
  <c r="J444" i="2"/>
  <c r="K444" i="2"/>
  <c r="L444" i="2"/>
  <c r="N444" i="2"/>
  <c r="O444" i="2"/>
  <c r="Q444" i="2"/>
  <c r="R444" i="2"/>
  <c r="S444" i="2"/>
  <c r="E445" i="2"/>
  <c r="F445" i="2"/>
  <c r="G445" i="2"/>
  <c r="H445" i="2"/>
  <c r="I445" i="2"/>
  <c r="J445" i="2"/>
  <c r="K445" i="2"/>
  <c r="L445" i="2"/>
  <c r="N445" i="2"/>
  <c r="O445" i="2"/>
  <c r="Q445" i="2"/>
  <c r="R445" i="2"/>
  <c r="S445" i="2"/>
  <c r="E446" i="2"/>
  <c r="F446" i="2"/>
  <c r="G446" i="2"/>
  <c r="H446" i="2"/>
  <c r="M446" i="2" s="1"/>
  <c r="I446" i="2"/>
  <c r="J446" i="2"/>
  <c r="K446" i="2"/>
  <c r="L446" i="2"/>
  <c r="N446" i="2"/>
  <c r="O446" i="2"/>
  <c r="P446" i="2"/>
  <c r="Q446" i="2"/>
  <c r="R446" i="2"/>
  <c r="S446" i="2"/>
  <c r="E447" i="2"/>
  <c r="F447" i="2"/>
  <c r="G447" i="2"/>
  <c r="H447" i="2"/>
  <c r="I447" i="2"/>
  <c r="J447" i="2"/>
  <c r="K447" i="2"/>
  <c r="L447" i="2"/>
  <c r="M447" i="2"/>
  <c r="N447" i="2"/>
  <c r="O447" i="2"/>
  <c r="Q447" i="2"/>
  <c r="R447" i="2"/>
  <c r="S447" i="2"/>
  <c r="E448" i="2"/>
  <c r="F448" i="2"/>
  <c r="G448" i="2"/>
  <c r="H448" i="2"/>
  <c r="I448" i="2"/>
  <c r="J448" i="2"/>
  <c r="K448" i="2"/>
  <c r="L448" i="2"/>
  <c r="N448" i="2"/>
  <c r="O448" i="2"/>
  <c r="P448" i="2"/>
  <c r="Q448" i="2"/>
  <c r="R448" i="2"/>
  <c r="S448" i="2"/>
  <c r="E449" i="2"/>
  <c r="F449" i="2"/>
  <c r="G449" i="2"/>
  <c r="H449" i="2"/>
  <c r="I449" i="2"/>
  <c r="J449" i="2"/>
  <c r="K449" i="2"/>
  <c r="L449" i="2"/>
  <c r="M449" i="2"/>
  <c r="N449" i="2"/>
  <c r="O449" i="2"/>
  <c r="Q449" i="2"/>
  <c r="R449" i="2"/>
  <c r="S449" i="2"/>
  <c r="E450" i="2"/>
  <c r="F450" i="2"/>
  <c r="G450" i="2"/>
  <c r="H450" i="2"/>
  <c r="I450" i="2"/>
  <c r="J450" i="2"/>
  <c r="M450" i="2" s="1"/>
  <c r="K450" i="2"/>
  <c r="L450" i="2"/>
  <c r="N450" i="2"/>
  <c r="O450" i="2"/>
  <c r="Q450" i="2"/>
  <c r="R450" i="2"/>
  <c r="S450" i="2"/>
  <c r="E451" i="2"/>
  <c r="F451" i="2"/>
  <c r="G451" i="2"/>
  <c r="H451" i="2"/>
  <c r="I451" i="2"/>
  <c r="J451" i="2"/>
  <c r="M451" i="2" s="1"/>
  <c r="K451" i="2"/>
  <c r="L451" i="2"/>
  <c r="N451" i="2"/>
  <c r="O451" i="2"/>
  <c r="Q451" i="2"/>
  <c r="R451" i="2"/>
  <c r="S451" i="2"/>
  <c r="E452" i="2"/>
  <c r="F452" i="2"/>
  <c r="G452" i="2"/>
  <c r="H452" i="2"/>
  <c r="I452" i="2"/>
  <c r="J452" i="2"/>
  <c r="K452" i="2"/>
  <c r="L452" i="2"/>
  <c r="N452" i="2"/>
  <c r="O452" i="2"/>
  <c r="Q452" i="2"/>
  <c r="R452" i="2"/>
  <c r="S452" i="2"/>
  <c r="E453" i="2"/>
  <c r="F453" i="2"/>
  <c r="G453" i="2"/>
  <c r="H453" i="2"/>
  <c r="I453" i="2"/>
  <c r="J453" i="2"/>
  <c r="K453" i="2"/>
  <c r="L453" i="2"/>
  <c r="N453" i="2"/>
  <c r="O453" i="2"/>
  <c r="P453" i="2" s="1"/>
  <c r="Q453" i="2"/>
  <c r="R453" i="2"/>
  <c r="S453" i="2"/>
  <c r="E454" i="2"/>
  <c r="F454" i="2"/>
  <c r="G454" i="2"/>
  <c r="H454" i="2"/>
  <c r="I454" i="2"/>
  <c r="J454" i="2"/>
  <c r="K454" i="2"/>
  <c r="L454" i="2"/>
  <c r="N454" i="2"/>
  <c r="O454" i="2"/>
  <c r="P454" i="2"/>
  <c r="Q454" i="2"/>
  <c r="R454" i="2"/>
  <c r="S454" i="2"/>
  <c r="E455" i="2"/>
  <c r="F455" i="2"/>
  <c r="G455" i="2"/>
  <c r="H455" i="2"/>
  <c r="I455" i="2"/>
  <c r="J455" i="2"/>
  <c r="K455" i="2"/>
  <c r="L455" i="2"/>
  <c r="M455" i="2"/>
  <c r="N455" i="2"/>
  <c r="O455" i="2"/>
  <c r="Q455" i="2"/>
  <c r="R455" i="2"/>
  <c r="S455" i="2"/>
  <c r="E456" i="2"/>
  <c r="F456" i="2"/>
  <c r="G456" i="2"/>
  <c r="H456" i="2"/>
  <c r="I456" i="2"/>
  <c r="J456" i="2"/>
  <c r="K456" i="2"/>
  <c r="L456" i="2"/>
  <c r="N456" i="2"/>
  <c r="O456" i="2"/>
  <c r="P456" i="2"/>
  <c r="Q456" i="2"/>
  <c r="R456" i="2"/>
  <c r="S456" i="2"/>
  <c r="E457" i="2"/>
  <c r="F457" i="2"/>
  <c r="G457" i="2"/>
  <c r="H457" i="2"/>
  <c r="I457" i="2"/>
  <c r="J457" i="2"/>
  <c r="K457" i="2"/>
  <c r="L457" i="2"/>
  <c r="M457" i="2"/>
  <c r="N457" i="2"/>
  <c r="O457" i="2"/>
  <c r="Q457" i="2"/>
  <c r="R457" i="2"/>
  <c r="S457" i="2"/>
  <c r="E458" i="2"/>
  <c r="F458" i="2"/>
  <c r="G458" i="2"/>
  <c r="H458" i="2"/>
  <c r="I458" i="2"/>
  <c r="J458" i="2"/>
  <c r="M458" i="2" s="1"/>
  <c r="K458" i="2"/>
  <c r="L458" i="2"/>
  <c r="N458" i="2"/>
  <c r="O458" i="2"/>
  <c r="Q458" i="2"/>
  <c r="R458" i="2"/>
  <c r="S458" i="2"/>
  <c r="E459" i="2"/>
  <c r="F459" i="2"/>
  <c r="G459" i="2"/>
  <c r="H459" i="2"/>
  <c r="I459" i="2"/>
  <c r="J459" i="2"/>
  <c r="M459" i="2" s="1"/>
  <c r="K459" i="2"/>
  <c r="L459" i="2"/>
  <c r="N459" i="2"/>
  <c r="O459" i="2"/>
  <c r="Q459" i="2"/>
  <c r="R459" i="2"/>
  <c r="S459" i="2"/>
  <c r="E460" i="2"/>
  <c r="F460" i="2"/>
  <c r="G460" i="2"/>
  <c r="H460" i="2"/>
  <c r="I460" i="2"/>
  <c r="J460" i="2"/>
  <c r="K460" i="2"/>
  <c r="L460" i="2"/>
  <c r="N460" i="2"/>
  <c r="O460" i="2"/>
  <c r="Q460" i="2"/>
  <c r="R460" i="2"/>
  <c r="S460" i="2"/>
  <c r="E461" i="2"/>
  <c r="F461" i="2"/>
  <c r="G461" i="2"/>
  <c r="H461" i="2"/>
  <c r="I461" i="2"/>
  <c r="J461" i="2"/>
  <c r="K461" i="2"/>
  <c r="L461" i="2"/>
  <c r="N461" i="2"/>
  <c r="O461" i="2"/>
  <c r="Q461" i="2"/>
  <c r="R461" i="2"/>
  <c r="S461" i="2"/>
  <c r="E462" i="2"/>
  <c r="F462" i="2"/>
  <c r="G462" i="2"/>
  <c r="H462" i="2"/>
  <c r="M462" i="2" s="1"/>
  <c r="I462" i="2"/>
  <c r="J462" i="2"/>
  <c r="K462" i="2"/>
  <c r="L462" i="2"/>
  <c r="N462" i="2"/>
  <c r="O462" i="2"/>
  <c r="P462" i="2"/>
  <c r="Q462" i="2"/>
  <c r="R462" i="2"/>
  <c r="S462" i="2"/>
  <c r="E463" i="2"/>
  <c r="F463" i="2"/>
  <c r="G463" i="2"/>
  <c r="H463" i="2"/>
  <c r="I463" i="2"/>
  <c r="J463" i="2"/>
  <c r="K463" i="2"/>
  <c r="L463" i="2"/>
  <c r="M463" i="2"/>
  <c r="N463" i="2"/>
  <c r="O463" i="2"/>
  <c r="Q463" i="2"/>
  <c r="R463" i="2"/>
  <c r="S463" i="2"/>
  <c r="E464" i="2"/>
  <c r="F464" i="2"/>
  <c r="G464" i="2"/>
  <c r="H464" i="2"/>
  <c r="I464" i="2"/>
  <c r="J464" i="2"/>
  <c r="K464" i="2"/>
  <c r="L464" i="2"/>
  <c r="N464" i="2"/>
  <c r="O464" i="2"/>
  <c r="P464" i="2"/>
  <c r="Q464" i="2"/>
  <c r="R464" i="2"/>
  <c r="S464" i="2"/>
  <c r="E465" i="2"/>
  <c r="F465" i="2"/>
  <c r="G465" i="2"/>
  <c r="H465" i="2"/>
  <c r="I465" i="2"/>
  <c r="J465" i="2"/>
  <c r="K465" i="2"/>
  <c r="L465" i="2"/>
  <c r="M465" i="2"/>
  <c r="N465" i="2"/>
  <c r="O465" i="2"/>
  <c r="Q465" i="2"/>
  <c r="R465" i="2"/>
  <c r="S465" i="2"/>
  <c r="E466" i="2"/>
  <c r="F466" i="2"/>
  <c r="G466" i="2"/>
  <c r="H466" i="2"/>
  <c r="I466" i="2"/>
  <c r="J466" i="2"/>
  <c r="M466" i="2" s="1"/>
  <c r="K466" i="2"/>
  <c r="L466" i="2"/>
  <c r="N466" i="2"/>
  <c r="O466" i="2"/>
  <c r="Q466" i="2"/>
  <c r="R466" i="2"/>
  <c r="S466" i="2"/>
  <c r="E467" i="2"/>
  <c r="F467" i="2"/>
  <c r="G467" i="2"/>
  <c r="H467" i="2"/>
  <c r="I467" i="2"/>
  <c r="J467" i="2"/>
  <c r="K467" i="2"/>
  <c r="L467" i="2"/>
  <c r="N467" i="2"/>
  <c r="O467" i="2"/>
  <c r="Q467" i="2"/>
  <c r="R467" i="2"/>
  <c r="S467" i="2"/>
  <c r="E468" i="2"/>
  <c r="F468" i="2"/>
  <c r="G468" i="2"/>
  <c r="H468" i="2"/>
  <c r="M468" i="2" s="1"/>
  <c r="I468" i="2"/>
  <c r="J468" i="2"/>
  <c r="K468" i="2"/>
  <c r="L468" i="2"/>
  <c r="N468" i="2"/>
  <c r="O468" i="2"/>
  <c r="P468" i="2"/>
  <c r="Q468" i="2"/>
  <c r="R468" i="2"/>
  <c r="S468" i="2"/>
  <c r="E469" i="2"/>
  <c r="F469" i="2"/>
  <c r="G469" i="2"/>
  <c r="H469" i="2"/>
  <c r="I469" i="2"/>
  <c r="J469" i="2"/>
  <c r="K469" i="2"/>
  <c r="L469" i="2"/>
  <c r="M469" i="2"/>
  <c r="N469" i="2"/>
  <c r="O469" i="2"/>
  <c r="Q469" i="2"/>
  <c r="R469" i="2"/>
  <c r="S469" i="2"/>
  <c r="E470" i="2"/>
  <c r="F470" i="2"/>
  <c r="G470" i="2"/>
  <c r="H470" i="2"/>
  <c r="I470" i="2"/>
  <c r="J470" i="2"/>
  <c r="M470" i="2" s="1"/>
  <c r="K470" i="2"/>
  <c r="L470" i="2"/>
  <c r="N470" i="2"/>
  <c r="O470" i="2"/>
  <c r="Q470" i="2"/>
  <c r="R470" i="2"/>
  <c r="S470" i="2"/>
  <c r="E471" i="2"/>
  <c r="F471" i="2"/>
  <c r="G471" i="2"/>
  <c r="H471" i="2"/>
  <c r="I471" i="2"/>
  <c r="J471" i="2"/>
  <c r="K471" i="2"/>
  <c r="L471" i="2"/>
  <c r="N471" i="2"/>
  <c r="O471" i="2"/>
  <c r="Q471" i="2"/>
  <c r="R471" i="2"/>
  <c r="S471" i="2"/>
  <c r="E472" i="2"/>
  <c r="F472" i="2"/>
  <c r="G472" i="2"/>
  <c r="H472" i="2"/>
  <c r="M472" i="2" s="1"/>
  <c r="I472" i="2"/>
  <c r="J472" i="2"/>
  <c r="K472" i="2"/>
  <c r="L472" i="2"/>
  <c r="N472" i="2"/>
  <c r="O472" i="2"/>
  <c r="P472" i="2"/>
  <c r="Q472" i="2"/>
  <c r="R472" i="2"/>
  <c r="S472" i="2"/>
  <c r="E473" i="2"/>
  <c r="F473" i="2"/>
  <c r="G473" i="2"/>
  <c r="H473" i="2"/>
  <c r="I473" i="2"/>
  <c r="J473" i="2"/>
  <c r="K473" i="2"/>
  <c r="L473" i="2"/>
  <c r="M473" i="2"/>
  <c r="N473" i="2"/>
  <c r="O473" i="2"/>
  <c r="Q473" i="2"/>
  <c r="R473" i="2"/>
  <c r="S473" i="2"/>
  <c r="E474" i="2"/>
  <c r="F474" i="2"/>
  <c r="G474" i="2"/>
  <c r="H474" i="2"/>
  <c r="I474" i="2"/>
  <c r="J474" i="2"/>
  <c r="M474" i="2" s="1"/>
  <c r="K474" i="2"/>
  <c r="L474" i="2"/>
  <c r="N474" i="2"/>
  <c r="O474" i="2"/>
  <c r="Q474" i="2"/>
  <c r="R474" i="2"/>
  <c r="S474" i="2"/>
  <c r="E475" i="2"/>
  <c r="F475" i="2"/>
  <c r="G475" i="2"/>
  <c r="H475" i="2"/>
  <c r="I475" i="2"/>
  <c r="J475" i="2"/>
  <c r="K475" i="2"/>
  <c r="L475" i="2"/>
  <c r="N475" i="2"/>
  <c r="O475" i="2"/>
  <c r="Q475" i="2"/>
  <c r="R475" i="2"/>
  <c r="S475" i="2"/>
  <c r="E476" i="2"/>
  <c r="F476" i="2"/>
  <c r="G476" i="2"/>
  <c r="H476" i="2"/>
  <c r="M476" i="2" s="1"/>
  <c r="I476" i="2"/>
  <c r="J476" i="2"/>
  <c r="K476" i="2"/>
  <c r="L476" i="2"/>
  <c r="N476" i="2"/>
  <c r="O476" i="2"/>
  <c r="P476" i="2"/>
  <c r="Q476" i="2"/>
  <c r="R476" i="2"/>
  <c r="S476" i="2"/>
  <c r="E477" i="2"/>
  <c r="F477" i="2"/>
  <c r="G477" i="2"/>
  <c r="H477" i="2"/>
  <c r="I477" i="2"/>
  <c r="J477" i="2"/>
  <c r="K477" i="2"/>
  <c r="L477" i="2"/>
  <c r="M477" i="2"/>
  <c r="N477" i="2"/>
  <c r="O477" i="2"/>
  <c r="Q477" i="2"/>
  <c r="R477" i="2"/>
  <c r="S477" i="2"/>
  <c r="E478" i="2"/>
  <c r="F478" i="2"/>
  <c r="G478" i="2"/>
  <c r="H478" i="2"/>
  <c r="I478" i="2"/>
  <c r="J478" i="2"/>
  <c r="K478" i="2"/>
  <c r="L478" i="2"/>
  <c r="N478" i="2"/>
  <c r="O478" i="2"/>
  <c r="Q478" i="2"/>
  <c r="R478" i="2"/>
  <c r="S478" i="2"/>
  <c r="E479" i="2"/>
  <c r="F479" i="2"/>
  <c r="G479" i="2"/>
  <c r="H479" i="2"/>
  <c r="I479" i="2"/>
  <c r="J479" i="2"/>
  <c r="K479" i="2"/>
  <c r="L479" i="2"/>
  <c r="N479" i="2"/>
  <c r="O479" i="2"/>
  <c r="Q479" i="2"/>
  <c r="R479" i="2"/>
  <c r="S479" i="2"/>
  <c r="E480" i="2"/>
  <c r="F480" i="2"/>
  <c r="G480" i="2"/>
  <c r="H480" i="2"/>
  <c r="M480" i="2" s="1"/>
  <c r="I480" i="2"/>
  <c r="J480" i="2"/>
  <c r="K480" i="2"/>
  <c r="L480" i="2"/>
  <c r="N480" i="2"/>
  <c r="O480" i="2"/>
  <c r="P480" i="2"/>
  <c r="Q480" i="2"/>
  <c r="R480" i="2"/>
  <c r="S480" i="2"/>
  <c r="E481" i="2"/>
  <c r="F481" i="2"/>
  <c r="G481" i="2"/>
  <c r="H481" i="2"/>
  <c r="I481" i="2"/>
  <c r="J481" i="2"/>
  <c r="K481" i="2"/>
  <c r="L481" i="2"/>
  <c r="M481" i="2"/>
  <c r="N481" i="2"/>
  <c r="O481" i="2"/>
  <c r="Q481" i="2"/>
  <c r="R481" i="2"/>
  <c r="S481" i="2"/>
  <c r="E482" i="2"/>
  <c r="F482" i="2"/>
  <c r="G482" i="2"/>
  <c r="H482" i="2"/>
  <c r="I482" i="2"/>
  <c r="J482" i="2"/>
  <c r="K482" i="2"/>
  <c r="L482" i="2"/>
  <c r="N482" i="2"/>
  <c r="O482" i="2"/>
  <c r="Q482" i="2"/>
  <c r="R482" i="2"/>
  <c r="S482" i="2"/>
  <c r="E483" i="2"/>
  <c r="F483" i="2"/>
  <c r="G483" i="2"/>
  <c r="H483" i="2"/>
  <c r="I483" i="2"/>
  <c r="J483" i="2"/>
  <c r="K483" i="2"/>
  <c r="L483" i="2"/>
  <c r="N483" i="2"/>
  <c r="O483" i="2"/>
  <c r="Q483" i="2"/>
  <c r="R483" i="2"/>
  <c r="S483" i="2"/>
  <c r="E484" i="2"/>
  <c r="F484" i="2"/>
  <c r="G484" i="2"/>
  <c r="H484" i="2"/>
  <c r="M484" i="2" s="1"/>
  <c r="I484" i="2"/>
  <c r="J484" i="2"/>
  <c r="K484" i="2"/>
  <c r="L484" i="2"/>
  <c r="N484" i="2"/>
  <c r="O484" i="2"/>
  <c r="P484" i="2"/>
  <c r="Q484" i="2"/>
  <c r="R484" i="2"/>
  <c r="S484" i="2"/>
  <c r="E485" i="2"/>
  <c r="F485" i="2"/>
  <c r="G485" i="2"/>
  <c r="H485" i="2"/>
  <c r="I485" i="2"/>
  <c r="J485" i="2"/>
  <c r="K485" i="2"/>
  <c r="L485" i="2"/>
  <c r="M485" i="2"/>
  <c r="N485" i="2"/>
  <c r="O485" i="2"/>
  <c r="Q485" i="2"/>
  <c r="R485" i="2"/>
  <c r="S485" i="2"/>
  <c r="E486" i="2"/>
  <c r="F486" i="2"/>
  <c r="G486" i="2"/>
  <c r="H486" i="2"/>
  <c r="I486" i="2"/>
  <c r="J486" i="2"/>
  <c r="K486" i="2"/>
  <c r="L486" i="2"/>
  <c r="N486" i="2"/>
  <c r="O486" i="2"/>
  <c r="Q486" i="2"/>
  <c r="R486" i="2"/>
  <c r="S486" i="2"/>
  <c r="E487" i="2"/>
  <c r="F487" i="2"/>
  <c r="G487" i="2"/>
  <c r="H487" i="2"/>
  <c r="I487" i="2"/>
  <c r="J487" i="2"/>
  <c r="K487" i="2"/>
  <c r="L487" i="2"/>
  <c r="N487" i="2"/>
  <c r="O487" i="2"/>
  <c r="Q487" i="2"/>
  <c r="R487" i="2"/>
  <c r="S487" i="2"/>
  <c r="E488" i="2"/>
  <c r="F488" i="2"/>
  <c r="G488" i="2"/>
  <c r="H488" i="2"/>
  <c r="M488" i="2" s="1"/>
  <c r="I488" i="2"/>
  <c r="J488" i="2"/>
  <c r="K488" i="2"/>
  <c r="L488" i="2"/>
  <c r="N488" i="2"/>
  <c r="O488" i="2"/>
  <c r="P488" i="2"/>
  <c r="Q488" i="2"/>
  <c r="R488" i="2"/>
  <c r="S488" i="2"/>
  <c r="E489" i="2"/>
  <c r="F489" i="2"/>
  <c r="G489" i="2"/>
  <c r="H489" i="2"/>
  <c r="I489" i="2"/>
  <c r="J489" i="2"/>
  <c r="K489" i="2"/>
  <c r="L489" i="2"/>
  <c r="M489" i="2"/>
  <c r="N489" i="2"/>
  <c r="O489" i="2"/>
  <c r="Q489" i="2"/>
  <c r="R489" i="2"/>
  <c r="S489" i="2"/>
  <c r="E490" i="2"/>
  <c r="F490" i="2"/>
  <c r="G490" i="2"/>
  <c r="H490" i="2"/>
  <c r="I490" i="2"/>
  <c r="J490" i="2"/>
  <c r="K490" i="2"/>
  <c r="L490" i="2"/>
  <c r="N490" i="2"/>
  <c r="O490" i="2"/>
  <c r="Q490" i="2"/>
  <c r="R490" i="2"/>
  <c r="S490" i="2"/>
  <c r="E491" i="2"/>
  <c r="F491" i="2"/>
  <c r="G491" i="2"/>
  <c r="H491" i="2"/>
  <c r="I491" i="2"/>
  <c r="J491" i="2"/>
  <c r="K491" i="2"/>
  <c r="L491" i="2"/>
  <c r="N491" i="2"/>
  <c r="O491" i="2"/>
  <c r="Q491" i="2"/>
  <c r="R491" i="2"/>
  <c r="S491" i="2"/>
  <c r="E492" i="2"/>
  <c r="F492" i="2"/>
  <c r="G492" i="2"/>
  <c r="H492" i="2"/>
  <c r="M492" i="2" s="1"/>
  <c r="I492" i="2"/>
  <c r="J492" i="2"/>
  <c r="K492" i="2"/>
  <c r="L492" i="2"/>
  <c r="N492" i="2"/>
  <c r="O492" i="2"/>
  <c r="P492" i="2"/>
  <c r="Q492" i="2"/>
  <c r="R492" i="2"/>
  <c r="S492" i="2"/>
  <c r="E493" i="2"/>
  <c r="F493" i="2"/>
  <c r="G493" i="2"/>
  <c r="H493" i="2"/>
  <c r="I493" i="2"/>
  <c r="J493" i="2"/>
  <c r="K493" i="2"/>
  <c r="L493" i="2"/>
  <c r="M493" i="2"/>
  <c r="N493" i="2"/>
  <c r="O493" i="2"/>
  <c r="Q493" i="2"/>
  <c r="R493" i="2"/>
  <c r="S493" i="2"/>
  <c r="E494" i="2"/>
  <c r="F494" i="2"/>
  <c r="G494" i="2"/>
  <c r="H494" i="2"/>
  <c r="I494" i="2"/>
  <c r="J494" i="2"/>
  <c r="K494" i="2"/>
  <c r="L494" i="2"/>
  <c r="N494" i="2"/>
  <c r="O494" i="2"/>
  <c r="Q494" i="2"/>
  <c r="R494" i="2"/>
  <c r="S494" i="2"/>
  <c r="E495" i="2"/>
  <c r="F495" i="2"/>
  <c r="G495" i="2"/>
  <c r="H495" i="2"/>
  <c r="I495" i="2"/>
  <c r="J495" i="2"/>
  <c r="K495" i="2"/>
  <c r="L495" i="2"/>
  <c r="N495" i="2"/>
  <c r="O495" i="2"/>
  <c r="Q495" i="2"/>
  <c r="R495" i="2"/>
  <c r="S495" i="2"/>
  <c r="E496" i="2"/>
  <c r="F496" i="2"/>
  <c r="G496" i="2"/>
  <c r="H496" i="2"/>
  <c r="M496" i="2" s="1"/>
  <c r="I496" i="2"/>
  <c r="J496" i="2"/>
  <c r="K496" i="2"/>
  <c r="L496" i="2"/>
  <c r="N496" i="2"/>
  <c r="O496" i="2"/>
  <c r="P496" i="2"/>
  <c r="Q496" i="2"/>
  <c r="R496" i="2"/>
  <c r="S496" i="2"/>
  <c r="E497" i="2"/>
  <c r="F497" i="2"/>
  <c r="G497" i="2"/>
  <c r="H497" i="2"/>
  <c r="I497" i="2"/>
  <c r="J497" i="2"/>
  <c r="K497" i="2"/>
  <c r="L497" i="2"/>
  <c r="M497" i="2"/>
  <c r="N497" i="2"/>
  <c r="O497" i="2"/>
  <c r="Q497" i="2"/>
  <c r="R497" i="2"/>
  <c r="S497" i="2"/>
  <c r="E498" i="2"/>
  <c r="F498" i="2"/>
  <c r="G498" i="2"/>
  <c r="H498" i="2"/>
  <c r="I498" i="2"/>
  <c r="J498" i="2"/>
  <c r="K498" i="2"/>
  <c r="L498" i="2"/>
  <c r="N498" i="2"/>
  <c r="O498" i="2"/>
  <c r="Q498" i="2"/>
  <c r="R498" i="2"/>
  <c r="S498" i="2"/>
  <c r="E499" i="2"/>
  <c r="F499" i="2"/>
  <c r="G499" i="2"/>
  <c r="H499" i="2"/>
  <c r="I499" i="2"/>
  <c r="J499" i="2"/>
  <c r="K499" i="2"/>
  <c r="L499" i="2"/>
  <c r="N499" i="2"/>
  <c r="O499" i="2"/>
  <c r="Q499" i="2"/>
  <c r="R499" i="2"/>
  <c r="S499" i="2"/>
  <c r="E500" i="2"/>
  <c r="F500" i="2"/>
  <c r="G500" i="2"/>
  <c r="H500" i="2"/>
  <c r="M500" i="2" s="1"/>
  <c r="I500" i="2"/>
  <c r="J500" i="2"/>
  <c r="K500" i="2"/>
  <c r="L500" i="2"/>
  <c r="N500" i="2"/>
  <c r="O500" i="2"/>
  <c r="P500" i="2"/>
  <c r="Q500" i="2"/>
  <c r="R500" i="2"/>
  <c r="S500" i="2"/>
  <c r="E501" i="2"/>
  <c r="F501" i="2"/>
  <c r="G501" i="2"/>
  <c r="H501" i="2"/>
  <c r="I501" i="2"/>
  <c r="J501" i="2"/>
  <c r="K501" i="2"/>
  <c r="L501" i="2"/>
  <c r="M501" i="2"/>
  <c r="N501" i="2"/>
  <c r="O501" i="2"/>
  <c r="Q501" i="2"/>
  <c r="R501" i="2"/>
  <c r="S501" i="2"/>
  <c r="E502" i="2"/>
  <c r="F502" i="2"/>
  <c r="G502" i="2"/>
  <c r="H502" i="2"/>
  <c r="I502" i="2"/>
  <c r="J502" i="2"/>
  <c r="K502" i="2"/>
  <c r="L502" i="2"/>
  <c r="N502" i="2"/>
  <c r="O502" i="2"/>
  <c r="Q502" i="2"/>
  <c r="R502" i="2"/>
  <c r="S502" i="2"/>
  <c r="E503" i="2"/>
  <c r="F503" i="2"/>
  <c r="G503" i="2"/>
  <c r="H503" i="2"/>
  <c r="I503" i="2"/>
  <c r="J503" i="2"/>
  <c r="K503" i="2"/>
  <c r="L503" i="2"/>
  <c r="N503" i="2"/>
  <c r="O503" i="2"/>
  <c r="Q503" i="2"/>
  <c r="R503" i="2"/>
  <c r="S503" i="2"/>
  <c r="E504" i="2"/>
  <c r="F504" i="2"/>
  <c r="G504" i="2"/>
  <c r="H504" i="2"/>
  <c r="M504" i="2" s="1"/>
  <c r="I504" i="2"/>
  <c r="J504" i="2"/>
  <c r="K504" i="2"/>
  <c r="L504" i="2"/>
  <c r="N504" i="2"/>
  <c r="O504" i="2"/>
  <c r="P504" i="2"/>
  <c r="Q504" i="2"/>
  <c r="R504" i="2"/>
  <c r="S504" i="2"/>
  <c r="E505" i="2"/>
  <c r="F505" i="2"/>
  <c r="G505" i="2"/>
  <c r="H505" i="2"/>
  <c r="I505" i="2"/>
  <c r="J505" i="2"/>
  <c r="K505" i="2"/>
  <c r="L505" i="2"/>
  <c r="M505" i="2"/>
  <c r="N505" i="2"/>
  <c r="O505" i="2"/>
  <c r="Q505" i="2"/>
  <c r="R505" i="2"/>
  <c r="S505" i="2"/>
  <c r="E506" i="2"/>
  <c r="F506" i="2"/>
  <c r="G506" i="2"/>
  <c r="H506" i="2"/>
  <c r="I506" i="2"/>
  <c r="J506" i="2"/>
  <c r="K506" i="2"/>
  <c r="L506" i="2"/>
  <c r="N506" i="2"/>
  <c r="O506" i="2"/>
  <c r="Q506" i="2"/>
  <c r="R506" i="2"/>
  <c r="S506" i="2"/>
  <c r="E507" i="2"/>
  <c r="F507" i="2"/>
  <c r="G507" i="2"/>
  <c r="H507" i="2"/>
  <c r="I507" i="2"/>
  <c r="J507" i="2"/>
  <c r="K507" i="2"/>
  <c r="L507" i="2"/>
  <c r="N507" i="2"/>
  <c r="O507" i="2"/>
  <c r="Q507" i="2"/>
  <c r="R507" i="2"/>
  <c r="S507" i="2"/>
  <c r="E508" i="2"/>
  <c r="F508" i="2"/>
  <c r="G508" i="2"/>
  <c r="H508" i="2"/>
  <c r="M508" i="2" s="1"/>
  <c r="I508" i="2"/>
  <c r="J508" i="2"/>
  <c r="K508" i="2"/>
  <c r="L508" i="2"/>
  <c r="N508" i="2"/>
  <c r="O508" i="2"/>
  <c r="P508" i="2"/>
  <c r="Q508" i="2"/>
  <c r="R508" i="2"/>
  <c r="S508" i="2"/>
  <c r="E509" i="2"/>
  <c r="F509" i="2"/>
  <c r="G509" i="2"/>
  <c r="H509" i="2"/>
  <c r="I509" i="2"/>
  <c r="J509" i="2"/>
  <c r="K509" i="2"/>
  <c r="L509" i="2"/>
  <c r="M509" i="2"/>
  <c r="N509" i="2"/>
  <c r="O509" i="2"/>
  <c r="Q509" i="2"/>
  <c r="R509" i="2"/>
  <c r="S509" i="2"/>
  <c r="E510" i="2"/>
  <c r="F510" i="2"/>
  <c r="G510" i="2"/>
  <c r="H510" i="2"/>
  <c r="I510" i="2"/>
  <c r="J510" i="2"/>
  <c r="K510" i="2"/>
  <c r="L510" i="2"/>
  <c r="N510" i="2"/>
  <c r="O510" i="2"/>
  <c r="Q510" i="2"/>
  <c r="R510" i="2"/>
  <c r="S510" i="2"/>
  <c r="E511" i="2"/>
  <c r="F511" i="2"/>
  <c r="G511" i="2"/>
  <c r="H511" i="2"/>
  <c r="I511" i="2"/>
  <c r="J511" i="2"/>
  <c r="K511" i="2"/>
  <c r="L511" i="2"/>
  <c r="N511" i="2"/>
  <c r="O511" i="2"/>
  <c r="Q511" i="2"/>
  <c r="R511" i="2"/>
  <c r="S511" i="2"/>
  <c r="E512" i="2"/>
  <c r="F512" i="2"/>
  <c r="G512" i="2"/>
  <c r="H512" i="2"/>
  <c r="M512" i="2" s="1"/>
  <c r="I512" i="2"/>
  <c r="J512" i="2"/>
  <c r="K512" i="2"/>
  <c r="L512" i="2"/>
  <c r="N512" i="2"/>
  <c r="O512" i="2"/>
  <c r="P512" i="2"/>
  <c r="Q512" i="2"/>
  <c r="R512" i="2"/>
  <c r="S512" i="2"/>
  <c r="E513" i="2"/>
  <c r="F513" i="2"/>
  <c r="G513" i="2"/>
  <c r="H513" i="2"/>
  <c r="I513" i="2"/>
  <c r="J513" i="2"/>
  <c r="K513" i="2"/>
  <c r="L513" i="2"/>
  <c r="M513" i="2"/>
  <c r="N513" i="2"/>
  <c r="O513" i="2"/>
  <c r="Q513" i="2"/>
  <c r="R513" i="2"/>
  <c r="S513" i="2"/>
  <c r="E514" i="2"/>
  <c r="F514" i="2"/>
  <c r="G514" i="2"/>
  <c r="H514" i="2"/>
  <c r="I514" i="2"/>
  <c r="J514" i="2"/>
  <c r="K514" i="2"/>
  <c r="L514" i="2"/>
  <c r="N514" i="2"/>
  <c r="O514" i="2"/>
  <c r="Q514" i="2"/>
  <c r="R514" i="2"/>
  <c r="S514" i="2"/>
  <c r="E515" i="2"/>
  <c r="F515" i="2"/>
  <c r="G515" i="2"/>
  <c r="H515" i="2"/>
  <c r="I515" i="2"/>
  <c r="J515" i="2"/>
  <c r="K515" i="2"/>
  <c r="L515" i="2"/>
  <c r="N515" i="2"/>
  <c r="O515" i="2"/>
  <c r="Q515" i="2"/>
  <c r="R515" i="2"/>
  <c r="S515" i="2"/>
  <c r="E516" i="2"/>
  <c r="F516" i="2"/>
  <c r="G516" i="2"/>
  <c r="H516" i="2"/>
  <c r="M516" i="2" s="1"/>
  <c r="I516" i="2"/>
  <c r="J516" i="2"/>
  <c r="K516" i="2"/>
  <c r="L516" i="2"/>
  <c r="N516" i="2"/>
  <c r="O516" i="2"/>
  <c r="P516" i="2"/>
  <c r="Q516" i="2"/>
  <c r="R516" i="2"/>
  <c r="S516" i="2"/>
  <c r="E517" i="2"/>
  <c r="F517" i="2"/>
  <c r="G517" i="2"/>
  <c r="H517" i="2"/>
  <c r="I517" i="2"/>
  <c r="J517" i="2"/>
  <c r="K517" i="2"/>
  <c r="L517" i="2"/>
  <c r="M517" i="2"/>
  <c r="N517" i="2"/>
  <c r="O517" i="2"/>
  <c r="Q517" i="2"/>
  <c r="R517" i="2"/>
  <c r="S517" i="2"/>
  <c r="E518" i="2"/>
  <c r="F518" i="2"/>
  <c r="G518" i="2"/>
  <c r="H518" i="2"/>
  <c r="I518" i="2"/>
  <c r="J518" i="2"/>
  <c r="K518" i="2"/>
  <c r="L518" i="2"/>
  <c r="N518" i="2"/>
  <c r="O518" i="2"/>
  <c r="Q518" i="2"/>
  <c r="R518" i="2"/>
  <c r="S518" i="2"/>
  <c r="E519" i="2"/>
  <c r="F519" i="2"/>
  <c r="G519" i="2"/>
  <c r="H519" i="2"/>
  <c r="I519" i="2"/>
  <c r="J519" i="2"/>
  <c r="K519" i="2"/>
  <c r="L519" i="2"/>
  <c r="N519" i="2"/>
  <c r="O519" i="2"/>
  <c r="Q519" i="2"/>
  <c r="R519" i="2"/>
  <c r="S519" i="2"/>
  <c r="E520" i="2"/>
  <c r="F520" i="2"/>
  <c r="G520" i="2"/>
  <c r="H520" i="2"/>
  <c r="I520" i="2"/>
  <c r="J520" i="2"/>
  <c r="K520" i="2"/>
  <c r="L520" i="2"/>
  <c r="N520" i="2"/>
  <c r="O520" i="2"/>
  <c r="P520" i="2"/>
  <c r="Q520" i="2"/>
  <c r="R520" i="2"/>
  <c r="S520" i="2"/>
  <c r="E521" i="2"/>
  <c r="F521" i="2"/>
  <c r="G521" i="2"/>
  <c r="H521" i="2"/>
  <c r="I521" i="2"/>
  <c r="J521" i="2"/>
  <c r="K521" i="2"/>
  <c r="L521" i="2"/>
  <c r="M521" i="2"/>
  <c r="N521" i="2"/>
  <c r="O521" i="2"/>
  <c r="Q521" i="2"/>
  <c r="R521" i="2"/>
  <c r="S521" i="2"/>
  <c r="E522" i="2"/>
  <c r="F522" i="2"/>
  <c r="G522" i="2"/>
  <c r="H522" i="2"/>
  <c r="I522" i="2"/>
  <c r="J522" i="2"/>
  <c r="K522" i="2"/>
  <c r="L522" i="2"/>
  <c r="N522" i="2"/>
  <c r="O522" i="2"/>
  <c r="Q522" i="2"/>
  <c r="R522" i="2"/>
  <c r="S522" i="2"/>
  <c r="E523" i="2"/>
  <c r="F523" i="2"/>
  <c r="G523" i="2"/>
  <c r="H523" i="2"/>
  <c r="I523" i="2"/>
  <c r="J523" i="2"/>
  <c r="K523" i="2"/>
  <c r="L523" i="2"/>
  <c r="N523" i="2"/>
  <c r="O523" i="2"/>
  <c r="Q523" i="2"/>
  <c r="R523" i="2"/>
  <c r="S523" i="2"/>
  <c r="E524" i="2"/>
  <c r="F524" i="2"/>
  <c r="G524" i="2"/>
  <c r="H524" i="2"/>
  <c r="I524" i="2"/>
  <c r="J524" i="2"/>
  <c r="K524" i="2"/>
  <c r="L524" i="2"/>
  <c r="N524" i="2"/>
  <c r="O524" i="2"/>
  <c r="Q524" i="2"/>
  <c r="R524" i="2"/>
  <c r="S524" i="2"/>
  <c r="E525" i="2"/>
  <c r="F525" i="2"/>
  <c r="G525" i="2"/>
  <c r="H525" i="2"/>
  <c r="I525" i="2"/>
  <c r="J525" i="2"/>
  <c r="K525" i="2"/>
  <c r="L525" i="2"/>
  <c r="M525" i="2"/>
  <c r="N525" i="2"/>
  <c r="O525" i="2"/>
  <c r="Q525" i="2"/>
  <c r="R525" i="2"/>
  <c r="S525" i="2"/>
  <c r="E526" i="2"/>
  <c r="F526" i="2"/>
  <c r="G526" i="2"/>
  <c r="H526" i="2"/>
  <c r="I526" i="2"/>
  <c r="J526" i="2"/>
  <c r="K526" i="2"/>
  <c r="L526" i="2"/>
  <c r="N526" i="2"/>
  <c r="O526" i="2"/>
  <c r="Q526" i="2"/>
  <c r="R526" i="2"/>
  <c r="S526" i="2"/>
  <c r="E527" i="2"/>
  <c r="F527" i="2"/>
  <c r="G527" i="2"/>
  <c r="H527" i="2"/>
  <c r="I527" i="2"/>
  <c r="J527" i="2"/>
  <c r="K527" i="2"/>
  <c r="L527" i="2"/>
  <c r="N527" i="2"/>
  <c r="O527" i="2"/>
  <c r="Q527" i="2"/>
  <c r="R527" i="2"/>
  <c r="S527" i="2"/>
  <c r="E528" i="2"/>
  <c r="F528" i="2"/>
  <c r="G528" i="2"/>
  <c r="H528" i="2"/>
  <c r="I528" i="2"/>
  <c r="J528" i="2"/>
  <c r="K528" i="2"/>
  <c r="L528" i="2"/>
  <c r="N528" i="2"/>
  <c r="O528" i="2"/>
  <c r="P528" i="2"/>
  <c r="Q528" i="2"/>
  <c r="R528" i="2"/>
  <c r="S528" i="2"/>
  <c r="E529" i="2"/>
  <c r="F529" i="2"/>
  <c r="G529" i="2"/>
  <c r="H529" i="2"/>
  <c r="I529" i="2"/>
  <c r="J529" i="2"/>
  <c r="K529" i="2"/>
  <c r="L529" i="2"/>
  <c r="M529" i="2"/>
  <c r="N529" i="2"/>
  <c r="O529" i="2"/>
  <c r="Q529" i="2"/>
  <c r="R529" i="2"/>
  <c r="S529" i="2"/>
  <c r="E530" i="2"/>
  <c r="F530" i="2"/>
  <c r="G530" i="2"/>
  <c r="H530" i="2"/>
  <c r="I530" i="2"/>
  <c r="J530" i="2"/>
  <c r="K530" i="2"/>
  <c r="L530" i="2"/>
  <c r="N530" i="2"/>
  <c r="O530" i="2"/>
  <c r="Q530" i="2"/>
  <c r="R530" i="2"/>
  <c r="S530" i="2"/>
  <c r="E531" i="2"/>
  <c r="F531" i="2"/>
  <c r="G531" i="2"/>
  <c r="H531" i="2"/>
  <c r="I531" i="2"/>
  <c r="J531" i="2"/>
  <c r="K531" i="2"/>
  <c r="L531" i="2"/>
  <c r="N531" i="2"/>
  <c r="O531" i="2"/>
  <c r="Q531" i="2"/>
  <c r="R531" i="2"/>
  <c r="S531" i="2"/>
  <c r="E532" i="2"/>
  <c r="F532" i="2"/>
  <c r="G532" i="2"/>
  <c r="H532" i="2"/>
  <c r="I532" i="2"/>
  <c r="J532" i="2"/>
  <c r="K532" i="2"/>
  <c r="L532" i="2"/>
  <c r="N532" i="2"/>
  <c r="O532" i="2"/>
  <c r="Q532" i="2"/>
  <c r="R532" i="2"/>
  <c r="S532" i="2"/>
  <c r="E533" i="2"/>
  <c r="F533" i="2"/>
  <c r="G533" i="2"/>
  <c r="H533" i="2"/>
  <c r="I533" i="2"/>
  <c r="J533" i="2"/>
  <c r="K533" i="2"/>
  <c r="L533" i="2"/>
  <c r="M533" i="2"/>
  <c r="N533" i="2"/>
  <c r="O533" i="2"/>
  <c r="Q533" i="2"/>
  <c r="R533" i="2"/>
  <c r="S533" i="2"/>
  <c r="E534" i="2"/>
  <c r="F534" i="2"/>
  <c r="G534" i="2"/>
  <c r="H534" i="2"/>
  <c r="I534" i="2"/>
  <c r="J534" i="2"/>
  <c r="K534" i="2"/>
  <c r="L534" i="2"/>
  <c r="N534" i="2"/>
  <c r="O534" i="2"/>
  <c r="Q534" i="2"/>
  <c r="R534" i="2"/>
  <c r="S534" i="2"/>
  <c r="E535" i="2"/>
  <c r="F535" i="2"/>
  <c r="G535" i="2"/>
  <c r="H535" i="2"/>
  <c r="I535" i="2"/>
  <c r="J535" i="2"/>
  <c r="K535" i="2"/>
  <c r="L535" i="2"/>
  <c r="N535" i="2"/>
  <c r="O535" i="2"/>
  <c r="Q535" i="2"/>
  <c r="R535" i="2"/>
  <c r="S535" i="2"/>
  <c r="E536" i="2"/>
  <c r="F536" i="2"/>
  <c r="G536" i="2"/>
  <c r="H536" i="2"/>
  <c r="I536" i="2"/>
  <c r="J536" i="2"/>
  <c r="K536" i="2"/>
  <c r="L536" i="2"/>
  <c r="N536" i="2"/>
  <c r="O536" i="2"/>
  <c r="P536" i="2"/>
  <c r="Q536" i="2"/>
  <c r="R536" i="2"/>
  <c r="S536" i="2"/>
  <c r="E537" i="2"/>
  <c r="F537" i="2"/>
  <c r="G537" i="2"/>
  <c r="H537" i="2"/>
  <c r="I537" i="2"/>
  <c r="J537" i="2"/>
  <c r="K537" i="2"/>
  <c r="L537" i="2"/>
  <c r="M537" i="2"/>
  <c r="N537" i="2"/>
  <c r="O537" i="2"/>
  <c r="Q537" i="2"/>
  <c r="R537" i="2"/>
  <c r="S537" i="2"/>
  <c r="E538" i="2"/>
  <c r="F538" i="2"/>
  <c r="G538" i="2"/>
  <c r="H538" i="2"/>
  <c r="I538" i="2"/>
  <c r="J538" i="2"/>
  <c r="K538" i="2"/>
  <c r="L538" i="2"/>
  <c r="N538" i="2"/>
  <c r="O538" i="2"/>
  <c r="Q538" i="2"/>
  <c r="R538" i="2"/>
  <c r="S538" i="2"/>
  <c r="E539" i="2"/>
  <c r="F539" i="2"/>
  <c r="G539" i="2"/>
  <c r="H539" i="2"/>
  <c r="I539" i="2"/>
  <c r="J539" i="2"/>
  <c r="K539" i="2"/>
  <c r="L539" i="2"/>
  <c r="N539" i="2"/>
  <c r="O539" i="2"/>
  <c r="Q539" i="2"/>
  <c r="R539" i="2"/>
  <c r="S539" i="2"/>
  <c r="E540" i="2"/>
  <c r="F540" i="2"/>
  <c r="G540" i="2"/>
  <c r="H540" i="2"/>
  <c r="I540" i="2"/>
  <c r="J540" i="2"/>
  <c r="K540" i="2"/>
  <c r="L540" i="2"/>
  <c r="N540" i="2"/>
  <c r="O540" i="2"/>
  <c r="Q540" i="2"/>
  <c r="R540" i="2"/>
  <c r="S540" i="2"/>
  <c r="E541" i="2"/>
  <c r="F541" i="2"/>
  <c r="G541" i="2"/>
  <c r="H541" i="2"/>
  <c r="I541" i="2"/>
  <c r="J541" i="2"/>
  <c r="K541" i="2"/>
  <c r="L541" i="2"/>
  <c r="M541" i="2"/>
  <c r="N541" i="2"/>
  <c r="O541" i="2"/>
  <c r="Q541" i="2"/>
  <c r="R541" i="2"/>
  <c r="S541" i="2"/>
  <c r="E542" i="2"/>
  <c r="F542" i="2"/>
  <c r="G542" i="2"/>
  <c r="H542" i="2"/>
  <c r="I542" i="2"/>
  <c r="J542" i="2"/>
  <c r="K542" i="2"/>
  <c r="L542" i="2"/>
  <c r="N542" i="2"/>
  <c r="O542" i="2"/>
  <c r="Q542" i="2"/>
  <c r="R542" i="2"/>
  <c r="S542" i="2"/>
  <c r="E543" i="2"/>
  <c r="F543" i="2"/>
  <c r="G543" i="2"/>
  <c r="H543" i="2"/>
  <c r="I543" i="2"/>
  <c r="J543" i="2"/>
  <c r="K543" i="2"/>
  <c r="L543" i="2"/>
  <c r="N543" i="2"/>
  <c r="O543" i="2"/>
  <c r="Q543" i="2"/>
  <c r="R543" i="2"/>
  <c r="S543" i="2"/>
  <c r="E544" i="2"/>
  <c r="F544" i="2"/>
  <c r="G544" i="2"/>
  <c r="H544" i="2"/>
  <c r="I544" i="2"/>
  <c r="J544" i="2"/>
  <c r="K544" i="2"/>
  <c r="L544" i="2"/>
  <c r="N544" i="2"/>
  <c r="O544" i="2"/>
  <c r="P544" i="2"/>
  <c r="Q544" i="2"/>
  <c r="R544" i="2"/>
  <c r="S544" i="2"/>
  <c r="E545" i="2"/>
  <c r="F545" i="2"/>
  <c r="G545" i="2"/>
  <c r="H545" i="2"/>
  <c r="I545" i="2"/>
  <c r="J545" i="2"/>
  <c r="K545" i="2"/>
  <c r="L545" i="2"/>
  <c r="M545" i="2"/>
  <c r="N545" i="2"/>
  <c r="O545" i="2"/>
  <c r="Q545" i="2"/>
  <c r="R545" i="2"/>
  <c r="S545" i="2"/>
  <c r="E546" i="2"/>
  <c r="F546" i="2"/>
  <c r="G546" i="2"/>
  <c r="H546" i="2"/>
  <c r="I546" i="2"/>
  <c r="J546" i="2"/>
  <c r="K546" i="2"/>
  <c r="L546" i="2"/>
  <c r="N546" i="2"/>
  <c r="O546" i="2"/>
  <c r="Q546" i="2"/>
  <c r="R546" i="2"/>
  <c r="S546" i="2"/>
  <c r="E547" i="2"/>
  <c r="F547" i="2"/>
  <c r="G547" i="2"/>
  <c r="H547" i="2"/>
  <c r="I547" i="2"/>
  <c r="J547" i="2"/>
  <c r="K547" i="2"/>
  <c r="L547" i="2"/>
  <c r="N547" i="2"/>
  <c r="O547" i="2"/>
  <c r="Q547" i="2"/>
  <c r="R547" i="2"/>
  <c r="S547" i="2"/>
  <c r="E548" i="2"/>
  <c r="F548" i="2"/>
  <c r="G548" i="2"/>
  <c r="H548" i="2"/>
  <c r="I548" i="2"/>
  <c r="J548" i="2"/>
  <c r="K548" i="2"/>
  <c r="L548" i="2"/>
  <c r="N548" i="2"/>
  <c r="O548" i="2"/>
  <c r="Q548" i="2"/>
  <c r="R548" i="2"/>
  <c r="S548" i="2"/>
  <c r="E549" i="2"/>
  <c r="F549" i="2"/>
  <c r="G549" i="2"/>
  <c r="H549" i="2"/>
  <c r="I549" i="2"/>
  <c r="J549" i="2"/>
  <c r="K549" i="2"/>
  <c r="L549" i="2"/>
  <c r="M549" i="2"/>
  <c r="N549" i="2"/>
  <c r="O549" i="2"/>
  <c r="Q549" i="2"/>
  <c r="R549" i="2"/>
  <c r="S549" i="2"/>
  <c r="E550" i="2"/>
  <c r="F550" i="2"/>
  <c r="G550" i="2"/>
  <c r="H550" i="2"/>
  <c r="I550" i="2"/>
  <c r="J550" i="2"/>
  <c r="M550" i="2" s="1"/>
  <c r="K550" i="2"/>
  <c r="L550" i="2"/>
  <c r="N550" i="2"/>
  <c r="O550" i="2"/>
  <c r="Q550" i="2"/>
  <c r="R550" i="2"/>
  <c r="S550" i="2"/>
  <c r="E551" i="2"/>
  <c r="F551" i="2"/>
  <c r="G551" i="2"/>
  <c r="H551" i="2"/>
  <c r="I551" i="2"/>
  <c r="J551" i="2"/>
  <c r="K551" i="2"/>
  <c r="L551" i="2"/>
  <c r="N551" i="2"/>
  <c r="O551" i="2"/>
  <c r="Q551" i="2"/>
  <c r="R551" i="2"/>
  <c r="S551" i="2"/>
  <c r="E552" i="2"/>
  <c r="F552" i="2"/>
  <c r="G552" i="2"/>
  <c r="H552" i="2"/>
  <c r="I552" i="2"/>
  <c r="J552" i="2"/>
  <c r="K552" i="2"/>
  <c r="L552" i="2"/>
  <c r="N552" i="2"/>
  <c r="O552" i="2"/>
  <c r="P552" i="2"/>
  <c r="Q552" i="2"/>
  <c r="R552" i="2"/>
  <c r="S552" i="2"/>
  <c r="E553" i="2"/>
  <c r="F553" i="2"/>
  <c r="G553" i="2"/>
  <c r="H553" i="2"/>
  <c r="I553" i="2"/>
  <c r="J553" i="2"/>
  <c r="K553" i="2"/>
  <c r="L553" i="2"/>
  <c r="M553" i="2"/>
  <c r="N553" i="2"/>
  <c r="O553" i="2"/>
  <c r="Q553" i="2"/>
  <c r="R553" i="2"/>
  <c r="S553" i="2"/>
  <c r="E554" i="2"/>
  <c r="F554" i="2"/>
  <c r="G554" i="2"/>
  <c r="H554" i="2"/>
  <c r="I554" i="2"/>
  <c r="J554" i="2"/>
  <c r="M554" i="2" s="1"/>
  <c r="K554" i="2"/>
  <c r="L554" i="2"/>
  <c r="N554" i="2"/>
  <c r="O554" i="2"/>
  <c r="Q554" i="2"/>
  <c r="R554" i="2"/>
  <c r="S554" i="2"/>
  <c r="E555" i="2"/>
  <c r="F555" i="2"/>
  <c r="G555" i="2"/>
  <c r="H555" i="2"/>
  <c r="I555" i="2"/>
  <c r="J555" i="2"/>
  <c r="K555" i="2"/>
  <c r="L555" i="2"/>
  <c r="N555" i="2"/>
  <c r="O555" i="2"/>
  <c r="Q555" i="2"/>
  <c r="R555" i="2"/>
  <c r="S555" i="2"/>
  <c r="E556" i="2"/>
  <c r="F556" i="2"/>
  <c r="G556" i="2"/>
  <c r="H556" i="2"/>
  <c r="I556" i="2"/>
  <c r="J556" i="2"/>
  <c r="K556" i="2"/>
  <c r="L556" i="2"/>
  <c r="N556" i="2"/>
  <c r="O556" i="2"/>
  <c r="Q556" i="2"/>
  <c r="R556" i="2"/>
  <c r="S556" i="2"/>
  <c r="E557" i="2"/>
  <c r="F557" i="2"/>
  <c r="G557" i="2"/>
  <c r="H557" i="2"/>
  <c r="I557" i="2"/>
  <c r="J557" i="2"/>
  <c r="K557" i="2"/>
  <c r="L557" i="2"/>
  <c r="M557" i="2"/>
  <c r="N557" i="2"/>
  <c r="O557" i="2"/>
  <c r="Q557" i="2"/>
  <c r="R557" i="2"/>
  <c r="S557" i="2"/>
  <c r="E558" i="2"/>
  <c r="F558" i="2"/>
  <c r="G558" i="2"/>
  <c r="H558" i="2"/>
  <c r="I558" i="2"/>
  <c r="J558" i="2"/>
  <c r="M558" i="2" s="1"/>
  <c r="K558" i="2"/>
  <c r="L558" i="2"/>
  <c r="N558" i="2"/>
  <c r="O558" i="2"/>
  <c r="Q558" i="2"/>
  <c r="R558" i="2"/>
  <c r="S558" i="2"/>
  <c r="E559" i="2"/>
  <c r="F559" i="2"/>
  <c r="G559" i="2"/>
  <c r="H559" i="2"/>
  <c r="I559" i="2"/>
  <c r="J559" i="2"/>
  <c r="K559" i="2"/>
  <c r="L559" i="2"/>
  <c r="N559" i="2"/>
  <c r="O559" i="2"/>
  <c r="Q559" i="2"/>
  <c r="R559" i="2"/>
  <c r="S559" i="2"/>
  <c r="E560" i="2"/>
  <c r="F560" i="2"/>
  <c r="G560" i="2"/>
  <c r="H560" i="2"/>
  <c r="I560" i="2"/>
  <c r="J560" i="2"/>
  <c r="K560" i="2"/>
  <c r="L560" i="2"/>
  <c r="N560" i="2"/>
  <c r="O560" i="2"/>
  <c r="P560" i="2"/>
  <c r="Q560" i="2"/>
  <c r="R560" i="2"/>
  <c r="S560" i="2"/>
  <c r="E561" i="2"/>
  <c r="F561" i="2"/>
  <c r="G561" i="2"/>
  <c r="H561" i="2"/>
  <c r="I561" i="2"/>
  <c r="J561" i="2"/>
  <c r="K561" i="2"/>
  <c r="L561" i="2"/>
  <c r="M561" i="2"/>
  <c r="N561" i="2"/>
  <c r="O561" i="2"/>
  <c r="Q561" i="2"/>
  <c r="R561" i="2"/>
  <c r="S561" i="2"/>
  <c r="E562" i="2"/>
  <c r="F562" i="2"/>
  <c r="G562" i="2"/>
  <c r="H562" i="2"/>
  <c r="I562" i="2"/>
  <c r="J562" i="2"/>
  <c r="M562" i="2" s="1"/>
  <c r="K562" i="2"/>
  <c r="L562" i="2"/>
  <c r="N562" i="2"/>
  <c r="O562" i="2"/>
  <c r="Q562" i="2"/>
  <c r="R562" i="2"/>
  <c r="S562" i="2"/>
  <c r="E563" i="2"/>
  <c r="F563" i="2"/>
  <c r="G563" i="2"/>
  <c r="H563" i="2"/>
  <c r="I563" i="2"/>
  <c r="J563" i="2"/>
  <c r="K563" i="2"/>
  <c r="L563" i="2"/>
  <c r="N563" i="2"/>
  <c r="O563" i="2"/>
  <c r="Q563" i="2"/>
  <c r="R563" i="2"/>
  <c r="S563" i="2"/>
  <c r="E564" i="2"/>
  <c r="F564" i="2"/>
  <c r="G564" i="2"/>
  <c r="H564" i="2"/>
  <c r="I564" i="2"/>
  <c r="J564" i="2"/>
  <c r="K564" i="2"/>
  <c r="L564" i="2"/>
  <c r="N564" i="2"/>
  <c r="O564" i="2"/>
  <c r="Q564" i="2"/>
  <c r="R564" i="2"/>
  <c r="S564" i="2"/>
  <c r="E565" i="2"/>
  <c r="F565" i="2"/>
  <c r="G565" i="2"/>
  <c r="H565" i="2"/>
  <c r="I565" i="2"/>
  <c r="J565" i="2"/>
  <c r="M565" i="2" s="1"/>
  <c r="K565" i="2"/>
  <c r="L565" i="2"/>
  <c r="N565" i="2"/>
  <c r="O565" i="2"/>
  <c r="Q565" i="2"/>
  <c r="R565" i="2"/>
  <c r="S565" i="2"/>
  <c r="E566" i="2"/>
  <c r="F566" i="2"/>
  <c r="G566" i="2"/>
  <c r="H566" i="2"/>
  <c r="I566" i="2"/>
  <c r="J566" i="2"/>
  <c r="K566" i="2"/>
  <c r="L566" i="2"/>
  <c r="N566" i="2"/>
  <c r="O566" i="2"/>
  <c r="Q566" i="2"/>
  <c r="R566" i="2"/>
  <c r="S566" i="2"/>
  <c r="E567" i="2"/>
  <c r="F567" i="2"/>
  <c r="G567" i="2"/>
  <c r="H567" i="2"/>
  <c r="I567" i="2"/>
  <c r="J567" i="2"/>
  <c r="K567" i="2"/>
  <c r="L567" i="2"/>
  <c r="N567" i="2"/>
  <c r="O567" i="2"/>
  <c r="Q567" i="2"/>
  <c r="R567" i="2"/>
  <c r="S567" i="2"/>
  <c r="E568" i="2"/>
  <c r="F568" i="2"/>
  <c r="G568" i="2"/>
  <c r="H568" i="2"/>
  <c r="I568" i="2"/>
  <c r="J568" i="2"/>
  <c r="K568" i="2"/>
  <c r="L568" i="2"/>
  <c r="N568" i="2"/>
  <c r="O568" i="2"/>
  <c r="P568" i="2" s="1"/>
  <c r="Q568" i="2"/>
  <c r="R568" i="2"/>
  <c r="S568" i="2"/>
  <c r="E569" i="2"/>
  <c r="F569" i="2"/>
  <c r="G569" i="2"/>
  <c r="H569" i="2"/>
  <c r="I569" i="2"/>
  <c r="J569" i="2"/>
  <c r="K569" i="2"/>
  <c r="L569" i="2"/>
  <c r="N569" i="2"/>
  <c r="O569" i="2"/>
  <c r="Q569" i="2"/>
  <c r="R569" i="2"/>
  <c r="S569" i="2"/>
  <c r="E570" i="2"/>
  <c r="F570" i="2"/>
  <c r="G570" i="2"/>
  <c r="H570" i="2"/>
  <c r="I570" i="2"/>
  <c r="J570" i="2"/>
  <c r="K570" i="2"/>
  <c r="L570" i="2"/>
  <c r="M570" i="2"/>
  <c r="N570" i="2"/>
  <c r="O570" i="2"/>
  <c r="Q570" i="2"/>
  <c r="R570" i="2"/>
  <c r="S570" i="2"/>
  <c r="E571" i="2"/>
  <c r="F571" i="2"/>
  <c r="G571" i="2"/>
  <c r="H571" i="2"/>
  <c r="I571" i="2"/>
  <c r="J571" i="2"/>
  <c r="K571" i="2"/>
  <c r="L571" i="2"/>
  <c r="N571" i="2"/>
  <c r="O571" i="2"/>
  <c r="P571" i="2"/>
  <c r="Q571" i="2"/>
  <c r="R571" i="2"/>
  <c r="S571" i="2"/>
  <c r="E572" i="2"/>
  <c r="F572" i="2"/>
  <c r="G572" i="2"/>
  <c r="H572" i="2"/>
  <c r="I572" i="2"/>
  <c r="J572" i="2"/>
  <c r="K572" i="2"/>
  <c r="L572" i="2"/>
  <c r="M572" i="2"/>
  <c r="N572" i="2"/>
  <c r="O572" i="2"/>
  <c r="Q572" i="2"/>
  <c r="R572" i="2"/>
  <c r="S572" i="2"/>
  <c r="E573" i="2"/>
  <c r="F573" i="2"/>
  <c r="G573" i="2"/>
  <c r="H573" i="2"/>
  <c r="I573" i="2"/>
  <c r="J573" i="2"/>
  <c r="M573" i="2" s="1"/>
  <c r="K573" i="2"/>
  <c r="L573" i="2"/>
  <c r="N573" i="2"/>
  <c r="O573" i="2"/>
  <c r="Q573" i="2"/>
  <c r="R573" i="2"/>
  <c r="S573" i="2"/>
  <c r="E574" i="2"/>
  <c r="F574" i="2"/>
  <c r="G574" i="2"/>
  <c r="H574" i="2"/>
  <c r="I574" i="2"/>
  <c r="J574" i="2"/>
  <c r="K574" i="2"/>
  <c r="L574" i="2"/>
  <c r="N574" i="2"/>
  <c r="O574" i="2"/>
  <c r="Q574" i="2"/>
  <c r="R574" i="2"/>
  <c r="S574" i="2"/>
  <c r="E575" i="2"/>
  <c r="F575" i="2"/>
  <c r="G575" i="2"/>
  <c r="H575" i="2"/>
  <c r="I575" i="2"/>
  <c r="J575" i="2"/>
  <c r="K575" i="2"/>
  <c r="L575" i="2"/>
  <c r="N575" i="2"/>
  <c r="O575" i="2"/>
  <c r="Q575" i="2"/>
  <c r="R575" i="2"/>
  <c r="S575" i="2"/>
  <c r="E576" i="2"/>
  <c r="F576" i="2"/>
  <c r="G576" i="2"/>
  <c r="H576" i="2"/>
  <c r="M576" i="2" s="1"/>
  <c r="I576" i="2"/>
  <c r="J576" i="2"/>
  <c r="K576" i="2"/>
  <c r="L576" i="2"/>
  <c r="N576" i="2"/>
  <c r="O576" i="2"/>
  <c r="P576" i="2" s="1"/>
  <c r="Q576" i="2"/>
  <c r="R576" i="2"/>
  <c r="S576" i="2"/>
  <c r="E577" i="2"/>
  <c r="F577" i="2"/>
  <c r="G577" i="2"/>
  <c r="H577" i="2"/>
  <c r="I577" i="2"/>
  <c r="J577" i="2"/>
  <c r="K577" i="2"/>
  <c r="L577" i="2"/>
  <c r="N577" i="2"/>
  <c r="O577" i="2"/>
  <c r="Q577" i="2"/>
  <c r="R577" i="2"/>
  <c r="S577" i="2"/>
  <c r="E578" i="2"/>
  <c r="F578" i="2"/>
  <c r="G578" i="2"/>
  <c r="H578" i="2"/>
  <c r="I578" i="2"/>
  <c r="J578" i="2"/>
  <c r="K578" i="2"/>
  <c r="L578" i="2"/>
  <c r="M578" i="2"/>
  <c r="N578" i="2"/>
  <c r="O578" i="2"/>
  <c r="Q578" i="2"/>
  <c r="R578" i="2"/>
  <c r="S578" i="2"/>
  <c r="E579" i="2"/>
  <c r="F579" i="2"/>
  <c r="G579" i="2"/>
  <c r="H579" i="2"/>
  <c r="I579" i="2"/>
  <c r="J579" i="2"/>
  <c r="K579" i="2"/>
  <c r="L579" i="2"/>
  <c r="N579" i="2"/>
  <c r="O579" i="2"/>
  <c r="P579" i="2"/>
  <c r="Q579" i="2"/>
  <c r="R579" i="2"/>
  <c r="S579" i="2"/>
  <c r="E580" i="2"/>
  <c r="F580" i="2"/>
  <c r="G580" i="2"/>
  <c r="H580" i="2"/>
  <c r="I580" i="2"/>
  <c r="J580" i="2"/>
  <c r="K580" i="2"/>
  <c r="L580" i="2"/>
  <c r="M580" i="2"/>
  <c r="N580" i="2"/>
  <c r="O580" i="2"/>
  <c r="Q580" i="2"/>
  <c r="R580" i="2"/>
  <c r="S580" i="2"/>
  <c r="E581" i="2"/>
  <c r="F581" i="2"/>
  <c r="G581" i="2"/>
  <c r="H581" i="2"/>
  <c r="I581" i="2"/>
  <c r="J581" i="2"/>
  <c r="M581" i="2" s="1"/>
  <c r="K581" i="2"/>
  <c r="L581" i="2"/>
  <c r="N581" i="2"/>
  <c r="O581" i="2"/>
  <c r="Q581" i="2"/>
  <c r="R581" i="2"/>
  <c r="S581" i="2"/>
  <c r="E582" i="2"/>
  <c r="F582" i="2"/>
  <c r="G582" i="2"/>
  <c r="H582" i="2"/>
  <c r="I582" i="2"/>
  <c r="J582" i="2"/>
  <c r="K582" i="2"/>
  <c r="L582" i="2"/>
  <c r="N582" i="2"/>
  <c r="O582" i="2"/>
  <c r="Q582" i="2"/>
  <c r="R582" i="2"/>
  <c r="S582" i="2"/>
  <c r="E583" i="2"/>
  <c r="F583" i="2"/>
  <c r="G583" i="2"/>
  <c r="H583" i="2"/>
  <c r="I583" i="2"/>
  <c r="J583" i="2"/>
  <c r="K583" i="2"/>
  <c r="L583" i="2"/>
  <c r="N583" i="2"/>
  <c r="O583" i="2"/>
  <c r="Q583" i="2"/>
  <c r="R583" i="2"/>
  <c r="S583" i="2"/>
  <c r="E584" i="2"/>
  <c r="F584" i="2"/>
  <c r="G584" i="2"/>
  <c r="H584" i="2"/>
  <c r="M584" i="2" s="1"/>
  <c r="I584" i="2"/>
  <c r="J584" i="2"/>
  <c r="K584" i="2"/>
  <c r="L584" i="2"/>
  <c r="N584" i="2"/>
  <c r="O584" i="2"/>
  <c r="P584" i="2" s="1"/>
  <c r="Q584" i="2"/>
  <c r="R584" i="2"/>
  <c r="S584" i="2"/>
  <c r="E585" i="2"/>
  <c r="F585" i="2"/>
  <c r="G585" i="2"/>
  <c r="H585" i="2"/>
  <c r="I585" i="2"/>
  <c r="J585" i="2"/>
  <c r="K585" i="2"/>
  <c r="L585" i="2"/>
  <c r="N585" i="2"/>
  <c r="O585" i="2"/>
  <c r="Q585" i="2"/>
  <c r="R585" i="2"/>
  <c r="S585" i="2"/>
  <c r="E586" i="2"/>
  <c r="F586" i="2"/>
  <c r="G586" i="2"/>
  <c r="H586" i="2"/>
  <c r="I586" i="2"/>
  <c r="J586" i="2"/>
  <c r="K586" i="2"/>
  <c r="L586" i="2"/>
  <c r="M586" i="2"/>
  <c r="N586" i="2"/>
  <c r="O586" i="2"/>
  <c r="Q586" i="2"/>
  <c r="R586" i="2"/>
  <c r="S586" i="2"/>
  <c r="E587" i="2"/>
  <c r="F587" i="2"/>
  <c r="G587" i="2"/>
  <c r="H587" i="2"/>
  <c r="I587" i="2"/>
  <c r="J587" i="2"/>
  <c r="K587" i="2"/>
  <c r="L587" i="2"/>
  <c r="N587" i="2"/>
  <c r="O587" i="2"/>
  <c r="P587" i="2"/>
  <c r="Q587" i="2"/>
  <c r="R587" i="2"/>
  <c r="S587" i="2"/>
  <c r="E588" i="2"/>
  <c r="F588" i="2"/>
  <c r="G588" i="2"/>
  <c r="H588" i="2"/>
  <c r="I588" i="2"/>
  <c r="J588" i="2"/>
  <c r="K588" i="2"/>
  <c r="L588" i="2"/>
  <c r="M588" i="2"/>
  <c r="N588" i="2"/>
  <c r="O588" i="2"/>
  <c r="Q588" i="2"/>
  <c r="R588" i="2"/>
  <c r="S588" i="2"/>
  <c r="E589" i="2"/>
  <c r="F589" i="2"/>
  <c r="G589" i="2"/>
  <c r="H589" i="2"/>
  <c r="I589" i="2"/>
  <c r="J589" i="2"/>
  <c r="M589" i="2" s="1"/>
  <c r="K589" i="2"/>
  <c r="L589" i="2"/>
  <c r="N589" i="2"/>
  <c r="O589" i="2"/>
  <c r="Q589" i="2"/>
  <c r="R589" i="2"/>
  <c r="S589" i="2"/>
  <c r="E590" i="2"/>
  <c r="F590" i="2"/>
  <c r="G590" i="2"/>
  <c r="H590" i="2"/>
  <c r="I590" i="2"/>
  <c r="J590" i="2"/>
  <c r="K590" i="2"/>
  <c r="L590" i="2"/>
  <c r="N590" i="2"/>
  <c r="O590" i="2"/>
  <c r="Q590" i="2"/>
  <c r="R590" i="2"/>
  <c r="S590" i="2"/>
  <c r="E591" i="2"/>
  <c r="F591" i="2"/>
  <c r="G591" i="2"/>
  <c r="H591" i="2"/>
  <c r="I591" i="2"/>
  <c r="J591" i="2"/>
  <c r="K591" i="2"/>
  <c r="L591" i="2"/>
  <c r="N591" i="2"/>
  <c r="O591" i="2"/>
  <c r="Q591" i="2"/>
  <c r="R591" i="2"/>
  <c r="S591" i="2"/>
  <c r="E592" i="2"/>
  <c r="F592" i="2"/>
  <c r="G592" i="2"/>
  <c r="H592" i="2"/>
  <c r="M592" i="2" s="1"/>
  <c r="I592" i="2"/>
  <c r="J592" i="2"/>
  <c r="K592" i="2"/>
  <c r="L592" i="2"/>
  <c r="N592" i="2"/>
  <c r="O592" i="2"/>
  <c r="P592" i="2" s="1"/>
  <c r="Q592" i="2"/>
  <c r="R592" i="2"/>
  <c r="S592" i="2"/>
  <c r="E593" i="2"/>
  <c r="F593" i="2"/>
  <c r="G593" i="2"/>
  <c r="H593" i="2"/>
  <c r="I593" i="2"/>
  <c r="J593" i="2"/>
  <c r="K593" i="2"/>
  <c r="L593" i="2"/>
  <c r="N593" i="2"/>
  <c r="O593" i="2"/>
  <c r="Q593" i="2"/>
  <c r="R593" i="2"/>
  <c r="S593" i="2"/>
  <c r="E594" i="2"/>
  <c r="F594" i="2"/>
  <c r="G594" i="2"/>
  <c r="H594" i="2"/>
  <c r="I594" i="2"/>
  <c r="J594" i="2"/>
  <c r="K594" i="2"/>
  <c r="L594" i="2"/>
  <c r="M594" i="2"/>
  <c r="N594" i="2"/>
  <c r="O594" i="2"/>
  <c r="Q594" i="2"/>
  <c r="R594" i="2"/>
  <c r="S594" i="2"/>
  <c r="E595" i="2"/>
  <c r="F595" i="2"/>
  <c r="G595" i="2"/>
  <c r="H595" i="2"/>
  <c r="I595" i="2"/>
  <c r="J595" i="2"/>
  <c r="K595" i="2"/>
  <c r="L595" i="2"/>
  <c r="N595" i="2"/>
  <c r="O595" i="2"/>
  <c r="P595" i="2"/>
  <c r="Q595" i="2"/>
  <c r="R595" i="2"/>
  <c r="S595" i="2"/>
  <c r="E596" i="2"/>
  <c r="F596" i="2"/>
  <c r="G596" i="2"/>
  <c r="H596" i="2"/>
  <c r="I596" i="2"/>
  <c r="J596" i="2"/>
  <c r="K596" i="2"/>
  <c r="L596" i="2"/>
  <c r="M596" i="2"/>
  <c r="N596" i="2"/>
  <c r="O596" i="2"/>
  <c r="Q596" i="2"/>
  <c r="R596" i="2"/>
  <c r="S596" i="2"/>
  <c r="E597" i="2"/>
  <c r="F597" i="2"/>
  <c r="G597" i="2"/>
  <c r="H597" i="2"/>
  <c r="I597" i="2"/>
  <c r="J597" i="2"/>
  <c r="M597" i="2" s="1"/>
  <c r="K597" i="2"/>
  <c r="L597" i="2"/>
  <c r="N597" i="2"/>
  <c r="O597" i="2"/>
  <c r="Q597" i="2"/>
  <c r="R597" i="2"/>
  <c r="S597" i="2"/>
  <c r="E598" i="2"/>
  <c r="F598" i="2"/>
  <c r="G598" i="2"/>
  <c r="H598" i="2"/>
  <c r="I598" i="2"/>
  <c r="J598" i="2"/>
  <c r="K598" i="2"/>
  <c r="L598" i="2"/>
  <c r="N598" i="2"/>
  <c r="O598" i="2"/>
  <c r="Q598" i="2"/>
  <c r="R598" i="2"/>
  <c r="S598" i="2"/>
  <c r="E599" i="2"/>
  <c r="F599" i="2"/>
  <c r="G599" i="2"/>
  <c r="H599" i="2"/>
  <c r="I599" i="2"/>
  <c r="J599" i="2"/>
  <c r="K599" i="2"/>
  <c r="L599" i="2"/>
  <c r="N599" i="2"/>
  <c r="O599" i="2"/>
  <c r="Q599" i="2"/>
  <c r="R599" i="2"/>
  <c r="S599" i="2"/>
  <c r="E600" i="2"/>
  <c r="F600" i="2"/>
  <c r="G600" i="2"/>
  <c r="H600" i="2"/>
  <c r="M600" i="2" s="1"/>
  <c r="I600" i="2"/>
  <c r="J600" i="2"/>
  <c r="K600" i="2"/>
  <c r="L600" i="2"/>
  <c r="N600" i="2"/>
  <c r="O600" i="2"/>
  <c r="P600" i="2" s="1"/>
  <c r="Q600" i="2"/>
  <c r="R600" i="2"/>
  <c r="S600" i="2"/>
  <c r="E601" i="2"/>
  <c r="F601" i="2"/>
  <c r="G601" i="2"/>
  <c r="H601" i="2"/>
  <c r="I601" i="2"/>
  <c r="J601" i="2"/>
  <c r="K601" i="2"/>
  <c r="L601" i="2"/>
  <c r="N601" i="2"/>
  <c r="O601" i="2"/>
  <c r="Q601" i="2"/>
  <c r="R601" i="2"/>
  <c r="S601" i="2"/>
  <c r="E602" i="2"/>
  <c r="F602" i="2"/>
  <c r="G602" i="2"/>
  <c r="H602" i="2"/>
  <c r="I602" i="2"/>
  <c r="J602" i="2"/>
  <c r="K602" i="2"/>
  <c r="L602" i="2"/>
  <c r="M602" i="2"/>
  <c r="N602" i="2"/>
  <c r="O602" i="2"/>
  <c r="Q602" i="2"/>
  <c r="R602" i="2"/>
  <c r="S602" i="2"/>
  <c r="E603" i="2"/>
  <c r="F603" i="2"/>
  <c r="G603" i="2"/>
  <c r="H603" i="2"/>
  <c r="I603" i="2"/>
  <c r="J603" i="2"/>
  <c r="K603" i="2"/>
  <c r="L603" i="2"/>
  <c r="N603" i="2"/>
  <c r="O603" i="2"/>
  <c r="P603" i="2"/>
  <c r="Q603" i="2"/>
  <c r="R603" i="2"/>
  <c r="S603" i="2"/>
  <c r="E604" i="2"/>
  <c r="F604" i="2"/>
  <c r="G604" i="2"/>
  <c r="H604" i="2"/>
  <c r="I604" i="2"/>
  <c r="J604" i="2"/>
  <c r="K604" i="2"/>
  <c r="L604" i="2"/>
  <c r="M604" i="2"/>
  <c r="N604" i="2"/>
  <c r="O604" i="2"/>
  <c r="Q604" i="2"/>
  <c r="R604" i="2"/>
  <c r="S604" i="2"/>
  <c r="E605" i="2"/>
  <c r="F605" i="2"/>
  <c r="G605" i="2"/>
  <c r="H605" i="2"/>
  <c r="I605" i="2"/>
  <c r="J605" i="2"/>
  <c r="M605" i="2" s="1"/>
  <c r="K605" i="2"/>
  <c r="L605" i="2"/>
  <c r="N605" i="2"/>
  <c r="O605" i="2"/>
  <c r="Q605" i="2"/>
  <c r="R605" i="2"/>
  <c r="S605" i="2"/>
  <c r="E606" i="2"/>
  <c r="F606" i="2"/>
  <c r="G606" i="2"/>
  <c r="H606" i="2"/>
  <c r="I606" i="2"/>
  <c r="J606" i="2"/>
  <c r="M606" i="2" s="1"/>
  <c r="K606" i="2"/>
  <c r="L606" i="2"/>
  <c r="N606" i="2"/>
  <c r="O606" i="2"/>
  <c r="Q606" i="2"/>
  <c r="R606" i="2"/>
  <c r="S606" i="2"/>
  <c r="E607" i="2"/>
  <c r="F607" i="2"/>
  <c r="G607" i="2"/>
  <c r="H607" i="2"/>
  <c r="I607" i="2"/>
  <c r="J607" i="2"/>
  <c r="K607" i="2"/>
  <c r="L607" i="2"/>
  <c r="N607" i="2"/>
  <c r="O607" i="2"/>
  <c r="Q607" i="2"/>
  <c r="R607" i="2"/>
  <c r="S607" i="2"/>
  <c r="E608" i="2"/>
  <c r="F608" i="2"/>
  <c r="G608" i="2"/>
  <c r="H608" i="2"/>
  <c r="M608" i="2" s="1"/>
  <c r="I608" i="2"/>
  <c r="J608" i="2"/>
  <c r="K608" i="2"/>
  <c r="L608" i="2"/>
  <c r="N608" i="2"/>
  <c r="O608" i="2"/>
  <c r="P608" i="2" s="1"/>
  <c r="Q608" i="2"/>
  <c r="R608" i="2"/>
  <c r="S608" i="2"/>
  <c r="E609" i="2"/>
  <c r="F609" i="2"/>
  <c r="G609" i="2"/>
  <c r="H609" i="2"/>
  <c r="I609" i="2"/>
  <c r="J609" i="2"/>
  <c r="K609" i="2"/>
  <c r="L609" i="2"/>
  <c r="N609" i="2"/>
  <c r="O609" i="2"/>
  <c r="P609" i="2"/>
  <c r="Q609" i="2"/>
  <c r="R609" i="2"/>
  <c r="S609" i="2"/>
  <c r="E610" i="2"/>
  <c r="F610" i="2"/>
  <c r="G610" i="2"/>
  <c r="H610" i="2"/>
  <c r="I610" i="2"/>
  <c r="J610" i="2"/>
  <c r="K610" i="2"/>
  <c r="L610" i="2"/>
  <c r="M610" i="2"/>
  <c r="N610" i="2"/>
  <c r="O610" i="2"/>
  <c r="Q610" i="2"/>
  <c r="R610" i="2"/>
  <c r="S610" i="2"/>
  <c r="E611" i="2"/>
  <c r="F611" i="2"/>
  <c r="G611" i="2"/>
  <c r="H611" i="2"/>
  <c r="I611" i="2"/>
  <c r="J611" i="2"/>
  <c r="K611" i="2"/>
  <c r="L611" i="2"/>
  <c r="N611" i="2"/>
  <c r="O611" i="2"/>
  <c r="P611" i="2"/>
  <c r="Q611" i="2"/>
  <c r="R611" i="2"/>
  <c r="S611" i="2"/>
  <c r="E612" i="2"/>
  <c r="F612" i="2"/>
  <c r="G612" i="2"/>
  <c r="H612" i="2"/>
  <c r="I612" i="2"/>
  <c r="J612" i="2"/>
  <c r="K612" i="2"/>
  <c r="L612" i="2"/>
  <c r="M612" i="2"/>
  <c r="N612" i="2"/>
  <c r="O612" i="2"/>
  <c r="Q612" i="2"/>
  <c r="R612" i="2"/>
  <c r="S612" i="2"/>
  <c r="E613" i="2"/>
  <c r="F613" i="2"/>
  <c r="G613" i="2"/>
  <c r="H613" i="2"/>
  <c r="I613" i="2"/>
  <c r="J613" i="2"/>
  <c r="M613" i="2" s="1"/>
  <c r="K613" i="2"/>
  <c r="L613" i="2"/>
  <c r="N613" i="2"/>
  <c r="O613" i="2"/>
  <c r="Q613" i="2"/>
  <c r="R613" i="2"/>
  <c r="S613" i="2"/>
  <c r="E614" i="2"/>
  <c r="F614" i="2"/>
  <c r="G614" i="2"/>
  <c r="H614" i="2"/>
  <c r="I614" i="2"/>
  <c r="J614" i="2"/>
  <c r="M614" i="2" s="1"/>
  <c r="K614" i="2"/>
  <c r="L614" i="2"/>
  <c r="N614" i="2"/>
  <c r="O614" i="2"/>
  <c r="Q614" i="2"/>
  <c r="R614" i="2"/>
  <c r="S614" i="2"/>
  <c r="E615" i="2"/>
  <c r="F615" i="2"/>
  <c r="G615" i="2"/>
  <c r="H615" i="2"/>
  <c r="I615" i="2"/>
  <c r="J615" i="2"/>
  <c r="K615" i="2"/>
  <c r="L615" i="2"/>
  <c r="N615" i="2"/>
  <c r="O615" i="2"/>
  <c r="Q615" i="2"/>
  <c r="R615" i="2"/>
  <c r="S615" i="2"/>
  <c r="E616" i="2"/>
  <c r="F616" i="2"/>
  <c r="G616" i="2"/>
  <c r="H616" i="2"/>
  <c r="M616" i="2" s="1"/>
  <c r="I616" i="2"/>
  <c r="J616" i="2"/>
  <c r="K616" i="2"/>
  <c r="L616" i="2"/>
  <c r="N616" i="2"/>
  <c r="O616" i="2"/>
  <c r="P616" i="2" s="1"/>
  <c r="Q616" i="2"/>
  <c r="R616" i="2"/>
  <c r="S616" i="2"/>
  <c r="E617" i="2"/>
  <c r="F617" i="2"/>
  <c r="G617" i="2"/>
  <c r="H617" i="2"/>
  <c r="I617" i="2"/>
  <c r="J617" i="2"/>
  <c r="K617" i="2"/>
  <c r="L617" i="2"/>
  <c r="N617" i="2"/>
  <c r="O617" i="2"/>
  <c r="P617" i="2"/>
  <c r="Q617" i="2"/>
  <c r="R617" i="2"/>
  <c r="S617" i="2"/>
  <c r="E618" i="2"/>
  <c r="F618" i="2"/>
  <c r="G618" i="2"/>
  <c r="H618" i="2"/>
  <c r="I618" i="2"/>
  <c r="J618" i="2"/>
  <c r="K618" i="2"/>
  <c r="L618" i="2"/>
  <c r="M618" i="2"/>
  <c r="N618" i="2"/>
  <c r="O618" i="2"/>
  <c r="Q618" i="2"/>
  <c r="R618" i="2"/>
  <c r="S618" i="2"/>
  <c r="E619" i="2"/>
  <c r="F619" i="2"/>
  <c r="G619" i="2"/>
  <c r="H619" i="2"/>
  <c r="I619" i="2"/>
  <c r="J619" i="2"/>
  <c r="K619" i="2"/>
  <c r="L619" i="2"/>
  <c r="N619" i="2"/>
  <c r="O619" i="2"/>
  <c r="P619" i="2"/>
  <c r="Q619" i="2"/>
  <c r="R619" i="2"/>
  <c r="S619" i="2"/>
  <c r="E620" i="2"/>
  <c r="F620" i="2"/>
  <c r="G620" i="2"/>
  <c r="H620" i="2"/>
  <c r="I620" i="2"/>
  <c r="J620" i="2"/>
  <c r="K620" i="2"/>
  <c r="L620" i="2"/>
  <c r="M620" i="2"/>
  <c r="N620" i="2"/>
  <c r="O620" i="2"/>
  <c r="Q620" i="2"/>
  <c r="R620" i="2"/>
  <c r="S620" i="2"/>
  <c r="E621" i="2"/>
  <c r="F621" i="2"/>
  <c r="G621" i="2"/>
  <c r="H621" i="2"/>
  <c r="I621" i="2"/>
  <c r="J621" i="2"/>
  <c r="M621" i="2" s="1"/>
  <c r="K621" i="2"/>
  <c r="L621" i="2"/>
  <c r="N621" i="2"/>
  <c r="O621" i="2"/>
  <c r="Q621" i="2"/>
  <c r="R621" i="2"/>
  <c r="S621" i="2"/>
  <c r="E622" i="2"/>
  <c r="F622" i="2"/>
  <c r="G622" i="2"/>
  <c r="H622" i="2"/>
  <c r="I622" i="2"/>
  <c r="J622" i="2"/>
  <c r="M622" i="2" s="1"/>
  <c r="K622" i="2"/>
  <c r="L622" i="2"/>
  <c r="N622" i="2"/>
  <c r="O622" i="2"/>
  <c r="Q622" i="2"/>
  <c r="R622" i="2"/>
  <c r="S622" i="2"/>
  <c r="E623" i="2"/>
  <c r="F623" i="2"/>
  <c r="G623" i="2"/>
  <c r="H623" i="2"/>
  <c r="I623" i="2"/>
  <c r="J623" i="2"/>
  <c r="K623" i="2"/>
  <c r="L623" i="2"/>
  <c r="N623" i="2"/>
  <c r="O623" i="2"/>
  <c r="Q623" i="2"/>
  <c r="R623" i="2"/>
  <c r="S623" i="2"/>
  <c r="E624" i="2"/>
  <c r="F624" i="2"/>
  <c r="G624" i="2"/>
  <c r="H624" i="2"/>
  <c r="M624" i="2" s="1"/>
  <c r="I624" i="2"/>
  <c r="J624" i="2"/>
  <c r="K624" i="2"/>
  <c r="L624" i="2"/>
  <c r="N624" i="2"/>
  <c r="O624" i="2"/>
  <c r="P624" i="2" s="1"/>
  <c r="Q624" i="2"/>
  <c r="R624" i="2"/>
  <c r="S624" i="2"/>
  <c r="E625" i="2"/>
  <c r="F625" i="2"/>
  <c r="G625" i="2"/>
  <c r="H625" i="2"/>
  <c r="I625" i="2"/>
  <c r="J625" i="2"/>
  <c r="K625" i="2"/>
  <c r="L625" i="2"/>
  <c r="N625" i="2"/>
  <c r="O625" i="2"/>
  <c r="P625" i="2"/>
  <c r="Q625" i="2"/>
  <c r="R625" i="2"/>
  <c r="S625" i="2"/>
  <c r="E626" i="2"/>
  <c r="F626" i="2"/>
  <c r="G626" i="2"/>
  <c r="H626" i="2"/>
  <c r="I626" i="2"/>
  <c r="J626" i="2"/>
  <c r="K626" i="2"/>
  <c r="L626" i="2"/>
  <c r="M626" i="2"/>
  <c r="N626" i="2"/>
  <c r="O626" i="2"/>
  <c r="Q626" i="2"/>
  <c r="R626" i="2"/>
  <c r="S626" i="2"/>
  <c r="E627" i="2"/>
  <c r="F627" i="2"/>
  <c r="G627" i="2"/>
  <c r="H627" i="2"/>
  <c r="I627" i="2"/>
  <c r="J627" i="2"/>
  <c r="K627" i="2"/>
  <c r="L627" i="2"/>
  <c r="N627" i="2"/>
  <c r="O627" i="2"/>
  <c r="P627" i="2"/>
  <c r="Q627" i="2"/>
  <c r="R627" i="2"/>
  <c r="S627" i="2"/>
  <c r="E628" i="2"/>
  <c r="F628" i="2"/>
  <c r="G628" i="2"/>
  <c r="H628" i="2"/>
  <c r="I628" i="2"/>
  <c r="J628" i="2"/>
  <c r="K628" i="2"/>
  <c r="L628" i="2"/>
  <c r="M628" i="2"/>
  <c r="N628" i="2"/>
  <c r="O628" i="2"/>
  <c r="Q628" i="2"/>
  <c r="R628" i="2"/>
  <c r="S628" i="2"/>
  <c r="E629" i="2"/>
  <c r="F629" i="2"/>
  <c r="G629" i="2"/>
  <c r="H629" i="2"/>
  <c r="I629" i="2"/>
  <c r="J629" i="2"/>
  <c r="M629" i="2" s="1"/>
  <c r="K629" i="2"/>
  <c r="L629" i="2"/>
  <c r="N629" i="2"/>
  <c r="O629" i="2"/>
  <c r="Q629" i="2"/>
  <c r="R629" i="2"/>
  <c r="S629" i="2"/>
  <c r="E630" i="2"/>
  <c r="F630" i="2"/>
  <c r="G630" i="2"/>
  <c r="H630" i="2"/>
  <c r="I630" i="2"/>
  <c r="J630" i="2"/>
  <c r="M630" i="2" s="1"/>
  <c r="K630" i="2"/>
  <c r="L630" i="2"/>
  <c r="N630" i="2"/>
  <c r="O630" i="2"/>
  <c r="Q630" i="2"/>
  <c r="R630" i="2"/>
  <c r="S630" i="2"/>
  <c r="E631" i="2"/>
  <c r="F631" i="2"/>
  <c r="G631" i="2"/>
  <c r="H631" i="2"/>
  <c r="I631" i="2"/>
  <c r="J631" i="2"/>
  <c r="K631" i="2"/>
  <c r="L631" i="2"/>
  <c r="N631" i="2"/>
  <c r="O631" i="2"/>
  <c r="Q631" i="2"/>
  <c r="R631" i="2"/>
  <c r="S631" i="2"/>
  <c r="E632" i="2"/>
  <c r="F632" i="2"/>
  <c r="G632" i="2"/>
  <c r="H632" i="2"/>
  <c r="M632" i="2" s="1"/>
  <c r="I632" i="2"/>
  <c r="J632" i="2"/>
  <c r="K632" i="2"/>
  <c r="L632" i="2"/>
  <c r="N632" i="2"/>
  <c r="O632" i="2"/>
  <c r="P632" i="2" s="1"/>
  <c r="Q632" i="2"/>
  <c r="R632" i="2"/>
  <c r="S632" i="2"/>
  <c r="E633" i="2"/>
  <c r="F633" i="2"/>
  <c r="G633" i="2"/>
  <c r="H633" i="2"/>
  <c r="I633" i="2"/>
  <c r="J633" i="2"/>
  <c r="K633" i="2"/>
  <c r="L633" i="2"/>
  <c r="N633" i="2"/>
  <c r="O633" i="2"/>
  <c r="P633" i="2"/>
  <c r="Q633" i="2"/>
  <c r="R633" i="2"/>
  <c r="S633" i="2"/>
  <c r="E634" i="2"/>
  <c r="F634" i="2"/>
  <c r="G634" i="2"/>
  <c r="H634" i="2"/>
  <c r="I634" i="2"/>
  <c r="J634" i="2"/>
  <c r="K634" i="2"/>
  <c r="L634" i="2"/>
  <c r="M634" i="2"/>
  <c r="N634" i="2"/>
  <c r="O634" i="2"/>
  <c r="Q634" i="2"/>
  <c r="R634" i="2"/>
  <c r="S634" i="2"/>
  <c r="E635" i="2"/>
  <c r="F635" i="2"/>
  <c r="G635" i="2"/>
  <c r="H635" i="2"/>
  <c r="I635" i="2"/>
  <c r="J635" i="2"/>
  <c r="K635" i="2"/>
  <c r="L635" i="2"/>
  <c r="N635" i="2"/>
  <c r="O635" i="2"/>
  <c r="P635" i="2"/>
  <c r="Q635" i="2"/>
  <c r="R635" i="2"/>
  <c r="S635" i="2"/>
  <c r="E636" i="2"/>
  <c r="F636" i="2"/>
  <c r="G636" i="2"/>
  <c r="H636" i="2"/>
  <c r="I636" i="2"/>
  <c r="J636" i="2"/>
  <c r="K636" i="2"/>
  <c r="L636" i="2"/>
  <c r="M636" i="2"/>
  <c r="N636" i="2"/>
  <c r="O636" i="2"/>
  <c r="Q636" i="2"/>
  <c r="R636" i="2"/>
  <c r="S636" i="2"/>
  <c r="E637" i="2"/>
  <c r="F637" i="2"/>
  <c r="G637" i="2"/>
  <c r="H637" i="2"/>
  <c r="I637" i="2"/>
  <c r="J637" i="2"/>
  <c r="M637" i="2" s="1"/>
  <c r="K637" i="2"/>
  <c r="L637" i="2"/>
  <c r="N637" i="2"/>
  <c r="O637" i="2"/>
  <c r="Q637" i="2"/>
  <c r="R637" i="2"/>
  <c r="S637" i="2"/>
  <c r="E638" i="2"/>
  <c r="F638" i="2"/>
  <c r="G638" i="2"/>
  <c r="H638" i="2"/>
  <c r="I638" i="2"/>
  <c r="J638" i="2"/>
  <c r="M638" i="2" s="1"/>
  <c r="K638" i="2"/>
  <c r="L638" i="2"/>
  <c r="N638" i="2"/>
  <c r="O638" i="2"/>
  <c r="Q638" i="2"/>
  <c r="R638" i="2"/>
  <c r="S638" i="2"/>
  <c r="E639" i="2"/>
  <c r="F639" i="2"/>
  <c r="G639" i="2"/>
  <c r="H639" i="2"/>
  <c r="I639" i="2"/>
  <c r="J639" i="2"/>
  <c r="K639" i="2"/>
  <c r="L639" i="2"/>
  <c r="N639" i="2"/>
  <c r="O639" i="2"/>
  <c r="Q639" i="2"/>
  <c r="R639" i="2"/>
  <c r="S639" i="2"/>
  <c r="E640" i="2"/>
  <c r="F640" i="2"/>
  <c r="G640" i="2"/>
  <c r="H640" i="2"/>
  <c r="M640" i="2" s="1"/>
  <c r="I640" i="2"/>
  <c r="J640" i="2"/>
  <c r="K640" i="2"/>
  <c r="L640" i="2"/>
  <c r="N640" i="2"/>
  <c r="O640" i="2"/>
  <c r="P640" i="2" s="1"/>
  <c r="Q640" i="2"/>
  <c r="R640" i="2"/>
  <c r="S640" i="2"/>
  <c r="E641" i="2"/>
  <c r="F641" i="2"/>
  <c r="G641" i="2"/>
  <c r="H641" i="2"/>
  <c r="I641" i="2"/>
  <c r="J641" i="2"/>
  <c r="K641" i="2"/>
  <c r="L641" i="2"/>
  <c r="N641" i="2"/>
  <c r="O641" i="2"/>
  <c r="P641" i="2"/>
  <c r="Q641" i="2"/>
  <c r="R641" i="2"/>
  <c r="S641" i="2"/>
  <c r="E642" i="2"/>
  <c r="F642" i="2"/>
  <c r="G642" i="2"/>
  <c r="H642" i="2"/>
  <c r="I642" i="2"/>
  <c r="J642" i="2"/>
  <c r="K642" i="2"/>
  <c r="L642" i="2"/>
  <c r="M642" i="2"/>
  <c r="N642" i="2"/>
  <c r="O642" i="2"/>
  <c r="Q642" i="2"/>
  <c r="R642" i="2"/>
  <c r="S642" i="2"/>
  <c r="E643" i="2"/>
  <c r="F643" i="2"/>
  <c r="G643" i="2"/>
  <c r="H643" i="2"/>
  <c r="I643" i="2"/>
  <c r="J643" i="2"/>
  <c r="K643" i="2"/>
  <c r="L643" i="2"/>
  <c r="N643" i="2"/>
  <c r="O643" i="2"/>
  <c r="P643" i="2"/>
  <c r="Q643" i="2"/>
  <c r="R643" i="2"/>
  <c r="S643" i="2"/>
  <c r="E644" i="2"/>
  <c r="F644" i="2"/>
  <c r="G644" i="2"/>
  <c r="H644" i="2"/>
  <c r="I644" i="2"/>
  <c r="J644" i="2"/>
  <c r="K644" i="2"/>
  <c r="L644" i="2"/>
  <c r="M644" i="2"/>
  <c r="N644" i="2"/>
  <c r="O644" i="2"/>
  <c r="Q644" i="2"/>
  <c r="R644" i="2"/>
  <c r="S644" i="2"/>
  <c r="E645" i="2"/>
  <c r="F645" i="2"/>
  <c r="G645" i="2"/>
  <c r="H645" i="2"/>
  <c r="I645" i="2"/>
  <c r="J645" i="2"/>
  <c r="M645" i="2" s="1"/>
  <c r="K645" i="2"/>
  <c r="L645" i="2"/>
  <c r="N645" i="2"/>
  <c r="O645" i="2"/>
  <c r="Q645" i="2"/>
  <c r="R645" i="2"/>
  <c r="S645" i="2"/>
  <c r="E646" i="2"/>
  <c r="F646" i="2"/>
  <c r="G646" i="2"/>
  <c r="H646" i="2"/>
  <c r="I646" i="2"/>
  <c r="J646" i="2"/>
  <c r="M646" i="2" s="1"/>
  <c r="K646" i="2"/>
  <c r="L646" i="2"/>
  <c r="N646" i="2"/>
  <c r="O646" i="2"/>
  <c r="Q646" i="2"/>
  <c r="R646" i="2"/>
  <c r="S646" i="2"/>
  <c r="E647" i="2"/>
  <c r="F647" i="2"/>
  <c r="G647" i="2"/>
  <c r="H647" i="2"/>
  <c r="I647" i="2"/>
  <c r="J647" i="2"/>
  <c r="K647" i="2"/>
  <c r="L647" i="2"/>
  <c r="N647" i="2"/>
  <c r="O647" i="2"/>
  <c r="Q647" i="2"/>
  <c r="R647" i="2"/>
  <c r="S647" i="2"/>
  <c r="E648" i="2"/>
  <c r="F648" i="2"/>
  <c r="G648" i="2"/>
  <c r="H648" i="2"/>
  <c r="M648" i="2" s="1"/>
  <c r="I648" i="2"/>
  <c r="J648" i="2"/>
  <c r="K648" i="2"/>
  <c r="L648" i="2"/>
  <c r="N648" i="2"/>
  <c r="O648" i="2"/>
  <c r="P648" i="2" s="1"/>
  <c r="Q648" i="2"/>
  <c r="R648" i="2"/>
  <c r="S648" i="2"/>
  <c r="E649" i="2"/>
  <c r="F649" i="2"/>
  <c r="G649" i="2"/>
  <c r="H649" i="2"/>
  <c r="I649" i="2"/>
  <c r="J649" i="2"/>
  <c r="K649" i="2"/>
  <c r="L649" i="2"/>
  <c r="N649" i="2"/>
  <c r="O649" i="2"/>
  <c r="P649" i="2"/>
  <c r="Q649" i="2"/>
  <c r="R649" i="2"/>
  <c r="S649" i="2"/>
  <c r="E650" i="2"/>
  <c r="F650" i="2"/>
  <c r="G650" i="2"/>
  <c r="H650" i="2"/>
  <c r="I650" i="2"/>
  <c r="J650" i="2"/>
  <c r="K650" i="2"/>
  <c r="L650" i="2"/>
  <c r="M650" i="2"/>
  <c r="N650" i="2"/>
  <c r="O650" i="2"/>
  <c r="Q650" i="2"/>
  <c r="R650" i="2"/>
  <c r="S650" i="2"/>
  <c r="E651" i="2"/>
  <c r="F651" i="2"/>
  <c r="G651" i="2"/>
  <c r="H651" i="2"/>
  <c r="I651" i="2"/>
  <c r="J651" i="2"/>
  <c r="K651" i="2"/>
  <c r="L651" i="2"/>
  <c r="N651" i="2"/>
  <c r="O651" i="2"/>
  <c r="P651" i="2"/>
  <c r="Q651" i="2"/>
  <c r="R651" i="2"/>
  <c r="S651" i="2"/>
  <c r="E652" i="2"/>
  <c r="F652" i="2"/>
  <c r="G652" i="2"/>
  <c r="H652" i="2"/>
  <c r="I652" i="2"/>
  <c r="J652" i="2"/>
  <c r="K652" i="2"/>
  <c r="L652" i="2"/>
  <c r="M652" i="2"/>
  <c r="N652" i="2"/>
  <c r="O652" i="2"/>
  <c r="Q652" i="2"/>
  <c r="R652" i="2"/>
  <c r="S652" i="2"/>
  <c r="E653" i="2"/>
  <c r="F653" i="2"/>
  <c r="G653" i="2"/>
  <c r="H653" i="2"/>
  <c r="I653" i="2"/>
  <c r="J653" i="2"/>
  <c r="M653" i="2" s="1"/>
  <c r="K653" i="2"/>
  <c r="L653" i="2"/>
  <c r="N653" i="2"/>
  <c r="O653" i="2"/>
  <c r="Q653" i="2"/>
  <c r="R653" i="2"/>
  <c r="S653" i="2"/>
  <c r="E654" i="2"/>
  <c r="F654" i="2"/>
  <c r="G654" i="2"/>
  <c r="H654" i="2"/>
  <c r="I654" i="2"/>
  <c r="J654" i="2"/>
  <c r="M654" i="2" s="1"/>
  <c r="K654" i="2"/>
  <c r="L654" i="2"/>
  <c r="N654" i="2"/>
  <c r="O654" i="2"/>
  <c r="Q654" i="2"/>
  <c r="R654" i="2"/>
  <c r="S654" i="2"/>
  <c r="E655" i="2"/>
  <c r="F655" i="2"/>
  <c r="G655" i="2"/>
  <c r="H655" i="2"/>
  <c r="I655" i="2"/>
  <c r="J655" i="2"/>
  <c r="K655" i="2"/>
  <c r="L655" i="2"/>
  <c r="N655" i="2"/>
  <c r="O655" i="2"/>
  <c r="Q655" i="2"/>
  <c r="R655" i="2"/>
  <c r="S655" i="2"/>
  <c r="E656" i="2"/>
  <c r="F656" i="2"/>
  <c r="G656" i="2"/>
  <c r="H656" i="2"/>
  <c r="M656" i="2" s="1"/>
  <c r="I656" i="2"/>
  <c r="J656" i="2"/>
  <c r="K656" i="2"/>
  <c r="L656" i="2"/>
  <c r="N656" i="2"/>
  <c r="O656" i="2"/>
  <c r="P656" i="2" s="1"/>
  <c r="Q656" i="2"/>
  <c r="R656" i="2"/>
  <c r="S656" i="2"/>
  <c r="E657" i="2"/>
  <c r="F657" i="2"/>
  <c r="G657" i="2"/>
  <c r="H657" i="2"/>
  <c r="I657" i="2"/>
  <c r="J657" i="2"/>
  <c r="K657" i="2"/>
  <c r="L657" i="2"/>
  <c r="N657" i="2"/>
  <c r="O657" i="2"/>
  <c r="P657" i="2"/>
  <c r="Q657" i="2"/>
  <c r="R657" i="2"/>
  <c r="S657" i="2"/>
  <c r="E658" i="2"/>
  <c r="F658" i="2"/>
  <c r="G658" i="2"/>
  <c r="H658" i="2"/>
  <c r="I658" i="2"/>
  <c r="J658" i="2"/>
  <c r="K658" i="2"/>
  <c r="L658" i="2"/>
  <c r="M658" i="2"/>
  <c r="N658" i="2"/>
  <c r="O658" i="2"/>
  <c r="Q658" i="2"/>
  <c r="R658" i="2"/>
  <c r="S658" i="2"/>
  <c r="E659" i="2"/>
  <c r="F659" i="2"/>
  <c r="G659" i="2"/>
  <c r="H659" i="2"/>
  <c r="I659" i="2"/>
  <c r="J659" i="2"/>
  <c r="K659" i="2"/>
  <c r="L659" i="2"/>
  <c r="N659" i="2"/>
  <c r="O659" i="2"/>
  <c r="P659" i="2"/>
  <c r="Q659" i="2"/>
  <c r="R659" i="2"/>
  <c r="S659" i="2"/>
  <c r="E660" i="2"/>
  <c r="F660" i="2"/>
  <c r="G660" i="2"/>
  <c r="H660" i="2"/>
  <c r="I660" i="2"/>
  <c r="J660" i="2"/>
  <c r="K660" i="2"/>
  <c r="L660" i="2"/>
  <c r="M660" i="2"/>
  <c r="N660" i="2"/>
  <c r="O660" i="2"/>
  <c r="Q660" i="2"/>
  <c r="R660" i="2"/>
  <c r="S660" i="2"/>
  <c r="E661" i="2"/>
  <c r="F661" i="2"/>
  <c r="G661" i="2"/>
  <c r="H661" i="2"/>
  <c r="I661" i="2"/>
  <c r="J661" i="2"/>
  <c r="M661" i="2" s="1"/>
  <c r="K661" i="2"/>
  <c r="L661" i="2"/>
  <c r="N661" i="2"/>
  <c r="O661" i="2"/>
  <c r="Q661" i="2"/>
  <c r="R661" i="2"/>
  <c r="S661" i="2"/>
  <c r="E662" i="2"/>
  <c r="F662" i="2"/>
  <c r="G662" i="2"/>
  <c r="H662" i="2"/>
  <c r="I662" i="2"/>
  <c r="J662" i="2"/>
  <c r="M662" i="2" s="1"/>
  <c r="K662" i="2"/>
  <c r="L662" i="2"/>
  <c r="N662" i="2"/>
  <c r="O662" i="2"/>
  <c r="Q662" i="2"/>
  <c r="R662" i="2"/>
  <c r="S662" i="2"/>
  <c r="E663" i="2"/>
  <c r="F663" i="2"/>
  <c r="G663" i="2"/>
  <c r="H663" i="2"/>
  <c r="I663" i="2"/>
  <c r="J663" i="2"/>
  <c r="K663" i="2"/>
  <c r="L663" i="2"/>
  <c r="N663" i="2"/>
  <c r="O663" i="2"/>
  <c r="Q663" i="2"/>
  <c r="R663" i="2"/>
  <c r="S663" i="2"/>
  <c r="E664" i="2"/>
  <c r="F664" i="2"/>
  <c r="G664" i="2"/>
  <c r="H664" i="2"/>
  <c r="M664" i="2" s="1"/>
  <c r="I664" i="2"/>
  <c r="J664" i="2"/>
  <c r="K664" i="2"/>
  <c r="L664" i="2"/>
  <c r="N664" i="2"/>
  <c r="O664" i="2"/>
  <c r="P664" i="2" s="1"/>
  <c r="Q664" i="2"/>
  <c r="R664" i="2"/>
  <c r="S664" i="2"/>
  <c r="E665" i="2"/>
  <c r="F665" i="2"/>
  <c r="G665" i="2"/>
  <c r="H665" i="2"/>
  <c r="I665" i="2"/>
  <c r="J665" i="2"/>
  <c r="K665" i="2"/>
  <c r="L665" i="2"/>
  <c r="N665" i="2"/>
  <c r="O665" i="2"/>
  <c r="P665" i="2"/>
  <c r="Q665" i="2"/>
  <c r="R665" i="2"/>
  <c r="S665" i="2"/>
  <c r="E666" i="2"/>
  <c r="F666" i="2"/>
  <c r="G666" i="2"/>
  <c r="H666" i="2"/>
  <c r="I666" i="2"/>
  <c r="J666" i="2"/>
  <c r="K666" i="2"/>
  <c r="L666" i="2"/>
  <c r="M666" i="2"/>
  <c r="N666" i="2"/>
  <c r="O666" i="2"/>
  <c r="Q666" i="2"/>
  <c r="R666" i="2"/>
  <c r="S666" i="2"/>
  <c r="E667" i="2"/>
  <c r="F667" i="2"/>
  <c r="G667" i="2"/>
  <c r="H667" i="2"/>
  <c r="I667" i="2"/>
  <c r="J667" i="2"/>
  <c r="K667" i="2"/>
  <c r="L667" i="2"/>
  <c r="N667" i="2"/>
  <c r="O667" i="2"/>
  <c r="P667" i="2"/>
  <c r="Q667" i="2"/>
  <c r="R667" i="2"/>
  <c r="S667" i="2"/>
  <c r="E668" i="2"/>
  <c r="F668" i="2"/>
  <c r="G668" i="2"/>
  <c r="H668" i="2"/>
  <c r="I668" i="2"/>
  <c r="J668" i="2"/>
  <c r="K668" i="2"/>
  <c r="L668" i="2"/>
  <c r="M668" i="2"/>
  <c r="N668" i="2"/>
  <c r="O668" i="2"/>
  <c r="Q668" i="2"/>
  <c r="R668" i="2"/>
  <c r="S668" i="2"/>
  <c r="E669" i="2"/>
  <c r="F669" i="2"/>
  <c r="G669" i="2"/>
  <c r="H669" i="2"/>
  <c r="I669" i="2"/>
  <c r="J669" i="2"/>
  <c r="M669" i="2" s="1"/>
  <c r="K669" i="2"/>
  <c r="L669" i="2"/>
  <c r="N669" i="2"/>
  <c r="O669" i="2"/>
  <c r="Q669" i="2"/>
  <c r="R669" i="2"/>
  <c r="S669" i="2"/>
  <c r="E670" i="2"/>
  <c r="F670" i="2"/>
  <c r="G670" i="2"/>
  <c r="H670" i="2"/>
  <c r="I670" i="2"/>
  <c r="J670" i="2"/>
  <c r="M670" i="2" s="1"/>
  <c r="K670" i="2"/>
  <c r="L670" i="2"/>
  <c r="N670" i="2"/>
  <c r="O670" i="2"/>
  <c r="Q670" i="2"/>
  <c r="R670" i="2"/>
  <c r="S670" i="2"/>
  <c r="E671" i="2"/>
  <c r="F671" i="2"/>
  <c r="G671" i="2"/>
  <c r="H671" i="2"/>
  <c r="I671" i="2"/>
  <c r="J671" i="2"/>
  <c r="K671" i="2"/>
  <c r="L671" i="2"/>
  <c r="N671" i="2"/>
  <c r="O671" i="2"/>
  <c r="Q671" i="2"/>
  <c r="R671" i="2"/>
  <c r="S671" i="2"/>
  <c r="E672" i="2"/>
  <c r="F672" i="2"/>
  <c r="G672" i="2"/>
  <c r="H672" i="2"/>
  <c r="M672" i="2" s="1"/>
  <c r="I672" i="2"/>
  <c r="J672" i="2"/>
  <c r="K672" i="2"/>
  <c r="L672" i="2"/>
  <c r="N672" i="2"/>
  <c r="O672" i="2"/>
  <c r="P672" i="2" s="1"/>
  <c r="Q672" i="2"/>
  <c r="R672" i="2"/>
  <c r="S672" i="2"/>
  <c r="E673" i="2"/>
  <c r="F673" i="2"/>
  <c r="G673" i="2"/>
  <c r="H673" i="2"/>
  <c r="I673" i="2"/>
  <c r="J673" i="2"/>
  <c r="K673" i="2"/>
  <c r="L673" i="2"/>
  <c r="N673" i="2"/>
  <c r="O673" i="2"/>
  <c r="P673" i="2"/>
  <c r="Q673" i="2"/>
  <c r="R673" i="2"/>
  <c r="S673" i="2"/>
  <c r="E674" i="2"/>
  <c r="F674" i="2"/>
  <c r="G674" i="2"/>
  <c r="H674" i="2"/>
  <c r="I674" i="2"/>
  <c r="J674" i="2"/>
  <c r="K674" i="2"/>
  <c r="L674" i="2"/>
  <c r="M674" i="2"/>
  <c r="N674" i="2"/>
  <c r="O674" i="2"/>
  <c r="Q674" i="2"/>
  <c r="R674" i="2"/>
  <c r="S674" i="2"/>
  <c r="E675" i="2"/>
  <c r="F675" i="2"/>
  <c r="G675" i="2"/>
  <c r="H675" i="2"/>
  <c r="I675" i="2"/>
  <c r="J675" i="2"/>
  <c r="K675" i="2"/>
  <c r="L675" i="2"/>
  <c r="N675" i="2"/>
  <c r="O675" i="2"/>
  <c r="P675" i="2"/>
  <c r="Q675" i="2"/>
  <c r="R675" i="2"/>
  <c r="S675" i="2"/>
  <c r="E676" i="2"/>
  <c r="F676" i="2"/>
  <c r="G676" i="2"/>
  <c r="H676" i="2"/>
  <c r="I676" i="2"/>
  <c r="J676" i="2"/>
  <c r="K676" i="2"/>
  <c r="L676" i="2"/>
  <c r="M676" i="2"/>
  <c r="N676" i="2"/>
  <c r="O676" i="2"/>
  <c r="Q676" i="2"/>
  <c r="R676" i="2"/>
  <c r="S676" i="2"/>
  <c r="E677" i="2"/>
  <c r="F677" i="2"/>
  <c r="G677" i="2"/>
  <c r="H677" i="2"/>
  <c r="I677" i="2"/>
  <c r="J677" i="2"/>
  <c r="M677" i="2" s="1"/>
  <c r="K677" i="2"/>
  <c r="L677" i="2"/>
  <c r="N677" i="2"/>
  <c r="O677" i="2"/>
  <c r="Q677" i="2"/>
  <c r="R677" i="2"/>
  <c r="S677" i="2"/>
  <c r="E678" i="2"/>
  <c r="F678" i="2"/>
  <c r="G678" i="2"/>
  <c r="H678" i="2"/>
  <c r="I678" i="2"/>
  <c r="J678" i="2"/>
  <c r="M678" i="2" s="1"/>
  <c r="K678" i="2"/>
  <c r="L678" i="2"/>
  <c r="N678" i="2"/>
  <c r="O678" i="2"/>
  <c r="Q678" i="2"/>
  <c r="R678" i="2"/>
  <c r="S678" i="2"/>
  <c r="E679" i="2"/>
  <c r="F679" i="2"/>
  <c r="G679" i="2"/>
  <c r="H679" i="2"/>
  <c r="I679" i="2"/>
  <c r="J679" i="2"/>
  <c r="K679" i="2"/>
  <c r="L679" i="2"/>
  <c r="N679" i="2"/>
  <c r="O679" i="2"/>
  <c r="Q679" i="2"/>
  <c r="R679" i="2"/>
  <c r="S679" i="2"/>
  <c r="E680" i="2"/>
  <c r="F680" i="2"/>
  <c r="G680" i="2"/>
  <c r="H680" i="2"/>
  <c r="M680" i="2" s="1"/>
  <c r="I680" i="2"/>
  <c r="J680" i="2"/>
  <c r="K680" i="2"/>
  <c r="L680" i="2"/>
  <c r="N680" i="2"/>
  <c r="O680" i="2"/>
  <c r="P680" i="2" s="1"/>
  <c r="Q680" i="2"/>
  <c r="R680" i="2"/>
  <c r="S680" i="2"/>
  <c r="E681" i="2"/>
  <c r="F681" i="2"/>
  <c r="G681" i="2"/>
  <c r="H681" i="2"/>
  <c r="I681" i="2"/>
  <c r="J681" i="2"/>
  <c r="K681" i="2"/>
  <c r="L681" i="2"/>
  <c r="N681" i="2"/>
  <c r="O681" i="2"/>
  <c r="P681" i="2"/>
  <c r="Q681" i="2"/>
  <c r="R681" i="2"/>
  <c r="S681" i="2"/>
  <c r="E682" i="2"/>
  <c r="F682" i="2"/>
  <c r="G682" i="2"/>
  <c r="H682" i="2"/>
  <c r="I682" i="2"/>
  <c r="J682" i="2"/>
  <c r="K682" i="2"/>
  <c r="L682" i="2"/>
  <c r="M682" i="2"/>
  <c r="N682" i="2"/>
  <c r="O682" i="2"/>
  <c r="Q682" i="2"/>
  <c r="R682" i="2"/>
  <c r="S682" i="2"/>
  <c r="E683" i="2"/>
  <c r="F683" i="2"/>
  <c r="G683" i="2"/>
  <c r="H683" i="2"/>
  <c r="I683" i="2"/>
  <c r="J683" i="2"/>
  <c r="K683" i="2"/>
  <c r="L683" i="2"/>
  <c r="N683" i="2"/>
  <c r="O683" i="2"/>
  <c r="P683" i="2"/>
  <c r="Q683" i="2"/>
  <c r="R683" i="2"/>
  <c r="S683" i="2"/>
  <c r="E684" i="2"/>
  <c r="F684" i="2"/>
  <c r="G684" i="2"/>
  <c r="H684" i="2"/>
  <c r="I684" i="2"/>
  <c r="J684" i="2"/>
  <c r="K684" i="2"/>
  <c r="L684" i="2"/>
  <c r="M684" i="2"/>
  <c r="N684" i="2"/>
  <c r="O684" i="2"/>
  <c r="Q684" i="2"/>
  <c r="R684" i="2"/>
  <c r="S684" i="2"/>
  <c r="E685" i="2"/>
  <c r="F685" i="2"/>
  <c r="G685" i="2"/>
  <c r="H685" i="2"/>
  <c r="I685" i="2"/>
  <c r="J685" i="2"/>
  <c r="M685" i="2" s="1"/>
  <c r="K685" i="2"/>
  <c r="L685" i="2"/>
  <c r="N685" i="2"/>
  <c r="O685" i="2"/>
  <c r="Q685" i="2"/>
  <c r="R685" i="2"/>
  <c r="S685" i="2"/>
  <c r="E686" i="2"/>
  <c r="F686" i="2"/>
  <c r="G686" i="2"/>
  <c r="H686" i="2"/>
  <c r="I686" i="2"/>
  <c r="J686" i="2"/>
  <c r="M686" i="2" s="1"/>
  <c r="K686" i="2"/>
  <c r="L686" i="2"/>
  <c r="N686" i="2"/>
  <c r="O686" i="2"/>
  <c r="Q686" i="2"/>
  <c r="R686" i="2"/>
  <c r="S686" i="2"/>
  <c r="E687" i="2"/>
  <c r="F687" i="2"/>
  <c r="G687" i="2"/>
  <c r="H687" i="2"/>
  <c r="I687" i="2"/>
  <c r="J687" i="2"/>
  <c r="K687" i="2"/>
  <c r="L687" i="2"/>
  <c r="N687" i="2"/>
  <c r="O687" i="2"/>
  <c r="Q687" i="2"/>
  <c r="R687" i="2"/>
  <c r="S687" i="2"/>
  <c r="E688" i="2"/>
  <c r="F688" i="2"/>
  <c r="G688" i="2"/>
  <c r="H688" i="2"/>
  <c r="M688" i="2" s="1"/>
  <c r="I688" i="2"/>
  <c r="J688" i="2"/>
  <c r="K688" i="2"/>
  <c r="L688" i="2"/>
  <c r="N688" i="2"/>
  <c r="O688" i="2"/>
  <c r="P688" i="2" s="1"/>
  <c r="Q688" i="2"/>
  <c r="R688" i="2"/>
  <c r="S688" i="2"/>
  <c r="E689" i="2"/>
  <c r="F689" i="2"/>
  <c r="G689" i="2"/>
  <c r="H689" i="2"/>
  <c r="I689" i="2"/>
  <c r="J689" i="2"/>
  <c r="K689" i="2"/>
  <c r="L689" i="2"/>
  <c r="N689" i="2"/>
  <c r="O689" i="2"/>
  <c r="P689" i="2"/>
  <c r="Q689" i="2"/>
  <c r="R689" i="2"/>
  <c r="S689" i="2"/>
  <c r="E690" i="2"/>
  <c r="F690" i="2"/>
  <c r="G690" i="2"/>
  <c r="H690" i="2"/>
  <c r="I690" i="2"/>
  <c r="J690" i="2"/>
  <c r="K690" i="2"/>
  <c r="L690" i="2"/>
  <c r="M690" i="2"/>
  <c r="N690" i="2"/>
  <c r="O690" i="2"/>
  <c r="Q690" i="2"/>
  <c r="R690" i="2"/>
  <c r="S690" i="2"/>
  <c r="E691" i="2"/>
  <c r="F691" i="2"/>
  <c r="G691" i="2"/>
  <c r="H691" i="2"/>
  <c r="I691" i="2"/>
  <c r="J691" i="2"/>
  <c r="M691" i="2" s="1"/>
  <c r="K691" i="2"/>
  <c r="L691" i="2"/>
  <c r="N691" i="2"/>
  <c r="O691" i="2"/>
  <c r="Q691" i="2"/>
  <c r="R691" i="2"/>
  <c r="S691" i="2"/>
  <c r="E692" i="2"/>
  <c r="F692" i="2"/>
  <c r="G692" i="2"/>
  <c r="H692" i="2"/>
  <c r="M692" i="2" s="1"/>
  <c r="I692" i="2"/>
  <c r="J692" i="2"/>
  <c r="K692" i="2"/>
  <c r="L692" i="2"/>
  <c r="N692" i="2"/>
  <c r="O692" i="2"/>
  <c r="P692" i="2" s="1"/>
  <c r="Q692" i="2"/>
  <c r="R692" i="2"/>
  <c r="S692" i="2"/>
  <c r="E693" i="2"/>
  <c r="F693" i="2"/>
  <c r="G693" i="2"/>
  <c r="H693" i="2"/>
  <c r="I693" i="2"/>
  <c r="J693" i="2"/>
  <c r="K693" i="2"/>
  <c r="L693" i="2"/>
  <c r="N693" i="2"/>
  <c r="O693" i="2"/>
  <c r="P693" i="2"/>
  <c r="Q693" i="2"/>
  <c r="R693" i="2"/>
  <c r="S693" i="2"/>
  <c r="E694" i="2"/>
  <c r="F694" i="2"/>
  <c r="G694" i="2"/>
  <c r="H694" i="2"/>
  <c r="I694" i="2"/>
  <c r="J694" i="2"/>
  <c r="K694" i="2"/>
  <c r="L694" i="2"/>
  <c r="M694" i="2"/>
  <c r="N694" i="2"/>
  <c r="O694" i="2"/>
  <c r="Q694" i="2"/>
  <c r="R694" i="2"/>
  <c r="S694" i="2"/>
  <c r="E695" i="2"/>
  <c r="F695" i="2"/>
  <c r="G695" i="2"/>
  <c r="H695" i="2"/>
  <c r="I695" i="2"/>
  <c r="J695" i="2"/>
  <c r="M695" i="2" s="1"/>
  <c r="K695" i="2"/>
  <c r="L695" i="2"/>
  <c r="N695" i="2"/>
  <c r="O695" i="2"/>
  <c r="Q695" i="2"/>
  <c r="R695" i="2"/>
  <c r="S695" i="2"/>
  <c r="E696" i="2"/>
  <c r="F696" i="2"/>
  <c r="G696" i="2"/>
  <c r="H696" i="2"/>
  <c r="M696" i="2" s="1"/>
  <c r="I696" i="2"/>
  <c r="J696" i="2"/>
  <c r="K696" i="2"/>
  <c r="L696" i="2"/>
  <c r="N696" i="2"/>
  <c r="O696" i="2"/>
  <c r="P696" i="2" s="1"/>
  <c r="Q696" i="2"/>
  <c r="R696" i="2"/>
  <c r="S696" i="2"/>
  <c r="E697" i="2"/>
  <c r="F697" i="2"/>
  <c r="G697" i="2"/>
  <c r="H697" i="2"/>
  <c r="I697" i="2"/>
  <c r="J697" i="2"/>
  <c r="K697" i="2"/>
  <c r="L697" i="2"/>
  <c r="N697" i="2"/>
  <c r="O697" i="2"/>
  <c r="P697" i="2"/>
  <c r="Q697" i="2"/>
  <c r="R697" i="2"/>
  <c r="S697" i="2"/>
  <c r="E698" i="2"/>
  <c r="F698" i="2"/>
  <c r="G698" i="2"/>
  <c r="H698" i="2"/>
  <c r="I698" i="2"/>
  <c r="J698" i="2"/>
  <c r="K698" i="2"/>
  <c r="L698" i="2"/>
  <c r="M698" i="2"/>
  <c r="N698" i="2"/>
  <c r="O698" i="2"/>
  <c r="Q698" i="2"/>
  <c r="R698" i="2"/>
  <c r="S698" i="2"/>
  <c r="E699" i="2"/>
  <c r="F699" i="2"/>
  <c r="G699" i="2"/>
  <c r="H699" i="2"/>
  <c r="I699" i="2"/>
  <c r="J699" i="2"/>
  <c r="M699" i="2" s="1"/>
  <c r="K699" i="2"/>
  <c r="L699" i="2"/>
  <c r="N699" i="2"/>
  <c r="O699" i="2"/>
  <c r="Q699" i="2"/>
  <c r="R699" i="2"/>
  <c r="S699" i="2"/>
  <c r="E700" i="2"/>
  <c r="F700" i="2"/>
  <c r="G700" i="2"/>
  <c r="H700" i="2"/>
  <c r="M700" i="2" s="1"/>
  <c r="I700" i="2"/>
  <c r="J700" i="2"/>
  <c r="K700" i="2"/>
  <c r="L700" i="2"/>
  <c r="N700" i="2"/>
  <c r="O700" i="2"/>
  <c r="P700" i="2" s="1"/>
  <c r="Q700" i="2"/>
  <c r="R700" i="2"/>
  <c r="S700" i="2"/>
  <c r="E701" i="2"/>
  <c r="F701" i="2"/>
  <c r="G701" i="2"/>
  <c r="H701" i="2"/>
  <c r="I701" i="2"/>
  <c r="J701" i="2"/>
  <c r="K701" i="2"/>
  <c r="L701" i="2"/>
  <c r="N701" i="2"/>
  <c r="O701" i="2"/>
  <c r="P701" i="2"/>
  <c r="Q701" i="2"/>
  <c r="R701" i="2"/>
  <c r="S701" i="2"/>
  <c r="E702" i="2"/>
  <c r="F702" i="2"/>
  <c r="G702" i="2"/>
  <c r="H702" i="2"/>
  <c r="I702" i="2"/>
  <c r="J702" i="2"/>
  <c r="K702" i="2"/>
  <c r="L702" i="2"/>
  <c r="M702" i="2"/>
  <c r="N702" i="2"/>
  <c r="O702" i="2"/>
  <c r="Q702" i="2"/>
  <c r="R702" i="2"/>
  <c r="S702" i="2"/>
  <c r="E703" i="2"/>
  <c r="F703" i="2"/>
  <c r="G703" i="2"/>
  <c r="H703" i="2"/>
  <c r="I703" i="2"/>
  <c r="J703" i="2"/>
  <c r="M703" i="2" s="1"/>
  <c r="K703" i="2"/>
  <c r="L703" i="2"/>
  <c r="N703" i="2"/>
  <c r="O703" i="2"/>
  <c r="Q703" i="2"/>
  <c r="R703" i="2"/>
  <c r="S703" i="2"/>
  <c r="E704" i="2"/>
  <c r="F704" i="2"/>
  <c r="G704" i="2"/>
  <c r="H704" i="2"/>
  <c r="M704" i="2" s="1"/>
  <c r="I704" i="2"/>
  <c r="J704" i="2"/>
  <c r="K704" i="2"/>
  <c r="L704" i="2"/>
  <c r="N704" i="2"/>
  <c r="O704" i="2"/>
  <c r="P704" i="2" s="1"/>
  <c r="Q704" i="2"/>
  <c r="R704" i="2"/>
  <c r="S704" i="2"/>
  <c r="E705" i="2"/>
  <c r="F705" i="2"/>
  <c r="G705" i="2"/>
  <c r="H705" i="2"/>
  <c r="I705" i="2"/>
  <c r="J705" i="2"/>
  <c r="K705" i="2"/>
  <c r="L705" i="2"/>
  <c r="N705" i="2"/>
  <c r="O705" i="2"/>
  <c r="P705" i="2"/>
  <c r="Q705" i="2"/>
  <c r="R705" i="2"/>
  <c r="S705" i="2"/>
  <c r="E706" i="2"/>
  <c r="F706" i="2"/>
  <c r="G706" i="2"/>
  <c r="H706" i="2"/>
  <c r="I706" i="2"/>
  <c r="J706" i="2"/>
  <c r="K706" i="2"/>
  <c r="L706" i="2"/>
  <c r="M706" i="2"/>
  <c r="N706" i="2"/>
  <c r="O706" i="2"/>
  <c r="Q706" i="2"/>
  <c r="R706" i="2"/>
  <c r="S706" i="2"/>
  <c r="E707" i="2"/>
  <c r="F707" i="2"/>
  <c r="G707" i="2"/>
  <c r="H707" i="2"/>
  <c r="I707" i="2"/>
  <c r="J707" i="2"/>
  <c r="M707" i="2" s="1"/>
  <c r="K707" i="2"/>
  <c r="L707" i="2"/>
  <c r="N707" i="2"/>
  <c r="O707" i="2"/>
  <c r="Q707" i="2"/>
  <c r="R707" i="2"/>
  <c r="S707" i="2"/>
  <c r="E708" i="2"/>
  <c r="F708" i="2"/>
  <c r="G708" i="2"/>
  <c r="H708" i="2"/>
  <c r="M708" i="2" s="1"/>
  <c r="I708" i="2"/>
  <c r="J708" i="2"/>
  <c r="K708" i="2"/>
  <c r="L708" i="2"/>
  <c r="N708" i="2"/>
  <c r="O708" i="2"/>
  <c r="P708" i="2" s="1"/>
  <c r="Q708" i="2"/>
  <c r="R708" i="2"/>
  <c r="S708" i="2"/>
  <c r="E709" i="2"/>
  <c r="F709" i="2"/>
  <c r="G709" i="2"/>
  <c r="H709" i="2"/>
  <c r="I709" i="2"/>
  <c r="J709" i="2"/>
  <c r="K709" i="2"/>
  <c r="L709" i="2"/>
  <c r="N709" i="2"/>
  <c r="O709" i="2"/>
  <c r="P709" i="2"/>
  <c r="Q709" i="2"/>
  <c r="R709" i="2"/>
  <c r="S709" i="2"/>
  <c r="E710" i="2"/>
  <c r="F710" i="2"/>
  <c r="G710" i="2"/>
  <c r="H710" i="2"/>
  <c r="I710" i="2"/>
  <c r="J710" i="2"/>
  <c r="K710" i="2"/>
  <c r="L710" i="2"/>
  <c r="M710" i="2"/>
  <c r="N710" i="2"/>
  <c r="O710" i="2"/>
  <c r="Q710" i="2"/>
  <c r="R710" i="2"/>
  <c r="S710" i="2"/>
  <c r="E711" i="2"/>
  <c r="F711" i="2"/>
  <c r="G711" i="2"/>
  <c r="H711" i="2"/>
  <c r="I711" i="2"/>
  <c r="J711" i="2"/>
  <c r="M711" i="2" s="1"/>
  <c r="K711" i="2"/>
  <c r="L711" i="2"/>
  <c r="N711" i="2"/>
  <c r="O711" i="2"/>
  <c r="Q711" i="2"/>
  <c r="R711" i="2"/>
  <c r="S711" i="2"/>
  <c r="E712" i="2"/>
  <c r="F712" i="2"/>
  <c r="G712" i="2"/>
  <c r="H712" i="2"/>
  <c r="M712" i="2" s="1"/>
  <c r="I712" i="2"/>
  <c r="J712" i="2"/>
  <c r="K712" i="2"/>
  <c r="L712" i="2"/>
  <c r="N712" i="2"/>
  <c r="O712" i="2"/>
  <c r="P712" i="2" s="1"/>
  <c r="Q712" i="2"/>
  <c r="R712" i="2"/>
  <c r="S712" i="2"/>
  <c r="E713" i="2"/>
  <c r="F713" i="2"/>
  <c r="G713" i="2"/>
  <c r="H713" i="2"/>
  <c r="I713" i="2"/>
  <c r="J713" i="2"/>
  <c r="K713" i="2"/>
  <c r="L713" i="2"/>
  <c r="N713" i="2"/>
  <c r="O713" i="2"/>
  <c r="P713" i="2"/>
  <c r="Q713" i="2"/>
  <c r="R713" i="2"/>
  <c r="S713" i="2"/>
  <c r="E714" i="2"/>
  <c r="F714" i="2"/>
  <c r="G714" i="2"/>
  <c r="H714" i="2"/>
  <c r="I714" i="2"/>
  <c r="J714" i="2"/>
  <c r="K714" i="2"/>
  <c r="L714" i="2"/>
  <c r="M714" i="2"/>
  <c r="N714" i="2"/>
  <c r="O714" i="2"/>
  <c r="Q714" i="2"/>
  <c r="R714" i="2"/>
  <c r="S714" i="2"/>
  <c r="E715" i="2"/>
  <c r="F715" i="2"/>
  <c r="G715" i="2"/>
  <c r="H715" i="2"/>
  <c r="I715" i="2"/>
  <c r="J715" i="2"/>
  <c r="M715" i="2" s="1"/>
  <c r="K715" i="2"/>
  <c r="L715" i="2"/>
  <c r="N715" i="2"/>
  <c r="O715" i="2"/>
  <c r="Q715" i="2"/>
  <c r="R715" i="2"/>
  <c r="S715" i="2"/>
  <c r="E716" i="2"/>
  <c r="F716" i="2"/>
  <c r="G716" i="2"/>
  <c r="H716" i="2"/>
  <c r="M716" i="2" s="1"/>
  <c r="I716" i="2"/>
  <c r="J716" i="2"/>
  <c r="K716" i="2"/>
  <c r="L716" i="2"/>
  <c r="N716" i="2"/>
  <c r="O716" i="2"/>
  <c r="P716" i="2" s="1"/>
  <c r="Q716" i="2"/>
  <c r="R716" i="2"/>
  <c r="S716" i="2"/>
  <c r="E717" i="2"/>
  <c r="F717" i="2"/>
  <c r="G717" i="2"/>
  <c r="H717" i="2"/>
  <c r="I717" i="2"/>
  <c r="J717" i="2"/>
  <c r="K717" i="2"/>
  <c r="L717" i="2"/>
  <c r="N717" i="2"/>
  <c r="O717" i="2"/>
  <c r="P717" i="2"/>
  <c r="Q717" i="2"/>
  <c r="R717" i="2"/>
  <c r="S717" i="2"/>
  <c r="E718" i="2"/>
  <c r="F718" i="2"/>
  <c r="G718" i="2"/>
  <c r="H718" i="2"/>
  <c r="I718" i="2"/>
  <c r="J718" i="2"/>
  <c r="K718" i="2"/>
  <c r="L718" i="2"/>
  <c r="M718" i="2"/>
  <c r="N718" i="2"/>
  <c r="O718" i="2"/>
  <c r="Q718" i="2"/>
  <c r="R718" i="2"/>
  <c r="S718" i="2"/>
  <c r="E719" i="2"/>
  <c r="F719" i="2"/>
  <c r="G719" i="2"/>
  <c r="H719" i="2"/>
  <c r="I719" i="2"/>
  <c r="J719" i="2"/>
  <c r="M719" i="2" s="1"/>
  <c r="K719" i="2"/>
  <c r="L719" i="2"/>
  <c r="N719" i="2"/>
  <c r="O719" i="2"/>
  <c r="Q719" i="2"/>
  <c r="R719" i="2"/>
  <c r="S719" i="2"/>
  <c r="E720" i="2"/>
  <c r="F720" i="2"/>
  <c r="G720" i="2"/>
  <c r="H720" i="2"/>
  <c r="M720" i="2" s="1"/>
  <c r="I720" i="2"/>
  <c r="J720" i="2"/>
  <c r="K720" i="2"/>
  <c r="L720" i="2"/>
  <c r="N720" i="2"/>
  <c r="O720" i="2"/>
  <c r="P720" i="2" s="1"/>
  <c r="Q720" i="2"/>
  <c r="R720" i="2"/>
  <c r="S720" i="2"/>
  <c r="E721" i="2"/>
  <c r="F721" i="2"/>
  <c r="G721" i="2"/>
  <c r="H721" i="2"/>
  <c r="I721" i="2"/>
  <c r="J721" i="2"/>
  <c r="K721" i="2"/>
  <c r="L721" i="2"/>
  <c r="N721" i="2"/>
  <c r="O721" i="2"/>
  <c r="P721" i="2"/>
  <c r="Q721" i="2"/>
  <c r="R721" i="2"/>
  <c r="S721" i="2"/>
  <c r="E722" i="2"/>
  <c r="F722" i="2"/>
  <c r="G722" i="2"/>
  <c r="H722" i="2"/>
  <c r="I722" i="2"/>
  <c r="J722" i="2"/>
  <c r="K722" i="2"/>
  <c r="L722" i="2"/>
  <c r="M722" i="2"/>
  <c r="N722" i="2"/>
  <c r="O722" i="2"/>
  <c r="Q722" i="2"/>
  <c r="R722" i="2"/>
  <c r="S722" i="2"/>
  <c r="E723" i="2"/>
  <c r="F723" i="2"/>
  <c r="G723" i="2"/>
  <c r="H723" i="2"/>
  <c r="I723" i="2"/>
  <c r="J723" i="2"/>
  <c r="M723" i="2" s="1"/>
  <c r="K723" i="2"/>
  <c r="L723" i="2"/>
  <c r="N723" i="2"/>
  <c r="O723" i="2"/>
  <c r="Q723" i="2"/>
  <c r="R723" i="2"/>
  <c r="S723" i="2"/>
  <c r="E724" i="2"/>
  <c r="F724" i="2"/>
  <c r="G724" i="2"/>
  <c r="H724" i="2"/>
  <c r="M724" i="2" s="1"/>
  <c r="I724" i="2"/>
  <c r="J724" i="2"/>
  <c r="K724" i="2"/>
  <c r="L724" i="2"/>
  <c r="N724" i="2"/>
  <c r="O724" i="2"/>
  <c r="P724" i="2" s="1"/>
  <c r="Q724" i="2"/>
  <c r="R724" i="2"/>
  <c r="S724" i="2"/>
  <c r="E725" i="2"/>
  <c r="F725" i="2"/>
  <c r="G725" i="2"/>
  <c r="H725" i="2"/>
  <c r="I725" i="2"/>
  <c r="J725" i="2"/>
  <c r="K725" i="2"/>
  <c r="L725" i="2"/>
  <c r="N725" i="2"/>
  <c r="O725" i="2"/>
  <c r="P725" i="2"/>
  <c r="Q725" i="2"/>
  <c r="R725" i="2"/>
  <c r="S725" i="2"/>
  <c r="E726" i="2"/>
  <c r="F726" i="2"/>
  <c r="G726" i="2"/>
  <c r="H726" i="2"/>
  <c r="I726" i="2"/>
  <c r="J726" i="2"/>
  <c r="K726" i="2"/>
  <c r="L726" i="2"/>
  <c r="M726" i="2"/>
  <c r="N726" i="2"/>
  <c r="O726" i="2"/>
  <c r="Q726" i="2"/>
  <c r="R726" i="2"/>
  <c r="S726" i="2"/>
  <c r="E727" i="2"/>
  <c r="F727" i="2"/>
  <c r="G727" i="2"/>
  <c r="H727" i="2"/>
  <c r="I727" i="2"/>
  <c r="J727" i="2"/>
  <c r="M727" i="2" s="1"/>
  <c r="K727" i="2"/>
  <c r="L727" i="2"/>
  <c r="N727" i="2"/>
  <c r="O727" i="2"/>
  <c r="Q727" i="2"/>
  <c r="R727" i="2"/>
  <c r="S727" i="2"/>
  <c r="E728" i="2"/>
  <c r="F728" i="2"/>
  <c r="G728" i="2"/>
  <c r="H728" i="2"/>
  <c r="M728" i="2" s="1"/>
  <c r="I728" i="2"/>
  <c r="J728" i="2"/>
  <c r="K728" i="2"/>
  <c r="L728" i="2"/>
  <c r="N728" i="2"/>
  <c r="O728" i="2"/>
  <c r="P728" i="2" s="1"/>
  <c r="Q728" i="2"/>
  <c r="R728" i="2"/>
  <c r="S728" i="2"/>
  <c r="E729" i="2"/>
  <c r="F729" i="2"/>
  <c r="G729" i="2"/>
  <c r="H729" i="2"/>
  <c r="I729" i="2"/>
  <c r="J729" i="2"/>
  <c r="K729" i="2"/>
  <c r="L729" i="2"/>
  <c r="N729" i="2"/>
  <c r="O729" i="2"/>
  <c r="P729" i="2"/>
  <c r="Q729" i="2"/>
  <c r="R729" i="2"/>
  <c r="S729" i="2"/>
  <c r="E730" i="2"/>
  <c r="F730" i="2"/>
  <c r="G730" i="2"/>
  <c r="H730" i="2"/>
  <c r="I730" i="2"/>
  <c r="J730" i="2"/>
  <c r="K730" i="2"/>
  <c r="L730" i="2"/>
  <c r="M730" i="2"/>
  <c r="N730" i="2"/>
  <c r="O730" i="2"/>
  <c r="Q730" i="2"/>
  <c r="R730" i="2"/>
  <c r="S730" i="2"/>
  <c r="E731" i="2"/>
  <c r="F731" i="2"/>
  <c r="G731" i="2"/>
  <c r="H731" i="2"/>
  <c r="I731" i="2"/>
  <c r="J731" i="2"/>
  <c r="M731" i="2" s="1"/>
  <c r="K731" i="2"/>
  <c r="L731" i="2"/>
  <c r="N731" i="2"/>
  <c r="O731" i="2"/>
  <c r="Q731" i="2"/>
  <c r="R731" i="2"/>
  <c r="S731" i="2"/>
  <c r="E732" i="2"/>
  <c r="F732" i="2"/>
  <c r="G732" i="2"/>
  <c r="H732" i="2"/>
  <c r="M732" i="2" s="1"/>
  <c r="I732" i="2"/>
  <c r="J732" i="2"/>
  <c r="K732" i="2"/>
  <c r="L732" i="2"/>
  <c r="N732" i="2"/>
  <c r="O732" i="2"/>
  <c r="P732" i="2" s="1"/>
  <c r="Q732" i="2"/>
  <c r="R732" i="2"/>
  <c r="S732" i="2"/>
  <c r="E733" i="2"/>
  <c r="F733" i="2"/>
  <c r="G733" i="2"/>
  <c r="H733" i="2"/>
  <c r="I733" i="2"/>
  <c r="J733" i="2"/>
  <c r="K733" i="2"/>
  <c r="L733" i="2"/>
  <c r="N733" i="2"/>
  <c r="O733" i="2"/>
  <c r="P733" i="2"/>
  <c r="Q733" i="2"/>
  <c r="R733" i="2"/>
  <c r="S733" i="2"/>
  <c r="E734" i="2"/>
  <c r="F734" i="2"/>
  <c r="G734" i="2"/>
  <c r="H734" i="2"/>
  <c r="I734" i="2"/>
  <c r="J734" i="2"/>
  <c r="K734" i="2"/>
  <c r="L734" i="2"/>
  <c r="M734" i="2"/>
  <c r="N734" i="2"/>
  <c r="O734" i="2"/>
  <c r="Q734" i="2"/>
  <c r="R734" i="2"/>
  <c r="S734" i="2"/>
  <c r="E735" i="2"/>
  <c r="F735" i="2"/>
  <c r="G735" i="2"/>
  <c r="H735" i="2"/>
  <c r="I735" i="2"/>
  <c r="J735" i="2"/>
  <c r="M735" i="2" s="1"/>
  <c r="K735" i="2"/>
  <c r="L735" i="2"/>
  <c r="N735" i="2"/>
  <c r="O735" i="2"/>
  <c r="Q735" i="2"/>
  <c r="R735" i="2"/>
  <c r="S735" i="2"/>
  <c r="E736" i="2"/>
  <c r="F736" i="2"/>
  <c r="G736" i="2"/>
  <c r="H736" i="2"/>
  <c r="M736" i="2" s="1"/>
  <c r="I736" i="2"/>
  <c r="J736" i="2"/>
  <c r="K736" i="2"/>
  <c r="L736" i="2"/>
  <c r="N736" i="2"/>
  <c r="O736" i="2"/>
  <c r="P736" i="2" s="1"/>
  <c r="Q736" i="2"/>
  <c r="R736" i="2"/>
  <c r="S736" i="2"/>
  <c r="E737" i="2"/>
  <c r="F737" i="2"/>
  <c r="G737" i="2"/>
  <c r="H737" i="2"/>
  <c r="I737" i="2"/>
  <c r="J737" i="2"/>
  <c r="K737" i="2"/>
  <c r="L737" i="2"/>
  <c r="N737" i="2"/>
  <c r="O737" i="2"/>
  <c r="P737" i="2"/>
  <c r="Q737" i="2"/>
  <c r="R737" i="2"/>
  <c r="S737" i="2"/>
  <c r="E738" i="2"/>
  <c r="F738" i="2"/>
  <c r="G738" i="2"/>
  <c r="H738" i="2"/>
  <c r="I738" i="2"/>
  <c r="J738" i="2"/>
  <c r="K738" i="2"/>
  <c r="L738" i="2"/>
  <c r="M738" i="2"/>
  <c r="N738" i="2"/>
  <c r="O738" i="2"/>
  <c r="Q738" i="2"/>
  <c r="R738" i="2"/>
  <c r="S738" i="2"/>
  <c r="E739" i="2"/>
  <c r="F739" i="2"/>
  <c r="G739" i="2"/>
  <c r="H739" i="2"/>
  <c r="I739" i="2"/>
  <c r="J739" i="2"/>
  <c r="M739" i="2" s="1"/>
  <c r="K739" i="2"/>
  <c r="L739" i="2"/>
  <c r="N739" i="2"/>
  <c r="O739" i="2"/>
  <c r="Q739" i="2"/>
  <c r="R739" i="2"/>
  <c r="S739" i="2"/>
  <c r="E740" i="2"/>
  <c r="F740" i="2"/>
  <c r="G740" i="2"/>
  <c r="H740" i="2"/>
  <c r="M740" i="2" s="1"/>
  <c r="I740" i="2"/>
  <c r="J740" i="2"/>
  <c r="K740" i="2"/>
  <c r="L740" i="2"/>
  <c r="N740" i="2"/>
  <c r="O740" i="2"/>
  <c r="P740" i="2" s="1"/>
  <c r="Q740" i="2"/>
  <c r="R740" i="2"/>
  <c r="S740" i="2"/>
  <c r="E741" i="2"/>
  <c r="F741" i="2"/>
  <c r="G741" i="2"/>
  <c r="H741" i="2"/>
  <c r="I741" i="2"/>
  <c r="J741" i="2"/>
  <c r="K741" i="2"/>
  <c r="L741" i="2"/>
  <c r="N741" i="2"/>
  <c r="O741" i="2"/>
  <c r="P741" i="2"/>
  <c r="Q741" i="2"/>
  <c r="R741" i="2"/>
  <c r="S741" i="2"/>
  <c r="E742" i="2"/>
  <c r="F742" i="2"/>
  <c r="G742" i="2"/>
  <c r="H742" i="2"/>
  <c r="I742" i="2"/>
  <c r="J742" i="2"/>
  <c r="K742" i="2"/>
  <c r="L742" i="2"/>
  <c r="M742" i="2"/>
  <c r="N742" i="2"/>
  <c r="O742" i="2"/>
  <c r="Q742" i="2"/>
  <c r="R742" i="2"/>
  <c r="S742" i="2"/>
  <c r="E743" i="2"/>
  <c r="F743" i="2"/>
  <c r="G743" i="2"/>
  <c r="H743" i="2"/>
  <c r="I743" i="2"/>
  <c r="J743" i="2"/>
  <c r="M743" i="2" s="1"/>
  <c r="K743" i="2"/>
  <c r="L743" i="2"/>
  <c r="N743" i="2"/>
  <c r="O743" i="2"/>
  <c r="Q743" i="2"/>
  <c r="R743" i="2"/>
  <c r="S743" i="2"/>
  <c r="E744" i="2"/>
  <c r="F744" i="2"/>
  <c r="G744" i="2"/>
  <c r="H744" i="2"/>
  <c r="M744" i="2" s="1"/>
  <c r="I744" i="2"/>
  <c r="J744" i="2"/>
  <c r="K744" i="2"/>
  <c r="L744" i="2"/>
  <c r="N744" i="2"/>
  <c r="O744" i="2"/>
  <c r="P744" i="2" s="1"/>
  <c r="Q744" i="2"/>
  <c r="R744" i="2"/>
  <c r="S744" i="2"/>
  <c r="E745" i="2"/>
  <c r="F745" i="2"/>
  <c r="G745" i="2"/>
  <c r="H745" i="2"/>
  <c r="I745" i="2"/>
  <c r="J745" i="2"/>
  <c r="K745" i="2"/>
  <c r="L745" i="2"/>
  <c r="N745" i="2"/>
  <c r="O745" i="2"/>
  <c r="P745" i="2"/>
  <c r="Q745" i="2"/>
  <c r="R745" i="2"/>
  <c r="S745" i="2"/>
  <c r="E746" i="2"/>
  <c r="F746" i="2"/>
  <c r="G746" i="2"/>
  <c r="H746" i="2"/>
  <c r="I746" i="2"/>
  <c r="J746" i="2"/>
  <c r="K746" i="2"/>
  <c r="L746" i="2"/>
  <c r="M746" i="2"/>
  <c r="N746" i="2"/>
  <c r="O746" i="2"/>
  <c r="Q746" i="2"/>
  <c r="R746" i="2"/>
  <c r="S746" i="2"/>
  <c r="E747" i="2"/>
  <c r="F747" i="2"/>
  <c r="G747" i="2"/>
  <c r="H747" i="2"/>
  <c r="I747" i="2"/>
  <c r="J747" i="2"/>
  <c r="M747" i="2" s="1"/>
  <c r="K747" i="2"/>
  <c r="L747" i="2"/>
  <c r="N747" i="2"/>
  <c r="O747" i="2"/>
  <c r="Q747" i="2"/>
  <c r="R747" i="2"/>
  <c r="S747" i="2"/>
  <c r="E748" i="2"/>
  <c r="F748" i="2"/>
  <c r="G748" i="2"/>
  <c r="H748" i="2"/>
  <c r="M748" i="2" s="1"/>
  <c r="I748" i="2"/>
  <c r="J748" i="2"/>
  <c r="K748" i="2"/>
  <c r="L748" i="2"/>
  <c r="N748" i="2"/>
  <c r="O748" i="2"/>
  <c r="P748" i="2" s="1"/>
  <c r="Q748" i="2"/>
  <c r="R748" i="2"/>
  <c r="S748" i="2"/>
  <c r="E749" i="2"/>
  <c r="F749" i="2"/>
  <c r="G749" i="2"/>
  <c r="H749" i="2"/>
  <c r="I749" i="2"/>
  <c r="J749" i="2"/>
  <c r="K749" i="2"/>
  <c r="L749" i="2"/>
  <c r="N749" i="2"/>
  <c r="O749" i="2"/>
  <c r="P749" i="2"/>
  <c r="Q749" i="2"/>
  <c r="R749" i="2"/>
  <c r="S749" i="2"/>
  <c r="E750" i="2"/>
  <c r="F750" i="2"/>
  <c r="G750" i="2"/>
  <c r="H750" i="2"/>
  <c r="I750" i="2"/>
  <c r="J750" i="2"/>
  <c r="K750" i="2"/>
  <c r="L750" i="2"/>
  <c r="M750" i="2"/>
  <c r="N750" i="2"/>
  <c r="O750" i="2"/>
  <c r="Q750" i="2"/>
  <c r="R750" i="2"/>
  <c r="S750" i="2"/>
  <c r="E751" i="2"/>
  <c r="F751" i="2"/>
  <c r="G751" i="2"/>
  <c r="H751" i="2"/>
  <c r="I751" i="2"/>
  <c r="J751" i="2"/>
  <c r="M751" i="2" s="1"/>
  <c r="K751" i="2"/>
  <c r="L751" i="2"/>
  <c r="N751" i="2"/>
  <c r="O751" i="2"/>
  <c r="Q751" i="2"/>
  <c r="R751" i="2"/>
  <c r="S751" i="2"/>
  <c r="E752" i="2"/>
  <c r="F752" i="2"/>
  <c r="G752" i="2"/>
  <c r="H752" i="2"/>
  <c r="M752" i="2" s="1"/>
  <c r="I752" i="2"/>
  <c r="J752" i="2"/>
  <c r="K752" i="2"/>
  <c r="L752" i="2"/>
  <c r="N752" i="2"/>
  <c r="O752" i="2"/>
  <c r="P752" i="2" s="1"/>
  <c r="Q752" i="2"/>
  <c r="R752" i="2"/>
  <c r="S752" i="2"/>
  <c r="E753" i="2"/>
  <c r="F753" i="2"/>
  <c r="G753" i="2"/>
  <c r="H753" i="2"/>
  <c r="I753" i="2"/>
  <c r="J753" i="2"/>
  <c r="K753" i="2"/>
  <c r="L753" i="2"/>
  <c r="N753" i="2"/>
  <c r="O753" i="2"/>
  <c r="P753" i="2"/>
  <c r="Q753" i="2"/>
  <c r="R753" i="2"/>
  <c r="S753" i="2"/>
  <c r="E754" i="2"/>
  <c r="F754" i="2"/>
  <c r="G754" i="2"/>
  <c r="H754" i="2"/>
  <c r="I754" i="2"/>
  <c r="J754" i="2"/>
  <c r="K754" i="2"/>
  <c r="L754" i="2"/>
  <c r="M754" i="2"/>
  <c r="N754" i="2"/>
  <c r="O754" i="2"/>
  <c r="Q754" i="2"/>
  <c r="R754" i="2"/>
  <c r="S754" i="2"/>
  <c r="E755" i="2"/>
  <c r="F755" i="2"/>
  <c r="G755" i="2"/>
  <c r="H755" i="2"/>
  <c r="I755" i="2"/>
  <c r="J755" i="2"/>
  <c r="M755" i="2" s="1"/>
  <c r="K755" i="2"/>
  <c r="L755" i="2"/>
  <c r="N755" i="2"/>
  <c r="O755" i="2"/>
  <c r="Q755" i="2"/>
  <c r="R755" i="2"/>
  <c r="S755" i="2"/>
  <c r="E756" i="2"/>
  <c r="F756" i="2"/>
  <c r="G756" i="2"/>
  <c r="H756" i="2"/>
  <c r="M756" i="2" s="1"/>
  <c r="I756" i="2"/>
  <c r="J756" i="2"/>
  <c r="K756" i="2"/>
  <c r="L756" i="2"/>
  <c r="N756" i="2"/>
  <c r="O756" i="2"/>
  <c r="P756" i="2" s="1"/>
  <c r="Q756" i="2"/>
  <c r="R756" i="2"/>
  <c r="S756" i="2"/>
  <c r="E757" i="2"/>
  <c r="F757" i="2"/>
  <c r="G757" i="2"/>
  <c r="H757" i="2"/>
  <c r="I757" i="2"/>
  <c r="J757" i="2"/>
  <c r="K757" i="2"/>
  <c r="L757" i="2"/>
  <c r="N757" i="2"/>
  <c r="O757" i="2"/>
  <c r="P757" i="2"/>
  <c r="Q757" i="2"/>
  <c r="R757" i="2"/>
  <c r="S757" i="2"/>
  <c r="E758" i="2"/>
  <c r="F758" i="2"/>
  <c r="G758" i="2"/>
  <c r="H758" i="2"/>
  <c r="I758" i="2"/>
  <c r="J758" i="2"/>
  <c r="K758" i="2"/>
  <c r="L758" i="2"/>
  <c r="M758" i="2"/>
  <c r="N758" i="2"/>
  <c r="O758" i="2"/>
  <c r="Q758" i="2"/>
  <c r="R758" i="2"/>
  <c r="S758" i="2"/>
  <c r="E759" i="2"/>
  <c r="F759" i="2"/>
  <c r="G759" i="2"/>
  <c r="H759" i="2"/>
  <c r="I759" i="2"/>
  <c r="J759" i="2"/>
  <c r="M759" i="2" s="1"/>
  <c r="K759" i="2"/>
  <c r="L759" i="2"/>
  <c r="N759" i="2"/>
  <c r="O759" i="2"/>
  <c r="Q759" i="2"/>
  <c r="R759" i="2"/>
  <c r="S759" i="2"/>
  <c r="E760" i="2"/>
  <c r="F760" i="2"/>
  <c r="G760" i="2"/>
  <c r="H760" i="2"/>
  <c r="M760" i="2" s="1"/>
  <c r="I760" i="2"/>
  <c r="J760" i="2"/>
  <c r="K760" i="2"/>
  <c r="L760" i="2"/>
  <c r="N760" i="2"/>
  <c r="O760" i="2"/>
  <c r="P760" i="2" s="1"/>
  <c r="Q760" i="2"/>
  <c r="R760" i="2"/>
  <c r="S760" i="2"/>
  <c r="E761" i="2"/>
  <c r="F761" i="2"/>
  <c r="G761" i="2"/>
  <c r="H761" i="2"/>
  <c r="I761" i="2"/>
  <c r="J761" i="2"/>
  <c r="K761" i="2"/>
  <c r="L761" i="2"/>
  <c r="N761" i="2"/>
  <c r="O761" i="2"/>
  <c r="P761" i="2"/>
  <c r="Q761" i="2"/>
  <c r="R761" i="2"/>
  <c r="S761" i="2"/>
  <c r="E762" i="2"/>
  <c r="F762" i="2"/>
  <c r="G762" i="2"/>
  <c r="H762" i="2"/>
  <c r="I762" i="2"/>
  <c r="J762" i="2"/>
  <c r="K762" i="2"/>
  <c r="L762" i="2"/>
  <c r="M762" i="2"/>
  <c r="N762" i="2"/>
  <c r="O762" i="2"/>
  <c r="Q762" i="2"/>
  <c r="R762" i="2"/>
  <c r="S762" i="2"/>
  <c r="E763" i="2"/>
  <c r="F763" i="2"/>
  <c r="G763" i="2"/>
  <c r="H763" i="2"/>
  <c r="I763" i="2"/>
  <c r="J763" i="2"/>
  <c r="M763" i="2" s="1"/>
  <c r="K763" i="2"/>
  <c r="L763" i="2"/>
  <c r="N763" i="2"/>
  <c r="O763" i="2"/>
  <c r="Q763" i="2"/>
  <c r="R763" i="2"/>
  <c r="S763" i="2"/>
  <c r="E764" i="2"/>
  <c r="F764" i="2"/>
  <c r="G764" i="2"/>
  <c r="H764" i="2"/>
  <c r="M764" i="2" s="1"/>
  <c r="I764" i="2"/>
  <c r="J764" i="2"/>
  <c r="K764" i="2"/>
  <c r="L764" i="2"/>
  <c r="N764" i="2"/>
  <c r="O764" i="2"/>
  <c r="P764" i="2" s="1"/>
  <c r="Q764" i="2"/>
  <c r="R764" i="2"/>
  <c r="S764" i="2"/>
  <c r="E765" i="2"/>
  <c r="F765" i="2"/>
  <c r="G765" i="2"/>
  <c r="H765" i="2"/>
  <c r="I765" i="2"/>
  <c r="J765" i="2"/>
  <c r="K765" i="2"/>
  <c r="L765" i="2"/>
  <c r="N765" i="2"/>
  <c r="O765" i="2"/>
  <c r="P765" i="2"/>
  <c r="Q765" i="2"/>
  <c r="R765" i="2"/>
  <c r="S765" i="2"/>
  <c r="E766" i="2"/>
  <c r="F766" i="2"/>
  <c r="G766" i="2"/>
  <c r="H766" i="2"/>
  <c r="I766" i="2"/>
  <c r="J766" i="2"/>
  <c r="K766" i="2"/>
  <c r="L766" i="2"/>
  <c r="M766" i="2"/>
  <c r="N766" i="2"/>
  <c r="O766" i="2"/>
  <c r="Q766" i="2"/>
  <c r="R766" i="2"/>
  <c r="S766" i="2"/>
  <c r="E767" i="2"/>
  <c r="F767" i="2"/>
  <c r="G767" i="2"/>
  <c r="H767" i="2"/>
  <c r="I767" i="2"/>
  <c r="J767" i="2"/>
  <c r="M767" i="2" s="1"/>
  <c r="K767" i="2"/>
  <c r="L767" i="2"/>
  <c r="N767" i="2"/>
  <c r="O767" i="2"/>
  <c r="Q767" i="2"/>
  <c r="R767" i="2"/>
  <c r="S767" i="2"/>
  <c r="E768" i="2"/>
  <c r="F768" i="2"/>
  <c r="G768" i="2"/>
  <c r="H768" i="2"/>
  <c r="M768" i="2" s="1"/>
  <c r="I768" i="2"/>
  <c r="J768" i="2"/>
  <c r="K768" i="2"/>
  <c r="L768" i="2"/>
  <c r="N768" i="2"/>
  <c r="O768" i="2"/>
  <c r="P768" i="2" s="1"/>
  <c r="Q768" i="2"/>
  <c r="R768" i="2"/>
  <c r="S768" i="2"/>
  <c r="E769" i="2"/>
  <c r="F769" i="2"/>
  <c r="G769" i="2"/>
  <c r="H769" i="2"/>
  <c r="I769" i="2"/>
  <c r="J769" i="2"/>
  <c r="K769" i="2"/>
  <c r="L769" i="2"/>
  <c r="N769" i="2"/>
  <c r="O769" i="2"/>
  <c r="P769" i="2"/>
  <c r="Q769" i="2"/>
  <c r="R769" i="2"/>
  <c r="S769" i="2"/>
  <c r="E770" i="2"/>
  <c r="F770" i="2"/>
  <c r="G770" i="2"/>
  <c r="H770" i="2"/>
  <c r="I770" i="2"/>
  <c r="J770" i="2"/>
  <c r="K770" i="2"/>
  <c r="L770" i="2"/>
  <c r="M770" i="2"/>
  <c r="N770" i="2"/>
  <c r="O770" i="2"/>
  <c r="Q770" i="2"/>
  <c r="R770" i="2"/>
  <c r="S770" i="2"/>
  <c r="E771" i="2"/>
  <c r="F771" i="2"/>
  <c r="G771" i="2"/>
  <c r="H771" i="2"/>
  <c r="I771" i="2"/>
  <c r="J771" i="2"/>
  <c r="M771" i="2" s="1"/>
  <c r="K771" i="2"/>
  <c r="L771" i="2"/>
  <c r="N771" i="2"/>
  <c r="O771" i="2"/>
  <c r="Q771" i="2"/>
  <c r="R771" i="2"/>
  <c r="S771" i="2"/>
  <c r="E772" i="2"/>
  <c r="F772" i="2"/>
  <c r="G772" i="2"/>
  <c r="H772" i="2"/>
  <c r="M772" i="2" s="1"/>
  <c r="I772" i="2"/>
  <c r="J772" i="2"/>
  <c r="K772" i="2"/>
  <c r="L772" i="2"/>
  <c r="N772" i="2"/>
  <c r="O772" i="2"/>
  <c r="P772" i="2" s="1"/>
  <c r="Q772" i="2"/>
  <c r="R772" i="2"/>
  <c r="S772" i="2"/>
  <c r="E773" i="2"/>
  <c r="F773" i="2"/>
  <c r="G773" i="2"/>
  <c r="H773" i="2"/>
  <c r="I773" i="2"/>
  <c r="J773" i="2"/>
  <c r="K773" i="2"/>
  <c r="L773" i="2"/>
  <c r="N773" i="2"/>
  <c r="O773" i="2"/>
  <c r="P773" i="2"/>
  <c r="Q773" i="2"/>
  <c r="R773" i="2"/>
  <c r="S773" i="2"/>
  <c r="E774" i="2"/>
  <c r="F774" i="2"/>
  <c r="G774" i="2"/>
  <c r="H774" i="2"/>
  <c r="I774" i="2"/>
  <c r="J774" i="2"/>
  <c r="K774" i="2"/>
  <c r="L774" i="2"/>
  <c r="M774" i="2"/>
  <c r="N774" i="2"/>
  <c r="O774" i="2"/>
  <c r="Q774" i="2"/>
  <c r="R774" i="2"/>
  <c r="S774" i="2"/>
  <c r="E775" i="2"/>
  <c r="F775" i="2"/>
  <c r="G775" i="2"/>
  <c r="H775" i="2"/>
  <c r="I775" i="2"/>
  <c r="J775" i="2"/>
  <c r="M775" i="2" s="1"/>
  <c r="K775" i="2"/>
  <c r="L775" i="2"/>
  <c r="N775" i="2"/>
  <c r="O775" i="2"/>
  <c r="Q775" i="2"/>
  <c r="R775" i="2"/>
  <c r="S775" i="2"/>
  <c r="E776" i="2"/>
  <c r="F776" i="2"/>
  <c r="G776" i="2"/>
  <c r="H776" i="2"/>
  <c r="I776" i="2"/>
  <c r="J776" i="2"/>
  <c r="K776" i="2"/>
  <c r="L776" i="2"/>
  <c r="N776" i="2"/>
  <c r="O776" i="2"/>
  <c r="P776" i="2" s="1"/>
  <c r="Q776" i="2"/>
  <c r="R776" i="2"/>
  <c r="S776" i="2"/>
  <c r="E777" i="2"/>
  <c r="F777" i="2"/>
  <c r="G777" i="2"/>
  <c r="H777" i="2"/>
  <c r="I777" i="2"/>
  <c r="J777" i="2"/>
  <c r="K777" i="2"/>
  <c r="L777" i="2"/>
  <c r="N777" i="2"/>
  <c r="O777" i="2"/>
  <c r="P777" i="2"/>
  <c r="Q777" i="2"/>
  <c r="R777" i="2"/>
  <c r="S777" i="2"/>
  <c r="E778" i="2"/>
  <c r="F778" i="2"/>
  <c r="G778" i="2"/>
  <c r="H778" i="2"/>
  <c r="I778" i="2"/>
  <c r="J778" i="2"/>
  <c r="K778" i="2"/>
  <c r="L778" i="2"/>
  <c r="M778" i="2"/>
  <c r="N778" i="2"/>
  <c r="O778" i="2"/>
  <c r="Q778" i="2"/>
  <c r="R778" i="2"/>
  <c r="S778" i="2"/>
  <c r="E779" i="2"/>
  <c r="F779" i="2"/>
  <c r="G779" i="2"/>
  <c r="H779" i="2"/>
  <c r="I779" i="2"/>
  <c r="J779" i="2"/>
  <c r="M779" i="2" s="1"/>
  <c r="K779" i="2"/>
  <c r="L779" i="2"/>
  <c r="N779" i="2"/>
  <c r="O779" i="2"/>
  <c r="Q779" i="2"/>
  <c r="R779" i="2"/>
  <c r="S779" i="2"/>
  <c r="E780" i="2"/>
  <c r="F780" i="2"/>
  <c r="G780" i="2"/>
  <c r="H780" i="2"/>
  <c r="M780" i="2" s="1"/>
  <c r="I780" i="2"/>
  <c r="J780" i="2"/>
  <c r="K780" i="2"/>
  <c r="L780" i="2"/>
  <c r="N780" i="2"/>
  <c r="O780" i="2"/>
  <c r="P780" i="2" s="1"/>
  <c r="Q780" i="2"/>
  <c r="R780" i="2"/>
  <c r="S780" i="2"/>
  <c r="E781" i="2"/>
  <c r="F781" i="2"/>
  <c r="G781" i="2"/>
  <c r="H781" i="2"/>
  <c r="I781" i="2"/>
  <c r="J781" i="2"/>
  <c r="K781" i="2"/>
  <c r="L781" i="2"/>
  <c r="N781" i="2"/>
  <c r="O781" i="2"/>
  <c r="P781" i="2"/>
  <c r="Q781" i="2"/>
  <c r="R781" i="2"/>
  <c r="S781" i="2"/>
  <c r="E782" i="2"/>
  <c r="F782" i="2"/>
  <c r="G782" i="2"/>
  <c r="H782" i="2"/>
  <c r="I782" i="2"/>
  <c r="J782" i="2"/>
  <c r="K782" i="2"/>
  <c r="L782" i="2"/>
  <c r="M782" i="2"/>
  <c r="N782" i="2"/>
  <c r="O782" i="2"/>
  <c r="Q782" i="2"/>
  <c r="R782" i="2"/>
  <c r="S782" i="2"/>
  <c r="E783" i="2"/>
  <c r="F783" i="2"/>
  <c r="G783" i="2"/>
  <c r="H783" i="2"/>
  <c r="I783" i="2"/>
  <c r="J783" i="2"/>
  <c r="M783" i="2" s="1"/>
  <c r="K783" i="2"/>
  <c r="L783" i="2"/>
  <c r="N783" i="2"/>
  <c r="O783" i="2"/>
  <c r="Q783" i="2"/>
  <c r="R783" i="2"/>
  <c r="S783" i="2"/>
  <c r="E784" i="2"/>
  <c r="F784" i="2"/>
  <c r="G784" i="2"/>
  <c r="H784" i="2"/>
  <c r="I784" i="2"/>
  <c r="J784" i="2"/>
  <c r="K784" i="2"/>
  <c r="L784" i="2"/>
  <c r="N784" i="2"/>
  <c r="O784" i="2"/>
  <c r="P784" i="2" s="1"/>
  <c r="Q784" i="2"/>
  <c r="R784" i="2"/>
  <c r="S784" i="2"/>
  <c r="E785" i="2"/>
  <c r="F785" i="2"/>
  <c r="G785" i="2"/>
  <c r="H785" i="2"/>
  <c r="I785" i="2"/>
  <c r="J785" i="2"/>
  <c r="K785" i="2"/>
  <c r="L785" i="2"/>
  <c r="N785" i="2"/>
  <c r="O785" i="2"/>
  <c r="P785" i="2"/>
  <c r="Q785" i="2"/>
  <c r="R785" i="2"/>
  <c r="S785" i="2"/>
  <c r="E786" i="2"/>
  <c r="F786" i="2"/>
  <c r="G786" i="2"/>
  <c r="H786" i="2"/>
  <c r="I786" i="2"/>
  <c r="J786" i="2"/>
  <c r="K786" i="2"/>
  <c r="L786" i="2"/>
  <c r="M786" i="2"/>
  <c r="N786" i="2"/>
  <c r="O786" i="2"/>
  <c r="Q786" i="2"/>
  <c r="R786" i="2"/>
  <c r="S786" i="2"/>
  <c r="E787" i="2"/>
  <c r="F787" i="2"/>
  <c r="G787" i="2"/>
  <c r="H787" i="2"/>
  <c r="I787" i="2"/>
  <c r="J787" i="2"/>
  <c r="M787" i="2" s="1"/>
  <c r="K787" i="2"/>
  <c r="L787" i="2"/>
  <c r="N787" i="2"/>
  <c r="O787" i="2"/>
  <c r="Q787" i="2"/>
  <c r="R787" i="2"/>
  <c r="S787" i="2"/>
  <c r="E788" i="2"/>
  <c r="F788" i="2"/>
  <c r="G788" i="2"/>
  <c r="H788" i="2"/>
  <c r="M788" i="2" s="1"/>
  <c r="I788" i="2"/>
  <c r="J788" i="2"/>
  <c r="K788" i="2"/>
  <c r="L788" i="2"/>
  <c r="N788" i="2"/>
  <c r="O788" i="2"/>
  <c r="P788" i="2" s="1"/>
  <c r="Q788" i="2"/>
  <c r="R788" i="2"/>
  <c r="S788" i="2"/>
  <c r="E789" i="2"/>
  <c r="F789" i="2"/>
  <c r="G789" i="2"/>
  <c r="H789" i="2"/>
  <c r="I789" i="2"/>
  <c r="J789" i="2"/>
  <c r="K789" i="2"/>
  <c r="L789" i="2"/>
  <c r="N789" i="2"/>
  <c r="O789" i="2"/>
  <c r="P789" i="2"/>
  <c r="Q789" i="2"/>
  <c r="R789" i="2"/>
  <c r="S789" i="2"/>
  <c r="E790" i="2"/>
  <c r="F790" i="2"/>
  <c r="G790" i="2"/>
  <c r="H790" i="2"/>
  <c r="I790" i="2"/>
  <c r="J790" i="2"/>
  <c r="K790" i="2"/>
  <c r="L790" i="2"/>
  <c r="M790" i="2"/>
  <c r="N790" i="2"/>
  <c r="O790" i="2"/>
  <c r="Q790" i="2"/>
  <c r="R790" i="2"/>
  <c r="S790" i="2"/>
  <c r="E791" i="2"/>
  <c r="F791" i="2"/>
  <c r="G791" i="2"/>
  <c r="H791" i="2"/>
  <c r="I791" i="2"/>
  <c r="J791" i="2"/>
  <c r="M791" i="2" s="1"/>
  <c r="K791" i="2"/>
  <c r="L791" i="2"/>
  <c r="N791" i="2"/>
  <c r="O791" i="2"/>
  <c r="Q791" i="2"/>
  <c r="R791" i="2"/>
  <c r="S791" i="2"/>
  <c r="E792" i="2"/>
  <c r="F792" i="2"/>
  <c r="G792" i="2"/>
  <c r="H792" i="2"/>
  <c r="I792" i="2"/>
  <c r="J792" i="2"/>
  <c r="K792" i="2"/>
  <c r="L792" i="2"/>
  <c r="N792" i="2"/>
  <c r="O792" i="2"/>
  <c r="P792" i="2" s="1"/>
  <c r="Q792" i="2"/>
  <c r="R792" i="2"/>
  <c r="S792" i="2"/>
  <c r="E793" i="2"/>
  <c r="F793" i="2"/>
  <c r="G793" i="2"/>
  <c r="H793" i="2"/>
  <c r="I793" i="2"/>
  <c r="J793" i="2"/>
  <c r="K793" i="2"/>
  <c r="L793" i="2"/>
  <c r="N793" i="2"/>
  <c r="O793" i="2"/>
  <c r="P793" i="2"/>
  <c r="Q793" i="2"/>
  <c r="R793" i="2"/>
  <c r="S793" i="2"/>
  <c r="E794" i="2"/>
  <c r="F794" i="2"/>
  <c r="G794" i="2"/>
  <c r="H794" i="2"/>
  <c r="I794" i="2"/>
  <c r="J794" i="2"/>
  <c r="K794" i="2"/>
  <c r="L794" i="2"/>
  <c r="M794" i="2"/>
  <c r="N794" i="2"/>
  <c r="O794" i="2"/>
  <c r="Q794" i="2"/>
  <c r="R794" i="2"/>
  <c r="S794" i="2"/>
  <c r="E795" i="2"/>
  <c r="F795" i="2"/>
  <c r="G795" i="2"/>
  <c r="H795" i="2"/>
  <c r="I795" i="2"/>
  <c r="J795" i="2"/>
  <c r="M795" i="2" s="1"/>
  <c r="K795" i="2"/>
  <c r="L795" i="2"/>
  <c r="N795" i="2"/>
  <c r="O795" i="2"/>
  <c r="Q795" i="2"/>
  <c r="R795" i="2"/>
  <c r="S795" i="2"/>
  <c r="E796" i="2"/>
  <c r="F796" i="2"/>
  <c r="G796" i="2"/>
  <c r="H796" i="2"/>
  <c r="M796" i="2" s="1"/>
  <c r="I796" i="2"/>
  <c r="J796" i="2"/>
  <c r="K796" i="2"/>
  <c r="L796" i="2"/>
  <c r="N796" i="2"/>
  <c r="O796" i="2"/>
  <c r="P796" i="2" s="1"/>
  <c r="Q796" i="2"/>
  <c r="R796" i="2"/>
  <c r="S796" i="2"/>
  <c r="E797" i="2"/>
  <c r="F797" i="2"/>
  <c r="G797" i="2"/>
  <c r="H797" i="2"/>
  <c r="I797" i="2"/>
  <c r="J797" i="2"/>
  <c r="K797" i="2"/>
  <c r="L797" i="2"/>
  <c r="N797" i="2"/>
  <c r="O797" i="2"/>
  <c r="P797" i="2"/>
  <c r="Q797" i="2"/>
  <c r="R797" i="2"/>
  <c r="S797" i="2"/>
  <c r="E798" i="2"/>
  <c r="F798" i="2"/>
  <c r="G798" i="2"/>
  <c r="H798" i="2"/>
  <c r="I798" i="2"/>
  <c r="J798" i="2"/>
  <c r="K798" i="2"/>
  <c r="L798" i="2"/>
  <c r="M798" i="2"/>
  <c r="N798" i="2"/>
  <c r="O798" i="2"/>
  <c r="Q798" i="2"/>
  <c r="R798" i="2"/>
  <c r="S798" i="2"/>
  <c r="E799" i="2"/>
  <c r="F799" i="2"/>
  <c r="G799" i="2"/>
  <c r="H799" i="2"/>
  <c r="I799" i="2"/>
  <c r="J799" i="2"/>
  <c r="M799" i="2" s="1"/>
  <c r="K799" i="2"/>
  <c r="L799" i="2"/>
  <c r="N799" i="2"/>
  <c r="O799" i="2"/>
  <c r="Q799" i="2"/>
  <c r="R799" i="2"/>
  <c r="S799" i="2"/>
  <c r="E800" i="2"/>
  <c r="F800" i="2"/>
  <c r="G800" i="2"/>
  <c r="H800" i="2"/>
  <c r="I800" i="2"/>
  <c r="J800" i="2"/>
  <c r="K800" i="2"/>
  <c r="L800" i="2"/>
  <c r="N800" i="2"/>
  <c r="O800" i="2"/>
  <c r="P800" i="2" s="1"/>
  <c r="Q800" i="2"/>
  <c r="R800" i="2"/>
  <c r="S800" i="2"/>
  <c r="E801" i="2"/>
  <c r="F801" i="2"/>
  <c r="G801" i="2"/>
  <c r="H801" i="2"/>
  <c r="I801" i="2"/>
  <c r="J801" i="2"/>
  <c r="K801" i="2"/>
  <c r="L801" i="2"/>
  <c r="N801" i="2"/>
  <c r="O801" i="2"/>
  <c r="P801" i="2"/>
  <c r="Q801" i="2"/>
  <c r="R801" i="2"/>
  <c r="S801" i="2"/>
  <c r="E802" i="2"/>
  <c r="F802" i="2"/>
  <c r="G802" i="2"/>
  <c r="H802" i="2"/>
  <c r="I802" i="2"/>
  <c r="J802" i="2"/>
  <c r="K802" i="2"/>
  <c r="L802" i="2"/>
  <c r="M802" i="2"/>
  <c r="N802" i="2"/>
  <c r="O802" i="2"/>
  <c r="Q802" i="2"/>
  <c r="R802" i="2"/>
  <c r="S802" i="2"/>
  <c r="E803" i="2"/>
  <c r="F803" i="2"/>
  <c r="G803" i="2"/>
  <c r="H803" i="2"/>
  <c r="I803" i="2"/>
  <c r="J803" i="2"/>
  <c r="M803" i="2" s="1"/>
  <c r="K803" i="2"/>
  <c r="L803" i="2"/>
  <c r="N803" i="2"/>
  <c r="O803" i="2"/>
  <c r="Q803" i="2"/>
  <c r="R803" i="2"/>
  <c r="S803" i="2"/>
  <c r="E804" i="2"/>
  <c r="F804" i="2"/>
  <c r="G804" i="2"/>
  <c r="H804" i="2"/>
  <c r="M804" i="2" s="1"/>
  <c r="I804" i="2"/>
  <c r="J804" i="2"/>
  <c r="K804" i="2"/>
  <c r="L804" i="2"/>
  <c r="N804" i="2"/>
  <c r="O804" i="2"/>
  <c r="Q804" i="2"/>
  <c r="R804" i="2"/>
  <c r="S804" i="2"/>
  <c r="E805" i="2"/>
  <c r="F805" i="2"/>
  <c r="G805" i="2"/>
  <c r="H805" i="2"/>
  <c r="I805" i="2"/>
  <c r="J805" i="2"/>
  <c r="K805" i="2"/>
  <c r="L805" i="2"/>
  <c r="N805" i="2"/>
  <c r="O805" i="2"/>
  <c r="P805" i="2"/>
  <c r="Q805" i="2"/>
  <c r="R805" i="2"/>
  <c r="S805" i="2"/>
  <c r="E806" i="2"/>
  <c r="F806" i="2"/>
  <c r="G806" i="2"/>
  <c r="H806" i="2"/>
  <c r="I806" i="2"/>
  <c r="J806" i="2"/>
  <c r="K806" i="2"/>
  <c r="L806" i="2"/>
  <c r="M806" i="2"/>
  <c r="N806" i="2"/>
  <c r="O806" i="2"/>
  <c r="Q806" i="2"/>
  <c r="R806" i="2"/>
  <c r="S806" i="2"/>
  <c r="E807" i="2"/>
  <c r="F807" i="2"/>
  <c r="G807" i="2"/>
  <c r="H807" i="2"/>
  <c r="I807" i="2"/>
  <c r="J807" i="2"/>
  <c r="K807" i="2"/>
  <c r="L807" i="2"/>
  <c r="N807" i="2"/>
  <c r="O807" i="2"/>
  <c r="P807" i="2"/>
  <c r="Q807" i="2"/>
  <c r="R807" i="2"/>
  <c r="S807" i="2"/>
  <c r="E808" i="2"/>
  <c r="F808" i="2"/>
  <c r="G808" i="2"/>
  <c r="H808" i="2"/>
  <c r="I808" i="2"/>
  <c r="J808" i="2"/>
  <c r="K808" i="2"/>
  <c r="L808" i="2"/>
  <c r="M808" i="2"/>
  <c r="N808" i="2"/>
  <c r="O808" i="2"/>
  <c r="Q808" i="2"/>
  <c r="R808" i="2"/>
  <c r="S808" i="2"/>
  <c r="E809" i="2"/>
  <c r="F809" i="2"/>
  <c r="G809" i="2"/>
  <c r="H809" i="2"/>
  <c r="I809" i="2"/>
  <c r="J809" i="2"/>
  <c r="K809" i="2"/>
  <c r="L809" i="2"/>
  <c r="N809" i="2"/>
  <c r="O809" i="2"/>
  <c r="P809" i="2"/>
  <c r="Q809" i="2"/>
  <c r="R809" i="2"/>
  <c r="S809" i="2"/>
  <c r="E810" i="2"/>
  <c r="F810" i="2"/>
  <c r="G810" i="2"/>
  <c r="H810" i="2"/>
  <c r="I810" i="2"/>
  <c r="J810" i="2"/>
  <c r="K810" i="2"/>
  <c r="L810" i="2"/>
  <c r="M810" i="2"/>
  <c r="N810" i="2"/>
  <c r="O810" i="2"/>
  <c r="Q810" i="2"/>
  <c r="R810" i="2"/>
  <c r="S810" i="2"/>
  <c r="E811" i="2"/>
  <c r="F811" i="2"/>
  <c r="G811" i="2"/>
  <c r="H811" i="2"/>
  <c r="I811" i="2"/>
  <c r="J811" i="2"/>
  <c r="K811" i="2"/>
  <c r="L811" i="2"/>
  <c r="N811" i="2"/>
  <c r="O811" i="2"/>
  <c r="P811" i="2"/>
  <c r="Q811" i="2"/>
  <c r="R811" i="2"/>
  <c r="S811" i="2"/>
  <c r="E812" i="2"/>
  <c r="F812" i="2"/>
  <c r="G812" i="2"/>
  <c r="H812" i="2"/>
  <c r="I812" i="2"/>
  <c r="J812" i="2"/>
  <c r="K812" i="2"/>
  <c r="L812" i="2"/>
  <c r="M812" i="2"/>
  <c r="N812" i="2"/>
  <c r="O812" i="2"/>
  <c r="Q812" i="2"/>
  <c r="R812" i="2"/>
  <c r="S812" i="2"/>
  <c r="E813" i="2"/>
  <c r="F813" i="2"/>
  <c r="G813" i="2"/>
  <c r="H813" i="2"/>
  <c r="I813" i="2"/>
  <c r="J813" i="2"/>
  <c r="K813" i="2"/>
  <c r="L813" i="2"/>
  <c r="N813" i="2"/>
  <c r="O813" i="2"/>
  <c r="P813" i="2"/>
  <c r="Q813" i="2"/>
  <c r="R813" i="2"/>
  <c r="S813" i="2"/>
  <c r="E814" i="2"/>
  <c r="F814" i="2"/>
  <c r="G814" i="2"/>
  <c r="H814" i="2"/>
  <c r="I814" i="2"/>
  <c r="J814" i="2"/>
  <c r="K814" i="2"/>
  <c r="L814" i="2"/>
  <c r="M814" i="2"/>
  <c r="N814" i="2"/>
  <c r="O814" i="2"/>
  <c r="Q814" i="2"/>
  <c r="R814" i="2"/>
  <c r="S814" i="2"/>
  <c r="E815" i="2"/>
  <c r="F815" i="2"/>
  <c r="G815" i="2"/>
  <c r="H815" i="2"/>
  <c r="I815" i="2"/>
  <c r="J815" i="2"/>
  <c r="K815" i="2"/>
  <c r="L815" i="2"/>
  <c r="N815" i="2"/>
  <c r="O815" i="2"/>
  <c r="P815" i="2"/>
  <c r="Q815" i="2"/>
  <c r="R815" i="2"/>
  <c r="S815" i="2"/>
  <c r="E816" i="2"/>
  <c r="F816" i="2"/>
  <c r="G816" i="2"/>
  <c r="H816" i="2"/>
  <c r="I816" i="2"/>
  <c r="J816" i="2"/>
  <c r="K816" i="2"/>
  <c r="L816" i="2"/>
  <c r="M816" i="2"/>
  <c r="N816" i="2"/>
  <c r="O816" i="2"/>
  <c r="Q816" i="2"/>
  <c r="R816" i="2"/>
  <c r="S816" i="2"/>
  <c r="E817" i="2"/>
  <c r="F817" i="2"/>
  <c r="G817" i="2"/>
  <c r="H817" i="2"/>
  <c r="I817" i="2"/>
  <c r="J817" i="2"/>
  <c r="K817" i="2"/>
  <c r="L817" i="2"/>
  <c r="N817" i="2"/>
  <c r="O817" i="2"/>
  <c r="P817" i="2"/>
  <c r="Q817" i="2"/>
  <c r="R817" i="2"/>
  <c r="S817" i="2"/>
  <c r="E818" i="2"/>
  <c r="F818" i="2"/>
  <c r="G818" i="2"/>
  <c r="H818" i="2"/>
  <c r="I818" i="2"/>
  <c r="J818" i="2"/>
  <c r="K818" i="2"/>
  <c r="L818" i="2"/>
  <c r="M818" i="2"/>
  <c r="N818" i="2"/>
  <c r="O818" i="2"/>
  <c r="Q818" i="2"/>
  <c r="R818" i="2"/>
  <c r="S818" i="2"/>
  <c r="E819" i="2"/>
  <c r="F819" i="2"/>
  <c r="G819" i="2"/>
  <c r="H819" i="2"/>
  <c r="I819" i="2"/>
  <c r="J819" i="2"/>
  <c r="K819" i="2"/>
  <c r="L819" i="2"/>
  <c r="N819" i="2"/>
  <c r="O819" i="2"/>
  <c r="P819" i="2"/>
  <c r="Q819" i="2"/>
  <c r="R819" i="2"/>
  <c r="S819" i="2"/>
  <c r="E820" i="2"/>
  <c r="F820" i="2"/>
  <c r="G820" i="2"/>
  <c r="H820" i="2"/>
  <c r="I820" i="2"/>
  <c r="J820" i="2"/>
  <c r="K820" i="2"/>
  <c r="L820" i="2"/>
  <c r="M820" i="2"/>
  <c r="N820" i="2"/>
  <c r="O820" i="2"/>
  <c r="Q820" i="2"/>
  <c r="R820" i="2"/>
  <c r="S820" i="2"/>
  <c r="E821" i="2"/>
  <c r="F821" i="2"/>
  <c r="G821" i="2"/>
  <c r="H821" i="2"/>
  <c r="I821" i="2"/>
  <c r="J821" i="2"/>
  <c r="K821" i="2"/>
  <c r="L821" i="2"/>
  <c r="N821" i="2"/>
  <c r="O821" i="2"/>
  <c r="P821" i="2"/>
  <c r="Q821" i="2"/>
  <c r="R821" i="2"/>
  <c r="S821" i="2"/>
  <c r="E822" i="2"/>
  <c r="F822" i="2"/>
  <c r="G822" i="2"/>
  <c r="H822" i="2"/>
  <c r="I822" i="2"/>
  <c r="J822" i="2"/>
  <c r="K822" i="2"/>
  <c r="L822" i="2"/>
  <c r="M822" i="2"/>
  <c r="N822" i="2"/>
  <c r="O822" i="2"/>
  <c r="Q822" i="2"/>
  <c r="R822" i="2"/>
  <c r="S822" i="2"/>
  <c r="E823" i="2"/>
  <c r="F823" i="2"/>
  <c r="G823" i="2"/>
  <c r="H823" i="2"/>
  <c r="I823" i="2"/>
  <c r="J823" i="2"/>
  <c r="K823" i="2"/>
  <c r="L823" i="2"/>
  <c r="N823" i="2"/>
  <c r="O823" i="2"/>
  <c r="P823" i="2"/>
  <c r="Q823" i="2"/>
  <c r="R823" i="2"/>
  <c r="S823" i="2"/>
  <c r="E824" i="2"/>
  <c r="F824" i="2"/>
  <c r="G824" i="2"/>
  <c r="H824" i="2"/>
  <c r="I824" i="2"/>
  <c r="J824" i="2"/>
  <c r="K824" i="2"/>
  <c r="L824" i="2"/>
  <c r="M824" i="2"/>
  <c r="N824" i="2"/>
  <c r="O824" i="2"/>
  <c r="Q824" i="2"/>
  <c r="R824" i="2"/>
  <c r="S824" i="2"/>
  <c r="E825" i="2"/>
  <c r="F825" i="2"/>
  <c r="G825" i="2"/>
  <c r="H825" i="2"/>
  <c r="I825" i="2"/>
  <c r="J825" i="2"/>
  <c r="K825" i="2"/>
  <c r="L825" i="2"/>
  <c r="N825" i="2"/>
  <c r="O825" i="2"/>
  <c r="P825" i="2"/>
  <c r="Q825" i="2"/>
  <c r="R825" i="2"/>
  <c r="S825" i="2"/>
  <c r="E826" i="2"/>
  <c r="F826" i="2"/>
  <c r="G826" i="2"/>
  <c r="H826" i="2"/>
  <c r="I826" i="2"/>
  <c r="J826" i="2"/>
  <c r="K826" i="2"/>
  <c r="L826" i="2"/>
  <c r="M826" i="2"/>
  <c r="N826" i="2"/>
  <c r="O826" i="2"/>
  <c r="Q826" i="2"/>
  <c r="R826" i="2"/>
  <c r="S826" i="2"/>
  <c r="E827" i="2"/>
  <c r="F827" i="2"/>
  <c r="G827" i="2"/>
  <c r="H827" i="2"/>
  <c r="I827" i="2"/>
  <c r="J827" i="2"/>
  <c r="K827" i="2"/>
  <c r="L827" i="2"/>
  <c r="N827" i="2"/>
  <c r="O827" i="2"/>
  <c r="P827" i="2"/>
  <c r="Q827" i="2"/>
  <c r="R827" i="2"/>
  <c r="S827" i="2"/>
  <c r="E828" i="2"/>
  <c r="F828" i="2"/>
  <c r="G828" i="2"/>
  <c r="H828" i="2"/>
  <c r="I828" i="2"/>
  <c r="J828" i="2"/>
  <c r="K828" i="2"/>
  <c r="L828" i="2"/>
  <c r="M828" i="2"/>
  <c r="N828" i="2"/>
  <c r="O828" i="2"/>
  <c r="Q828" i="2"/>
  <c r="R828" i="2"/>
  <c r="S828" i="2"/>
  <c r="E829" i="2"/>
  <c r="F829" i="2"/>
  <c r="G829" i="2"/>
  <c r="H829" i="2"/>
  <c r="I829" i="2"/>
  <c r="J829" i="2"/>
  <c r="K829" i="2"/>
  <c r="L829" i="2"/>
  <c r="N829" i="2"/>
  <c r="O829" i="2"/>
  <c r="P829" i="2"/>
  <c r="Q829" i="2"/>
  <c r="R829" i="2"/>
  <c r="S829" i="2"/>
  <c r="E830" i="2"/>
  <c r="F830" i="2"/>
  <c r="G830" i="2"/>
  <c r="H830" i="2"/>
  <c r="I830" i="2"/>
  <c r="J830" i="2"/>
  <c r="K830" i="2"/>
  <c r="L830" i="2"/>
  <c r="M830" i="2"/>
  <c r="N830" i="2"/>
  <c r="O830" i="2"/>
  <c r="Q830" i="2"/>
  <c r="R830" i="2"/>
  <c r="S830" i="2"/>
  <c r="E831" i="2"/>
  <c r="F831" i="2"/>
  <c r="G831" i="2"/>
  <c r="H831" i="2"/>
  <c r="I831" i="2"/>
  <c r="J831" i="2"/>
  <c r="K831" i="2"/>
  <c r="L831" i="2"/>
  <c r="N831" i="2"/>
  <c r="O831" i="2"/>
  <c r="P831" i="2"/>
  <c r="Q831" i="2"/>
  <c r="R831" i="2"/>
  <c r="S831" i="2"/>
  <c r="E832" i="2"/>
  <c r="F832" i="2"/>
  <c r="G832" i="2"/>
  <c r="H832" i="2"/>
  <c r="I832" i="2"/>
  <c r="J832" i="2"/>
  <c r="K832" i="2"/>
  <c r="L832" i="2"/>
  <c r="M832" i="2"/>
  <c r="N832" i="2"/>
  <c r="O832" i="2"/>
  <c r="Q832" i="2"/>
  <c r="R832" i="2"/>
  <c r="S832" i="2"/>
  <c r="E833" i="2"/>
  <c r="F833" i="2"/>
  <c r="G833" i="2"/>
  <c r="H833" i="2"/>
  <c r="I833" i="2"/>
  <c r="J833" i="2"/>
  <c r="K833" i="2"/>
  <c r="L833" i="2"/>
  <c r="N833" i="2"/>
  <c r="O833" i="2"/>
  <c r="P833" i="2"/>
  <c r="Q833" i="2"/>
  <c r="R833" i="2"/>
  <c r="S833" i="2"/>
  <c r="E834" i="2"/>
  <c r="F834" i="2"/>
  <c r="G834" i="2"/>
  <c r="H834" i="2"/>
  <c r="I834" i="2"/>
  <c r="J834" i="2"/>
  <c r="K834" i="2"/>
  <c r="L834" i="2"/>
  <c r="M834" i="2"/>
  <c r="N834" i="2"/>
  <c r="O834" i="2"/>
  <c r="Q834" i="2"/>
  <c r="R834" i="2"/>
  <c r="S834" i="2"/>
  <c r="E835" i="2"/>
  <c r="F835" i="2"/>
  <c r="G835" i="2"/>
  <c r="H835" i="2"/>
  <c r="I835" i="2"/>
  <c r="J835" i="2"/>
  <c r="K835" i="2"/>
  <c r="L835" i="2"/>
  <c r="N835" i="2"/>
  <c r="O835" i="2"/>
  <c r="P835" i="2"/>
  <c r="Q835" i="2"/>
  <c r="R835" i="2"/>
  <c r="S835" i="2"/>
  <c r="E836" i="2"/>
  <c r="F836" i="2"/>
  <c r="G836" i="2"/>
  <c r="H836" i="2"/>
  <c r="I836" i="2"/>
  <c r="J836" i="2"/>
  <c r="K836" i="2"/>
  <c r="L836" i="2"/>
  <c r="M836" i="2"/>
  <c r="N836" i="2"/>
  <c r="O836" i="2"/>
  <c r="Q836" i="2"/>
  <c r="R836" i="2"/>
  <c r="S836" i="2"/>
  <c r="E837" i="2"/>
  <c r="F837" i="2"/>
  <c r="G837" i="2"/>
  <c r="H837" i="2"/>
  <c r="I837" i="2"/>
  <c r="J837" i="2"/>
  <c r="K837" i="2"/>
  <c r="L837" i="2"/>
  <c r="N837" i="2"/>
  <c r="O837" i="2"/>
  <c r="P837" i="2"/>
  <c r="Q837" i="2"/>
  <c r="R837" i="2"/>
  <c r="S837" i="2"/>
  <c r="E838" i="2"/>
  <c r="F838" i="2"/>
  <c r="G838" i="2"/>
  <c r="H838" i="2"/>
  <c r="I838" i="2"/>
  <c r="J838" i="2"/>
  <c r="K838" i="2"/>
  <c r="L838" i="2"/>
  <c r="M838" i="2"/>
  <c r="N838" i="2"/>
  <c r="O838" i="2"/>
  <c r="Q838" i="2"/>
  <c r="R838" i="2"/>
  <c r="S838" i="2"/>
  <c r="E839" i="2"/>
  <c r="F839" i="2"/>
  <c r="G839" i="2"/>
  <c r="H839" i="2"/>
  <c r="I839" i="2"/>
  <c r="J839" i="2"/>
  <c r="K839" i="2"/>
  <c r="L839" i="2"/>
  <c r="N839" i="2"/>
  <c r="O839" i="2"/>
  <c r="P839" i="2"/>
  <c r="Q839" i="2"/>
  <c r="R839" i="2"/>
  <c r="S839" i="2"/>
  <c r="E840" i="2"/>
  <c r="F840" i="2"/>
  <c r="G840" i="2"/>
  <c r="H840" i="2"/>
  <c r="I840" i="2"/>
  <c r="J840" i="2"/>
  <c r="K840" i="2"/>
  <c r="L840" i="2"/>
  <c r="M840" i="2"/>
  <c r="N840" i="2"/>
  <c r="O840" i="2"/>
  <c r="Q840" i="2"/>
  <c r="R840" i="2"/>
  <c r="S840" i="2"/>
  <c r="E841" i="2"/>
  <c r="F841" i="2"/>
  <c r="G841" i="2"/>
  <c r="H841" i="2"/>
  <c r="I841" i="2"/>
  <c r="J841" i="2"/>
  <c r="K841" i="2"/>
  <c r="L841" i="2"/>
  <c r="N841" i="2"/>
  <c r="O841" i="2"/>
  <c r="P841" i="2"/>
  <c r="Q841" i="2"/>
  <c r="R841" i="2"/>
  <c r="S841" i="2"/>
  <c r="E842" i="2"/>
  <c r="F842" i="2"/>
  <c r="G842" i="2"/>
  <c r="H842" i="2"/>
  <c r="I842" i="2"/>
  <c r="J842" i="2"/>
  <c r="K842" i="2"/>
  <c r="L842" i="2"/>
  <c r="M842" i="2"/>
  <c r="N842" i="2"/>
  <c r="O842" i="2"/>
  <c r="Q842" i="2"/>
  <c r="R842" i="2"/>
  <c r="S842" i="2"/>
  <c r="E843" i="2"/>
  <c r="F843" i="2"/>
  <c r="G843" i="2"/>
  <c r="H843" i="2"/>
  <c r="I843" i="2"/>
  <c r="J843" i="2"/>
  <c r="K843" i="2"/>
  <c r="L843" i="2"/>
  <c r="N843" i="2"/>
  <c r="O843" i="2"/>
  <c r="P843" i="2"/>
  <c r="Q843" i="2"/>
  <c r="R843" i="2"/>
  <c r="S843" i="2"/>
  <c r="E844" i="2"/>
  <c r="F844" i="2"/>
  <c r="G844" i="2"/>
  <c r="H844" i="2"/>
  <c r="I844" i="2"/>
  <c r="J844" i="2"/>
  <c r="K844" i="2"/>
  <c r="L844" i="2"/>
  <c r="M844" i="2"/>
  <c r="N844" i="2"/>
  <c r="O844" i="2"/>
  <c r="Q844" i="2"/>
  <c r="R844" i="2"/>
  <c r="S844" i="2"/>
  <c r="E845" i="2"/>
  <c r="F845" i="2"/>
  <c r="G845" i="2"/>
  <c r="H845" i="2"/>
  <c r="I845" i="2"/>
  <c r="J845" i="2"/>
  <c r="K845" i="2"/>
  <c r="L845" i="2"/>
  <c r="N845" i="2"/>
  <c r="O845" i="2"/>
  <c r="P845" i="2"/>
  <c r="Q845" i="2"/>
  <c r="R845" i="2"/>
  <c r="S845" i="2"/>
  <c r="E846" i="2"/>
  <c r="F846" i="2"/>
  <c r="G846" i="2"/>
  <c r="H846" i="2"/>
  <c r="I846" i="2"/>
  <c r="J846" i="2"/>
  <c r="K846" i="2"/>
  <c r="L846" i="2"/>
  <c r="M846" i="2"/>
  <c r="N846" i="2"/>
  <c r="O846" i="2"/>
  <c r="Q846" i="2"/>
  <c r="R846" i="2"/>
  <c r="S846" i="2"/>
  <c r="E847" i="2"/>
  <c r="F847" i="2"/>
  <c r="G847" i="2"/>
  <c r="H847" i="2"/>
  <c r="I847" i="2"/>
  <c r="J847" i="2"/>
  <c r="K847" i="2"/>
  <c r="L847" i="2"/>
  <c r="N847" i="2"/>
  <c r="O847" i="2"/>
  <c r="P847" i="2"/>
  <c r="Q847" i="2"/>
  <c r="R847" i="2"/>
  <c r="S847" i="2"/>
  <c r="E848" i="2"/>
  <c r="F848" i="2"/>
  <c r="G848" i="2"/>
  <c r="H848" i="2"/>
  <c r="I848" i="2"/>
  <c r="J848" i="2"/>
  <c r="K848" i="2"/>
  <c r="L848" i="2"/>
  <c r="M848" i="2"/>
  <c r="N848" i="2"/>
  <c r="O848" i="2"/>
  <c r="Q848" i="2"/>
  <c r="R848" i="2"/>
  <c r="S848" i="2"/>
  <c r="E849" i="2"/>
  <c r="F849" i="2"/>
  <c r="G849" i="2"/>
  <c r="H849" i="2"/>
  <c r="I849" i="2"/>
  <c r="J849" i="2"/>
  <c r="K849" i="2"/>
  <c r="L849" i="2"/>
  <c r="N849" i="2"/>
  <c r="O849" i="2"/>
  <c r="P849" i="2"/>
  <c r="Q849" i="2"/>
  <c r="R849" i="2"/>
  <c r="S849" i="2"/>
  <c r="E850" i="2"/>
  <c r="F850" i="2"/>
  <c r="G850" i="2"/>
  <c r="H850" i="2"/>
  <c r="I850" i="2"/>
  <c r="J850" i="2"/>
  <c r="K850" i="2"/>
  <c r="L850" i="2"/>
  <c r="M850" i="2"/>
  <c r="N850" i="2"/>
  <c r="O850" i="2"/>
  <c r="Q850" i="2"/>
  <c r="R850" i="2"/>
  <c r="S850" i="2"/>
  <c r="E851" i="2"/>
  <c r="F851" i="2"/>
  <c r="G851" i="2"/>
  <c r="H851" i="2"/>
  <c r="I851" i="2"/>
  <c r="J851" i="2"/>
  <c r="K851" i="2"/>
  <c r="L851" i="2"/>
  <c r="N851" i="2"/>
  <c r="O851" i="2"/>
  <c r="P851" i="2"/>
  <c r="Q851" i="2"/>
  <c r="R851" i="2"/>
  <c r="S851" i="2"/>
  <c r="E852" i="2"/>
  <c r="F852" i="2"/>
  <c r="G852" i="2"/>
  <c r="H852" i="2"/>
  <c r="I852" i="2"/>
  <c r="J852" i="2"/>
  <c r="K852" i="2"/>
  <c r="L852" i="2"/>
  <c r="M852" i="2"/>
  <c r="N852" i="2"/>
  <c r="O852" i="2"/>
  <c r="Q852" i="2"/>
  <c r="R852" i="2"/>
  <c r="S852" i="2"/>
  <c r="E853" i="2"/>
  <c r="F853" i="2"/>
  <c r="G853" i="2"/>
  <c r="H853" i="2"/>
  <c r="I853" i="2"/>
  <c r="J853" i="2"/>
  <c r="K853" i="2"/>
  <c r="L853" i="2"/>
  <c r="N853" i="2"/>
  <c r="O853" i="2"/>
  <c r="P853" i="2"/>
  <c r="Q853" i="2"/>
  <c r="R853" i="2"/>
  <c r="S853" i="2"/>
  <c r="E854" i="2"/>
  <c r="F854" i="2"/>
  <c r="G854" i="2"/>
  <c r="H854" i="2"/>
  <c r="I854" i="2"/>
  <c r="J854" i="2"/>
  <c r="K854" i="2"/>
  <c r="L854" i="2"/>
  <c r="M854" i="2"/>
  <c r="N854" i="2"/>
  <c r="O854" i="2"/>
  <c r="Q854" i="2"/>
  <c r="R854" i="2"/>
  <c r="S854" i="2"/>
  <c r="E855" i="2"/>
  <c r="P855" i="2" s="1"/>
  <c r="F855" i="2"/>
  <c r="G855" i="2"/>
  <c r="H855" i="2"/>
  <c r="I855" i="2"/>
  <c r="J855" i="2"/>
  <c r="K855" i="2"/>
  <c r="L855" i="2"/>
  <c r="M855" i="2"/>
  <c r="N855" i="2"/>
  <c r="O855" i="2"/>
  <c r="Q855" i="2"/>
  <c r="R855" i="2"/>
  <c r="S855" i="2"/>
  <c r="E856" i="2"/>
  <c r="F856" i="2"/>
  <c r="G856" i="2"/>
  <c r="H856" i="2"/>
  <c r="I856" i="2"/>
  <c r="J856" i="2"/>
  <c r="M856" i="2" s="1"/>
  <c r="K856" i="2"/>
  <c r="L856" i="2"/>
  <c r="N856" i="2"/>
  <c r="O856" i="2"/>
  <c r="Q856" i="2"/>
  <c r="R856" i="2"/>
  <c r="S856" i="2"/>
  <c r="E857" i="2"/>
  <c r="F857" i="2"/>
  <c r="G857" i="2"/>
  <c r="H857" i="2"/>
  <c r="I857" i="2"/>
  <c r="J857" i="2"/>
  <c r="K857" i="2"/>
  <c r="L857" i="2"/>
  <c r="N857" i="2"/>
  <c r="O857" i="2"/>
  <c r="Q857" i="2"/>
  <c r="R857" i="2"/>
  <c r="S857" i="2"/>
  <c r="E858" i="2"/>
  <c r="F858" i="2"/>
  <c r="G858" i="2"/>
  <c r="H858" i="2"/>
  <c r="I858" i="2"/>
  <c r="J858" i="2"/>
  <c r="K858" i="2"/>
  <c r="L858" i="2"/>
  <c r="N858" i="2"/>
  <c r="O858" i="2"/>
  <c r="Q858" i="2"/>
  <c r="R858" i="2"/>
  <c r="S858" i="2"/>
  <c r="E859" i="2"/>
  <c r="F859" i="2"/>
  <c r="G859" i="2"/>
  <c r="H859" i="2"/>
  <c r="I859" i="2"/>
  <c r="J859" i="2"/>
  <c r="K859" i="2"/>
  <c r="L859" i="2"/>
  <c r="M859" i="2"/>
  <c r="N859" i="2"/>
  <c r="O859" i="2"/>
  <c r="Q859" i="2"/>
  <c r="R859" i="2"/>
  <c r="S859" i="2"/>
  <c r="E860" i="2"/>
  <c r="F860" i="2"/>
  <c r="G860" i="2"/>
  <c r="H860" i="2"/>
  <c r="I860" i="2"/>
  <c r="J860" i="2"/>
  <c r="M860" i="2" s="1"/>
  <c r="K860" i="2"/>
  <c r="L860" i="2"/>
  <c r="N860" i="2"/>
  <c r="O860" i="2"/>
  <c r="Q860" i="2"/>
  <c r="R860" i="2"/>
  <c r="S860" i="2"/>
  <c r="E861" i="2"/>
  <c r="F861" i="2"/>
  <c r="G861" i="2"/>
  <c r="H861" i="2"/>
  <c r="I861" i="2"/>
  <c r="J861" i="2"/>
  <c r="K861" i="2"/>
  <c r="L861" i="2"/>
  <c r="N861" i="2"/>
  <c r="O861" i="2"/>
  <c r="Q861" i="2"/>
  <c r="R861" i="2"/>
  <c r="S861" i="2"/>
  <c r="E862" i="2"/>
  <c r="F862" i="2"/>
  <c r="G862" i="2"/>
  <c r="H862" i="2"/>
  <c r="M862" i="2" s="1"/>
  <c r="I862" i="2"/>
  <c r="J862" i="2"/>
  <c r="K862" i="2"/>
  <c r="L862" i="2"/>
  <c r="N862" i="2"/>
  <c r="O862" i="2"/>
  <c r="P862" i="2"/>
  <c r="Q862" i="2"/>
  <c r="R862" i="2"/>
  <c r="S862" i="2"/>
  <c r="E863" i="2"/>
  <c r="P863" i="2" s="1"/>
  <c r="F863" i="2"/>
  <c r="G863" i="2"/>
  <c r="H863" i="2"/>
  <c r="I863" i="2"/>
  <c r="J863" i="2"/>
  <c r="K863" i="2"/>
  <c r="L863" i="2"/>
  <c r="M863" i="2"/>
  <c r="N863" i="2"/>
  <c r="O863" i="2"/>
  <c r="Q863" i="2"/>
  <c r="R863" i="2"/>
  <c r="S863" i="2"/>
  <c r="E864" i="2"/>
  <c r="F864" i="2"/>
  <c r="G864" i="2"/>
  <c r="H864" i="2"/>
  <c r="I864" i="2"/>
  <c r="J864" i="2"/>
  <c r="M864" i="2" s="1"/>
  <c r="K864" i="2"/>
  <c r="L864" i="2"/>
  <c r="N864" i="2"/>
  <c r="O864" i="2"/>
  <c r="Q864" i="2"/>
  <c r="R864" i="2"/>
  <c r="S864" i="2"/>
  <c r="E865" i="2"/>
  <c r="F865" i="2"/>
  <c r="G865" i="2"/>
  <c r="H865" i="2"/>
  <c r="I865" i="2"/>
  <c r="J865" i="2"/>
  <c r="K865" i="2"/>
  <c r="L865" i="2"/>
  <c r="N865" i="2"/>
  <c r="O865" i="2"/>
  <c r="Q865" i="2"/>
  <c r="R865" i="2"/>
  <c r="S865" i="2"/>
  <c r="E866" i="2"/>
  <c r="F866" i="2"/>
  <c r="G866" i="2"/>
  <c r="H866" i="2"/>
  <c r="I866" i="2"/>
  <c r="J866" i="2"/>
  <c r="K866" i="2"/>
  <c r="L866" i="2"/>
  <c r="N866" i="2"/>
  <c r="O866" i="2"/>
  <c r="Q866" i="2"/>
  <c r="R866" i="2"/>
  <c r="S866" i="2"/>
  <c r="E867" i="2"/>
  <c r="F867" i="2"/>
  <c r="G867" i="2"/>
  <c r="H867" i="2"/>
  <c r="I867" i="2"/>
  <c r="J867" i="2"/>
  <c r="K867" i="2"/>
  <c r="L867" i="2"/>
  <c r="M867" i="2"/>
  <c r="N867" i="2"/>
  <c r="O867" i="2"/>
  <c r="Q867" i="2"/>
  <c r="R867" i="2"/>
  <c r="S867" i="2"/>
  <c r="E868" i="2"/>
  <c r="F868" i="2"/>
  <c r="G868" i="2"/>
  <c r="H868" i="2"/>
  <c r="I868" i="2"/>
  <c r="J868" i="2"/>
  <c r="M868" i="2" s="1"/>
  <c r="K868" i="2"/>
  <c r="L868" i="2"/>
  <c r="N868" i="2"/>
  <c r="O868" i="2"/>
  <c r="Q868" i="2"/>
  <c r="R868" i="2"/>
  <c r="S868" i="2"/>
  <c r="E869" i="2"/>
  <c r="F869" i="2"/>
  <c r="G869" i="2"/>
  <c r="H869" i="2"/>
  <c r="I869" i="2"/>
  <c r="J869" i="2"/>
  <c r="K869" i="2"/>
  <c r="L869" i="2"/>
  <c r="N869" i="2"/>
  <c r="O869" i="2"/>
  <c r="Q869" i="2"/>
  <c r="R869" i="2"/>
  <c r="S869" i="2"/>
  <c r="E870" i="2"/>
  <c r="F870" i="2"/>
  <c r="G870" i="2"/>
  <c r="H870" i="2"/>
  <c r="M870" i="2" s="1"/>
  <c r="I870" i="2"/>
  <c r="J870" i="2"/>
  <c r="K870" i="2"/>
  <c r="L870" i="2"/>
  <c r="N870" i="2"/>
  <c r="O870" i="2"/>
  <c r="P870" i="2"/>
  <c r="Q870" i="2"/>
  <c r="R870" i="2"/>
  <c r="S870" i="2"/>
  <c r="E871" i="2"/>
  <c r="P871" i="2" s="1"/>
  <c r="F871" i="2"/>
  <c r="G871" i="2"/>
  <c r="H871" i="2"/>
  <c r="I871" i="2"/>
  <c r="J871" i="2"/>
  <c r="K871" i="2"/>
  <c r="L871" i="2"/>
  <c r="M871" i="2"/>
  <c r="N871" i="2"/>
  <c r="O871" i="2"/>
  <c r="Q871" i="2"/>
  <c r="R871" i="2"/>
  <c r="S871" i="2"/>
  <c r="E872" i="2"/>
  <c r="F872" i="2"/>
  <c r="G872" i="2"/>
  <c r="H872" i="2"/>
  <c r="I872" i="2"/>
  <c r="J872" i="2"/>
  <c r="M872" i="2" s="1"/>
  <c r="K872" i="2"/>
  <c r="L872" i="2"/>
  <c r="N872" i="2"/>
  <c r="O872" i="2"/>
  <c r="Q872" i="2"/>
  <c r="R872" i="2"/>
  <c r="S872" i="2"/>
  <c r="E873" i="2"/>
  <c r="F873" i="2"/>
  <c r="G873" i="2"/>
  <c r="H873" i="2"/>
  <c r="I873" i="2"/>
  <c r="J873" i="2"/>
  <c r="K873" i="2"/>
  <c r="L873" i="2"/>
  <c r="N873" i="2"/>
  <c r="O873" i="2"/>
  <c r="Q873" i="2"/>
  <c r="R873" i="2"/>
  <c r="S873" i="2"/>
  <c r="E874" i="2"/>
  <c r="F874" i="2"/>
  <c r="G874" i="2"/>
  <c r="H874" i="2"/>
  <c r="I874" i="2"/>
  <c r="J874" i="2"/>
  <c r="K874" i="2"/>
  <c r="L874" i="2"/>
  <c r="N874" i="2"/>
  <c r="O874" i="2"/>
  <c r="Q874" i="2"/>
  <c r="R874" i="2"/>
  <c r="S874" i="2"/>
  <c r="E875" i="2"/>
  <c r="F875" i="2"/>
  <c r="G875" i="2"/>
  <c r="H875" i="2"/>
  <c r="I875" i="2"/>
  <c r="J875" i="2"/>
  <c r="K875" i="2"/>
  <c r="L875" i="2"/>
  <c r="M875" i="2"/>
  <c r="N875" i="2"/>
  <c r="O875" i="2"/>
  <c r="Q875" i="2"/>
  <c r="R875" i="2"/>
  <c r="S875" i="2"/>
  <c r="E876" i="2"/>
  <c r="F876" i="2"/>
  <c r="G876" i="2"/>
  <c r="H876" i="2"/>
  <c r="I876" i="2"/>
  <c r="J876" i="2"/>
  <c r="M876" i="2" s="1"/>
  <c r="K876" i="2"/>
  <c r="L876" i="2"/>
  <c r="N876" i="2"/>
  <c r="O876" i="2"/>
  <c r="Q876" i="2"/>
  <c r="R876" i="2"/>
  <c r="S876" i="2"/>
  <c r="E877" i="2"/>
  <c r="F877" i="2"/>
  <c r="G877" i="2"/>
  <c r="H877" i="2"/>
  <c r="I877" i="2"/>
  <c r="J877" i="2"/>
  <c r="K877" i="2"/>
  <c r="L877" i="2"/>
  <c r="N877" i="2"/>
  <c r="O877" i="2"/>
  <c r="Q877" i="2"/>
  <c r="R877" i="2"/>
  <c r="S877" i="2"/>
  <c r="E878" i="2"/>
  <c r="F878" i="2"/>
  <c r="G878" i="2"/>
  <c r="H878" i="2"/>
  <c r="M878" i="2" s="1"/>
  <c r="I878" i="2"/>
  <c r="J878" i="2"/>
  <c r="K878" i="2"/>
  <c r="L878" i="2"/>
  <c r="N878" i="2"/>
  <c r="O878" i="2"/>
  <c r="P878" i="2"/>
  <c r="Q878" i="2"/>
  <c r="R878" i="2"/>
  <c r="S878" i="2"/>
  <c r="E879" i="2"/>
  <c r="P879" i="2" s="1"/>
  <c r="F879" i="2"/>
  <c r="G879" i="2"/>
  <c r="H879" i="2"/>
  <c r="I879" i="2"/>
  <c r="J879" i="2"/>
  <c r="K879" i="2"/>
  <c r="L879" i="2"/>
  <c r="M879" i="2"/>
  <c r="N879" i="2"/>
  <c r="O879" i="2"/>
  <c r="Q879" i="2"/>
  <c r="R879" i="2"/>
  <c r="S879" i="2"/>
  <c r="E880" i="2"/>
  <c r="F880" i="2"/>
  <c r="G880" i="2"/>
  <c r="H880" i="2"/>
  <c r="I880" i="2"/>
  <c r="J880" i="2"/>
  <c r="M880" i="2" s="1"/>
  <c r="K880" i="2"/>
  <c r="L880" i="2"/>
  <c r="N880" i="2"/>
  <c r="O880" i="2"/>
  <c r="Q880" i="2"/>
  <c r="R880" i="2"/>
  <c r="S880" i="2"/>
  <c r="E881" i="2"/>
  <c r="F881" i="2"/>
  <c r="G881" i="2"/>
  <c r="H881" i="2"/>
  <c r="I881" i="2"/>
  <c r="J881" i="2"/>
  <c r="K881" i="2"/>
  <c r="L881" i="2"/>
  <c r="N881" i="2"/>
  <c r="O881" i="2"/>
  <c r="Q881" i="2"/>
  <c r="R881" i="2"/>
  <c r="S881" i="2"/>
  <c r="E882" i="2"/>
  <c r="F882" i="2"/>
  <c r="G882" i="2"/>
  <c r="H882" i="2"/>
  <c r="I882" i="2"/>
  <c r="J882" i="2"/>
  <c r="K882" i="2"/>
  <c r="L882" i="2"/>
  <c r="N882" i="2"/>
  <c r="O882" i="2"/>
  <c r="Q882" i="2"/>
  <c r="R882" i="2"/>
  <c r="S882" i="2"/>
  <c r="E883" i="2"/>
  <c r="F883" i="2"/>
  <c r="G883" i="2"/>
  <c r="H883" i="2"/>
  <c r="I883" i="2"/>
  <c r="J883" i="2"/>
  <c r="K883" i="2"/>
  <c r="L883" i="2"/>
  <c r="M883" i="2"/>
  <c r="N883" i="2"/>
  <c r="O883" i="2"/>
  <c r="Q883" i="2"/>
  <c r="R883" i="2"/>
  <c r="S883" i="2"/>
  <c r="E884" i="2"/>
  <c r="F884" i="2"/>
  <c r="G884" i="2"/>
  <c r="H884" i="2"/>
  <c r="I884" i="2"/>
  <c r="J884" i="2"/>
  <c r="M884" i="2" s="1"/>
  <c r="K884" i="2"/>
  <c r="L884" i="2"/>
  <c r="N884" i="2"/>
  <c r="O884" i="2"/>
  <c r="Q884" i="2"/>
  <c r="R884" i="2"/>
  <c r="S884" i="2"/>
  <c r="E885" i="2"/>
  <c r="F885" i="2"/>
  <c r="G885" i="2"/>
  <c r="H885" i="2"/>
  <c r="I885" i="2"/>
  <c r="J885" i="2"/>
  <c r="K885" i="2"/>
  <c r="L885" i="2"/>
  <c r="N885" i="2"/>
  <c r="O885" i="2"/>
  <c r="Q885" i="2"/>
  <c r="R885" i="2"/>
  <c r="S885" i="2"/>
  <c r="E886" i="2"/>
  <c r="F886" i="2"/>
  <c r="G886" i="2"/>
  <c r="H886" i="2"/>
  <c r="M886" i="2" s="1"/>
  <c r="I886" i="2"/>
  <c r="J886" i="2"/>
  <c r="K886" i="2"/>
  <c r="L886" i="2"/>
  <c r="N886" i="2"/>
  <c r="O886" i="2"/>
  <c r="P886" i="2" s="1"/>
  <c r="Q886" i="2"/>
  <c r="R886" i="2"/>
  <c r="S886" i="2"/>
  <c r="E887" i="2"/>
  <c r="F887" i="2"/>
  <c r="G887" i="2"/>
  <c r="H887" i="2"/>
  <c r="M887" i="2" s="1"/>
  <c r="I887" i="2"/>
  <c r="J887" i="2"/>
  <c r="K887" i="2"/>
  <c r="L887" i="2"/>
  <c r="N887" i="2"/>
  <c r="O887" i="2"/>
  <c r="P887" i="2"/>
  <c r="Q887" i="2"/>
  <c r="R887" i="2"/>
  <c r="S887" i="2"/>
  <c r="E888" i="2"/>
  <c r="F888" i="2"/>
  <c r="G888" i="2"/>
  <c r="H888" i="2"/>
  <c r="I888" i="2"/>
  <c r="J888" i="2"/>
  <c r="K888" i="2"/>
  <c r="L888" i="2"/>
  <c r="M888" i="2"/>
  <c r="N888" i="2"/>
  <c r="O888" i="2"/>
  <c r="Q888" i="2"/>
  <c r="R888" i="2"/>
  <c r="S888" i="2"/>
  <c r="E889" i="2"/>
  <c r="F889" i="2"/>
  <c r="G889" i="2"/>
  <c r="H889" i="2"/>
  <c r="I889" i="2"/>
  <c r="J889" i="2"/>
  <c r="K889" i="2"/>
  <c r="L889" i="2"/>
  <c r="N889" i="2"/>
  <c r="O889" i="2"/>
  <c r="P889" i="2" s="1"/>
  <c r="Q889" i="2"/>
  <c r="R889" i="2"/>
  <c r="S889" i="2"/>
  <c r="E890" i="2"/>
  <c r="F890" i="2"/>
  <c r="G890" i="2"/>
  <c r="H890" i="2"/>
  <c r="I890" i="2"/>
  <c r="J890" i="2"/>
  <c r="K890" i="2"/>
  <c r="L890" i="2"/>
  <c r="N890" i="2"/>
  <c r="O890" i="2"/>
  <c r="Q890" i="2"/>
  <c r="R890" i="2"/>
  <c r="S890" i="2"/>
  <c r="E891" i="2"/>
  <c r="F891" i="2"/>
  <c r="G891" i="2"/>
  <c r="H891" i="2"/>
  <c r="I891" i="2"/>
  <c r="J891" i="2"/>
  <c r="K891" i="2"/>
  <c r="L891" i="2"/>
  <c r="M891" i="2"/>
  <c r="N891" i="2"/>
  <c r="O891" i="2"/>
  <c r="Q891" i="2"/>
  <c r="R891" i="2"/>
  <c r="S891" i="2"/>
  <c r="E892" i="2"/>
  <c r="F892" i="2"/>
  <c r="G892" i="2"/>
  <c r="H892" i="2"/>
  <c r="I892" i="2"/>
  <c r="J892" i="2"/>
  <c r="M892" i="2" s="1"/>
  <c r="K892" i="2"/>
  <c r="L892" i="2"/>
  <c r="N892" i="2"/>
  <c r="O892" i="2"/>
  <c r="Q892" i="2"/>
  <c r="R892" i="2"/>
  <c r="S892" i="2"/>
  <c r="E893" i="2"/>
  <c r="F893" i="2"/>
  <c r="G893" i="2"/>
  <c r="H893" i="2"/>
  <c r="I893" i="2"/>
  <c r="J893" i="2"/>
  <c r="K893" i="2"/>
  <c r="L893" i="2"/>
  <c r="N893" i="2"/>
  <c r="O893" i="2"/>
  <c r="Q893" i="2"/>
  <c r="R893" i="2"/>
  <c r="S893" i="2"/>
  <c r="E894" i="2"/>
  <c r="F894" i="2"/>
  <c r="G894" i="2"/>
  <c r="H894" i="2"/>
  <c r="M894" i="2" s="1"/>
  <c r="I894" i="2"/>
  <c r="J894" i="2"/>
  <c r="K894" i="2"/>
  <c r="L894" i="2"/>
  <c r="N894" i="2"/>
  <c r="O894" i="2"/>
  <c r="P894" i="2" s="1"/>
  <c r="Q894" i="2"/>
  <c r="R894" i="2"/>
  <c r="S894" i="2"/>
  <c r="E895" i="2"/>
  <c r="F895" i="2"/>
  <c r="G895" i="2"/>
  <c r="H895" i="2"/>
  <c r="M895" i="2" s="1"/>
  <c r="I895" i="2"/>
  <c r="J895" i="2"/>
  <c r="K895" i="2"/>
  <c r="L895" i="2"/>
  <c r="N895" i="2"/>
  <c r="O895" i="2"/>
  <c r="P895" i="2"/>
  <c r="Q895" i="2"/>
  <c r="R895" i="2"/>
  <c r="S895" i="2"/>
  <c r="E896" i="2"/>
  <c r="F896" i="2"/>
  <c r="G896" i="2"/>
  <c r="H896" i="2"/>
  <c r="I896" i="2"/>
  <c r="J896" i="2"/>
  <c r="K896" i="2"/>
  <c r="L896" i="2"/>
  <c r="M896" i="2"/>
  <c r="N896" i="2"/>
  <c r="O896" i="2"/>
  <c r="Q896" i="2"/>
  <c r="R896" i="2"/>
  <c r="S896" i="2"/>
  <c r="E897" i="2"/>
  <c r="F897" i="2"/>
  <c r="G897" i="2"/>
  <c r="H897" i="2"/>
  <c r="I897" i="2"/>
  <c r="J897" i="2"/>
  <c r="K897" i="2"/>
  <c r="L897" i="2"/>
  <c r="N897" i="2"/>
  <c r="O897" i="2"/>
  <c r="P897" i="2" s="1"/>
  <c r="Q897" i="2"/>
  <c r="R897" i="2"/>
  <c r="S897" i="2"/>
  <c r="E898" i="2"/>
  <c r="F898" i="2"/>
  <c r="G898" i="2"/>
  <c r="H898" i="2"/>
  <c r="I898" i="2"/>
  <c r="J898" i="2"/>
  <c r="K898" i="2"/>
  <c r="L898" i="2"/>
  <c r="N898" i="2"/>
  <c r="O898" i="2"/>
  <c r="Q898" i="2"/>
  <c r="R898" i="2"/>
  <c r="S898" i="2"/>
  <c r="E899" i="2"/>
  <c r="F899" i="2"/>
  <c r="G899" i="2"/>
  <c r="H899" i="2"/>
  <c r="I899" i="2"/>
  <c r="J899" i="2"/>
  <c r="K899" i="2"/>
  <c r="L899" i="2"/>
  <c r="M899" i="2"/>
  <c r="N899" i="2"/>
  <c r="O899" i="2"/>
  <c r="Q899" i="2"/>
  <c r="R899" i="2"/>
  <c r="S899" i="2"/>
  <c r="E900" i="2"/>
  <c r="F900" i="2"/>
  <c r="G900" i="2"/>
  <c r="H900" i="2"/>
  <c r="I900" i="2"/>
  <c r="J900" i="2"/>
  <c r="M900" i="2" s="1"/>
  <c r="K900" i="2"/>
  <c r="L900" i="2"/>
  <c r="N900" i="2"/>
  <c r="O900" i="2"/>
  <c r="Q900" i="2"/>
  <c r="R900" i="2"/>
  <c r="S900" i="2"/>
  <c r="E901" i="2"/>
  <c r="F901" i="2"/>
  <c r="G901" i="2"/>
  <c r="H901" i="2"/>
  <c r="I901" i="2"/>
  <c r="J901" i="2"/>
  <c r="K901" i="2"/>
  <c r="L901" i="2"/>
  <c r="N901" i="2"/>
  <c r="O901" i="2"/>
  <c r="Q901" i="2"/>
  <c r="R901" i="2"/>
  <c r="S901" i="2"/>
  <c r="E902" i="2"/>
  <c r="F902" i="2"/>
  <c r="G902" i="2"/>
  <c r="H902" i="2"/>
  <c r="M902" i="2" s="1"/>
  <c r="I902" i="2"/>
  <c r="J902" i="2"/>
  <c r="K902" i="2"/>
  <c r="L902" i="2"/>
  <c r="N902" i="2"/>
  <c r="O902" i="2"/>
  <c r="P902" i="2" s="1"/>
  <c r="Q902" i="2"/>
  <c r="R902" i="2"/>
  <c r="S902" i="2"/>
  <c r="E903" i="2"/>
  <c r="F903" i="2"/>
  <c r="G903" i="2"/>
  <c r="H903" i="2"/>
  <c r="M903" i="2" s="1"/>
  <c r="I903" i="2"/>
  <c r="J903" i="2"/>
  <c r="K903" i="2"/>
  <c r="L903" i="2"/>
  <c r="N903" i="2"/>
  <c r="O903" i="2"/>
  <c r="P903" i="2"/>
  <c r="Q903" i="2"/>
  <c r="R903" i="2"/>
  <c r="S903" i="2"/>
  <c r="E904" i="2"/>
  <c r="F904" i="2"/>
  <c r="G904" i="2"/>
  <c r="H904" i="2"/>
  <c r="I904" i="2"/>
  <c r="J904" i="2"/>
  <c r="K904" i="2"/>
  <c r="L904" i="2"/>
  <c r="M904" i="2"/>
  <c r="N904" i="2"/>
  <c r="O904" i="2"/>
  <c r="Q904" i="2"/>
  <c r="R904" i="2"/>
  <c r="S904" i="2"/>
  <c r="E905" i="2"/>
  <c r="F905" i="2"/>
  <c r="G905" i="2"/>
  <c r="H905" i="2"/>
  <c r="I905" i="2"/>
  <c r="J905" i="2"/>
  <c r="K905" i="2"/>
  <c r="L905" i="2"/>
  <c r="N905" i="2"/>
  <c r="O905" i="2"/>
  <c r="P905" i="2" s="1"/>
  <c r="Q905" i="2"/>
  <c r="R905" i="2"/>
  <c r="S905" i="2"/>
  <c r="E906" i="2"/>
  <c r="F906" i="2"/>
  <c r="G906" i="2"/>
  <c r="H906" i="2"/>
  <c r="I906" i="2"/>
  <c r="J906" i="2"/>
  <c r="K906" i="2"/>
  <c r="L906" i="2"/>
  <c r="N906" i="2"/>
  <c r="O906" i="2"/>
  <c r="Q906" i="2"/>
  <c r="R906" i="2"/>
  <c r="S906" i="2"/>
  <c r="E907" i="2"/>
  <c r="F907" i="2"/>
  <c r="G907" i="2"/>
  <c r="H907" i="2"/>
  <c r="I907" i="2"/>
  <c r="J907" i="2"/>
  <c r="K907" i="2"/>
  <c r="L907" i="2"/>
  <c r="M907" i="2"/>
  <c r="N907" i="2"/>
  <c r="O907" i="2"/>
  <c r="Q907" i="2"/>
  <c r="R907" i="2"/>
  <c r="S907" i="2"/>
  <c r="E908" i="2"/>
  <c r="F908" i="2"/>
  <c r="G908" i="2"/>
  <c r="H908" i="2"/>
  <c r="M908" i="2" s="1"/>
  <c r="I908" i="2"/>
  <c r="J908" i="2"/>
  <c r="K908" i="2"/>
  <c r="L908" i="2"/>
  <c r="N908" i="2"/>
  <c r="P908" i="2" s="1"/>
  <c r="O908" i="2"/>
  <c r="Q908" i="2"/>
  <c r="R908" i="2"/>
  <c r="S908" i="2"/>
  <c r="E909" i="2"/>
  <c r="F909" i="2"/>
  <c r="G909" i="2"/>
  <c r="H909" i="2"/>
  <c r="I909" i="2"/>
  <c r="J909" i="2"/>
  <c r="K909" i="2"/>
  <c r="L909" i="2"/>
  <c r="N909" i="2"/>
  <c r="O909" i="2"/>
  <c r="P909" i="2" s="1"/>
  <c r="Q909" i="2"/>
  <c r="R909" i="2"/>
  <c r="S909" i="2"/>
  <c r="E910" i="2"/>
  <c r="F910" i="2"/>
  <c r="G910" i="2"/>
  <c r="H910" i="2"/>
  <c r="I910" i="2"/>
  <c r="J910" i="2"/>
  <c r="K910" i="2"/>
  <c r="L910" i="2"/>
  <c r="N910" i="2"/>
  <c r="O910" i="2"/>
  <c r="P910" i="2"/>
  <c r="Q910" i="2"/>
  <c r="R910" i="2"/>
  <c r="S910" i="2"/>
  <c r="E911" i="2"/>
  <c r="F911" i="2"/>
  <c r="G911" i="2"/>
  <c r="H911" i="2"/>
  <c r="I911" i="2"/>
  <c r="J911" i="2"/>
  <c r="K911" i="2"/>
  <c r="L911" i="2"/>
  <c r="M911" i="2"/>
  <c r="N911" i="2"/>
  <c r="O911" i="2"/>
  <c r="Q911" i="2"/>
  <c r="R911" i="2"/>
  <c r="S911" i="2"/>
  <c r="E912" i="2"/>
  <c r="F912" i="2"/>
  <c r="G912" i="2"/>
  <c r="H912" i="2"/>
  <c r="I912" i="2"/>
  <c r="J912" i="2"/>
  <c r="K912" i="2"/>
  <c r="L912" i="2"/>
  <c r="N912" i="2"/>
  <c r="P912" i="2" s="1"/>
  <c r="O912" i="2"/>
  <c r="Q912" i="2"/>
  <c r="R912" i="2"/>
  <c r="S912" i="2"/>
  <c r="E913" i="2"/>
  <c r="F913" i="2"/>
  <c r="G913" i="2"/>
  <c r="H913" i="2"/>
  <c r="M913" i="2" s="1"/>
  <c r="I913" i="2"/>
  <c r="J913" i="2"/>
  <c r="K913" i="2"/>
  <c r="L913" i="2"/>
  <c r="N913" i="2"/>
  <c r="O913" i="2"/>
  <c r="P913" i="2" s="1"/>
  <c r="Q913" i="2"/>
  <c r="R913" i="2"/>
  <c r="S913" i="2"/>
  <c r="E914" i="2"/>
  <c r="F914" i="2"/>
  <c r="G914" i="2"/>
  <c r="H914" i="2"/>
  <c r="I914" i="2"/>
  <c r="J914" i="2"/>
  <c r="K914" i="2"/>
  <c r="L914" i="2"/>
  <c r="N914" i="2"/>
  <c r="O914" i="2"/>
  <c r="Q914" i="2"/>
  <c r="R914" i="2"/>
  <c r="S914" i="2"/>
  <c r="E915" i="2"/>
  <c r="F915" i="2"/>
  <c r="G915" i="2"/>
  <c r="H915" i="2"/>
  <c r="I915" i="2"/>
  <c r="J915" i="2"/>
  <c r="K915" i="2"/>
  <c r="L915" i="2"/>
  <c r="M915" i="2"/>
  <c r="N915" i="2"/>
  <c r="O915" i="2"/>
  <c r="Q915" i="2"/>
  <c r="R915" i="2"/>
  <c r="S915" i="2"/>
  <c r="E916" i="2"/>
  <c r="F916" i="2"/>
  <c r="G916" i="2"/>
  <c r="H916" i="2"/>
  <c r="M916" i="2" s="1"/>
  <c r="I916" i="2"/>
  <c r="J916" i="2"/>
  <c r="K916" i="2"/>
  <c r="L916" i="2"/>
  <c r="N916" i="2"/>
  <c r="P916" i="2" s="1"/>
  <c r="O916" i="2"/>
  <c r="Q916" i="2"/>
  <c r="R916" i="2"/>
  <c r="S916" i="2"/>
  <c r="E917" i="2"/>
  <c r="F917" i="2"/>
  <c r="G917" i="2"/>
  <c r="H917" i="2"/>
  <c r="I917" i="2"/>
  <c r="J917" i="2"/>
  <c r="K917" i="2"/>
  <c r="L917" i="2"/>
  <c r="N917" i="2"/>
  <c r="O917" i="2"/>
  <c r="P917" i="2" s="1"/>
  <c r="Q917" i="2"/>
  <c r="R917" i="2"/>
  <c r="S917" i="2"/>
  <c r="E918" i="2"/>
  <c r="F918" i="2"/>
  <c r="G918" i="2"/>
  <c r="H918" i="2"/>
  <c r="I918" i="2"/>
  <c r="J918" i="2"/>
  <c r="K918" i="2"/>
  <c r="L918" i="2"/>
  <c r="N918" i="2"/>
  <c r="O918" i="2"/>
  <c r="P918" i="2"/>
  <c r="Q918" i="2"/>
  <c r="R918" i="2"/>
  <c r="S918" i="2"/>
  <c r="E919" i="2"/>
  <c r="F919" i="2"/>
  <c r="G919" i="2"/>
  <c r="H919" i="2"/>
  <c r="I919" i="2"/>
  <c r="J919" i="2"/>
  <c r="K919" i="2"/>
  <c r="L919" i="2"/>
  <c r="M919" i="2"/>
  <c r="N919" i="2"/>
  <c r="O919" i="2"/>
  <c r="Q919" i="2"/>
  <c r="R919" i="2"/>
  <c r="S919" i="2"/>
  <c r="E920" i="2"/>
  <c r="F920" i="2"/>
  <c r="G920" i="2"/>
  <c r="H920" i="2"/>
  <c r="I920" i="2"/>
  <c r="J920" i="2"/>
  <c r="K920" i="2"/>
  <c r="L920" i="2"/>
  <c r="N920" i="2"/>
  <c r="P920" i="2" s="1"/>
  <c r="O920" i="2"/>
  <c r="Q920" i="2"/>
  <c r="R920" i="2"/>
  <c r="S920" i="2"/>
  <c r="E921" i="2"/>
  <c r="F921" i="2"/>
  <c r="G921" i="2"/>
  <c r="H921" i="2"/>
  <c r="M921" i="2" s="1"/>
  <c r="I921" i="2"/>
  <c r="J921" i="2"/>
  <c r="K921" i="2"/>
  <c r="L921" i="2"/>
  <c r="N921" i="2"/>
  <c r="O921" i="2"/>
  <c r="P921" i="2" s="1"/>
  <c r="Q921" i="2"/>
  <c r="R921" i="2"/>
  <c r="S921" i="2"/>
  <c r="E922" i="2"/>
  <c r="F922" i="2"/>
  <c r="G922" i="2"/>
  <c r="H922" i="2"/>
  <c r="I922" i="2"/>
  <c r="J922" i="2"/>
  <c r="K922" i="2"/>
  <c r="L922" i="2"/>
  <c r="N922" i="2"/>
  <c r="O922" i="2"/>
  <c r="Q922" i="2"/>
  <c r="R922" i="2"/>
  <c r="S922" i="2"/>
  <c r="E923" i="2"/>
  <c r="F923" i="2"/>
  <c r="G923" i="2"/>
  <c r="H923" i="2"/>
  <c r="I923" i="2"/>
  <c r="J923" i="2"/>
  <c r="K923" i="2"/>
  <c r="L923" i="2"/>
  <c r="M923" i="2"/>
  <c r="N923" i="2"/>
  <c r="O923" i="2"/>
  <c r="Q923" i="2"/>
  <c r="R923" i="2"/>
  <c r="S923" i="2"/>
  <c r="E924" i="2"/>
  <c r="F924" i="2"/>
  <c r="G924" i="2"/>
  <c r="H924" i="2"/>
  <c r="M924" i="2" s="1"/>
  <c r="I924" i="2"/>
  <c r="J924" i="2"/>
  <c r="K924" i="2"/>
  <c r="L924" i="2"/>
  <c r="N924" i="2"/>
  <c r="P924" i="2" s="1"/>
  <c r="O924" i="2"/>
  <c r="Q924" i="2"/>
  <c r="R924" i="2"/>
  <c r="S924" i="2"/>
  <c r="E925" i="2"/>
  <c r="F925" i="2"/>
  <c r="G925" i="2"/>
  <c r="H925" i="2"/>
  <c r="I925" i="2"/>
  <c r="J925" i="2"/>
  <c r="K925" i="2"/>
  <c r="L925" i="2"/>
  <c r="N925" i="2"/>
  <c r="O925" i="2"/>
  <c r="P925" i="2" s="1"/>
  <c r="Q925" i="2"/>
  <c r="R925" i="2"/>
  <c r="S925" i="2"/>
  <c r="E926" i="2"/>
  <c r="F926" i="2"/>
  <c r="G926" i="2"/>
  <c r="H926" i="2"/>
  <c r="I926" i="2"/>
  <c r="J926" i="2"/>
  <c r="K926" i="2"/>
  <c r="L926" i="2"/>
  <c r="N926" i="2"/>
  <c r="O926" i="2"/>
  <c r="P926" i="2"/>
  <c r="Q926" i="2"/>
  <c r="R926" i="2"/>
  <c r="S926" i="2"/>
  <c r="E927" i="2"/>
  <c r="F927" i="2"/>
  <c r="G927" i="2"/>
  <c r="H927" i="2"/>
  <c r="I927" i="2"/>
  <c r="J927" i="2"/>
  <c r="K927" i="2"/>
  <c r="L927" i="2"/>
  <c r="M927" i="2"/>
  <c r="N927" i="2"/>
  <c r="O927" i="2"/>
  <c r="Q927" i="2"/>
  <c r="R927" i="2"/>
  <c r="S927" i="2"/>
  <c r="E928" i="2"/>
  <c r="F928" i="2"/>
  <c r="G928" i="2"/>
  <c r="H928" i="2"/>
  <c r="I928" i="2"/>
  <c r="J928" i="2"/>
  <c r="K928" i="2"/>
  <c r="L928" i="2"/>
  <c r="N928" i="2"/>
  <c r="P928" i="2" s="1"/>
  <c r="O928" i="2"/>
  <c r="Q928" i="2"/>
  <c r="R928" i="2"/>
  <c r="S928" i="2"/>
  <c r="E929" i="2"/>
  <c r="F929" i="2"/>
  <c r="G929" i="2"/>
  <c r="H929" i="2"/>
  <c r="M929" i="2" s="1"/>
  <c r="I929" i="2"/>
  <c r="J929" i="2"/>
  <c r="K929" i="2"/>
  <c r="L929" i="2"/>
  <c r="N929" i="2"/>
  <c r="O929" i="2"/>
  <c r="P929" i="2" s="1"/>
  <c r="Q929" i="2"/>
  <c r="R929" i="2"/>
  <c r="S929" i="2"/>
  <c r="E930" i="2"/>
  <c r="F930" i="2"/>
  <c r="G930" i="2"/>
  <c r="H930" i="2"/>
  <c r="I930" i="2"/>
  <c r="J930" i="2"/>
  <c r="K930" i="2"/>
  <c r="L930" i="2"/>
  <c r="N930" i="2"/>
  <c r="O930" i="2"/>
  <c r="Q930" i="2"/>
  <c r="R930" i="2"/>
  <c r="S930" i="2"/>
  <c r="E931" i="2"/>
  <c r="F931" i="2"/>
  <c r="G931" i="2"/>
  <c r="H931" i="2"/>
  <c r="I931" i="2"/>
  <c r="J931" i="2"/>
  <c r="K931" i="2"/>
  <c r="L931" i="2"/>
  <c r="M931" i="2"/>
  <c r="N931" i="2"/>
  <c r="O931" i="2"/>
  <c r="Q931" i="2"/>
  <c r="R931" i="2"/>
  <c r="S931" i="2"/>
  <c r="E932" i="2"/>
  <c r="F932" i="2"/>
  <c r="G932" i="2"/>
  <c r="H932" i="2"/>
  <c r="M932" i="2" s="1"/>
  <c r="I932" i="2"/>
  <c r="J932" i="2"/>
  <c r="K932" i="2"/>
  <c r="L932" i="2"/>
  <c r="N932" i="2"/>
  <c r="P932" i="2" s="1"/>
  <c r="O932" i="2"/>
  <c r="Q932" i="2"/>
  <c r="R932" i="2"/>
  <c r="S932" i="2"/>
  <c r="E933" i="2"/>
  <c r="F933" i="2"/>
  <c r="G933" i="2"/>
  <c r="H933" i="2"/>
  <c r="I933" i="2"/>
  <c r="J933" i="2"/>
  <c r="K933" i="2"/>
  <c r="L933" i="2"/>
  <c r="N933" i="2"/>
  <c r="O933" i="2"/>
  <c r="P933" i="2" s="1"/>
  <c r="Q933" i="2"/>
  <c r="R933" i="2"/>
  <c r="S933" i="2"/>
  <c r="E934" i="2"/>
  <c r="F934" i="2"/>
  <c r="G934" i="2"/>
  <c r="H934" i="2"/>
  <c r="I934" i="2"/>
  <c r="J934" i="2"/>
  <c r="K934" i="2"/>
  <c r="L934" i="2"/>
  <c r="N934" i="2"/>
  <c r="O934" i="2"/>
  <c r="P934" i="2"/>
  <c r="Q934" i="2"/>
  <c r="R934" i="2"/>
  <c r="S934" i="2"/>
  <c r="E935" i="2"/>
  <c r="F935" i="2"/>
  <c r="G935" i="2"/>
  <c r="H935" i="2"/>
  <c r="I935" i="2"/>
  <c r="J935" i="2"/>
  <c r="K935" i="2"/>
  <c r="L935" i="2"/>
  <c r="M935" i="2"/>
  <c r="N935" i="2"/>
  <c r="O935" i="2"/>
  <c r="Q935" i="2"/>
  <c r="R935" i="2"/>
  <c r="S935" i="2"/>
  <c r="E936" i="2"/>
  <c r="F936" i="2"/>
  <c r="G936" i="2"/>
  <c r="H936" i="2"/>
  <c r="I936" i="2"/>
  <c r="J936" i="2"/>
  <c r="K936" i="2"/>
  <c r="L936" i="2"/>
  <c r="N936" i="2"/>
  <c r="P936" i="2" s="1"/>
  <c r="O936" i="2"/>
  <c r="Q936" i="2"/>
  <c r="R936" i="2"/>
  <c r="S936" i="2"/>
  <c r="E937" i="2"/>
  <c r="F937" i="2"/>
  <c r="G937" i="2"/>
  <c r="H937" i="2"/>
  <c r="M937" i="2" s="1"/>
  <c r="I937" i="2"/>
  <c r="J937" i="2"/>
  <c r="K937" i="2"/>
  <c r="L937" i="2"/>
  <c r="N937" i="2"/>
  <c r="O937" i="2"/>
  <c r="P937" i="2" s="1"/>
  <c r="Q937" i="2"/>
  <c r="R937" i="2"/>
  <c r="S937" i="2"/>
  <c r="E938" i="2"/>
  <c r="F938" i="2"/>
  <c r="G938" i="2"/>
  <c r="H938" i="2"/>
  <c r="I938" i="2"/>
  <c r="J938" i="2"/>
  <c r="K938" i="2"/>
  <c r="L938" i="2"/>
  <c r="N938" i="2"/>
  <c r="O938" i="2"/>
  <c r="Q938" i="2"/>
  <c r="R938" i="2"/>
  <c r="S938" i="2"/>
  <c r="E939" i="2"/>
  <c r="F939" i="2"/>
  <c r="G939" i="2"/>
  <c r="H939" i="2"/>
  <c r="I939" i="2"/>
  <c r="J939" i="2"/>
  <c r="K939" i="2"/>
  <c r="L939" i="2"/>
  <c r="M939" i="2"/>
  <c r="N939" i="2"/>
  <c r="O939" i="2"/>
  <c r="Q939" i="2"/>
  <c r="R939" i="2"/>
  <c r="S939" i="2"/>
  <c r="E940" i="2"/>
  <c r="F940" i="2"/>
  <c r="G940" i="2"/>
  <c r="H940" i="2"/>
  <c r="M940" i="2" s="1"/>
  <c r="I940" i="2"/>
  <c r="J940" i="2"/>
  <c r="K940" i="2"/>
  <c r="L940" i="2"/>
  <c r="N940" i="2"/>
  <c r="P940" i="2" s="1"/>
  <c r="O940" i="2"/>
  <c r="Q940" i="2"/>
  <c r="R940" i="2"/>
  <c r="S940" i="2"/>
  <c r="E941" i="2"/>
  <c r="F941" i="2"/>
  <c r="G941" i="2"/>
  <c r="H941" i="2"/>
  <c r="I941" i="2"/>
  <c r="J941" i="2"/>
  <c r="K941" i="2"/>
  <c r="L941" i="2"/>
  <c r="N941" i="2"/>
  <c r="O941" i="2"/>
  <c r="P941" i="2" s="1"/>
  <c r="Q941" i="2"/>
  <c r="R941" i="2"/>
  <c r="S941" i="2"/>
  <c r="E942" i="2"/>
  <c r="F942" i="2"/>
  <c r="G942" i="2"/>
  <c r="H942" i="2"/>
  <c r="I942" i="2"/>
  <c r="J942" i="2"/>
  <c r="K942" i="2"/>
  <c r="L942" i="2"/>
  <c r="N942" i="2"/>
  <c r="O942" i="2"/>
  <c r="P942" i="2"/>
  <c r="Q942" i="2"/>
  <c r="R942" i="2"/>
  <c r="S942" i="2"/>
  <c r="E943" i="2"/>
  <c r="F943" i="2"/>
  <c r="G943" i="2"/>
  <c r="H943" i="2"/>
  <c r="I943" i="2"/>
  <c r="J943" i="2"/>
  <c r="K943" i="2"/>
  <c r="L943" i="2"/>
  <c r="M943" i="2"/>
  <c r="N943" i="2"/>
  <c r="O943" i="2"/>
  <c r="Q943" i="2"/>
  <c r="R943" i="2"/>
  <c r="S943" i="2"/>
  <c r="E944" i="2"/>
  <c r="F944" i="2"/>
  <c r="G944" i="2"/>
  <c r="H944" i="2"/>
  <c r="I944" i="2"/>
  <c r="J944" i="2"/>
  <c r="K944" i="2"/>
  <c r="L944" i="2"/>
  <c r="N944" i="2"/>
  <c r="P944" i="2" s="1"/>
  <c r="O944" i="2"/>
  <c r="Q944" i="2"/>
  <c r="R944" i="2"/>
  <c r="S944" i="2"/>
  <c r="E945" i="2"/>
  <c r="F945" i="2"/>
  <c r="G945" i="2"/>
  <c r="H945" i="2"/>
  <c r="M945" i="2" s="1"/>
  <c r="I945" i="2"/>
  <c r="J945" i="2"/>
  <c r="K945" i="2"/>
  <c r="L945" i="2"/>
  <c r="N945" i="2"/>
  <c r="O945" i="2"/>
  <c r="P945" i="2" s="1"/>
  <c r="Q945" i="2"/>
  <c r="R945" i="2"/>
  <c r="S945" i="2"/>
  <c r="E946" i="2"/>
  <c r="F946" i="2"/>
  <c r="G946" i="2"/>
  <c r="H946" i="2"/>
  <c r="I946" i="2"/>
  <c r="J946" i="2"/>
  <c r="K946" i="2"/>
  <c r="L946" i="2"/>
  <c r="N946" i="2"/>
  <c r="O946" i="2"/>
  <c r="Q946" i="2"/>
  <c r="R946" i="2"/>
  <c r="S946" i="2"/>
  <c r="E947" i="2"/>
  <c r="F947" i="2"/>
  <c r="G947" i="2"/>
  <c r="H947" i="2"/>
  <c r="I947" i="2"/>
  <c r="J947" i="2"/>
  <c r="K947" i="2"/>
  <c r="L947" i="2"/>
  <c r="M947" i="2"/>
  <c r="N947" i="2"/>
  <c r="O947" i="2"/>
  <c r="Q947" i="2"/>
  <c r="R947" i="2"/>
  <c r="S947" i="2"/>
  <c r="E948" i="2"/>
  <c r="F948" i="2"/>
  <c r="G948" i="2"/>
  <c r="H948" i="2"/>
  <c r="M948" i="2" s="1"/>
  <c r="I948" i="2"/>
  <c r="J948" i="2"/>
  <c r="K948" i="2"/>
  <c r="L948" i="2"/>
  <c r="N948" i="2"/>
  <c r="P948" i="2" s="1"/>
  <c r="O948" i="2"/>
  <c r="Q948" i="2"/>
  <c r="R948" i="2"/>
  <c r="S948" i="2"/>
  <c r="E949" i="2"/>
  <c r="F949" i="2"/>
  <c r="G949" i="2"/>
  <c r="H949" i="2"/>
  <c r="I949" i="2"/>
  <c r="J949" i="2"/>
  <c r="K949" i="2"/>
  <c r="L949" i="2"/>
  <c r="N949" i="2"/>
  <c r="O949" i="2"/>
  <c r="P949" i="2" s="1"/>
  <c r="Q949" i="2"/>
  <c r="R949" i="2"/>
  <c r="S949" i="2"/>
  <c r="E950" i="2"/>
  <c r="F950" i="2"/>
  <c r="G950" i="2"/>
  <c r="H950" i="2"/>
  <c r="I950" i="2"/>
  <c r="J950" i="2"/>
  <c r="K950" i="2"/>
  <c r="L950" i="2"/>
  <c r="N950" i="2"/>
  <c r="O950" i="2"/>
  <c r="P950" i="2"/>
  <c r="Q950" i="2"/>
  <c r="R950" i="2"/>
  <c r="S950" i="2"/>
  <c r="E951" i="2"/>
  <c r="F951" i="2"/>
  <c r="G951" i="2"/>
  <c r="H951" i="2"/>
  <c r="I951" i="2"/>
  <c r="J951" i="2"/>
  <c r="K951" i="2"/>
  <c r="L951" i="2"/>
  <c r="M951" i="2"/>
  <c r="N951" i="2"/>
  <c r="O951" i="2"/>
  <c r="Q951" i="2"/>
  <c r="R951" i="2"/>
  <c r="S951" i="2"/>
  <c r="E952" i="2"/>
  <c r="F952" i="2"/>
  <c r="G952" i="2"/>
  <c r="H952" i="2"/>
  <c r="I952" i="2"/>
  <c r="J952" i="2"/>
  <c r="K952" i="2"/>
  <c r="L952" i="2"/>
  <c r="N952" i="2"/>
  <c r="P952" i="2" s="1"/>
  <c r="O952" i="2"/>
  <c r="Q952" i="2"/>
  <c r="R952" i="2"/>
  <c r="S952" i="2"/>
  <c r="E953" i="2"/>
  <c r="F953" i="2"/>
  <c r="G953" i="2"/>
  <c r="H953" i="2"/>
  <c r="M953" i="2" s="1"/>
  <c r="I953" i="2"/>
  <c r="J953" i="2"/>
  <c r="K953" i="2"/>
  <c r="L953" i="2"/>
  <c r="N953" i="2"/>
  <c r="O953" i="2"/>
  <c r="P953" i="2" s="1"/>
  <c r="Q953" i="2"/>
  <c r="R953" i="2"/>
  <c r="S953" i="2"/>
  <c r="E954" i="2"/>
  <c r="F954" i="2"/>
  <c r="G954" i="2"/>
  <c r="H954" i="2"/>
  <c r="I954" i="2"/>
  <c r="J954" i="2"/>
  <c r="K954" i="2"/>
  <c r="L954" i="2"/>
  <c r="N954" i="2"/>
  <c r="O954" i="2"/>
  <c r="Q954" i="2"/>
  <c r="R954" i="2"/>
  <c r="S954" i="2"/>
  <c r="E955" i="2"/>
  <c r="F955" i="2"/>
  <c r="G955" i="2"/>
  <c r="H955" i="2"/>
  <c r="I955" i="2"/>
  <c r="J955" i="2"/>
  <c r="K955" i="2"/>
  <c r="L955" i="2"/>
  <c r="M955" i="2"/>
  <c r="N955" i="2"/>
  <c r="O955" i="2"/>
  <c r="Q955" i="2"/>
  <c r="R955" i="2"/>
  <c r="S955" i="2"/>
  <c r="E956" i="2"/>
  <c r="F956" i="2"/>
  <c r="G956" i="2"/>
  <c r="H956" i="2"/>
  <c r="M956" i="2" s="1"/>
  <c r="I956" i="2"/>
  <c r="J956" i="2"/>
  <c r="K956" i="2"/>
  <c r="L956" i="2"/>
  <c r="N956" i="2"/>
  <c r="P956" i="2" s="1"/>
  <c r="O956" i="2"/>
  <c r="Q956" i="2"/>
  <c r="R956" i="2"/>
  <c r="S956" i="2"/>
  <c r="E957" i="2"/>
  <c r="F957" i="2"/>
  <c r="G957" i="2"/>
  <c r="H957" i="2"/>
  <c r="I957" i="2"/>
  <c r="J957" i="2"/>
  <c r="K957" i="2"/>
  <c r="L957" i="2"/>
  <c r="N957" i="2"/>
  <c r="O957" i="2"/>
  <c r="P957" i="2" s="1"/>
  <c r="Q957" i="2"/>
  <c r="R957" i="2"/>
  <c r="S957" i="2"/>
  <c r="E958" i="2"/>
  <c r="F958" i="2"/>
  <c r="G958" i="2"/>
  <c r="H958" i="2"/>
  <c r="I958" i="2"/>
  <c r="J958" i="2"/>
  <c r="K958" i="2"/>
  <c r="L958" i="2"/>
  <c r="N958" i="2"/>
  <c r="O958" i="2"/>
  <c r="P958" i="2"/>
  <c r="Q958" i="2"/>
  <c r="R958" i="2"/>
  <c r="S958" i="2"/>
  <c r="E959" i="2"/>
  <c r="F959" i="2"/>
  <c r="G959" i="2"/>
  <c r="H959" i="2"/>
  <c r="I959" i="2"/>
  <c r="J959" i="2"/>
  <c r="K959" i="2"/>
  <c r="L959" i="2"/>
  <c r="M959" i="2"/>
  <c r="N959" i="2"/>
  <c r="O959" i="2"/>
  <c r="Q959" i="2"/>
  <c r="R959" i="2"/>
  <c r="S959" i="2"/>
  <c r="E960" i="2"/>
  <c r="F960" i="2"/>
  <c r="G960" i="2"/>
  <c r="H960" i="2"/>
  <c r="I960" i="2"/>
  <c r="J960" i="2"/>
  <c r="K960" i="2"/>
  <c r="L960" i="2"/>
  <c r="N960" i="2"/>
  <c r="P960" i="2" s="1"/>
  <c r="O960" i="2"/>
  <c r="Q960" i="2"/>
  <c r="R960" i="2"/>
  <c r="S960" i="2"/>
  <c r="E961" i="2"/>
  <c r="F961" i="2"/>
  <c r="G961" i="2"/>
  <c r="H961" i="2"/>
  <c r="M961" i="2" s="1"/>
  <c r="I961" i="2"/>
  <c r="J961" i="2"/>
  <c r="K961" i="2"/>
  <c r="L961" i="2"/>
  <c r="N961" i="2"/>
  <c r="O961" i="2"/>
  <c r="P961" i="2" s="1"/>
  <c r="Q961" i="2"/>
  <c r="R961" i="2"/>
  <c r="S961" i="2"/>
  <c r="E962" i="2"/>
  <c r="F962" i="2"/>
  <c r="G962" i="2"/>
  <c r="H962" i="2"/>
  <c r="I962" i="2"/>
  <c r="J962" i="2"/>
  <c r="K962" i="2"/>
  <c r="L962" i="2"/>
  <c r="N962" i="2"/>
  <c r="O962" i="2"/>
  <c r="Q962" i="2"/>
  <c r="R962" i="2"/>
  <c r="S962" i="2"/>
  <c r="E963" i="2"/>
  <c r="F963" i="2"/>
  <c r="G963" i="2"/>
  <c r="H963" i="2"/>
  <c r="I963" i="2"/>
  <c r="J963" i="2"/>
  <c r="K963" i="2"/>
  <c r="L963" i="2"/>
  <c r="M963" i="2"/>
  <c r="N963" i="2"/>
  <c r="O963" i="2"/>
  <c r="Q963" i="2"/>
  <c r="R963" i="2"/>
  <c r="S963" i="2"/>
  <c r="E964" i="2"/>
  <c r="F964" i="2"/>
  <c r="G964" i="2"/>
  <c r="H964" i="2"/>
  <c r="M964" i="2" s="1"/>
  <c r="I964" i="2"/>
  <c r="J964" i="2"/>
  <c r="K964" i="2"/>
  <c r="L964" i="2"/>
  <c r="N964" i="2"/>
  <c r="P964" i="2" s="1"/>
  <c r="O964" i="2"/>
  <c r="Q964" i="2"/>
  <c r="R964" i="2"/>
  <c r="S964" i="2"/>
  <c r="E965" i="2"/>
  <c r="F965" i="2"/>
  <c r="G965" i="2"/>
  <c r="H965" i="2"/>
  <c r="I965" i="2"/>
  <c r="J965" i="2"/>
  <c r="K965" i="2"/>
  <c r="L965" i="2"/>
  <c r="N965" i="2"/>
  <c r="O965" i="2"/>
  <c r="P965" i="2" s="1"/>
  <c r="Q965" i="2"/>
  <c r="R965" i="2"/>
  <c r="S965" i="2"/>
  <c r="E966" i="2"/>
  <c r="F966" i="2"/>
  <c r="G966" i="2"/>
  <c r="H966" i="2"/>
  <c r="I966" i="2"/>
  <c r="J966" i="2"/>
  <c r="K966" i="2"/>
  <c r="L966" i="2"/>
  <c r="N966" i="2"/>
  <c r="O966" i="2"/>
  <c r="P966" i="2"/>
  <c r="Q966" i="2"/>
  <c r="R966" i="2"/>
  <c r="S966" i="2"/>
  <c r="E967" i="2"/>
  <c r="F967" i="2"/>
  <c r="G967" i="2"/>
  <c r="H967" i="2"/>
  <c r="I967" i="2"/>
  <c r="J967" i="2"/>
  <c r="K967" i="2"/>
  <c r="L967" i="2"/>
  <c r="M967" i="2"/>
  <c r="N967" i="2"/>
  <c r="O967" i="2"/>
  <c r="Q967" i="2"/>
  <c r="R967" i="2"/>
  <c r="S967" i="2"/>
  <c r="E968" i="2"/>
  <c r="F968" i="2"/>
  <c r="G968" i="2"/>
  <c r="H968" i="2"/>
  <c r="I968" i="2"/>
  <c r="J968" i="2"/>
  <c r="K968" i="2"/>
  <c r="L968" i="2"/>
  <c r="N968" i="2"/>
  <c r="P968" i="2" s="1"/>
  <c r="O968" i="2"/>
  <c r="Q968" i="2"/>
  <c r="R968" i="2"/>
  <c r="S968" i="2"/>
  <c r="E969" i="2"/>
  <c r="F969" i="2"/>
  <c r="G969" i="2"/>
  <c r="H969" i="2"/>
  <c r="M969" i="2" s="1"/>
  <c r="I969" i="2"/>
  <c r="J969" i="2"/>
  <c r="K969" i="2"/>
  <c r="L969" i="2"/>
  <c r="N969" i="2"/>
  <c r="O969" i="2"/>
  <c r="P969" i="2" s="1"/>
  <c r="Q969" i="2"/>
  <c r="R969" i="2"/>
  <c r="S969" i="2"/>
  <c r="E970" i="2"/>
  <c r="F970" i="2"/>
  <c r="G970" i="2"/>
  <c r="H970" i="2"/>
  <c r="I970" i="2"/>
  <c r="J970" i="2"/>
  <c r="K970" i="2"/>
  <c r="L970" i="2"/>
  <c r="N970" i="2"/>
  <c r="O970" i="2"/>
  <c r="Q970" i="2"/>
  <c r="R970" i="2"/>
  <c r="S970" i="2"/>
  <c r="E971" i="2"/>
  <c r="F971" i="2"/>
  <c r="G971" i="2"/>
  <c r="H971" i="2"/>
  <c r="I971" i="2"/>
  <c r="J971" i="2"/>
  <c r="K971" i="2"/>
  <c r="L971" i="2"/>
  <c r="M971" i="2"/>
  <c r="N971" i="2"/>
  <c r="O971" i="2"/>
  <c r="Q971" i="2"/>
  <c r="R971" i="2"/>
  <c r="S971" i="2"/>
  <c r="E972" i="2"/>
  <c r="F972" i="2"/>
  <c r="G972" i="2"/>
  <c r="H972" i="2"/>
  <c r="M972" i="2" s="1"/>
  <c r="I972" i="2"/>
  <c r="J972" i="2"/>
  <c r="K972" i="2"/>
  <c r="L972" i="2"/>
  <c r="N972" i="2"/>
  <c r="P972" i="2" s="1"/>
  <c r="O972" i="2"/>
  <c r="Q972" i="2"/>
  <c r="R972" i="2"/>
  <c r="S972" i="2"/>
  <c r="E973" i="2"/>
  <c r="F973" i="2"/>
  <c r="G973" i="2"/>
  <c r="H973" i="2"/>
  <c r="I973" i="2"/>
  <c r="J973" i="2"/>
  <c r="K973" i="2"/>
  <c r="L973" i="2"/>
  <c r="N973" i="2"/>
  <c r="O973" i="2"/>
  <c r="P973" i="2" s="1"/>
  <c r="Q973" i="2"/>
  <c r="R973" i="2"/>
  <c r="S973" i="2"/>
  <c r="E974" i="2"/>
  <c r="F974" i="2"/>
  <c r="G974" i="2"/>
  <c r="H974" i="2"/>
  <c r="I974" i="2"/>
  <c r="J974" i="2"/>
  <c r="K974" i="2"/>
  <c r="L974" i="2"/>
  <c r="N974" i="2"/>
  <c r="O974" i="2"/>
  <c r="P974" i="2"/>
  <c r="Q974" i="2"/>
  <c r="R974" i="2"/>
  <c r="S974" i="2"/>
  <c r="E975" i="2"/>
  <c r="F975" i="2"/>
  <c r="G975" i="2"/>
  <c r="H975" i="2"/>
  <c r="I975" i="2"/>
  <c r="J975" i="2"/>
  <c r="K975" i="2"/>
  <c r="L975" i="2"/>
  <c r="M975" i="2"/>
  <c r="N975" i="2"/>
  <c r="O975" i="2"/>
  <c r="Q975" i="2"/>
  <c r="R975" i="2"/>
  <c r="S975" i="2"/>
  <c r="E976" i="2"/>
  <c r="F976" i="2"/>
  <c r="G976" i="2"/>
  <c r="H976" i="2"/>
  <c r="I976" i="2"/>
  <c r="J976" i="2"/>
  <c r="K976" i="2"/>
  <c r="L976" i="2"/>
  <c r="N976" i="2"/>
  <c r="P976" i="2" s="1"/>
  <c r="O976" i="2"/>
  <c r="Q976" i="2"/>
  <c r="R976" i="2"/>
  <c r="S976" i="2"/>
  <c r="E977" i="2"/>
  <c r="F977" i="2"/>
  <c r="G977" i="2"/>
  <c r="H977" i="2"/>
  <c r="M977" i="2" s="1"/>
  <c r="I977" i="2"/>
  <c r="J977" i="2"/>
  <c r="K977" i="2"/>
  <c r="L977" i="2"/>
  <c r="N977" i="2"/>
  <c r="O977" i="2"/>
  <c r="P977" i="2" s="1"/>
  <c r="Q977" i="2"/>
  <c r="R977" i="2"/>
  <c r="S977" i="2"/>
  <c r="E978" i="2"/>
  <c r="F978" i="2"/>
  <c r="G978" i="2"/>
  <c r="H978" i="2"/>
  <c r="I978" i="2"/>
  <c r="J978" i="2"/>
  <c r="K978" i="2"/>
  <c r="L978" i="2"/>
  <c r="N978" i="2"/>
  <c r="O978" i="2"/>
  <c r="Q978" i="2"/>
  <c r="R978" i="2"/>
  <c r="S978" i="2"/>
  <c r="E979" i="2"/>
  <c r="F979" i="2"/>
  <c r="G979" i="2"/>
  <c r="H979" i="2"/>
  <c r="I979" i="2"/>
  <c r="J979" i="2"/>
  <c r="K979" i="2"/>
  <c r="L979" i="2"/>
  <c r="M979" i="2"/>
  <c r="N979" i="2"/>
  <c r="O979" i="2"/>
  <c r="Q979" i="2"/>
  <c r="R979" i="2"/>
  <c r="S979" i="2"/>
  <c r="E980" i="2"/>
  <c r="F980" i="2"/>
  <c r="G980" i="2"/>
  <c r="H980" i="2"/>
  <c r="M980" i="2" s="1"/>
  <c r="I980" i="2"/>
  <c r="J980" i="2"/>
  <c r="K980" i="2"/>
  <c r="L980" i="2"/>
  <c r="N980" i="2"/>
  <c r="P980" i="2" s="1"/>
  <c r="O980" i="2"/>
  <c r="Q980" i="2"/>
  <c r="R980" i="2"/>
  <c r="S980" i="2"/>
  <c r="E981" i="2"/>
  <c r="F981" i="2"/>
  <c r="G981" i="2"/>
  <c r="H981" i="2"/>
  <c r="I981" i="2"/>
  <c r="J981" i="2"/>
  <c r="K981" i="2"/>
  <c r="L981" i="2"/>
  <c r="N981" i="2"/>
  <c r="O981" i="2"/>
  <c r="P981" i="2" s="1"/>
  <c r="Q981" i="2"/>
  <c r="R981" i="2"/>
  <c r="S981" i="2"/>
  <c r="E982" i="2"/>
  <c r="F982" i="2"/>
  <c r="G982" i="2"/>
  <c r="H982" i="2"/>
  <c r="I982" i="2"/>
  <c r="J982" i="2"/>
  <c r="K982" i="2"/>
  <c r="L982" i="2"/>
  <c r="N982" i="2"/>
  <c r="O982" i="2"/>
  <c r="P982" i="2"/>
  <c r="Q982" i="2"/>
  <c r="R982" i="2"/>
  <c r="S982" i="2"/>
  <c r="E983" i="2"/>
  <c r="F983" i="2"/>
  <c r="G983" i="2"/>
  <c r="H983" i="2"/>
  <c r="I983" i="2"/>
  <c r="J983" i="2"/>
  <c r="K983" i="2"/>
  <c r="L983" i="2"/>
  <c r="M983" i="2"/>
  <c r="N983" i="2"/>
  <c r="O983" i="2"/>
  <c r="Q983" i="2"/>
  <c r="R983" i="2"/>
  <c r="S983" i="2"/>
  <c r="E984" i="2"/>
  <c r="F984" i="2"/>
  <c r="G984" i="2"/>
  <c r="H984" i="2"/>
  <c r="I984" i="2"/>
  <c r="J984" i="2"/>
  <c r="K984" i="2"/>
  <c r="L984" i="2"/>
  <c r="N984" i="2"/>
  <c r="P984" i="2" s="1"/>
  <c r="O984" i="2"/>
  <c r="Q984" i="2"/>
  <c r="R984" i="2"/>
  <c r="S984" i="2"/>
  <c r="E985" i="2"/>
  <c r="F985" i="2"/>
  <c r="G985" i="2"/>
  <c r="H985" i="2"/>
  <c r="M985" i="2" s="1"/>
  <c r="I985" i="2"/>
  <c r="J985" i="2"/>
  <c r="K985" i="2"/>
  <c r="L985" i="2"/>
  <c r="N985" i="2"/>
  <c r="O985" i="2"/>
  <c r="P985" i="2" s="1"/>
  <c r="Q985" i="2"/>
  <c r="R985" i="2"/>
  <c r="S985" i="2"/>
  <c r="E986" i="2"/>
  <c r="F986" i="2"/>
  <c r="G986" i="2"/>
  <c r="H986" i="2"/>
  <c r="I986" i="2"/>
  <c r="J986" i="2"/>
  <c r="K986" i="2"/>
  <c r="L986" i="2"/>
  <c r="N986" i="2"/>
  <c r="O986" i="2"/>
  <c r="Q986" i="2"/>
  <c r="R986" i="2"/>
  <c r="S986" i="2"/>
  <c r="E987" i="2"/>
  <c r="F987" i="2"/>
  <c r="G987" i="2"/>
  <c r="H987" i="2"/>
  <c r="I987" i="2"/>
  <c r="J987" i="2"/>
  <c r="K987" i="2"/>
  <c r="L987" i="2"/>
  <c r="M987" i="2"/>
  <c r="N987" i="2"/>
  <c r="O987" i="2"/>
  <c r="Q987" i="2"/>
  <c r="R987" i="2"/>
  <c r="S987" i="2"/>
  <c r="E988" i="2"/>
  <c r="F988" i="2"/>
  <c r="G988" i="2"/>
  <c r="H988" i="2"/>
  <c r="M988" i="2" s="1"/>
  <c r="I988" i="2"/>
  <c r="J988" i="2"/>
  <c r="K988" i="2"/>
  <c r="L988" i="2"/>
  <c r="N988" i="2"/>
  <c r="P988" i="2" s="1"/>
  <c r="O988" i="2"/>
  <c r="Q988" i="2"/>
  <c r="R988" i="2"/>
  <c r="S988" i="2"/>
  <c r="E989" i="2"/>
  <c r="F989" i="2"/>
  <c r="G989" i="2"/>
  <c r="H989" i="2"/>
  <c r="I989" i="2"/>
  <c r="J989" i="2"/>
  <c r="K989" i="2"/>
  <c r="L989" i="2"/>
  <c r="N989" i="2"/>
  <c r="O989" i="2"/>
  <c r="P989" i="2" s="1"/>
  <c r="Q989" i="2"/>
  <c r="R989" i="2"/>
  <c r="S989" i="2"/>
  <c r="E990" i="2"/>
  <c r="F990" i="2"/>
  <c r="G990" i="2"/>
  <c r="H990" i="2"/>
  <c r="I990" i="2"/>
  <c r="J990" i="2"/>
  <c r="K990" i="2"/>
  <c r="L990" i="2"/>
  <c r="N990" i="2"/>
  <c r="O990" i="2"/>
  <c r="P990" i="2"/>
  <c r="Q990" i="2"/>
  <c r="R990" i="2"/>
  <c r="S990" i="2"/>
  <c r="E991" i="2"/>
  <c r="F991" i="2"/>
  <c r="G991" i="2"/>
  <c r="H991" i="2"/>
  <c r="I991" i="2"/>
  <c r="J991" i="2"/>
  <c r="K991" i="2"/>
  <c r="L991" i="2"/>
  <c r="M991" i="2"/>
  <c r="N991" i="2"/>
  <c r="O991" i="2"/>
  <c r="Q991" i="2"/>
  <c r="R991" i="2"/>
  <c r="S991" i="2"/>
  <c r="E992" i="2"/>
  <c r="F992" i="2"/>
  <c r="G992" i="2"/>
  <c r="H992" i="2"/>
  <c r="I992" i="2"/>
  <c r="J992" i="2"/>
  <c r="K992" i="2"/>
  <c r="L992" i="2"/>
  <c r="N992" i="2"/>
  <c r="P992" i="2" s="1"/>
  <c r="O992" i="2"/>
  <c r="Q992" i="2"/>
  <c r="R992" i="2"/>
  <c r="S992" i="2"/>
  <c r="E993" i="2"/>
  <c r="F993" i="2"/>
  <c r="G993" i="2"/>
  <c r="H993" i="2"/>
  <c r="M993" i="2" s="1"/>
  <c r="I993" i="2"/>
  <c r="J993" i="2"/>
  <c r="K993" i="2"/>
  <c r="L993" i="2"/>
  <c r="N993" i="2"/>
  <c r="O993" i="2"/>
  <c r="P993" i="2" s="1"/>
  <c r="Q993" i="2"/>
  <c r="R993" i="2"/>
  <c r="S993" i="2"/>
  <c r="E994" i="2"/>
  <c r="F994" i="2"/>
  <c r="G994" i="2"/>
  <c r="H994" i="2"/>
  <c r="I994" i="2"/>
  <c r="J994" i="2"/>
  <c r="K994" i="2"/>
  <c r="L994" i="2"/>
  <c r="N994" i="2"/>
  <c r="O994" i="2"/>
  <c r="Q994" i="2"/>
  <c r="R994" i="2"/>
  <c r="S994" i="2"/>
  <c r="E995" i="2"/>
  <c r="F995" i="2"/>
  <c r="G995" i="2"/>
  <c r="H995" i="2"/>
  <c r="I995" i="2"/>
  <c r="J995" i="2"/>
  <c r="K995" i="2"/>
  <c r="L995" i="2"/>
  <c r="M995" i="2"/>
  <c r="N995" i="2"/>
  <c r="O995" i="2"/>
  <c r="Q995" i="2"/>
  <c r="R995" i="2"/>
  <c r="S995" i="2"/>
  <c r="E996" i="2"/>
  <c r="F996" i="2"/>
  <c r="G996" i="2"/>
  <c r="H996" i="2"/>
  <c r="M996" i="2" s="1"/>
  <c r="I996" i="2"/>
  <c r="J996" i="2"/>
  <c r="K996" i="2"/>
  <c r="L996" i="2"/>
  <c r="N996" i="2"/>
  <c r="P996" i="2" s="1"/>
  <c r="O996" i="2"/>
  <c r="Q996" i="2"/>
  <c r="R996" i="2"/>
  <c r="S996" i="2"/>
  <c r="E997" i="2"/>
  <c r="F997" i="2"/>
  <c r="G997" i="2"/>
  <c r="H997" i="2"/>
  <c r="I997" i="2"/>
  <c r="J997" i="2"/>
  <c r="K997" i="2"/>
  <c r="L997" i="2"/>
  <c r="N997" i="2"/>
  <c r="O997" i="2"/>
  <c r="P997" i="2" s="1"/>
  <c r="Q997" i="2"/>
  <c r="R997" i="2"/>
  <c r="S997" i="2"/>
  <c r="E998" i="2"/>
  <c r="F998" i="2"/>
  <c r="G998" i="2"/>
  <c r="H998" i="2"/>
  <c r="I998" i="2"/>
  <c r="J998" i="2"/>
  <c r="K998" i="2"/>
  <c r="L998" i="2"/>
  <c r="N998" i="2"/>
  <c r="O998" i="2"/>
  <c r="P998" i="2"/>
  <c r="Q998" i="2"/>
  <c r="R998" i="2"/>
  <c r="S998" i="2"/>
  <c r="E999" i="2"/>
  <c r="F999" i="2"/>
  <c r="G999" i="2"/>
  <c r="H999" i="2"/>
  <c r="I999" i="2"/>
  <c r="J999" i="2"/>
  <c r="K999" i="2"/>
  <c r="L999" i="2"/>
  <c r="M999" i="2"/>
  <c r="N999" i="2"/>
  <c r="O999" i="2"/>
  <c r="Q999" i="2"/>
  <c r="R999" i="2"/>
  <c r="S999" i="2"/>
  <c r="E1000" i="2"/>
  <c r="F1000" i="2"/>
  <c r="G1000" i="2"/>
  <c r="H1000" i="2"/>
  <c r="I1000" i="2"/>
  <c r="J1000" i="2"/>
  <c r="K1000" i="2"/>
  <c r="L1000" i="2"/>
  <c r="N1000" i="2"/>
  <c r="P1000" i="2" s="1"/>
  <c r="O1000" i="2"/>
  <c r="Q1000" i="2"/>
  <c r="R1000" i="2"/>
  <c r="S1000" i="2"/>
  <c r="E1001" i="2"/>
  <c r="F1001" i="2"/>
  <c r="G1001" i="2"/>
  <c r="H1001" i="2"/>
  <c r="M1001" i="2" s="1"/>
  <c r="I1001" i="2"/>
  <c r="J1001" i="2"/>
  <c r="K1001" i="2"/>
  <c r="L1001" i="2"/>
  <c r="N1001" i="2"/>
  <c r="O1001" i="2"/>
  <c r="P1001" i="2" s="1"/>
  <c r="Q1001" i="2"/>
  <c r="R1001" i="2"/>
  <c r="S1001" i="2"/>
  <c r="E1002" i="2"/>
  <c r="F1002" i="2"/>
  <c r="G1002" i="2"/>
  <c r="H1002" i="2"/>
  <c r="I1002" i="2"/>
  <c r="J1002" i="2"/>
  <c r="K1002" i="2"/>
  <c r="L1002" i="2"/>
  <c r="N1002" i="2"/>
  <c r="O1002" i="2"/>
  <c r="Q1002" i="2"/>
  <c r="R1002" i="2"/>
  <c r="S1002" i="2"/>
  <c r="E1003" i="2"/>
  <c r="F1003" i="2"/>
  <c r="G1003" i="2"/>
  <c r="H1003" i="2"/>
  <c r="I1003" i="2"/>
  <c r="J1003" i="2"/>
  <c r="K1003" i="2"/>
  <c r="L1003" i="2"/>
  <c r="M1003" i="2"/>
  <c r="N1003" i="2"/>
  <c r="O1003" i="2"/>
  <c r="Q1003" i="2"/>
  <c r="R1003" i="2"/>
  <c r="S1003" i="2"/>
  <c r="E1004" i="2"/>
  <c r="F1004" i="2"/>
  <c r="G1004" i="2"/>
  <c r="H1004" i="2"/>
  <c r="M1004" i="2" s="1"/>
  <c r="I1004" i="2"/>
  <c r="J1004" i="2"/>
  <c r="K1004" i="2"/>
  <c r="L1004" i="2"/>
  <c r="N1004" i="2"/>
  <c r="P1004" i="2" s="1"/>
  <c r="O1004" i="2"/>
  <c r="Q1004" i="2"/>
  <c r="R1004" i="2"/>
  <c r="S1004" i="2"/>
  <c r="E1005" i="2"/>
  <c r="F1005" i="2"/>
  <c r="G1005" i="2"/>
  <c r="H1005" i="2"/>
  <c r="I1005" i="2"/>
  <c r="J1005" i="2"/>
  <c r="K1005" i="2"/>
  <c r="L1005" i="2"/>
  <c r="N1005" i="2"/>
  <c r="O1005" i="2"/>
  <c r="P1005" i="2" s="1"/>
  <c r="Q1005" i="2"/>
  <c r="R1005" i="2"/>
  <c r="S1005" i="2"/>
  <c r="E1006" i="2"/>
  <c r="F1006" i="2"/>
  <c r="G1006" i="2"/>
  <c r="H1006" i="2"/>
  <c r="I1006" i="2"/>
  <c r="J1006" i="2"/>
  <c r="K1006" i="2"/>
  <c r="L1006" i="2"/>
  <c r="N1006" i="2"/>
  <c r="O1006" i="2"/>
  <c r="P1006" i="2"/>
  <c r="Q1006" i="2"/>
  <c r="R1006" i="2"/>
  <c r="S1006" i="2"/>
  <c r="E1007" i="2"/>
  <c r="F1007" i="2"/>
  <c r="G1007" i="2"/>
  <c r="H1007" i="2"/>
  <c r="I1007" i="2"/>
  <c r="J1007" i="2"/>
  <c r="K1007" i="2"/>
  <c r="L1007" i="2"/>
  <c r="M1007" i="2"/>
  <c r="N1007" i="2"/>
  <c r="O1007" i="2"/>
  <c r="Q1007" i="2"/>
  <c r="R1007" i="2"/>
  <c r="S1007" i="2"/>
  <c r="E1008" i="2"/>
  <c r="F1008" i="2"/>
  <c r="G1008" i="2"/>
  <c r="H1008" i="2"/>
  <c r="I1008" i="2"/>
  <c r="J1008" i="2"/>
  <c r="K1008" i="2"/>
  <c r="L1008" i="2"/>
  <c r="N1008" i="2"/>
  <c r="P1008" i="2" s="1"/>
  <c r="O1008" i="2"/>
  <c r="Q1008" i="2"/>
  <c r="R1008" i="2"/>
  <c r="S1008" i="2"/>
  <c r="E1009" i="2"/>
  <c r="F1009" i="2"/>
  <c r="G1009" i="2"/>
  <c r="H1009" i="2"/>
  <c r="M1009" i="2" s="1"/>
  <c r="I1009" i="2"/>
  <c r="J1009" i="2"/>
  <c r="K1009" i="2"/>
  <c r="L1009" i="2"/>
  <c r="N1009" i="2"/>
  <c r="O1009" i="2"/>
  <c r="P1009" i="2" s="1"/>
  <c r="Q1009" i="2"/>
  <c r="R1009" i="2"/>
  <c r="S1009" i="2"/>
  <c r="E1010" i="2"/>
  <c r="F1010" i="2"/>
  <c r="G1010" i="2"/>
  <c r="H1010" i="2"/>
  <c r="I1010" i="2"/>
  <c r="J1010" i="2"/>
  <c r="K1010" i="2"/>
  <c r="L1010" i="2"/>
  <c r="N1010" i="2"/>
  <c r="O1010" i="2"/>
  <c r="Q1010" i="2"/>
  <c r="R1010" i="2"/>
  <c r="S1010" i="2"/>
  <c r="E1011" i="2"/>
  <c r="F1011" i="2"/>
  <c r="G1011" i="2"/>
  <c r="H1011" i="2"/>
  <c r="I1011" i="2"/>
  <c r="J1011" i="2"/>
  <c r="K1011" i="2"/>
  <c r="L1011" i="2"/>
  <c r="M1011" i="2"/>
  <c r="N1011" i="2"/>
  <c r="O1011" i="2"/>
  <c r="Q1011" i="2"/>
  <c r="R1011" i="2"/>
  <c r="S1011" i="2"/>
  <c r="E1012" i="2"/>
  <c r="F1012" i="2"/>
  <c r="G1012" i="2"/>
  <c r="H1012" i="2"/>
  <c r="M1012" i="2" s="1"/>
  <c r="I1012" i="2"/>
  <c r="J1012" i="2"/>
  <c r="K1012" i="2"/>
  <c r="L1012" i="2"/>
  <c r="N1012" i="2"/>
  <c r="P1012" i="2" s="1"/>
  <c r="O1012" i="2"/>
  <c r="Q1012" i="2"/>
  <c r="R1012" i="2"/>
  <c r="S1012" i="2"/>
  <c r="E1013" i="2"/>
  <c r="F1013" i="2"/>
  <c r="G1013" i="2"/>
  <c r="H1013" i="2"/>
  <c r="I1013" i="2"/>
  <c r="J1013" i="2"/>
  <c r="K1013" i="2"/>
  <c r="L1013" i="2"/>
  <c r="N1013" i="2"/>
  <c r="O1013" i="2"/>
  <c r="P1013" i="2" s="1"/>
  <c r="Q1013" i="2"/>
  <c r="R1013" i="2"/>
  <c r="S1013" i="2"/>
  <c r="E1014" i="2"/>
  <c r="F1014" i="2"/>
  <c r="G1014" i="2"/>
  <c r="H1014" i="2"/>
  <c r="I1014" i="2"/>
  <c r="J1014" i="2"/>
  <c r="K1014" i="2"/>
  <c r="L1014" i="2"/>
  <c r="N1014" i="2"/>
  <c r="O1014" i="2"/>
  <c r="P1014" i="2"/>
  <c r="Q1014" i="2"/>
  <c r="R1014" i="2"/>
  <c r="S1014" i="2"/>
  <c r="E1015" i="2"/>
  <c r="F1015" i="2"/>
  <c r="G1015" i="2"/>
  <c r="H1015" i="2"/>
  <c r="I1015" i="2"/>
  <c r="J1015" i="2"/>
  <c r="K1015" i="2"/>
  <c r="L1015" i="2"/>
  <c r="M1015" i="2"/>
  <c r="N1015" i="2"/>
  <c r="O1015" i="2"/>
  <c r="Q1015" i="2"/>
  <c r="R1015" i="2"/>
  <c r="S1015" i="2"/>
  <c r="E1016" i="2"/>
  <c r="F1016" i="2"/>
  <c r="G1016" i="2"/>
  <c r="H1016" i="2"/>
  <c r="I1016" i="2"/>
  <c r="J1016" i="2"/>
  <c r="K1016" i="2"/>
  <c r="L1016" i="2"/>
  <c r="N1016" i="2"/>
  <c r="P1016" i="2" s="1"/>
  <c r="O1016" i="2"/>
  <c r="Q1016" i="2"/>
  <c r="R1016" i="2"/>
  <c r="S1016" i="2"/>
  <c r="E1017" i="2"/>
  <c r="F1017" i="2"/>
  <c r="G1017" i="2"/>
  <c r="H1017" i="2"/>
  <c r="M1017" i="2" s="1"/>
  <c r="I1017" i="2"/>
  <c r="J1017" i="2"/>
  <c r="K1017" i="2"/>
  <c r="L1017" i="2"/>
  <c r="N1017" i="2"/>
  <c r="O1017" i="2"/>
  <c r="P1017" i="2" s="1"/>
  <c r="Q1017" i="2"/>
  <c r="R1017" i="2"/>
  <c r="S1017" i="2"/>
  <c r="E1018" i="2"/>
  <c r="F1018" i="2"/>
  <c r="G1018" i="2"/>
  <c r="H1018" i="2"/>
  <c r="I1018" i="2"/>
  <c r="J1018" i="2"/>
  <c r="K1018" i="2"/>
  <c r="L1018" i="2"/>
  <c r="N1018" i="2"/>
  <c r="O1018" i="2"/>
  <c r="Q1018" i="2"/>
  <c r="R1018" i="2"/>
  <c r="S1018" i="2"/>
  <c r="E1019" i="2"/>
  <c r="F1019" i="2"/>
  <c r="G1019" i="2"/>
  <c r="H1019" i="2"/>
  <c r="I1019" i="2"/>
  <c r="J1019" i="2"/>
  <c r="K1019" i="2"/>
  <c r="L1019" i="2"/>
  <c r="M1019" i="2"/>
  <c r="N1019" i="2"/>
  <c r="O1019" i="2"/>
  <c r="Q1019" i="2"/>
  <c r="R1019" i="2"/>
  <c r="S1019" i="2"/>
  <c r="E1020" i="2"/>
  <c r="F1020" i="2"/>
  <c r="G1020" i="2"/>
  <c r="H1020" i="2"/>
  <c r="M1020" i="2" s="1"/>
  <c r="I1020" i="2"/>
  <c r="J1020" i="2"/>
  <c r="K1020" i="2"/>
  <c r="L1020" i="2"/>
  <c r="N1020" i="2"/>
  <c r="P1020" i="2" s="1"/>
  <c r="O1020" i="2"/>
  <c r="Q1020" i="2"/>
  <c r="R1020" i="2"/>
  <c r="S1020" i="2"/>
  <c r="E1021" i="2"/>
  <c r="F1021" i="2"/>
  <c r="G1021" i="2"/>
  <c r="H1021" i="2"/>
  <c r="I1021" i="2"/>
  <c r="J1021" i="2"/>
  <c r="K1021" i="2"/>
  <c r="L1021" i="2"/>
  <c r="N1021" i="2"/>
  <c r="O1021" i="2"/>
  <c r="P1021" i="2" s="1"/>
  <c r="Q1021" i="2"/>
  <c r="R1021" i="2"/>
  <c r="S1021" i="2"/>
  <c r="E1022" i="2"/>
  <c r="F1022" i="2"/>
  <c r="G1022" i="2"/>
  <c r="H1022" i="2"/>
  <c r="I1022" i="2"/>
  <c r="J1022" i="2"/>
  <c r="K1022" i="2"/>
  <c r="L1022" i="2"/>
  <c r="N1022" i="2"/>
  <c r="O1022" i="2"/>
  <c r="P1022" i="2"/>
  <c r="Q1022" i="2"/>
  <c r="R1022" i="2"/>
  <c r="S1022" i="2"/>
  <c r="E1023" i="2"/>
  <c r="F1023" i="2"/>
  <c r="G1023" i="2"/>
  <c r="H1023" i="2"/>
  <c r="I1023" i="2"/>
  <c r="J1023" i="2"/>
  <c r="K1023" i="2"/>
  <c r="L1023" i="2"/>
  <c r="M1023" i="2"/>
  <c r="N1023" i="2"/>
  <c r="O1023" i="2"/>
  <c r="Q1023" i="2"/>
  <c r="R1023" i="2"/>
  <c r="S1023" i="2"/>
  <c r="E1024" i="2"/>
  <c r="F1024" i="2"/>
  <c r="G1024" i="2"/>
  <c r="H1024" i="2"/>
  <c r="I1024" i="2"/>
  <c r="J1024" i="2"/>
  <c r="K1024" i="2"/>
  <c r="L1024" i="2"/>
  <c r="N1024" i="2"/>
  <c r="P1024" i="2" s="1"/>
  <c r="O1024" i="2"/>
  <c r="Q1024" i="2"/>
  <c r="R1024" i="2"/>
  <c r="S1024" i="2"/>
  <c r="E1025" i="2"/>
  <c r="F1025" i="2"/>
  <c r="G1025" i="2"/>
  <c r="H1025" i="2"/>
  <c r="M1025" i="2" s="1"/>
  <c r="I1025" i="2"/>
  <c r="J1025" i="2"/>
  <c r="K1025" i="2"/>
  <c r="L1025" i="2"/>
  <c r="N1025" i="2"/>
  <c r="O1025" i="2"/>
  <c r="P1025" i="2" s="1"/>
  <c r="Q1025" i="2"/>
  <c r="R1025" i="2"/>
  <c r="S1025" i="2"/>
  <c r="E1026" i="2"/>
  <c r="F1026" i="2"/>
  <c r="G1026" i="2"/>
  <c r="H1026" i="2"/>
  <c r="I1026" i="2"/>
  <c r="J1026" i="2"/>
  <c r="K1026" i="2"/>
  <c r="L1026" i="2"/>
  <c r="N1026" i="2"/>
  <c r="O1026" i="2"/>
  <c r="Q1026" i="2"/>
  <c r="R1026" i="2"/>
  <c r="S1026" i="2"/>
  <c r="E1027" i="2"/>
  <c r="F1027" i="2"/>
  <c r="G1027" i="2"/>
  <c r="H1027" i="2"/>
  <c r="I1027" i="2"/>
  <c r="J1027" i="2"/>
  <c r="K1027" i="2"/>
  <c r="L1027" i="2"/>
  <c r="M1027" i="2"/>
  <c r="N1027" i="2"/>
  <c r="O1027" i="2"/>
  <c r="Q1027" i="2"/>
  <c r="R1027" i="2"/>
  <c r="S1027" i="2"/>
  <c r="E1028" i="2"/>
  <c r="F1028" i="2"/>
  <c r="G1028" i="2"/>
  <c r="H1028" i="2"/>
  <c r="M1028" i="2" s="1"/>
  <c r="I1028" i="2"/>
  <c r="J1028" i="2"/>
  <c r="K1028" i="2"/>
  <c r="L1028" i="2"/>
  <c r="N1028" i="2"/>
  <c r="P1028" i="2" s="1"/>
  <c r="O1028" i="2"/>
  <c r="Q1028" i="2"/>
  <c r="R1028" i="2"/>
  <c r="S1028" i="2"/>
  <c r="E1029" i="2"/>
  <c r="F1029" i="2"/>
  <c r="G1029" i="2"/>
  <c r="H1029" i="2"/>
  <c r="I1029" i="2"/>
  <c r="J1029" i="2"/>
  <c r="K1029" i="2"/>
  <c r="L1029" i="2"/>
  <c r="N1029" i="2"/>
  <c r="O1029" i="2"/>
  <c r="P1029" i="2" s="1"/>
  <c r="Q1029" i="2"/>
  <c r="R1029" i="2"/>
  <c r="S1029" i="2"/>
  <c r="E1030" i="2"/>
  <c r="F1030" i="2"/>
  <c r="G1030" i="2"/>
  <c r="H1030" i="2"/>
  <c r="I1030" i="2"/>
  <c r="J1030" i="2"/>
  <c r="K1030" i="2"/>
  <c r="L1030" i="2"/>
  <c r="N1030" i="2"/>
  <c r="O1030" i="2"/>
  <c r="P1030" i="2"/>
  <c r="Q1030" i="2"/>
  <c r="R1030" i="2"/>
  <c r="S1030" i="2"/>
  <c r="E1031" i="2"/>
  <c r="F1031" i="2"/>
  <c r="G1031" i="2"/>
  <c r="H1031" i="2"/>
  <c r="I1031" i="2"/>
  <c r="J1031" i="2"/>
  <c r="K1031" i="2"/>
  <c r="L1031" i="2"/>
  <c r="M1031" i="2"/>
  <c r="N1031" i="2"/>
  <c r="O1031" i="2"/>
  <c r="Q1031" i="2"/>
  <c r="R1031" i="2"/>
  <c r="S1031" i="2"/>
  <c r="E1032" i="2"/>
  <c r="F1032" i="2"/>
  <c r="G1032" i="2"/>
  <c r="H1032" i="2"/>
  <c r="I1032" i="2"/>
  <c r="J1032" i="2"/>
  <c r="K1032" i="2"/>
  <c r="L1032" i="2"/>
  <c r="N1032" i="2"/>
  <c r="P1032" i="2" s="1"/>
  <c r="O1032" i="2"/>
  <c r="Q1032" i="2"/>
  <c r="R1032" i="2"/>
  <c r="S1032" i="2"/>
  <c r="E1033" i="2"/>
  <c r="F1033" i="2"/>
  <c r="G1033" i="2"/>
  <c r="H1033" i="2"/>
  <c r="M1033" i="2" s="1"/>
  <c r="I1033" i="2"/>
  <c r="J1033" i="2"/>
  <c r="K1033" i="2"/>
  <c r="L1033" i="2"/>
  <c r="N1033" i="2"/>
  <c r="O1033" i="2"/>
  <c r="P1033" i="2" s="1"/>
  <c r="Q1033" i="2"/>
  <c r="R1033" i="2"/>
  <c r="S1033" i="2"/>
  <c r="E1034" i="2"/>
  <c r="F1034" i="2"/>
  <c r="G1034" i="2"/>
  <c r="H1034" i="2"/>
  <c r="I1034" i="2"/>
  <c r="J1034" i="2"/>
  <c r="K1034" i="2"/>
  <c r="L1034" i="2"/>
  <c r="N1034" i="2"/>
  <c r="O1034" i="2"/>
  <c r="Q1034" i="2"/>
  <c r="R1034" i="2"/>
  <c r="S1034" i="2"/>
  <c r="E1035" i="2"/>
  <c r="F1035" i="2"/>
  <c r="G1035" i="2"/>
  <c r="H1035" i="2"/>
  <c r="I1035" i="2"/>
  <c r="J1035" i="2"/>
  <c r="K1035" i="2"/>
  <c r="L1035" i="2"/>
  <c r="M1035" i="2"/>
  <c r="N1035" i="2"/>
  <c r="O1035" i="2"/>
  <c r="Q1035" i="2"/>
  <c r="R1035" i="2"/>
  <c r="S1035" i="2"/>
  <c r="E1036" i="2"/>
  <c r="F1036" i="2"/>
  <c r="G1036" i="2"/>
  <c r="H1036" i="2"/>
  <c r="M1036" i="2" s="1"/>
  <c r="I1036" i="2"/>
  <c r="J1036" i="2"/>
  <c r="K1036" i="2"/>
  <c r="L1036" i="2"/>
  <c r="N1036" i="2"/>
  <c r="P1036" i="2" s="1"/>
  <c r="O1036" i="2"/>
  <c r="Q1036" i="2"/>
  <c r="R1036" i="2"/>
  <c r="S1036" i="2"/>
  <c r="E1037" i="2"/>
  <c r="F1037" i="2"/>
  <c r="G1037" i="2"/>
  <c r="H1037" i="2"/>
  <c r="I1037" i="2"/>
  <c r="J1037" i="2"/>
  <c r="K1037" i="2"/>
  <c r="L1037" i="2"/>
  <c r="N1037" i="2"/>
  <c r="O1037" i="2"/>
  <c r="P1037" i="2" s="1"/>
  <c r="Q1037" i="2"/>
  <c r="R1037" i="2"/>
  <c r="S1037" i="2"/>
  <c r="E1038" i="2"/>
  <c r="F1038" i="2"/>
  <c r="G1038" i="2"/>
  <c r="H1038" i="2"/>
  <c r="I1038" i="2"/>
  <c r="J1038" i="2"/>
  <c r="K1038" i="2"/>
  <c r="L1038" i="2"/>
  <c r="N1038" i="2"/>
  <c r="O1038" i="2"/>
  <c r="P1038" i="2"/>
  <c r="Q1038" i="2"/>
  <c r="R1038" i="2"/>
  <c r="S1038" i="2"/>
  <c r="E1039" i="2"/>
  <c r="F1039" i="2"/>
  <c r="G1039" i="2"/>
  <c r="H1039" i="2"/>
  <c r="I1039" i="2"/>
  <c r="J1039" i="2"/>
  <c r="K1039" i="2"/>
  <c r="L1039" i="2"/>
  <c r="M1039" i="2"/>
  <c r="N1039" i="2"/>
  <c r="O1039" i="2"/>
  <c r="Q1039" i="2"/>
  <c r="R1039" i="2"/>
  <c r="S1039" i="2"/>
  <c r="E1040" i="2"/>
  <c r="F1040" i="2"/>
  <c r="G1040" i="2"/>
  <c r="H1040" i="2"/>
  <c r="I1040" i="2"/>
  <c r="J1040" i="2"/>
  <c r="K1040" i="2"/>
  <c r="L1040" i="2"/>
  <c r="N1040" i="2"/>
  <c r="P1040" i="2" s="1"/>
  <c r="O1040" i="2"/>
  <c r="Q1040" i="2"/>
  <c r="R1040" i="2"/>
  <c r="S1040" i="2"/>
  <c r="E1041" i="2"/>
  <c r="F1041" i="2"/>
  <c r="G1041" i="2"/>
  <c r="H1041" i="2"/>
  <c r="M1041" i="2" s="1"/>
  <c r="I1041" i="2"/>
  <c r="J1041" i="2"/>
  <c r="K1041" i="2"/>
  <c r="L1041" i="2"/>
  <c r="N1041" i="2"/>
  <c r="O1041" i="2"/>
  <c r="P1041" i="2" s="1"/>
  <c r="Q1041" i="2"/>
  <c r="R1041" i="2"/>
  <c r="S1041" i="2"/>
  <c r="E1042" i="2"/>
  <c r="F1042" i="2"/>
  <c r="G1042" i="2"/>
  <c r="H1042" i="2"/>
  <c r="I1042" i="2"/>
  <c r="J1042" i="2"/>
  <c r="K1042" i="2"/>
  <c r="L1042" i="2"/>
  <c r="N1042" i="2"/>
  <c r="O1042" i="2"/>
  <c r="Q1042" i="2"/>
  <c r="R1042" i="2"/>
  <c r="S1042" i="2"/>
  <c r="E1043" i="2"/>
  <c r="F1043" i="2"/>
  <c r="G1043" i="2"/>
  <c r="H1043" i="2"/>
  <c r="I1043" i="2"/>
  <c r="J1043" i="2"/>
  <c r="K1043" i="2"/>
  <c r="L1043" i="2"/>
  <c r="M1043" i="2"/>
  <c r="N1043" i="2"/>
  <c r="O1043" i="2"/>
  <c r="Q1043" i="2"/>
  <c r="R1043" i="2"/>
  <c r="S1043" i="2"/>
  <c r="E1044" i="2"/>
  <c r="F1044" i="2"/>
  <c r="G1044" i="2"/>
  <c r="H1044" i="2"/>
  <c r="M1044" i="2" s="1"/>
  <c r="I1044" i="2"/>
  <c r="J1044" i="2"/>
  <c r="K1044" i="2"/>
  <c r="L1044" i="2"/>
  <c r="N1044" i="2"/>
  <c r="P1044" i="2" s="1"/>
  <c r="O1044" i="2"/>
  <c r="Q1044" i="2"/>
  <c r="R1044" i="2"/>
  <c r="S1044" i="2"/>
  <c r="E1045" i="2"/>
  <c r="F1045" i="2"/>
  <c r="G1045" i="2"/>
  <c r="H1045" i="2"/>
  <c r="I1045" i="2"/>
  <c r="J1045" i="2"/>
  <c r="K1045" i="2"/>
  <c r="L1045" i="2"/>
  <c r="N1045" i="2"/>
  <c r="O1045" i="2"/>
  <c r="P1045" i="2" s="1"/>
  <c r="Q1045" i="2"/>
  <c r="R1045" i="2"/>
  <c r="S1045" i="2"/>
  <c r="E1046" i="2"/>
  <c r="F1046" i="2"/>
  <c r="G1046" i="2"/>
  <c r="H1046" i="2"/>
  <c r="I1046" i="2"/>
  <c r="J1046" i="2"/>
  <c r="K1046" i="2"/>
  <c r="L1046" i="2"/>
  <c r="N1046" i="2"/>
  <c r="O1046" i="2"/>
  <c r="P1046" i="2"/>
  <c r="Q1046" i="2"/>
  <c r="R1046" i="2"/>
  <c r="S1046" i="2"/>
  <c r="E1047" i="2"/>
  <c r="F1047" i="2"/>
  <c r="G1047" i="2"/>
  <c r="H1047" i="2"/>
  <c r="I1047" i="2"/>
  <c r="J1047" i="2"/>
  <c r="K1047" i="2"/>
  <c r="L1047" i="2"/>
  <c r="M1047" i="2"/>
  <c r="N1047" i="2"/>
  <c r="O1047" i="2"/>
  <c r="Q1047" i="2"/>
  <c r="R1047" i="2"/>
  <c r="S1047" i="2"/>
  <c r="E1048" i="2"/>
  <c r="F1048" i="2"/>
  <c r="G1048" i="2"/>
  <c r="H1048" i="2"/>
  <c r="I1048" i="2"/>
  <c r="J1048" i="2"/>
  <c r="K1048" i="2"/>
  <c r="L1048" i="2"/>
  <c r="N1048" i="2"/>
  <c r="P1048" i="2" s="1"/>
  <c r="O1048" i="2"/>
  <c r="Q1048" i="2"/>
  <c r="R1048" i="2"/>
  <c r="S1048" i="2"/>
  <c r="E1049" i="2"/>
  <c r="F1049" i="2"/>
  <c r="G1049" i="2"/>
  <c r="H1049" i="2"/>
  <c r="M1049" i="2" s="1"/>
  <c r="I1049" i="2"/>
  <c r="J1049" i="2"/>
  <c r="K1049" i="2"/>
  <c r="L1049" i="2"/>
  <c r="N1049" i="2"/>
  <c r="O1049" i="2"/>
  <c r="P1049" i="2" s="1"/>
  <c r="Q1049" i="2"/>
  <c r="R1049" i="2"/>
  <c r="S1049" i="2"/>
  <c r="E1050" i="2"/>
  <c r="F1050" i="2"/>
  <c r="G1050" i="2"/>
  <c r="H1050" i="2"/>
  <c r="I1050" i="2"/>
  <c r="J1050" i="2"/>
  <c r="K1050" i="2"/>
  <c r="L1050" i="2"/>
  <c r="N1050" i="2"/>
  <c r="O1050" i="2"/>
  <c r="Q1050" i="2"/>
  <c r="R1050" i="2"/>
  <c r="S1050" i="2"/>
  <c r="E1051" i="2"/>
  <c r="F1051" i="2"/>
  <c r="G1051" i="2"/>
  <c r="H1051" i="2"/>
  <c r="I1051" i="2"/>
  <c r="J1051" i="2"/>
  <c r="K1051" i="2"/>
  <c r="L1051" i="2"/>
  <c r="M1051" i="2"/>
  <c r="N1051" i="2"/>
  <c r="O1051" i="2"/>
  <c r="Q1051" i="2"/>
  <c r="R1051" i="2"/>
  <c r="S1051" i="2"/>
  <c r="E1052" i="2"/>
  <c r="F1052" i="2"/>
  <c r="G1052" i="2"/>
  <c r="H1052" i="2"/>
  <c r="M1052" i="2" s="1"/>
  <c r="I1052" i="2"/>
  <c r="J1052" i="2"/>
  <c r="K1052" i="2"/>
  <c r="L1052" i="2"/>
  <c r="N1052" i="2"/>
  <c r="P1052" i="2" s="1"/>
  <c r="O1052" i="2"/>
  <c r="Q1052" i="2"/>
  <c r="R1052" i="2"/>
  <c r="S1052" i="2"/>
  <c r="E1053" i="2"/>
  <c r="F1053" i="2"/>
  <c r="G1053" i="2"/>
  <c r="H1053" i="2"/>
  <c r="I1053" i="2"/>
  <c r="J1053" i="2"/>
  <c r="K1053" i="2"/>
  <c r="L1053" i="2"/>
  <c r="N1053" i="2"/>
  <c r="O1053" i="2"/>
  <c r="P1053" i="2" s="1"/>
  <c r="Q1053" i="2"/>
  <c r="R1053" i="2"/>
  <c r="S1053" i="2"/>
  <c r="E1054" i="2"/>
  <c r="F1054" i="2"/>
  <c r="G1054" i="2"/>
  <c r="H1054" i="2"/>
  <c r="I1054" i="2"/>
  <c r="J1054" i="2"/>
  <c r="K1054" i="2"/>
  <c r="L1054" i="2"/>
  <c r="N1054" i="2"/>
  <c r="O1054" i="2"/>
  <c r="P1054" i="2"/>
  <c r="Q1054" i="2"/>
  <c r="R1054" i="2"/>
  <c r="S1054" i="2"/>
  <c r="E1055" i="2"/>
  <c r="F1055" i="2"/>
  <c r="G1055" i="2"/>
  <c r="H1055" i="2"/>
  <c r="I1055" i="2"/>
  <c r="J1055" i="2"/>
  <c r="K1055" i="2"/>
  <c r="L1055" i="2"/>
  <c r="M1055" i="2"/>
  <c r="N1055" i="2"/>
  <c r="O1055" i="2"/>
  <c r="Q1055" i="2"/>
  <c r="R1055" i="2"/>
  <c r="S1055" i="2"/>
  <c r="E1056" i="2"/>
  <c r="F1056" i="2"/>
  <c r="G1056" i="2"/>
  <c r="H1056" i="2"/>
  <c r="I1056" i="2"/>
  <c r="J1056" i="2"/>
  <c r="K1056" i="2"/>
  <c r="L1056" i="2"/>
  <c r="N1056" i="2"/>
  <c r="P1056" i="2" s="1"/>
  <c r="O1056" i="2"/>
  <c r="Q1056" i="2"/>
  <c r="R1056" i="2"/>
  <c r="S1056" i="2"/>
  <c r="E1057" i="2"/>
  <c r="F1057" i="2"/>
  <c r="G1057" i="2"/>
  <c r="H1057" i="2"/>
  <c r="M1057" i="2" s="1"/>
  <c r="I1057" i="2"/>
  <c r="J1057" i="2"/>
  <c r="K1057" i="2"/>
  <c r="L1057" i="2"/>
  <c r="N1057" i="2"/>
  <c r="O1057" i="2"/>
  <c r="P1057" i="2" s="1"/>
  <c r="Q1057" i="2"/>
  <c r="R1057" i="2"/>
  <c r="S1057" i="2"/>
  <c r="E1058" i="2"/>
  <c r="F1058" i="2"/>
  <c r="G1058" i="2"/>
  <c r="H1058" i="2"/>
  <c r="I1058" i="2"/>
  <c r="J1058" i="2"/>
  <c r="K1058" i="2"/>
  <c r="L1058" i="2"/>
  <c r="N1058" i="2"/>
  <c r="O1058" i="2"/>
  <c r="Q1058" i="2"/>
  <c r="R1058" i="2"/>
  <c r="S1058" i="2"/>
  <c r="E1059" i="2"/>
  <c r="F1059" i="2"/>
  <c r="G1059" i="2"/>
  <c r="H1059" i="2"/>
  <c r="I1059" i="2"/>
  <c r="J1059" i="2"/>
  <c r="K1059" i="2"/>
  <c r="L1059" i="2"/>
  <c r="M1059" i="2"/>
  <c r="N1059" i="2"/>
  <c r="O1059" i="2"/>
  <c r="Q1059" i="2"/>
  <c r="R1059" i="2"/>
  <c r="S1059" i="2"/>
  <c r="E1060" i="2"/>
  <c r="F1060" i="2"/>
  <c r="G1060" i="2"/>
  <c r="H1060" i="2"/>
  <c r="M1060" i="2" s="1"/>
  <c r="I1060" i="2"/>
  <c r="J1060" i="2"/>
  <c r="K1060" i="2"/>
  <c r="L1060" i="2"/>
  <c r="N1060" i="2"/>
  <c r="P1060" i="2" s="1"/>
  <c r="O1060" i="2"/>
  <c r="Q1060" i="2"/>
  <c r="R1060" i="2"/>
  <c r="S1060" i="2"/>
  <c r="E1061" i="2"/>
  <c r="F1061" i="2"/>
  <c r="G1061" i="2"/>
  <c r="H1061" i="2"/>
  <c r="I1061" i="2"/>
  <c r="J1061" i="2"/>
  <c r="K1061" i="2"/>
  <c r="L1061" i="2"/>
  <c r="N1061" i="2"/>
  <c r="O1061" i="2"/>
  <c r="P1061" i="2" s="1"/>
  <c r="Q1061" i="2"/>
  <c r="R1061" i="2"/>
  <c r="S1061" i="2"/>
  <c r="E1062" i="2"/>
  <c r="F1062" i="2"/>
  <c r="G1062" i="2"/>
  <c r="H1062" i="2"/>
  <c r="I1062" i="2"/>
  <c r="J1062" i="2"/>
  <c r="K1062" i="2"/>
  <c r="L1062" i="2"/>
  <c r="N1062" i="2"/>
  <c r="O1062" i="2"/>
  <c r="P1062" i="2"/>
  <c r="Q1062" i="2"/>
  <c r="R1062" i="2"/>
  <c r="S1062" i="2"/>
  <c r="E1063" i="2"/>
  <c r="F1063" i="2"/>
  <c r="G1063" i="2"/>
  <c r="H1063" i="2"/>
  <c r="I1063" i="2"/>
  <c r="J1063" i="2"/>
  <c r="K1063" i="2"/>
  <c r="L1063" i="2"/>
  <c r="M1063" i="2"/>
  <c r="N1063" i="2"/>
  <c r="O1063" i="2"/>
  <c r="Q1063" i="2"/>
  <c r="R1063" i="2"/>
  <c r="S1063" i="2"/>
  <c r="E1064" i="2"/>
  <c r="F1064" i="2"/>
  <c r="G1064" i="2"/>
  <c r="H1064" i="2"/>
  <c r="I1064" i="2"/>
  <c r="J1064" i="2"/>
  <c r="K1064" i="2"/>
  <c r="L1064" i="2"/>
  <c r="N1064" i="2"/>
  <c r="P1064" i="2" s="1"/>
  <c r="O1064" i="2"/>
  <c r="Q1064" i="2"/>
  <c r="R1064" i="2"/>
  <c r="S1064" i="2"/>
  <c r="E1065" i="2"/>
  <c r="F1065" i="2"/>
  <c r="G1065" i="2"/>
  <c r="H1065" i="2"/>
  <c r="M1065" i="2" s="1"/>
  <c r="I1065" i="2"/>
  <c r="J1065" i="2"/>
  <c r="K1065" i="2"/>
  <c r="L1065" i="2"/>
  <c r="N1065" i="2"/>
  <c r="O1065" i="2"/>
  <c r="P1065" i="2" s="1"/>
  <c r="Q1065" i="2"/>
  <c r="R1065" i="2"/>
  <c r="S1065" i="2"/>
  <c r="E1066" i="2"/>
  <c r="F1066" i="2"/>
  <c r="G1066" i="2"/>
  <c r="H1066" i="2"/>
  <c r="I1066" i="2"/>
  <c r="J1066" i="2"/>
  <c r="K1066" i="2"/>
  <c r="L1066" i="2"/>
  <c r="N1066" i="2"/>
  <c r="O1066" i="2"/>
  <c r="Q1066" i="2"/>
  <c r="R1066" i="2"/>
  <c r="S1066" i="2"/>
  <c r="E1067" i="2"/>
  <c r="F1067" i="2"/>
  <c r="G1067" i="2"/>
  <c r="H1067" i="2"/>
  <c r="I1067" i="2"/>
  <c r="J1067" i="2"/>
  <c r="K1067" i="2"/>
  <c r="L1067" i="2"/>
  <c r="M1067" i="2"/>
  <c r="N1067" i="2"/>
  <c r="O1067" i="2"/>
  <c r="Q1067" i="2"/>
  <c r="R1067" i="2"/>
  <c r="S1067" i="2"/>
  <c r="E1068" i="2"/>
  <c r="F1068" i="2"/>
  <c r="G1068" i="2"/>
  <c r="H1068" i="2"/>
  <c r="M1068" i="2" s="1"/>
  <c r="I1068" i="2"/>
  <c r="J1068" i="2"/>
  <c r="K1068" i="2"/>
  <c r="L1068" i="2"/>
  <c r="N1068" i="2"/>
  <c r="P1068" i="2" s="1"/>
  <c r="O1068" i="2"/>
  <c r="Q1068" i="2"/>
  <c r="R1068" i="2"/>
  <c r="S1068" i="2"/>
  <c r="E1069" i="2"/>
  <c r="F1069" i="2"/>
  <c r="G1069" i="2"/>
  <c r="H1069" i="2"/>
  <c r="I1069" i="2"/>
  <c r="J1069" i="2"/>
  <c r="K1069" i="2"/>
  <c r="L1069" i="2"/>
  <c r="N1069" i="2"/>
  <c r="O1069" i="2"/>
  <c r="P1069" i="2" s="1"/>
  <c r="Q1069" i="2"/>
  <c r="R1069" i="2"/>
  <c r="S1069" i="2"/>
  <c r="E1070" i="2"/>
  <c r="F1070" i="2"/>
  <c r="G1070" i="2"/>
  <c r="H1070" i="2"/>
  <c r="I1070" i="2"/>
  <c r="J1070" i="2"/>
  <c r="K1070" i="2"/>
  <c r="L1070" i="2"/>
  <c r="N1070" i="2"/>
  <c r="O1070" i="2"/>
  <c r="P1070" i="2"/>
  <c r="Q1070" i="2"/>
  <c r="R1070" i="2"/>
  <c r="S1070" i="2"/>
  <c r="E1071" i="2"/>
  <c r="F1071" i="2"/>
  <c r="G1071" i="2"/>
  <c r="H1071" i="2"/>
  <c r="I1071" i="2"/>
  <c r="J1071" i="2"/>
  <c r="K1071" i="2"/>
  <c r="L1071" i="2"/>
  <c r="M1071" i="2"/>
  <c r="N1071" i="2"/>
  <c r="O1071" i="2"/>
  <c r="Q1071" i="2"/>
  <c r="R1071" i="2"/>
  <c r="S1071" i="2"/>
  <c r="E1072" i="2"/>
  <c r="F1072" i="2"/>
  <c r="G1072" i="2"/>
  <c r="H1072" i="2"/>
  <c r="I1072" i="2"/>
  <c r="J1072" i="2"/>
  <c r="K1072" i="2"/>
  <c r="L1072" i="2"/>
  <c r="N1072" i="2"/>
  <c r="P1072" i="2" s="1"/>
  <c r="O1072" i="2"/>
  <c r="Q1072" i="2"/>
  <c r="R1072" i="2"/>
  <c r="S1072" i="2"/>
  <c r="E1073" i="2"/>
  <c r="F1073" i="2"/>
  <c r="G1073" i="2"/>
  <c r="H1073" i="2"/>
  <c r="M1073" i="2" s="1"/>
  <c r="I1073" i="2"/>
  <c r="J1073" i="2"/>
  <c r="K1073" i="2"/>
  <c r="L1073" i="2"/>
  <c r="N1073" i="2"/>
  <c r="O1073" i="2"/>
  <c r="P1073" i="2" s="1"/>
  <c r="Q1073" i="2"/>
  <c r="R1073" i="2"/>
  <c r="S1073" i="2"/>
  <c r="E1074" i="2"/>
  <c r="F1074" i="2"/>
  <c r="G1074" i="2"/>
  <c r="H1074" i="2"/>
  <c r="I1074" i="2"/>
  <c r="J1074" i="2"/>
  <c r="K1074" i="2"/>
  <c r="L1074" i="2"/>
  <c r="N1074" i="2"/>
  <c r="O1074" i="2"/>
  <c r="Q1074" i="2"/>
  <c r="R1074" i="2"/>
  <c r="S1074" i="2"/>
  <c r="E1075" i="2"/>
  <c r="F1075" i="2"/>
  <c r="G1075" i="2"/>
  <c r="H1075" i="2"/>
  <c r="I1075" i="2"/>
  <c r="J1075" i="2"/>
  <c r="K1075" i="2"/>
  <c r="L1075" i="2"/>
  <c r="M1075" i="2"/>
  <c r="N1075" i="2"/>
  <c r="O1075" i="2"/>
  <c r="Q1075" i="2"/>
  <c r="R1075" i="2"/>
  <c r="S1075" i="2"/>
  <c r="E1076" i="2"/>
  <c r="F1076" i="2"/>
  <c r="G1076" i="2"/>
  <c r="H1076" i="2"/>
  <c r="M1076" i="2" s="1"/>
  <c r="I1076" i="2"/>
  <c r="J1076" i="2"/>
  <c r="K1076" i="2"/>
  <c r="L1076" i="2"/>
  <c r="N1076" i="2"/>
  <c r="P1076" i="2" s="1"/>
  <c r="O1076" i="2"/>
  <c r="Q1076" i="2"/>
  <c r="R1076" i="2"/>
  <c r="S1076" i="2"/>
  <c r="E1077" i="2"/>
  <c r="F1077" i="2"/>
  <c r="G1077" i="2"/>
  <c r="H1077" i="2"/>
  <c r="I1077" i="2"/>
  <c r="J1077" i="2"/>
  <c r="K1077" i="2"/>
  <c r="L1077" i="2"/>
  <c r="N1077" i="2"/>
  <c r="O1077" i="2"/>
  <c r="P1077" i="2" s="1"/>
  <c r="Q1077" i="2"/>
  <c r="R1077" i="2"/>
  <c r="S1077" i="2"/>
  <c r="E1078" i="2"/>
  <c r="F1078" i="2"/>
  <c r="G1078" i="2"/>
  <c r="H1078" i="2"/>
  <c r="I1078" i="2"/>
  <c r="J1078" i="2"/>
  <c r="K1078" i="2"/>
  <c r="L1078" i="2"/>
  <c r="N1078" i="2"/>
  <c r="O1078" i="2"/>
  <c r="P1078" i="2"/>
  <c r="Q1078" i="2"/>
  <c r="R1078" i="2"/>
  <c r="S1078" i="2"/>
  <c r="E1079" i="2"/>
  <c r="F1079" i="2"/>
  <c r="G1079" i="2"/>
  <c r="H1079" i="2"/>
  <c r="I1079" i="2"/>
  <c r="J1079" i="2"/>
  <c r="K1079" i="2"/>
  <c r="L1079" i="2"/>
  <c r="M1079" i="2"/>
  <c r="N1079" i="2"/>
  <c r="O1079" i="2"/>
  <c r="Q1079" i="2"/>
  <c r="R1079" i="2"/>
  <c r="S1079" i="2"/>
  <c r="E1080" i="2"/>
  <c r="F1080" i="2"/>
  <c r="G1080" i="2"/>
  <c r="H1080" i="2"/>
  <c r="I1080" i="2"/>
  <c r="J1080" i="2"/>
  <c r="K1080" i="2"/>
  <c r="L1080" i="2"/>
  <c r="N1080" i="2"/>
  <c r="P1080" i="2" s="1"/>
  <c r="O1080" i="2"/>
  <c r="Q1080" i="2"/>
  <c r="R1080" i="2"/>
  <c r="S1080" i="2"/>
  <c r="E1081" i="2"/>
  <c r="F1081" i="2"/>
  <c r="G1081" i="2"/>
  <c r="H1081" i="2"/>
  <c r="M1081" i="2" s="1"/>
  <c r="I1081" i="2"/>
  <c r="J1081" i="2"/>
  <c r="K1081" i="2"/>
  <c r="L1081" i="2"/>
  <c r="N1081" i="2"/>
  <c r="O1081" i="2"/>
  <c r="P1081" i="2" s="1"/>
  <c r="Q1081" i="2"/>
  <c r="R1081" i="2"/>
  <c r="S1081" i="2"/>
  <c r="E1082" i="2"/>
  <c r="F1082" i="2"/>
  <c r="G1082" i="2"/>
  <c r="H1082" i="2"/>
  <c r="I1082" i="2"/>
  <c r="J1082" i="2"/>
  <c r="K1082" i="2"/>
  <c r="L1082" i="2"/>
  <c r="N1082" i="2"/>
  <c r="O1082" i="2"/>
  <c r="Q1082" i="2"/>
  <c r="R1082" i="2"/>
  <c r="S1082" i="2"/>
  <c r="E1083" i="2"/>
  <c r="F1083" i="2"/>
  <c r="G1083" i="2"/>
  <c r="H1083" i="2"/>
  <c r="I1083" i="2"/>
  <c r="J1083" i="2"/>
  <c r="K1083" i="2"/>
  <c r="L1083" i="2"/>
  <c r="M1083" i="2"/>
  <c r="N1083" i="2"/>
  <c r="O1083" i="2"/>
  <c r="Q1083" i="2"/>
  <c r="R1083" i="2"/>
  <c r="S1083" i="2"/>
  <c r="E1084" i="2"/>
  <c r="F1084" i="2"/>
  <c r="G1084" i="2"/>
  <c r="H1084" i="2"/>
  <c r="M1084" i="2" s="1"/>
  <c r="I1084" i="2"/>
  <c r="J1084" i="2"/>
  <c r="K1084" i="2"/>
  <c r="L1084" i="2"/>
  <c r="N1084" i="2"/>
  <c r="P1084" i="2" s="1"/>
  <c r="O1084" i="2"/>
  <c r="Q1084" i="2"/>
  <c r="R1084" i="2"/>
  <c r="S1084" i="2"/>
  <c r="E1085" i="2"/>
  <c r="F1085" i="2"/>
  <c r="G1085" i="2"/>
  <c r="H1085" i="2"/>
  <c r="I1085" i="2"/>
  <c r="J1085" i="2"/>
  <c r="K1085" i="2"/>
  <c r="L1085" i="2"/>
  <c r="N1085" i="2"/>
  <c r="O1085" i="2"/>
  <c r="P1085" i="2" s="1"/>
  <c r="Q1085" i="2"/>
  <c r="R1085" i="2"/>
  <c r="S1085" i="2"/>
  <c r="E1086" i="2"/>
  <c r="F1086" i="2"/>
  <c r="G1086" i="2"/>
  <c r="H1086" i="2"/>
  <c r="I1086" i="2"/>
  <c r="J1086" i="2"/>
  <c r="K1086" i="2"/>
  <c r="L1086" i="2"/>
  <c r="N1086" i="2"/>
  <c r="O1086" i="2"/>
  <c r="P1086" i="2"/>
  <c r="Q1086" i="2"/>
  <c r="R1086" i="2"/>
  <c r="S1086" i="2"/>
  <c r="E1087" i="2"/>
  <c r="F1087" i="2"/>
  <c r="G1087" i="2"/>
  <c r="H1087" i="2"/>
  <c r="I1087" i="2"/>
  <c r="J1087" i="2"/>
  <c r="K1087" i="2"/>
  <c r="L1087" i="2"/>
  <c r="M1087" i="2"/>
  <c r="N1087" i="2"/>
  <c r="O1087" i="2"/>
  <c r="Q1087" i="2"/>
  <c r="R1087" i="2"/>
  <c r="S1087" i="2"/>
  <c r="E1088" i="2"/>
  <c r="F1088" i="2"/>
  <c r="G1088" i="2"/>
  <c r="H1088" i="2"/>
  <c r="I1088" i="2"/>
  <c r="J1088" i="2"/>
  <c r="K1088" i="2"/>
  <c r="L1088" i="2"/>
  <c r="N1088" i="2"/>
  <c r="P1088" i="2" s="1"/>
  <c r="O1088" i="2"/>
  <c r="Q1088" i="2"/>
  <c r="R1088" i="2"/>
  <c r="S1088" i="2"/>
  <c r="E1089" i="2"/>
  <c r="F1089" i="2"/>
  <c r="G1089" i="2"/>
  <c r="H1089" i="2"/>
  <c r="M1089" i="2" s="1"/>
  <c r="I1089" i="2"/>
  <c r="J1089" i="2"/>
  <c r="K1089" i="2"/>
  <c r="L1089" i="2"/>
  <c r="N1089" i="2"/>
  <c r="O1089" i="2"/>
  <c r="P1089" i="2" s="1"/>
  <c r="Q1089" i="2"/>
  <c r="R1089" i="2"/>
  <c r="S1089" i="2"/>
  <c r="E1090" i="2"/>
  <c r="F1090" i="2"/>
  <c r="G1090" i="2"/>
  <c r="H1090" i="2"/>
  <c r="I1090" i="2"/>
  <c r="J1090" i="2"/>
  <c r="K1090" i="2"/>
  <c r="L1090" i="2"/>
  <c r="N1090" i="2"/>
  <c r="O1090" i="2"/>
  <c r="Q1090" i="2"/>
  <c r="R1090" i="2"/>
  <c r="S1090" i="2"/>
  <c r="E1091" i="2"/>
  <c r="F1091" i="2"/>
  <c r="G1091" i="2"/>
  <c r="H1091" i="2"/>
  <c r="I1091" i="2"/>
  <c r="J1091" i="2"/>
  <c r="K1091" i="2"/>
  <c r="L1091" i="2"/>
  <c r="M1091" i="2"/>
  <c r="N1091" i="2"/>
  <c r="O1091" i="2"/>
  <c r="Q1091" i="2"/>
  <c r="R1091" i="2"/>
  <c r="S1091" i="2"/>
  <c r="E1092" i="2"/>
  <c r="F1092" i="2"/>
  <c r="G1092" i="2"/>
  <c r="H1092" i="2"/>
  <c r="M1092" i="2" s="1"/>
  <c r="I1092" i="2"/>
  <c r="J1092" i="2"/>
  <c r="K1092" i="2"/>
  <c r="L1092" i="2"/>
  <c r="N1092" i="2"/>
  <c r="P1092" i="2" s="1"/>
  <c r="O1092" i="2"/>
  <c r="Q1092" i="2"/>
  <c r="R1092" i="2"/>
  <c r="S1092" i="2"/>
  <c r="E1093" i="2"/>
  <c r="F1093" i="2"/>
  <c r="G1093" i="2"/>
  <c r="H1093" i="2"/>
  <c r="I1093" i="2"/>
  <c r="J1093" i="2"/>
  <c r="K1093" i="2"/>
  <c r="L1093" i="2"/>
  <c r="N1093" i="2"/>
  <c r="O1093" i="2"/>
  <c r="P1093" i="2" s="1"/>
  <c r="Q1093" i="2"/>
  <c r="R1093" i="2"/>
  <c r="S1093" i="2"/>
  <c r="E1094" i="2"/>
  <c r="F1094" i="2"/>
  <c r="G1094" i="2"/>
  <c r="H1094" i="2"/>
  <c r="I1094" i="2"/>
  <c r="J1094" i="2"/>
  <c r="K1094" i="2"/>
  <c r="L1094" i="2"/>
  <c r="N1094" i="2"/>
  <c r="O1094" i="2"/>
  <c r="P1094" i="2"/>
  <c r="Q1094" i="2"/>
  <c r="R1094" i="2"/>
  <c r="S1094" i="2"/>
  <c r="E1095" i="2"/>
  <c r="F1095" i="2"/>
  <c r="G1095" i="2"/>
  <c r="H1095" i="2"/>
  <c r="I1095" i="2"/>
  <c r="J1095" i="2"/>
  <c r="K1095" i="2"/>
  <c r="L1095" i="2"/>
  <c r="M1095" i="2"/>
  <c r="N1095" i="2"/>
  <c r="O1095" i="2"/>
  <c r="Q1095" i="2"/>
  <c r="R1095" i="2"/>
  <c r="S1095" i="2"/>
  <c r="E1096" i="2"/>
  <c r="F1096" i="2"/>
  <c r="G1096" i="2"/>
  <c r="H1096" i="2"/>
  <c r="I1096" i="2"/>
  <c r="J1096" i="2"/>
  <c r="K1096" i="2"/>
  <c r="L1096" i="2"/>
  <c r="N1096" i="2"/>
  <c r="P1096" i="2" s="1"/>
  <c r="O1096" i="2"/>
  <c r="Q1096" i="2"/>
  <c r="R1096" i="2"/>
  <c r="S1096" i="2"/>
  <c r="E1097" i="2"/>
  <c r="F1097" i="2"/>
  <c r="G1097" i="2"/>
  <c r="H1097" i="2"/>
  <c r="M1097" i="2" s="1"/>
  <c r="I1097" i="2"/>
  <c r="J1097" i="2"/>
  <c r="K1097" i="2"/>
  <c r="L1097" i="2"/>
  <c r="N1097" i="2"/>
  <c r="O1097" i="2"/>
  <c r="P1097" i="2" s="1"/>
  <c r="Q1097" i="2"/>
  <c r="R1097" i="2"/>
  <c r="S1097" i="2"/>
  <c r="E1098" i="2"/>
  <c r="F1098" i="2"/>
  <c r="G1098" i="2"/>
  <c r="H1098" i="2"/>
  <c r="I1098" i="2"/>
  <c r="J1098" i="2"/>
  <c r="K1098" i="2"/>
  <c r="L1098" i="2"/>
  <c r="N1098" i="2"/>
  <c r="O1098" i="2"/>
  <c r="Q1098" i="2"/>
  <c r="R1098" i="2"/>
  <c r="S1098" i="2"/>
  <c r="E1099" i="2"/>
  <c r="F1099" i="2"/>
  <c r="G1099" i="2"/>
  <c r="H1099" i="2"/>
  <c r="I1099" i="2"/>
  <c r="J1099" i="2"/>
  <c r="K1099" i="2"/>
  <c r="L1099" i="2"/>
  <c r="M1099" i="2"/>
  <c r="N1099" i="2"/>
  <c r="O1099" i="2"/>
  <c r="Q1099" i="2"/>
  <c r="R1099" i="2"/>
  <c r="S1099" i="2"/>
  <c r="E1100" i="2"/>
  <c r="F1100" i="2"/>
  <c r="G1100" i="2"/>
  <c r="H1100" i="2"/>
  <c r="M1100" i="2" s="1"/>
  <c r="I1100" i="2"/>
  <c r="J1100" i="2"/>
  <c r="K1100" i="2"/>
  <c r="L1100" i="2"/>
  <c r="N1100" i="2"/>
  <c r="P1100" i="2" s="1"/>
  <c r="O1100" i="2"/>
  <c r="Q1100" i="2"/>
  <c r="R1100" i="2"/>
  <c r="S1100" i="2"/>
  <c r="E1101" i="2"/>
  <c r="F1101" i="2"/>
  <c r="G1101" i="2"/>
  <c r="H1101" i="2"/>
  <c r="I1101" i="2"/>
  <c r="J1101" i="2"/>
  <c r="K1101" i="2"/>
  <c r="L1101" i="2"/>
  <c r="N1101" i="2"/>
  <c r="O1101" i="2"/>
  <c r="P1101" i="2" s="1"/>
  <c r="Q1101" i="2"/>
  <c r="R1101" i="2"/>
  <c r="S1101" i="2"/>
  <c r="E1102" i="2"/>
  <c r="F1102" i="2"/>
  <c r="G1102" i="2"/>
  <c r="H1102" i="2"/>
  <c r="I1102" i="2"/>
  <c r="J1102" i="2"/>
  <c r="K1102" i="2"/>
  <c r="L1102" i="2"/>
  <c r="N1102" i="2"/>
  <c r="O1102" i="2"/>
  <c r="P1102" i="2"/>
  <c r="Q1102" i="2"/>
  <c r="R1102" i="2"/>
  <c r="S1102" i="2"/>
  <c r="E1103" i="2"/>
  <c r="F1103" i="2"/>
  <c r="G1103" i="2"/>
  <c r="H1103" i="2"/>
  <c r="I1103" i="2"/>
  <c r="J1103" i="2"/>
  <c r="K1103" i="2"/>
  <c r="L1103" i="2"/>
  <c r="M1103" i="2"/>
  <c r="N1103" i="2"/>
  <c r="O1103" i="2"/>
  <c r="Q1103" i="2"/>
  <c r="R1103" i="2"/>
  <c r="S1103" i="2"/>
  <c r="E1104" i="2"/>
  <c r="F1104" i="2"/>
  <c r="G1104" i="2"/>
  <c r="H1104" i="2"/>
  <c r="I1104" i="2"/>
  <c r="J1104" i="2"/>
  <c r="K1104" i="2"/>
  <c r="L1104" i="2"/>
  <c r="N1104" i="2"/>
  <c r="P1104" i="2" s="1"/>
  <c r="O1104" i="2"/>
  <c r="Q1104" i="2"/>
  <c r="R1104" i="2"/>
  <c r="S1104" i="2"/>
  <c r="E1105" i="2"/>
  <c r="F1105" i="2"/>
  <c r="G1105" i="2"/>
  <c r="H1105" i="2"/>
  <c r="M1105" i="2" s="1"/>
  <c r="I1105" i="2"/>
  <c r="J1105" i="2"/>
  <c r="K1105" i="2"/>
  <c r="L1105" i="2"/>
  <c r="N1105" i="2"/>
  <c r="O1105" i="2"/>
  <c r="P1105" i="2" s="1"/>
  <c r="Q1105" i="2"/>
  <c r="R1105" i="2"/>
  <c r="S1105" i="2"/>
  <c r="E1106" i="2"/>
  <c r="F1106" i="2"/>
  <c r="G1106" i="2"/>
  <c r="H1106" i="2"/>
  <c r="I1106" i="2"/>
  <c r="J1106" i="2"/>
  <c r="K1106" i="2"/>
  <c r="L1106" i="2"/>
  <c r="N1106" i="2"/>
  <c r="O1106" i="2"/>
  <c r="Q1106" i="2"/>
  <c r="R1106" i="2"/>
  <c r="S1106" i="2"/>
  <c r="E1107" i="2"/>
  <c r="F1107" i="2"/>
  <c r="G1107" i="2"/>
  <c r="H1107" i="2"/>
  <c r="I1107" i="2"/>
  <c r="J1107" i="2"/>
  <c r="K1107" i="2"/>
  <c r="L1107" i="2"/>
  <c r="M1107" i="2"/>
  <c r="N1107" i="2"/>
  <c r="O1107" i="2"/>
  <c r="Q1107" i="2"/>
  <c r="R1107" i="2"/>
  <c r="S1107" i="2"/>
  <c r="E1108" i="2"/>
  <c r="F1108" i="2"/>
  <c r="G1108" i="2"/>
  <c r="H1108" i="2"/>
  <c r="M1108" i="2" s="1"/>
  <c r="I1108" i="2"/>
  <c r="J1108" i="2"/>
  <c r="K1108" i="2"/>
  <c r="L1108" i="2"/>
  <c r="N1108" i="2"/>
  <c r="P1108" i="2" s="1"/>
  <c r="O1108" i="2"/>
  <c r="Q1108" i="2"/>
  <c r="R1108" i="2"/>
  <c r="S1108" i="2"/>
  <c r="E1109" i="2"/>
  <c r="F1109" i="2"/>
  <c r="G1109" i="2"/>
  <c r="H1109" i="2"/>
  <c r="I1109" i="2"/>
  <c r="J1109" i="2"/>
  <c r="K1109" i="2"/>
  <c r="L1109" i="2"/>
  <c r="N1109" i="2"/>
  <c r="O1109" i="2"/>
  <c r="P1109" i="2" s="1"/>
  <c r="Q1109" i="2"/>
  <c r="R1109" i="2"/>
  <c r="S1109" i="2"/>
  <c r="E1110" i="2"/>
  <c r="F1110" i="2"/>
  <c r="G1110" i="2"/>
  <c r="H1110" i="2"/>
  <c r="I1110" i="2"/>
  <c r="J1110" i="2"/>
  <c r="K1110" i="2"/>
  <c r="L1110" i="2"/>
  <c r="N1110" i="2"/>
  <c r="O1110" i="2"/>
  <c r="P1110" i="2"/>
  <c r="Q1110" i="2"/>
  <c r="R1110" i="2"/>
  <c r="S1110" i="2"/>
  <c r="E1111" i="2"/>
  <c r="F1111" i="2"/>
  <c r="G1111" i="2"/>
  <c r="H1111" i="2"/>
  <c r="I1111" i="2"/>
  <c r="J1111" i="2"/>
  <c r="K1111" i="2"/>
  <c r="L1111" i="2"/>
  <c r="M1111" i="2"/>
  <c r="N1111" i="2"/>
  <c r="O1111" i="2"/>
  <c r="Q1111" i="2"/>
  <c r="R1111" i="2"/>
  <c r="S1111" i="2"/>
  <c r="E1112" i="2"/>
  <c r="F1112" i="2"/>
  <c r="G1112" i="2"/>
  <c r="H1112" i="2"/>
  <c r="I1112" i="2"/>
  <c r="J1112" i="2"/>
  <c r="K1112" i="2"/>
  <c r="L1112" i="2"/>
  <c r="N1112" i="2"/>
  <c r="P1112" i="2" s="1"/>
  <c r="O1112" i="2"/>
  <c r="Q1112" i="2"/>
  <c r="R1112" i="2"/>
  <c r="S1112" i="2"/>
  <c r="E1113" i="2"/>
  <c r="F1113" i="2"/>
  <c r="G1113" i="2"/>
  <c r="H1113" i="2"/>
  <c r="M1113" i="2" s="1"/>
  <c r="I1113" i="2"/>
  <c r="J1113" i="2"/>
  <c r="K1113" i="2"/>
  <c r="L1113" i="2"/>
  <c r="N1113" i="2"/>
  <c r="O1113" i="2"/>
  <c r="P1113" i="2" s="1"/>
  <c r="Q1113" i="2"/>
  <c r="R1113" i="2"/>
  <c r="S1113" i="2"/>
  <c r="E1114" i="2"/>
  <c r="F1114" i="2"/>
  <c r="G1114" i="2"/>
  <c r="H1114" i="2"/>
  <c r="I1114" i="2"/>
  <c r="J1114" i="2"/>
  <c r="K1114" i="2"/>
  <c r="L1114" i="2"/>
  <c r="N1114" i="2"/>
  <c r="O1114" i="2"/>
  <c r="Q1114" i="2"/>
  <c r="R1114" i="2"/>
  <c r="S1114" i="2"/>
  <c r="E1115" i="2"/>
  <c r="F1115" i="2"/>
  <c r="G1115" i="2"/>
  <c r="H1115" i="2"/>
  <c r="I1115" i="2"/>
  <c r="J1115" i="2"/>
  <c r="K1115" i="2"/>
  <c r="L1115" i="2"/>
  <c r="M1115" i="2"/>
  <c r="N1115" i="2"/>
  <c r="O1115" i="2"/>
  <c r="Q1115" i="2"/>
  <c r="R1115" i="2"/>
  <c r="S1115" i="2"/>
  <c r="E1116" i="2"/>
  <c r="F1116" i="2"/>
  <c r="G1116" i="2"/>
  <c r="H1116" i="2"/>
  <c r="M1116" i="2" s="1"/>
  <c r="I1116" i="2"/>
  <c r="J1116" i="2"/>
  <c r="K1116" i="2"/>
  <c r="L1116" i="2"/>
  <c r="N1116" i="2"/>
  <c r="P1116" i="2" s="1"/>
  <c r="O1116" i="2"/>
  <c r="Q1116" i="2"/>
  <c r="R1116" i="2"/>
  <c r="S1116" i="2"/>
  <c r="E1117" i="2"/>
  <c r="F1117" i="2"/>
  <c r="G1117" i="2"/>
  <c r="H1117" i="2"/>
  <c r="I1117" i="2"/>
  <c r="J1117" i="2"/>
  <c r="K1117" i="2"/>
  <c r="L1117" i="2"/>
  <c r="N1117" i="2"/>
  <c r="O1117" i="2"/>
  <c r="P1117" i="2" s="1"/>
  <c r="Q1117" i="2"/>
  <c r="R1117" i="2"/>
  <c r="S1117" i="2"/>
  <c r="E1118" i="2"/>
  <c r="F1118" i="2"/>
  <c r="G1118" i="2"/>
  <c r="H1118" i="2"/>
  <c r="I1118" i="2"/>
  <c r="J1118" i="2"/>
  <c r="K1118" i="2"/>
  <c r="L1118" i="2"/>
  <c r="N1118" i="2"/>
  <c r="O1118" i="2"/>
  <c r="P1118" i="2"/>
  <c r="Q1118" i="2"/>
  <c r="R1118" i="2"/>
  <c r="S1118" i="2"/>
  <c r="E1119" i="2"/>
  <c r="F1119" i="2"/>
  <c r="G1119" i="2"/>
  <c r="H1119" i="2"/>
  <c r="I1119" i="2"/>
  <c r="J1119" i="2"/>
  <c r="K1119" i="2"/>
  <c r="L1119" i="2"/>
  <c r="M1119" i="2"/>
  <c r="N1119" i="2"/>
  <c r="O1119" i="2"/>
  <c r="Q1119" i="2"/>
  <c r="R1119" i="2"/>
  <c r="S1119" i="2"/>
  <c r="E1120" i="2"/>
  <c r="F1120" i="2"/>
  <c r="G1120" i="2"/>
  <c r="H1120" i="2"/>
  <c r="I1120" i="2"/>
  <c r="J1120" i="2"/>
  <c r="K1120" i="2"/>
  <c r="L1120" i="2"/>
  <c r="N1120" i="2"/>
  <c r="P1120" i="2" s="1"/>
  <c r="O1120" i="2"/>
  <c r="Q1120" i="2"/>
  <c r="R1120" i="2"/>
  <c r="S1120" i="2"/>
  <c r="E1121" i="2"/>
  <c r="F1121" i="2"/>
  <c r="G1121" i="2"/>
  <c r="H1121" i="2"/>
  <c r="M1121" i="2" s="1"/>
  <c r="I1121" i="2"/>
  <c r="J1121" i="2"/>
  <c r="K1121" i="2"/>
  <c r="L1121" i="2"/>
  <c r="N1121" i="2"/>
  <c r="O1121" i="2"/>
  <c r="P1121" i="2" s="1"/>
  <c r="Q1121" i="2"/>
  <c r="R1121" i="2"/>
  <c r="S1121" i="2"/>
  <c r="E1122" i="2"/>
  <c r="F1122" i="2"/>
  <c r="G1122" i="2"/>
  <c r="H1122" i="2"/>
  <c r="I1122" i="2"/>
  <c r="J1122" i="2"/>
  <c r="K1122" i="2"/>
  <c r="L1122" i="2"/>
  <c r="N1122" i="2"/>
  <c r="O1122" i="2"/>
  <c r="Q1122" i="2"/>
  <c r="R1122" i="2"/>
  <c r="S1122" i="2"/>
  <c r="E1123" i="2"/>
  <c r="F1123" i="2"/>
  <c r="G1123" i="2"/>
  <c r="H1123" i="2"/>
  <c r="I1123" i="2"/>
  <c r="J1123" i="2"/>
  <c r="K1123" i="2"/>
  <c r="L1123" i="2"/>
  <c r="M1123" i="2"/>
  <c r="N1123" i="2"/>
  <c r="O1123" i="2"/>
  <c r="Q1123" i="2"/>
  <c r="R1123" i="2"/>
  <c r="S1123" i="2"/>
  <c r="E1124" i="2"/>
  <c r="F1124" i="2"/>
  <c r="G1124" i="2"/>
  <c r="H1124" i="2"/>
  <c r="M1124" i="2" s="1"/>
  <c r="I1124" i="2"/>
  <c r="J1124" i="2"/>
  <c r="K1124" i="2"/>
  <c r="L1124" i="2"/>
  <c r="N1124" i="2"/>
  <c r="P1124" i="2" s="1"/>
  <c r="O1124" i="2"/>
  <c r="Q1124" i="2"/>
  <c r="R1124" i="2"/>
  <c r="S1124" i="2"/>
  <c r="E1125" i="2"/>
  <c r="F1125" i="2"/>
  <c r="G1125" i="2"/>
  <c r="H1125" i="2"/>
  <c r="I1125" i="2"/>
  <c r="J1125" i="2"/>
  <c r="K1125" i="2"/>
  <c r="L1125" i="2"/>
  <c r="N1125" i="2"/>
  <c r="O1125" i="2"/>
  <c r="P1125" i="2" s="1"/>
  <c r="Q1125" i="2"/>
  <c r="R1125" i="2"/>
  <c r="S1125" i="2"/>
  <c r="E1126" i="2"/>
  <c r="F1126" i="2"/>
  <c r="G1126" i="2"/>
  <c r="H1126" i="2"/>
  <c r="I1126" i="2"/>
  <c r="J1126" i="2"/>
  <c r="K1126" i="2"/>
  <c r="L1126" i="2"/>
  <c r="N1126" i="2"/>
  <c r="O1126" i="2"/>
  <c r="P1126" i="2"/>
  <c r="Q1126" i="2"/>
  <c r="R1126" i="2"/>
  <c r="S1126" i="2"/>
  <c r="E1127" i="2"/>
  <c r="F1127" i="2"/>
  <c r="G1127" i="2"/>
  <c r="H1127" i="2"/>
  <c r="I1127" i="2"/>
  <c r="J1127" i="2"/>
  <c r="K1127" i="2"/>
  <c r="L1127" i="2"/>
  <c r="M1127" i="2"/>
  <c r="N1127" i="2"/>
  <c r="O1127" i="2"/>
  <c r="Q1127" i="2"/>
  <c r="R1127" i="2"/>
  <c r="S1127" i="2"/>
  <c r="E1128" i="2"/>
  <c r="F1128" i="2"/>
  <c r="G1128" i="2"/>
  <c r="H1128" i="2"/>
  <c r="I1128" i="2"/>
  <c r="J1128" i="2"/>
  <c r="K1128" i="2"/>
  <c r="L1128" i="2"/>
  <c r="N1128" i="2"/>
  <c r="P1128" i="2" s="1"/>
  <c r="O1128" i="2"/>
  <c r="Q1128" i="2"/>
  <c r="R1128" i="2"/>
  <c r="S1128" i="2"/>
  <c r="E1129" i="2"/>
  <c r="F1129" i="2"/>
  <c r="G1129" i="2"/>
  <c r="H1129" i="2"/>
  <c r="M1129" i="2" s="1"/>
  <c r="I1129" i="2"/>
  <c r="J1129" i="2"/>
  <c r="K1129" i="2"/>
  <c r="L1129" i="2"/>
  <c r="N1129" i="2"/>
  <c r="O1129" i="2"/>
  <c r="P1129" i="2" s="1"/>
  <c r="Q1129" i="2"/>
  <c r="R1129" i="2"/>
  <c r="S1129" i="2"/>
  <c r="E1130" i="2"/>
  <c r="F1130" i="2"/>
  <c r="G1130" i="2"/>
  <c r="H1130" i="2"/>
  <c r="I1130" i="2"/>
  <c r="J1130" i="2"/>
  <c r="K1130" i="2"/>
  <c r="L1130" i="2"/>
  <c r="N1130" i="2"/>
  <c r="O1130" i="2"/>
  <c r="Q1130" i="2"/>
  <c r="R1130" i="2"/>
  <c r="S1130" i="2"/>
  <c r="E1131" i="2"/>
  <c r="F1131" i="2"/>
  <c r="G1131" i="2"/>
  <c r="H1131" i="2"/>
  <c r="I1131" i="2"/>
  <c r="J1131" i="2"/>
  <c r="K1131" i="2"/>
  <c r="L1131" i="2"/>
  <c r="M1131" i="2"/>
  <c r="N1131" i="2"/>
  <c r="O1131" i="2"/>
  <c r="Q1131" i="2"/>
  <c r="R1131" i="2"/>
  <c r="S1131" i="2"/>
  <c r="E1132" i="2"/>
  <c r="F1132" i="2"/>
  <c r="G1132" i="2"/>
  <c r="H1132" i="2"/>
  <c r="M1132" i="2" s="1"/>
  <c r="I1132" i="2"/>
  <c r="J1132" i="2"/>
  <c r="K1132" i="2"/>
  <c r="L1132" i="2"/>
  <c r="N1132" i="2"/>
  <c r="P1132" i="2" s="1"/>
  <c r="O1132" i="2"/>
  <c r="Q1132" i="2"/>
  <c r="R1132" i="2"/>
  <c r="S1132" i="2"/>
  <c r="E1133" i="2"/>
  <c r="F1133" i="2"/>
  <c r="G1133" i="2"/>
  <c r="H1133" i="2"/>
  <c r="I1133" i="2"/>
  <c r="J1133" i="2"/>
  <c r="K1133" i="2"/>
  <c r="L1133" i="2"/>
  <c r="N1133" i="2"/>
  <c r="O1133" i="2"/>
  <c r="P1133" i="2" s="1"/>
  <c r="Q1133" i="2"/>
  <c r="R1133" i="2"/>
  <c r="S1133" i="2"/>
  <c r="E1134" i="2"/>
  <c r="F1134" i="2"/>
  <c r="G1134" i="2"/>
  <c r="H1134" i="2"/>
  <c r="I1134" i="2"/>
  <c r="J1134" i="2"/>
  <c r="K1134" i="2"/>
  <c r="L1134" i="2"/>
  <c r="N1134" i="2"/>
  <c r="O1134" i="2"/>
  <c r="P1134" i="2"/>
  <c r="Q1134" i="2"/>
  <c r="R1134" i="2"/>
  <c r="S1134" i="2"/>
  <c r="E1135" i="2"/>
  <c r="F1135" i="2"/>
  <c r="G1135" i="2"/>
  <c r="H1135" i="2"/>
  <c r="I1135" i="2"/>
  <c r="J1135" i="2"/>
  <c r="K1135" i="2"/>
  <c r="L1135" i="2"/>
  <c r="M1135" i="2"/>
  <c r="N1135" i="2"/>
  <c r="O1135" i="2"/>
  <c r="Q1135" i="2"/>
  <c r="R1135" i="2"/>
  <c r="S1135" i="2"/>
  <c r="E1136" i="2"/>
  <c r="F1136" i="2"/>
  <c r="G1136" i="2"/>
  <c r="H1136" i="2"/>
  <c r="I1136" i="2"/>
  <c r="J1136" i="2"/>
  <c r="K1136" i="2"/>
  <c r="L1136" i="2"/>
  <c r="N1136" i="2"/>
  <c r="P1136" i="2" s="1"/>
  <c r="O1136" i="2"/>
  <c r="Q1136" i="2"/>
  <c r="R1136" i="2"/>
  <c r="S1136" i="2"/>
  <c r="E1137" i="2"/>
  <c r="F1137" i="2"/>
  <c r="G1137" i="2"/>
  <c r="H1137" i="2"/>
  <c r="M1137" i="2" s="1"/>
  <c r="I1137" i="2"/>
  <c r="J1137" i="2"/>
  <c r="K1137" i="2"/>
  <c r="L1137" i="2"/>
  <c r="N1137" i="2"/>
  <c r="O1137" i="2"/>
  <c r="Q1137" i="2"/>
  <c r="R1137" i="2"/>
  <c r="S1137" i="2"/>
  <c r="E1138" i="2"/>
  <c r="F1138" i="2"/>
  <c r="G1138" i="2"/>
  <c r="H1138" i="2"/>
  <c r="I1138" i="2"/>
  <c r="J1138" i="2"/>
  <c r="K1138" i="2"/>
  <c r="L1138" i="2"/>
  <c r="N1138" i="2"/>
  <c r="O1138" i="2"/>
  <c r="Q1138" i="2"/>
  <c r="R1138" i="2"/>
  <c r="S1138" i="2"/>
  <c r="E1139" i="2"/>
  <c r="F1139" i="2"/>
  <c r="G1139" i="2"/>
  <c r="H1139" i="2"/>
  <c r="I1139" i="2"/>
  <c r="J1139" i="2"/>
  <c r="K1139" i="2"/>
  <c r="L1139" i="2"/>
  <c r="M1139" i="2"/>
  <c r="N1139" i="2"/>
  <c r="O1139" i="2"/>
  <c r="Q1139" i="2"/>
  <c r="R1139" i="2"/>
  <c r="S1139" i="2"/>
  <c r="E1140" i="2"/>
  <c r="F1140" i="2"/>
  <c r="G1140" i="2"/>
  <c r="H1140" i="2"/>
  <c r="M1140" i="2" s="1"/>
  <c r="I1140" i="2"/>
  <c r="J1140" i="2"/>
  <c r="K1140" i="2"/>
  <c r="L1140" i="2"/>
  <c r="N1140" i="2"/>
  <c r="P1140" i="2" s="1"/>
  <c r="O1140" i="2"/>
  <c r="Q1140" i="2"/>
  <c r="R1140" i="2"/>
  <c r="S1140" i="2"/>
  <c r="E1141" i="2"/>
  <c r="F1141" i="2"/>
  <c r="G1141" i="2"/>
  <c r="H1141" i="2"/>
  <c r="I1141" i="2"/>
  <c r="J1141" i="2"/>
  <c r="K1141" i="2"/>
  <c r="M1141" i="2" s="1"/>
  <c r="L1141" i="2"/>
  <c r="N1141" i="2"/>
  <c r="O1141" i="2"/>
  <c r="Q1141" i="2"/>
  <c r="R1141" i="2"/>
  <c r="S1141" i="2"/>
  <c r="E1142" i="2"/>
  <c r="F1142" i="2"/>
  <c r="G1142" i="2"/>
  <c r="H1142" i="2"/>
  <c r="I1142" i="2"/>
  <c r="J1142" i="2"/>
  <c r="K1142" i="2"/>
  <c r="L1142" i="2"/>
  <c r="N1142" i="2"/>
  <c r="O1142" i="2"/>
  <c r="P1142" i="2"/>
  <c r="Q1142" i="2"/>
  <c r="R1142" i="2"/>
  <c r="S1142" i="2"/>
  <c r="E1143" i="2"/>
  <c r="F1143" i="2"/>
  <c r="G1143" i="2"/>
  <c r="H1143" i="2"/>
  <c r="I1143" i="2"/>
  <c r="J1143" i="2"/>
  <c r="K1143" i="2"/>
  <c r="L1143" i="2"/>
  <c r="M1143" i="2"/>
  <c r="N1143" i="2"/>
  <c r="O1143" i="2"/>
  <c r="Q1143" i="2"/>
  <c r="R1143" i="2"/>
  <c r="S1143" i="2"/>
  <c r="E1144" i="2"/>
  <c r="F1144" i="2"/>
  <c r="G1144" i="2"/>
  <c r="H1144" i="2"/>
  <c r="I1144" i="2"/>
  <c r="J1144" i="2"/>
  <c r="K1144" i="2"/>
  <c r="L1144" i="2"/>
  <c r="N1144" i="2"/>
  <c r="P1144" i="2" s="1"/>
  <c r="O1144" i="2"/>
  <c r="Q1144" i="2"/>
  <c r="R1144" i="2"/>
  <c r="S1144" i="2"/>
  <c r="E1145" i="2"/>
  <c r="P1145" i="2" s="1"/>
  <c r="F1145" i="2"/>
  <c r="G1145" i="2"/>
  <c r="H1145" i="2"/>
  <c r="I1145" i="2"/>
  <c r="J1145" i="2"/>
  <c r="K1145" i="2"/>
  <c r="M1145" i="2" s="1"/>
  <c r="L1145" i="2"/>
  <c r="N1145" i="2"/>
  <c r="O1145" i="2"/>
  <c r="Q1145" i="2"/>
  <c r="R1145" i="2"/>
  <c r="S1145" i="2"/>
  <c r="E1146" i="2"/>
  <c r="F1146" i="2"/>
  <c r="G1146" i="2"/>
  <c r="H1146" i="2"/>
  <c r="I1146" i="2"/>
  <c r="J1146" i="2"/>
  <c r="K1146" i="2"/>
  <c r="L1146" i="2"/>
  <c r="N1146" i="2"/>
  <c r="O1146" i="2"/>
  <c r="Q1146" i="2"/>
  <c r="R1146" i="2"/>
  <c r="S1146" i="2"/>
  <c r="E1147" i="2"/>
  <c r="F1147" i="2"/>
  <c r="G1147" i="2"/>
  <c r="H1147" i="2"/>
  <c r="I1147" i="2"/>
  <c r="J1147" i="2"/>
  <c r="K1147" i="2"/>
  <c r="L1147" i="2"/>
  <c r="M1147" i="2"/>
  <c r="N1147" i="2"/>
  <c r="O1147" i="2"/>
  <c r="Q1147" i="2"/>
  <c r="R1147" i="2"/>
  <c r="S1147" i="2"/>
  <c r="E1148" i="2"/>
  <c r="F1148" i="2"/>
  <c r="G1148" i="2"/>
  <c r="H1148" i="2"/>
  <c r="M1148" i="2" s="1"/>
  <c r="I1148" i="2"/>
  <c r="J1148" i="2"/>
  <c r="K1148" i="2"/>
  <c r="L1148" i="2"/>
  <c r="N1148" i="2"/>
  <c r="P1148" i="2" s="1"/>
  <c r="O1148" i="2"/>
  <c r="Q1148" i="2"/>
  <c r="R1148" i="2"/>
  <c r="S1148" i="2"/>
  <c r="E1149" i="2"/>
  <c r="F1149" i="2"/>
  <c r="G1149" i="2"/>
  <c r="H1149" i="2"/>
  <c r="I1149" i="2"/>
  <c r="J1149" i="2"/>
  <c r="K1149" i="2"/>
  <c r="M1149" i="2" s="1"/>
  <c r="L1149" i="2"/>
  <c r="N1149" i="2"/>
  <c r="O1149" i="2"/>
  <c r="Q1149" i="2"/>
  <c r="R1149" i="2"/>
  <c r="S1149" i="2"/>
  <c r="E1150" i="2"/>
  <c r="F1150" i="2"/>
  <c r="G1150" i="2"/>
  <c r="H1150" i="2"/>
  <c r="I1150" i="2"/>
  <c r="J1150" i="2"/>
  <c r="K1150" i="2"/>
  <c r="L1150" i="2"/>
  <c r="N1150" i="2"/>
  <c r="O1150" i="2"/>
  <c r="P1150" i="2"/>
  <c r="Q1150" i="2"/>
  <c r="R1150" i="2"/>
  <c r="S1150" i="2"/>
  <c r="E1151" i="2"/>
  <c r="F1151" i="2"/>
  <c r="G1151" i="2"/>
  <c r="H1151" i="2"/>
  <c r="I1151" i="2"/>
  <c r="J1151" i="2"/>
  <c r="K1151" i="2"/>
  <c r="L1151" i="2"/>
  <c r="M1151" i="2"/>
  <c r="N1151" i="2"/>
  <c r="O1151" i="2"/>
  <c r="Q1151" i="2"/>
  <c r="R1151" i="2"/>
  <c r="S1151" i="2"/>
  <c r="E1152" i="2"/>
  <c r="F1152" i="2"/>
  <c r="G1152" i="2"/>
  <c r="H1152" i="2"/>
  <c r="I1152" i="2"/>
  <c r="J1152" i="2"/>
  <c r="K1152" i="2"/>
  <c r="L1152" i="2"/>
  <c r="N1152" i="2"/>
  <c r="P1152" i="2" s="1"/>
  <c r="O1152" i="2"/>
  <c r="Q1152" i="2"/>
  <c r="R1152" i="2"/>
  <c r="S1152" i="2"/>
  <c r="E1153" i="2"/>
  <c r="P1153" i="2" s="1"/>
  <c r="F1153" i="2"/>
  <c r="G1153" i="2"/>
  <c r="H1153" i="2"/>
  <c r="I1153" i="2"/>
  <c r="J1153" i="2"/>
  <c r="K1153" i="2"/>
  <c r="M1153" i="2" s="1"/>
  <c r="L1153" i="2"/>
  <c r="N1153" i="2"/>
  <c r="O1153" i="2"/>
  <c r="Q1153" i="2"/>
  <c r="R1153" i="2"/>
  <c r="S1153" i="2"/>
  <c r="E1154" i="2"/>
  <c r="F1154" i="2"/>
  <c r="G1154" i="2"/>
  <c r="H1154" i="2"/>
  <c r="I1154" i="2"/>
  <c r="J1154" i="2"/>
  <c r="K1154" i="2"/>
  <c r="L1154" i="2"/>
  <c r="N1154" i="2"/>
  <c r="O1154" i="2"/>
  <c r="Q1154" i="2"/>
  <c r="R1154" i="2"/>
  <c r="S1154" i="2"/>
  <c r="E1155" i="2"/>
  <c r="F1155" i="2"/>
  <c r="G1155" i="2"/>
  <c r="H1155" i="2"/>
  <c r="I1155" i="2"/>
  <c r="J1155" i="2"/>
  <c r="K1155" i="2"/>
  <c r="L1155" i="2"/>
  <c r="M1155" i="2"/>
  <c r="N1155" i="2"/>
  <c r="O1155" i="2"/>
  <c r="Q1155" i="2"/>
  <c r="R1155" i="2"/>
  <c r="S1155" i="2"/>
  <c r="E1156" i="2"/>
  <c r="F1156" i="2"/>
  <c r="G1156" i="2"/>
  <c r="H1156" i="2"/>
  <c r="M1156" i="2" s="1"/>
  <c r="I1156" i="2"/>
  <c r="J1156" i="2"/>
  <c r="K1156" i="2"/>
  <c r="L1156" i="2"/>
  <c r="N1156" i="2"/>
  <c r="P1156" i="2" s="1"/>
  <c r="O1156" i="2"/>
  <c r="Q1156" i="2"/>
  <c r="R1156" i="2"/>
  <c r="S1156" i="2"/>
  <c r="E1157" i="2"/>
  <c r="F1157" i="2"/>
  <c r="G1157" i="2"/>
  <c r="H1157" i="2"/>
  <c r="I1157" i="2"/>
  <c r="J1157" i="2"/>
  <c r="K1157" i="2"/>
  <c r="M1157" i="2" s="1"/>
  <c r="L1157" i="2"/>
  <c r="N1157" i="2"/>
  <c r="O1157" i="2"/>
  <c r="Q1157" i="2"/>
  <c r="R1157" i="2"/>
  <c r="S1157" i="2"/>
  <c r="E1158" i="2"/>
  <c r="F1158" i="2"/>
  <c r="G1158" i="2"/>
  <c r="H1158" i="2"/>
  <c r="I1158" i="2"/>
  <c r="J1158" i="2"/>
  <c r="K1158" i="2"/>
  <c r="L1158" i="2"/>
  <c r="N1158" i="2"/>
  <c r="O1158" i="2"/>
  <c r="P1158" i="2"/>
  <c r="Q1158" i="2"/>
  <c r="R1158" i="2"/>
  <c r="S1158" i="2"/>
  <c r="E1159" i="2"/>
  <c r="F1159" i="2"/>
  <c r="G1159" i="2"/>
  <c r="H1159" i="2"/>
  <c r="I1159" i="2"/>
  <c r="J1159" i="2"/>
  <c r="K1159" i="2"/>
  <c r="L1159" i="2"/>
  <c r="M1159" i="2"/>
  <c r="N1159" i="2"/>
  <c r="O1159" i="2"/>
  <c r="Q1159" i="2"/>
  <c r="R1159" i="2"/>
  <c r="S1159" i="2"/>
  <c r="E1160" i="2"/>
  <c r="F1160" i="2"/>
  <c r="G1160" i="2"/>
  <c r="H1160" i="2"/>
  <c r="I1160" i="2"/>
  <c r="J1160" i="2"/>
  <c r="K1160" i="2"/>
  <c r="L1160" i="2"/>
  <c r="N1160" i="2"/>
  <c r="P1160" i="2" s="1"/>
  <c r="O1160" i="2"/>
  <c r="Q1160" i="2"/>
  <c r="R1160" i="2"/>
  <c r="S1160" i="2"/>
  <c r="E1161" i="2"/>
  <c r="P1161" i="2" s="1"/>
  <c r="F1161" i="2"/>
  <c r="G1161" i="2"/>
  <c r="H1161" i="2"/>
  <c r="I1161" i="2"/>
  <c r="J1161" i="2"/>
  <c r="K1161" i="2"/>
  <c r="M1161" i="2" s="1"/>
  <c r="L1161" i="2"/>
  <c r="N1161" i="2"/>
  <c r="O1161" i="2"/>
  <c r="Q1161" i="2"/>
  <c r="R1161" i="2"/>
  <c r="S1161" i="2"/>
  <c r="E1162" i="2"/>
  <c r="F1162" i="2"/>
  <c r="G1162" i="2"/>
  <c r="H1162" i="2"/>
  <c r="I1162" i="2"/>
  <c r="J1162" i="2"/>
  <c r="K1162" i="2"/>
  <c r="L1162" i="2"/>
  <c r="N1162" i="2"/>
  <c r="O1162" i="2"/>
  <c r="Q1162" i="2"/>
  <c r="R1162" i="2"/>
  <c r="S1162" i="2"/>
  <c r="E1163" i="2"/>
  <c r="F1163" i="2"/>
  <c r="G1163" i="2"/>
  <c r="H1163" i="2"/>
  <c r="I1163" i="2"/>
  <c r="J1163" i="2"/>
  <c r="K1163" i="2"/>
  <c r="L1163" i="2"/>
  <c r="M1163" i="2"/>
  <c r="N1163" i="2"/>
  <c r="O1163" i="2"/>
  <c r="Q1163" i="2"/>
  <c r="R1163" i="2"/>
  <c r="S1163" i="2"/>
  <c r="E1164" i="2"/>
  <c r="F1164" i="2"/>
  <c r="G1164" i="2"/>
  <c r="H1164" i="2"/>
  <c r="M1164" i="2" s="1"/>
  <c r="I1164" i="2"/>
  <c r="J1164" i="2"/>
  <c r="K1164" i="2"/>
  <c r="L1164" i="2"/>
  <c r="N1164" i="2"/>
  <c r="P1164" i="2" s="1"/>
  <c r="O1164" i="2"/>
  <c r="Q1164" i="2"/>
  <c r="R1164" i="2"/>
  <c r="S1164" i="2"/>
  <c r="E1165" i="2"/>
  <c r="F1165" i="2"/>
  <c r="G1165" i="2"/>
  <c r="H1165" i="2"/>
  <c r="I1165" i="2"/>
  <c r="J1165" i="2"/>
  <c r="K1165" i="2"/>
  <c r="M1165" i="2" s="1"/>
  <c r="L1165" i="2"/>
  <c r="N1165" i="2"/>
  <c r="O1165" i="2"/>
  <c r="Q1165" i="2"/>
  <c r="R1165" i="2"/>
  <c r="S1165" i="2"/>
  <c r="E1166" i="2"/>
  <c r="F1166" i="2"/>
  <c r="G1166" i="2"/>
  <c r="H1166" i="2"/>
  <c r="I1166" i="2"/>
  <c r="J1166" i="2"/>
  <c r="K1166" i="2"/>
  <c r="L1166" i="2"/>
  <c r="N1166" i="2"/>
  <c r="O1166" i="2"/>
  <c r="P1166" i="2"/>
  <c r="Q1166" i="2"/>
  <c r="R1166" i="2"/>
  <c r="S1166" i="2"/>
  <c r="E1167" i="2"/>
  <c r="F1167" i="2"/>
  <c r="G1167" i="2"/>
  <c r="H1167" i="2"/>
  <c r="I1167" i="2"/>
  <c r="J1167" i="2"/>
  <c r="K1167" i="2"/>
  <c r="L1167" i="2"/>
  <c r="M1167" i="2"/>
  <c r="N1167" i="2"/>
  <c r="O1167" i="2"/>
  <c r="Q1167" i="2"/>
  <c r="R1167" i="2"/>
  <c r="S1167" i="2"/>
  <c r="E1168" i="2"/>
  <c r="F1168" i="2"/>
  <c r="G1168" i="2"/>
  <c r="H1168" i="2"/>
  <c r="I1168" i="2"/>
  <c r="J1168" i="2"/>
  <c r="K1168" i="2"/>
  <c r="L1168" i="2"/>
  <c r="N1168" i="2"/>
  <c r="P1168" i="2" s="1"/>
  <c r="O1168" i="2"/>
  <c r="Q1168" i="2"/>
  <c r="R1168" i="2"/>
  <c r="S1168" i="2"/>
  <c r="E1169" i="2"/>
  <c r="P1169" i="2" s="1"/>
  <c r="F1169" i="2"/>
  <c r="G1169" i="2"/>
  <c r="H1169" i="2"/>
  <c r="I1169" i="2"/>
  <c r="J1169" i="2"/>
  <c r="K1169" i="2"/>
  <c r="M1169" i="2" s="1"/>
  <c r="L1169" i="2"/>
  <c r="N1169" i="2"/>
  <c r="O1169" i="2"/>
  <c r="Q1169" i="2"/>
  <c r="R1169" i="2"/>
  <c r="S1169" i="2"/>
  <c r="E1170" i="2"/>
  <c r="F1170" i="2"/>
  <c r="G1170" i="2"/>
  <c r="H1170" i="2"/>
  <c r="I1170" i="2"/>
  <c r="J1170" i="2"/>
  <c r="K1170" i="2"/>
  <c r="L1170" i="2"/>
  <c r="N1170" i="2"/>
  <c r="O1170" i="2"/>
  <c r="Q1170" i="2"/>
  <c r="R1170" i="2"/>
  <c r="S1170" i="2"/>
  <c r="E1171" i="2"/>
  <c r="F1171" i="2"/>
  <c r="G1171" i="2"/>
  <c r="H1171" i="2"/>
  <c r="I1171" i="2"/>
  <c r="J1171" i="2"/>
  <c r="K1171" i="2"/>
  <c r="L1171" i="2"/>
  <c r="M1171" i="2"/>
  <c r="N1171" i="2"/>
  <c r="O1171" i="2"/>
  <c r="Q1171" i="2"/>
  <c r="R1171" i="2"/>
  <c r="S1171" i="2"/>
  <c r="E1172" i="2"/>
  <c r="F1172" i="2"/>
  <c r="G1172" i="2"/>
  <c r="H1172" i="2"/>
  <c r="M1172" i="2" s="1"/>
  <c r="I1172" i="2"/>
  <c r="J1172" i="2"/>
  <c r="K1172" i="2"/>
  <c r="L1172" i="2"/>
  <c r="N1172" i="2"/>
  <c r="P1172" i="2" s="1"/>
  <c r="O1172" i="2"/>
  <c r="Q1172" i="2"/>
  <c r="R1172" i="2"/>
  <c r="S1172" i="2"/>
  <c r="E1173" i="2"/>
  <c r="F1173" i="2"/>
  <c r="G1173" i="2"/>
  <c r="H1173" i="2"/>
  <c r="I1173" i="2"/>
  <c r="J1173" i="2"/>
  <c r="K1173" i="2"/>
  <c r="M1173" i="2" s="1"/>
  <c r="L1173" i="2"/>
  <c r="N1173" i="2"/>
  <c r="O1173" i="2"/>
  <c r="Q1173" i="2"/>
  <c r="R1173" i="2"/>
  <c r="S1173" i="2"/>
  <c r="E1174" i="2"/>
  <c r="F1174" i="2"/>
  <c r="G1174" i="2"/>
  <c r="H1174" i="2"/>
  <c r="I1174" i="2"/>
  <c r="J1174" i="2"/>
  <c r="K1174" i="2"/>
  <c r="L1174" i="2"/>
  <c r="N1174" i="2"/>
  <c r="O1174" i="2"/>
  <c r="P1174" i="2"/>
  <c r="Q1174" i="2"/>
  <c r="R1174" i="2"/>
  <c r="S1174" i="2"/>
  <c r="E1175" i="2"/>
  <c r="F1175" i="2"/>
  <c r="G1175" i="2"/>
  <c r="H1175" i="2"/>
  <c r="I1175" i="2"/>
  <c r="J1175" i="2"/>
  <c r="K1175" i="2"/>
  <c r="L1175" i="2"/>
  <c r="M1175" i="2"/>
  <c r="N1175" i="2"/>
  <c r="O1175" i="2"/>
  <c r="Q1175" i="2"/>
  <c r="R1175" i="2"/>
  <c r="S1175" i="2"/>
  <c r="E1176" i="2"/>
  <c r="F1176" i="2"/>
  <c r="G1176" i="2"/>
  <c r="H1176" i="2"/>
  <c r="I1176" i="2"/>
  <c r="J1176" i="2"/>
  <c r="K1176" i="2"/>
  <c r="L1176" i="2"/>
  <c r="N1176" i="2"/>
  <c r="P1176" i="2" s="1"/>
  <c r="O1176" i="2"/>
  <c r="Q1176" i="2"/>
  <c r="R1176" i="2"/>
  <c r="S1176" i="2"/>
  <c r="E1177" i="2"/>
  <c r="F1177" i="2"/>
  <c r="G1177" i="2"/>
  <c r="H1177" i="2"/>
  <c r="I1177" i="2"/>
  <c r="J1177" i="2"/>
  <c r="K1177" i="2"/>
  <c r="M1177" i="2" s="1"/>
  <c r="L1177" i="2"/>
  <c r="N1177" i="2"/>
  <c r="O1177" i="2"/>
  <c r="Q1177" i="2"/>
  <c r="R1177" i="2"/>
  <c r="S1177" i="2"/>
  <c r="E1178" i="2"/>
  <c r="F1178" i="2"/>
  <c r="G1178" i="2"/>
  <c r="H1178" i="2"/>
  <c r="I1178" i="2"/>
  <c r="J1178" i="2"/>
  <c r="K1178" i="2"/>
  <c r="L1178" i="2"/>
  <c r="N1178" i="2"/>
  <c r="P1178" i="2" s="1"/>
  <c r="O1178" i="2"/>
  <c r="Q1178" i="2"/>
  <c r="R1178" i="2"/>
  <c r="S1178" i="2"/>
  <c r="E1179" i="2"/>
  <c r="F1179" i="2"/>
  <c r="G1179" i="2"/>
  <c r="H1179" i="2"/>
  <c r="I1179" i="2"/>
  <c r="J1179" i="2"/>
  <c r="K1179" i="2"/>
  <c r="M1179" i="2" s="1"/>
  <c r="L1179" i="2"/>
  <c r="N1179" i="2"/>
  <c r="O1179" i="2"/>
  <c r="Q1179" i="2"/>
  <c r="R1179" i="2"/>
  <c r="S1179" i="2"/>
  <c r="E1180" i="2"/>
  <c r="F1180" i="2"/>
  <c r="G1180" i="2"/>
  <c r="H1180" i="2"/>
  <c r="I1180" i="2"/>
  <c r="J1180" i="2"/>
  <c r="K1180" i="2"/>
  <c r="L1180" i="2"/>
  <c r="N1180" i="2"/>
  <c r="P1180" i="2" s="1"/>
  <c r="O1180" i="2"/>
  <c r="Q1180" i="2"/>
  <c r="R1180" i="2"/>
  <c r="S1180" i="2"/>
  <c r="E1181" i="2"/>
  <c r="F1181" i="2"/>
  <c r="G1181" i="2"/>
  <c r="H1181" i="2"/>
  <c r="I1181" i="2"/>
  <c r="J1181" i="2"/>
  <c r="K1181" i="2"/>
  <c r="M1181" i="2" s="1"/>
  <c r="L1181" i="2"/>
  <c r="N1181" i="2"/>
  <c r="O1181" i="2"/>
  <c r="Q1181" i="2"/>
  <c r="R1181" i="2"/>
  <c r="S1181" i="2"/>
  <c r="E1182" i="2"/>
  <c r="F1182" i="2"/>
  <c r="G1182" i="2"/>
  <c r="H1182" i="2"/>
  <c r="I1182" i="2"/>
  <c r="J1182" i="2"/>
  <c r="K1182" i="2"/>
  <c r="L1182" i="2"/>
  <c r="N1182" i="2"/>
  <c r="P1182" i="2" s="1"/>
  <c r="O1182" i="2"/>
  <c r="Q1182" i="2"/>
  <c r="R1182" i="2"/>
  <c r="S1182" i="2"/>
  <c r="E1183" i="2"/>
  <c r="F1183" i="2"/>
  <c r="G1183" i="2"/>
  <c r="H1183" i="2"/>
  <c r="I1183" i="2"/>
  <c r="J1183" i="2"/>
  <c r="K1183" i="2"/>
  <c r="M1183" i="2" s="1"/>
  <c r="L1183" i="2"/>
  <c r="N1183" i="2"/>
  <c r="O1183" i="2"/>
  <c r="Q1183" i="2"/>
  <c r="R1183" i="2"/>
  <c r="S1183" i="2"/>
  <c r="E1184" i="2"/>
  <c r="F1184" i="2"/>
  <c r="G1184" i="2"/>
  <c r="H1184" i="2"/>
  <c r="I1184" i="2"/>
  <c r="J1184" i="2"/>
  <c r="K1184" i="2"/>
  <c r="L1184" i="2"/>
  <c r="N1184" i="2"/>
  <c r="P1184" i="2" s="1"/>
  <c r="O1184" i="2"/>
  <c r="Q1184" i="2"/>
  <c r="R1184" i="2"/>
  <c r="S1184" i="2"/>
  <c r="E1185" i="2"/>
  <c r="F1185" i="2"/>
  <c r="G1185" i="2"/>
  <c r="H1185" i="2"/>
  <c r="I1185" i="2"/>
  <c r="J1185" i="2"/>
  <c r="K1185" i="2"/>
  <c r="M1185" i="2" s="1"/>
  <c r="L1185" i="2"/>
  <c r="N1185" i="2"/>
  <c r="O1185" i="2"/>
  <c r="Q1185" i="2"/>
  <c r="R1185" i="2"/>
  <c r="S1185" i="2"/>
  <c r="E1186" i="2"/>
  <c r="F1186" i="2"/>
  <c r="G1186" i="2"/>
  <c r="H1186" i="2"/>
  <c r="I1186" i="2"/>
  <c r="J1186" i="2"/>
  <c r="K1186" i="2"/>
  <c r="L1186" i="2"/>
  <c r="N1186" i="2"/>
  <c r="P1186" i="2" s="1"/>
  <c r="O1186" i="2"/>
  <c r="Q1186" i="2"/>
  <c r="R1186" i="2"/>
  <c r="S1186" i="2"/>
  <c r="E1187" i="2"/>
  <c r="F1187" i="2"/>
  <c r="G1187" i="2"/>
  <c r="H1187" i="2"/>
  <c r="I1187" i="2"/>
  <c r="J1187" i="2"/>
  <c r="K1187" i="2"/>
  <c r="M1187" i="2" s="1"/>
  <c r="L1187" i="2"/>
  <c r="N1187" i="2"/>
  <c r="O1187" i="2"/>
  <c r="Q1187" i="2"/>
  <c r="R1187" i="2"/>
  <c r="S1187" i="2"/>
  <c r="E1188" i="2"/>
  <c r="F1188" i="2"/>
  <c r="G1188" i="2"/>
  <c r="H1188" i="2"/>
  <c r="I1188" i="2"/>
  <c r="J1188" i="2"/>
  <c r="K1188" i="2"/>
  <c r="L1188" i="2"/>
  <c r="N1188" i="2"/>
  <c r="P1188" i="2" s="1"/>
  <c r="O1188" i="2"/>
  <c r="Q1188" i="2"/>
  <c r="R1188" i="2"/>
  <c r="S1188" i="2"/>
  <c r="E1189" i="2"/>
  <c r="F1189" i="2"/>
  <c r="G1189" i="2"/>
  <c r="H1189" i="2"/>
  <c r="I1189" i="2"/>
  <c r="J1189" i="2"/>
  <c r="K1189" i="2"/>
  <c r="M1189" i="2" s="1"/>
  <c r="L1189" i="2"/>
  <c r="N1189" i="2"/>
  <c r="O1189" i="2"/>
  <c r="Q1189" i="2"/>
  <c r="R1189" i="2"/>
  <c r="S1189" i="2"/>
  <c r="E1190" i="2"/>
  <c r="F1190" i="2"/>
  <c r="G1190" i="2"/>
  <c r="H1190" i="2"/>
  <c r="I1190" i="2"/>
  <c r="J1190" i="2"/>
  <c r="K1190" i="2"/>
  <c r="L1190" i="2"/>
  <c r="N1190" i="2"/>
  <c r="P1190" i="2" s="1"/>
  <c r="O1190" i="2"/>
  <c r="Q1190" i="2"/>
  <c r="R1190" i="2"/>
  <c r="S1190" i="2"/>
  <c r="E1191" i="2"/>
  <c r="F1191" i="2"/>
  <c r="G1191" i="2"/>
  <c r="H1191" i="2"/>
  <c r="I1191" i="2"/>
  <c r="J1191" i="2"/>
  <c r="K1191" i="2"/>
  <c r="M1191" i="2" s="1"/>
  <c r="L1191" i="2"/>
  <c r="N1191" i="2"/>
  <c r="O1191" i="2"/>
  <c r="Q1191" i="2"/>
  <c r="R1191" i="2"/>
  <c r="S1191" i="2"/>
  <c r="E1192" i="2"/>
  <c r="F1192" i="2"/>
  <c r="G1192" i="2"/>
  <c r="H1192" i="2"/>
  <c r="I1192" i="2"/>
  <c r="J1192" i="2"/>
  <c r="K1192" i="2"/>
  <c r="L1192" i="2"/>
  <c r="N1192" i="2"/>
  <c r="P1192" i="2" s="1"/>
  <c r="O1192" i="2"/>
  <c r="Q1192" i="2"/>
  <c r="R1192" i="2"/>
  <c r="S1192" i="2"/>
  <c r="E1193" i="2"/>
  <c r="F1193" i="2"/>
  <c r="G1193" i="2"/>
  <c r="H1193" i="2"/>
  <c r="I1193" i="2"/>
  <c r="J1193" i="2"/>
  <c r="K1193" i="2"/>
  <c r="M1193" i="2" s="1"/>
  <c r="L1193" i="2"/>
  <c r="N1193" i="2"/>
  <c r="O1193" i="2"/>
  <c r="Q1193" i="2"/>
  <c r="R1193" i="2"/>
  <c r="S1193" i="2"/>
  <c r="E1194" i="2"/>
  <c r="F1194" i="2"/>
  <c r="G1194" i="2"/>
  <c r="H1194" i="2"/>
  <c r="I1194" i="2"/>
  <c r="J1194" i="2"/>
  <c r="K1194" i="2"/>
  <c r="L1194" i="2"/>
  <c r="N1194" i="2"/>
  <c r="P1194" i="2" s="1"/>
  <c r="O1194" i="2"/>
  <c r="Q1194" i="2"/>
  <c r="R1194" i="2"/>
  <c r="S1194" i="2"/>
  <c r="E1195" i="2"/>
  <c r="F1195" i="2"/>
  <c r="G1195" i="2"/>
  <c r="H1195" i="2"/>
  <c r="I1195" i="2"/>
  <c r="J1195" i="2"/>
  <c r="K1195" i="2"/>
  <c r="M1195" i="2" s="1"/>
  <c r="L1195" i="2"/>
  <c r="N1195" i="2"/>
  <c r="O1195" i="2"/>
  <c r="Q1195" i="2"/>
  <c r="R1195" i="2"/>
  <c r="S1195" i="2"/>
  <c r="E1196" i="2"/>
  <c r="F1196" i="2"/>
  <c r="G1196" i="2"/>
  <c r="H1196" i="2"/>
  <c r="I1196" i="2"/>
  <c r="J1196" i="2"/>
  <c r="K1196" i="2"/>
  <c r="L1196" i="2"/>
  <c r="N1196" i="2"/>
  <c r="P1196" i="2" s="1"/>
  <c r="O1196" i="2"/>
  <c r="Q1196" i="2"/>
  <c r="R1196" i="2"/>
  <c r="S1196" i="2"/>
  <c r="E1197" i="2"/>
  <c r="F1197" i="2"/>
  <c r="G1197" i="2"/>
  <c r="H1197" i="2"/>
  <c r="I1197" i="2"/>
  <c r="J1197" i="2"/>
  <c r="K1197" i="2"/>
  <c r="M1197" i="2" s="1"/>
  <c r="L1197" i="2"/>
  <c r="N1197" i="2"/>
  <c r="O1197" i="2"/>
  <c r="Q1197" i="2"/>
  <c r="R1197" i="2"/>
  <c r="S1197" i="2"/>
  <c r="E1198" i="2"/>
  <c r="F1198" i="2"/>
  <c r="G1198" i="2"/>
  <c r="H1198" i="2"/>
  <c r="I1198" i="2"/>
  <c r="J1198" i="2"/>
  <c r="K1198" i="2"/>
  <c r="L1198" i="2"/>
  <c r="N1198" i="2"/>
  <c r="P1198" i="2" s="1"/>
  <c r="O1198" i="2"/>
  <c r="Q1198" i="2"/>
  <c r="R1198" i="2"/>
  <c r="S1198" i="2"/>
  <c r="E1199" i="2"/>
  <c r="F1199" i="2"/>
  <c r="G1199" i="2"/>
  <c r="H1199" i="2"/>
  <c r="I1199" i="2"/>
  <c r="J1199" i="2"/>
  <c r="K1199" i="2"/>
  <c r="M1199" i="2" s="1"/>
  <c r="L1199" i="2"/>
  <c r="N1199" i="2"/>
  <c r="O1199" i="2"/>
  <c r="Q1199" i="2"/>
  <c r="R1199" i="2"/>
  <c r="S1199" i="2"/>
  <c r="E1200" i="2"/>
  <c r="F1200" i="2"/>
  <c r="G1200" i="2"/>
  <c r="H1200" i="2"/>
  <c r="I1200" i="2"/>
  <c r="J1200" i="2"/>
  <c r="K1200" i="2"/>
  <c r="L1200" i="2"/>
  <c r="N1200" i="2"/>
  <c r="P1200" i="2" s="1"/>
  <c r="O1200" i="2"/>
  <c r="Q1200" i="2"/>
  <c r="R1200" i="2"/>
  <c r="S1200" i="2"/>
  <c r="E1201" i="2"/>
  <c r="F1201" i="2"/>
  <c r="G1201" i="2"/>
  <c r="H1201" i="2"/>
  <c r="I1201" i="2"/>
  <c r="J1201" i="2"/>
  <c r="K1201" i="2"/>
  <c r="M1201" i="2" s="1"/>
  <c r="L1201" i="2"/>
  <c r="N1201" i="2"/>
  <c r="O1201" i="2"/>
  <c r="Q1201" i="2"/>
  <c r="R1201" i="2"/>
  <c r="S1201" i="2"/>
  <c r="E1202" i="2"/>
  <c r="F1202" i="2"/>
  <c r="G1202" i="2"/>
  <c r="H1202" i="2"/>
  <c r="I1202" i="2"/>
  <c r="J1202" i="2"/>
  <c r="K1202" i="2"/>
  <c r="L1202" i="2"/>
  <c r="N1202" i="2"/>
  <c r="P1202" i="2" s="1"/>
  <c r="O1202" i="2"/>
  <c r="Q1202" i="2"/>
  <c r="R1202" i="2"/>
  <c r="S1202" i="2"/>
  <c r="E1203" i="2"/>
  <c r="F1203" i="2"/>
  <c r="G1203" i="2"/>
  <c r="H1203" i="2"/>
  <c r="I1203" i="2"/>
  <c r="J1203" i="2"/>
  <c r="K1203" i="2"/>
  <c r="M1203" i="2" s="1"/>
  <c r="L1203" i="2"/>
  <c r="N1203" i="2"/>
  <c r="O1203" i="2"/>
  <c r="Q1203" i="2"/>
  <c r="R1203" i="2"/>
  <c r="S1203" i="2"/>
  <c r="E1204" i="2"/>
  <c r="F1204" i="2"/>
  <c r="G1204" i="2"/>
  <c r="H1204" i="2"/>
  <c r="I1204" i="2"/>
  <c r="J1204" i="2"/>
  <c r="K1204" i="2"/>
  <c r="L1204" i="2"/>
  <c r="N1204" i="2"/>
  <c r="P1204" i="2" s="1"/>
  <c r="O1204" i="2"/>
  <c r="Q1204" i="2"/>
  <c r="R1204" i="2"/>
  <c r="S1204" i="2"/>
  <c r="E1205" i="2"/>
  <c r="F1205" i="2"/>
  <c r="G1205" i="2"/>
  <c r="H1205" i="2"/>
  <c r="I1205" i="2"/>
  <c r="J1205" i="2"/>
  <c r="K1205" i="2"/>
  <c r="M1205" i="2" s="1"/>
  <c r="L1205" i="2"/>
  <c r="N1205" i="2"/>
  <c r="O1205" i="2"/>
  <c r="Q1205" i="2"/>
  <c r="R1205" i="2"/>
  <c r="S1205" i="2"/>
  <c r="E1206" i="2"/>
  <c r="F1206" i="2"/>
  <c r="G1206" i="2"/>
  <c r="H1206" i="2"/>
  <c r="I1206" i="2"/>
  <c r="J1206" i="2"/>
  <c r="K1206" i="2"/>
  <c r="L1206" i="2"/>
  <c r="N1206" i="2"/>
  <c r="P1206" i="2" s="1"/>
  <c r="O1206" i="2"/>
  <c r="Q1206" i="2"/>
  <c r="R1206" i="2"/>
  <c r="S1206" i="2"/>
  <c r="E1207" i="2"/>
  <c r="F1207" i="2"/>
  <c r="G1207" i="2"/>
  <c r="H1207" i="2"/>
  <c r="I1207" i="2"/>
  <c r="J1207" i="2"/>
  <c r="K1207" i="2"/>
  <c r="M1207" i="2" s="1"/>
  <c r="L1207" i="2"/>
  <c r="N1207" i="2"/>
  <c r="O1207" i="2"/>
  <c r="Q1207" i="2"/>
  <c r="R1207" i="2"/>
  <c r="S1207" i="2"/>
  <c r="E1208" i="2"/>
  <c r="F1208" i="2"/>
  <c r="G1208" i="2"/>
  <c r="H1208" i="2"/>
  <c r="I1208" i="2"/>
  <c r="J1208" i="2"/>
  <c r="K1208" i="2"/>
  <c r="L1208" i="2"/>
  <c r="N1208" i="2"/>
  <c r="P1208" i="2" s="1"/>
  <c r="O1208" i="2"/>
  <c r="Q1208" i="2"/>
  <c r="R1208" i="2"/>
  <c r="S1208" i="2"/>
  <c r="E1209" i="2"/>
  <c r="F1209" i="2"/>
  <c r="G1209" i="2"/>
  <c r="H1209" i="2"/>
  <c r="I1209" i="2"/>
  <c r="J1209" i="2"/>
  <c r="K1209" i="2"/>
  <c r="M1209" i="2" s="1"/>
  <c r="L1209" i="2"/>
  <c r="N1209" i="2"/>
  <c r="O1209" i="2"/>
  <c r="Q1209" i="2"/>
  <c r="R1209" i="2"/>
  <c r="S1209" i="2"/>
  <c r="E1210" i="2"/>
  <c r="F1210" i="2"/>
  <c r="G1210" i="2"/>
  <c r="H1210" i="2"/>
  <c r="I1210" i="2"/>
  <c r="J1210" i="2"/>
  <c r="K1210" i="2"/>
  <c r="L1210" i="2"/>
  <c r="N1210" i="2"/>
  <c r="P1210" i="2" s="1"/>
  <c r="O1210" i="2"/>
  <c r="Q1210" i="2"/>
  <c r="R1210" i="2"/>
  <c r="S1210" i="2"/>
  <c r="E1211" i="2"/>
  <c r="F1211" i="2"/>
  <c r="G1211" i="2"/>
  <c r="H1211" i="2"/>
  <c r="I1211" i="2"/>
  <c r="J1211" i="2"/>
  <c r="K1211" i="2"/>
  <c r="M1211" i="2" s="1"/>
  <c r="L1211" i="2"/>
  <c r="N1211" i="2"/>
  <c r="O1211" i="2"/>
  <c r="Q1211" i="2"/>
  <c r="R1211" i="2"/>
  <c r="S1211" i="2"/>
  <c r="E1212" i="2"/>
  <c r="F1212" i="2"/>
  <c r="G1212" i="2"/>
  <c r="H1212" i="2"/>
  <c r="I1212" i="2"/>
  <c r="J1212" i="2"/>
  <c r="K1212" i="2"/>
  <c r="L1212" i="2"/>
  <c r="N1212" i="2"/>
  <c r="P1212" i="2" s="1"/>
  <c r="O1212" i="2"/>
  <c r="Q1212" i="2"/>
  <c r="R1212" i="2"/>
  <c r="S1212" i="2"/>
  <c r="E1213" i="2"/>
  <c r="F1213" i="2"/>
  <c r="G1213" i="2"/>
  <c r="H1213" i="2"/>
  <c r="I1213" i="2"/>
  <c r="J1213" i="2"/>
  <c r="K1213" i="2"/>
  <c r="M1213" i="2" s="1"/>
  <c r="L1213" i="2"/>
  <c r="N1213" i="2"/>
  <c r="O1213" i="2"/>
  <c r="Q1213" i="2"/>
  <c r="R1213" i="2"/>
  <c r="S1213" i="2"/>
  <c r="E1214" i="2"/>
  <c r="F1214" i="2"/>
  <c r="G1214" i="2"/>
  <c r="H1214" i="2"/>
  <c r="I1214" i="2"/>
  <c r="J1214" i="2"/>
  <c r="K1214" i="2"/>
  <c r="L1214" i="2"/>
  <c r="N1214" i="2"/>
  <c r="P1214" i="2" s="1"/>
  <c r="O1214" i="2"/>
  <c r="Q1214" i="2"/>
  <c r="R1214" i="2"/>
  <c r="S1214" i="2"/>
  <c r="E1215" i="2"/>
  <c r="F1215" i="2"/>
  <c r="G1215" i="2"/>
  <c r="H1215" i="2"/>
  <c r="I1215" i="2"/>
  <c r="J1215" i="2"/>
  <c r="K1215" i="2"/>
  <c r="M1215" i="2" s="1"/>
  <c r="L1215" i="2"/>
  <c r="N1215" i="2"/>
  <c r="O1215" i="2"/>
  <c r="Q1215" i="2"/>
  <c r="R1215" i="2"/>
  <c r="S1215" i="2"/>
  <c r="E1216" i="2"/>
  <c r="F1216" i="2"/>
  <c r="G1216" i="2"/>
  <c r="H1216" i="2"/>
  <c r="I1216" i="2"/>
  <c r="J1216" i="2"/>
  <c r="K1216" i="2"/>
  <c r="L1216" i="2"/>
  <c r="N1216" i="2"/>
  <c r="P1216" i="2" s="1"/>
  <c r="O1216" i="2"/>
  <c r="Q1216" i="2"/>
  <c r="R1216" i="2"/>
  <c r="S1216" i="2"/>
  <c r="E1217" i="2"/>
  <c r="F1217" i="2"/>
  <c r="G1217" i="2"/>
  <c r="H1217" i="2"/>
  <c r="I1217" i="2"/>
  <c r="J1217" i="2"/>
  <c r="K1217" i="2"/>
  <c r="M1217" i="2" s="1"/>
  <c r="L1217" i="2"/>
  <c r="N1217" i="2"/>
  <c r="O1217" i="2"/>
  <c r="Q1217" i="2"/>
  <c r="R1217" i="2"/>
  <c r="S1217" i="2"/>
  <c r="E1218" i="2"/>
  <c r="F1218" i="2"/>
  <c r="G1218" i="2"/>
  <c r="H1218" i="2"/>
  <c r="I1218" i="2"/>
  <c r="J1218" i="2"/>
  <c r="K1218" i="2"/>
  <c r="L1218" i="2"/>
  <c r="N1218" i="2"/>
  <c r="P1218" i="2" s="1"/>
  <c r="O1218" i="2"/>
  <c r="Q1218" i="2"/>
  <c r="R1218" i="2"/>
  <c r="S1218" i="2"/>
  <c r="E1219" i="2"/>
  <c r="F1219" i="2"/>
  <c r="G1219" i="2"/>
  <c r="H1219" i="2"/>
  <c r="I1219" i="2"/>
  <c r="J1219" i="2"/>
  <c r="K1219" i="2"/>
  <c r="M1219" i="2" s="1"/>
  <c r="L1219" i="2"/>
  <c r="N1219" i="2"/>
  <c r="O1219" i="2"/>
  <c r="Q1219" i="2"/>
  <c r="R1219" i="2"/>
  <c r="S1219" i="2"/>
  <c r="E1220" i="2"/>
  <c r="F1220" i="2"/>
  <c r="G1220" i="2"/>
  <c r="H1220" i="2"/>
  <c r="I1220" i="2"/>
  <c r="J1220" i="2"/>
  <c r="K1220" i="2"/>
  <c r="L1220" i="2"/>
  <c r="N1220" i="2"/>
  <c r="P1220" i="2" s="1"/>
  <c r="O1220" i="2"/>
  <c r="Q1220" i="2"/>
  <c r="R1220" i="2"/>
  <c r="S1220" i="2"/>
  <c r="E1221" i="2"/>
  <c r="F1221" i="2"/>
  <c r="G1221" i="2"/>
  <c r="H1221" i="2"/>
  <c r="I1221" i="2"/>
  <c r="J1221" i="2"/>
  <c r="K1221" i="2"/>
  <c r="M1221" i="2" s="1"/>
  <c r="L1221" i="2"/>
  <c r="N1221" i="2"/>
  <c r="O1221" i="2"/>
  <c r="Q1221" i="2"/>
  <c r="R1221" i="2"/>
  <c r="S1221" i="2"/>
  <c r="E1222" i="2"/>
  <c r="F1222" i="2"/>
  <c r="G1222" i="2"/>
  <c r="H1222" i="2"/>
  <c r="I1222" i="2"/>
  <c r="J1222" i="2"/>
  <c r="K1222" i="2"/>
  <c r="L1222" i="2"/>
  <c r="N1222" i="2"/>
  <c r="P1222" i="2" s="1"/>
  <c r="O1222" i="2"/>
  <c r="Q1222" i="2"/>
  <c r="R1222" i="2"/>
  <c r="S1222" i="2"/>
  <c r="E1223" i="2"/>
  <c r="F1223" i="2"/>
  <c r="G1223" i="2"/>
  <c r="H1223" i="2"/>
  <c r="I1223" i="2"/>
  <c r="J1223" i="2"/>
  <c r="K1223" i="2"/>
  <c r="M1223" i="2" s="1"/>
  <c r="L1223" i="2"/>
  <c r="N1223" i="2"/>
  <c r="O1223" i="2"/>
  <c r="Q1223" i="2"/>
  <c r="R1223" i="2"/>
  <c r="S1223" i="2"/>
  <c r="E1224" i="2"/>
  <c r="F1224" i="2"/>
  <c r="G1224" i="2"/>
  <c r="H1224" i="2"/>
  <c r="I1224" i="2"/>
  <c r="J1224" i="2"/>
  <c r="K1224" i="2"/>
  <c r="L1224" i="2"/>
  <c r="N1224" i="2"/>
  <c r="P1224" i="2" s="1"/>
  <c r="O1224" i="2"/>
  <c r="Q1224" i="2"/>
  <c r="R1224" i="2"/>
  <c r="S1224" i="2"/>
  <c r="E1225" i="2"/>
  <c r="F1225" i="2"/>
  <c r="G1225" i="2"/>
  <c r="H1225" i="2"/>
  <c r="I1225" i="2"/>
  <c r="J1225" i="2"/>
  <c r="K1225" i="2"/>
  <c r="M1225" i="2" s="1"/>
  <c r="L1225" i="2"/>
  <c r="N1225" i="2"/>
  <c r="O1225" i="2"/>
  <c r="Q1225" i="2"/>
  <c r="R1225" i="2"/>
  <c r="S1225" i="2"/>
  <c r="E1226" i="2"/>
  <c r="F1226" i="2"/>
  <c r="G1226" i="2"/>
  <c r="H1226" i="2"/>
  <c r="I1226" i="2"/>
  <c r="J1226" i="2"/>
  <c r="K1226" i="2"/>
  <c r="L1226" i="2"/>
  <c r="N1226" i="2"/>
  <c r="P1226" i="2" s="1"/>
  <c r="O1226" i="2"/>
  <c r="Q1226" i="2"/>
  <c r="R1226" i="2"/>
  <c r="S1226" i="2"/>
  <c r="E1227" i="2"/>
  <c r="F1227" i="2"/>
  <c r="G1227" i="2"/>
  <c r="H1227" i="2"/>
  <c r="I1227" i="2"/>
  <c r="J1227" i="2"/>
  <c r="K1227" i="2"/>
  <c r="M1227" i="2" s="1"/>
  <c r="L1227" i="2"/>
  <c r="N1227" i="2"/>
  <c r="O1227" i="2"/>
  <c r="Q1227" i="2"/>
  <c r="R1227" i="2"/>
  <c r="S1227" i="2"/>
  <c r="E1228" i="2"/>
  <c r="F1228" i="2"/>
  <c r="G1228" i="2"/>
  <c r="H1228" i="2"/>
  <c r="I1228" i="2"/>
  <c r="J1228" i="2"/>
  <c r="K1228" i="2"/>
  <c r="L1228" i="2"/>
  <c r="N1228" i="2"/>
  <c r="P1228" i="2" s="1"/>
  <c r="O1228" i="2"/>
  <c r="Q1228" i="2"/>
  <c r="R1228" i="2"/>
  <c r="S1228" i="2"/>
  <c r="E1229" i="2"/>
  <c r="F1229" i="2"/>
  <c r="G1229" i="2"/>
  <c r="H1229" i="2"/>
  <c r="I1229" i="2"/>
  <c r="J1229" i="2"/>
  <c r="K1229" i="2"/>
  <c r="M1229" i="2" s="1"/>
  <c r="L1229" i="2"/>
  <c r="N1229" i="2"/>
  <c r="O1229" i="2"/>
  <c r="Q1229" i="2"/>
  <c r="R1229" i="2"/>
  <c r="S1229" i="2"/>
  <c r="E1230" i="2"/>
  <c r="F1230" i="2"/>
  <c r="G1230" i="2"/>
  <c r="H1230" i="2"/>
  <c r="I1230" i="2"/>
  <c r="J1230" i="2"/>
  <c r="K1230" i="2"/>
  <c r="L1230" i="2"/>
  <c r="N1230" i="2"/>
  <c r="P1230" i="2" s="1"/>
  <c r="O1230" i="2"/>
  <c r="Q1230" i="2"/>
  <c r="R1230" i="2"/>
  <c r="S1230" i="2"/>
  <c r="E1231" i="2"/>
  <c r="F1231" i="2"/>
  <c r="G1231" i="2"/>
  <c r="H1231" i="2"/>
  <c r="I1231" i="2"/>
  <c r="J1231" i="2"/>
  <c r="K1231" i="2"/>
  <c r="M1231" i="2" s="1"/>
  <c r="L1231" i="2"/>
  <c r="N1231" i="2"/>
  <c r="O1231" i="2"/>
  <c r="Q1231" i="2"/>
  <c r="R1231" i="2"/>
  <c r="S1231" i="2"/>
  <c r="E1232" i="2"/>
  <c r="F1232" i="2"/>
  <c r="G1232" i="2"/>
  <c r="H1232" i="2"/>
  <c r="I1232" i="2"/>
  <c r="J1232" i="2"/>
  <c r="K1232" i="2"/>
  <c r="L1232" i="2"/>
  <c r="N1232" i="2"/>
  <c r="P1232" i="2" s="1"/>
  <c r="O1232" i="2"/>
  <c r="Q1232" i="2"/>
  <c r="R1232" i="2"/>
  <c r="S1232" i="2"/>
  <c r="E1233" i="2"/>
  <c r="F1233" i="2"/>
  <c r="G1233" i="2"/>
  <c r="H1233" i="2"/>
  <c r="I1233" i="2"/>
  <c r="J1233" i="2"/>
  <c r="K1233" i="2"/>
  <c r="M1233" i="2" s="1"/>
  <c r="L1233" i="2"/>
  <c r="N1233" i="2"/>
  <c r="O1233" i="2"/>
  <c r="Q1233" i="2"/>
  <c r="R1233" i="2"/>
  <c r="S1233" i="2"/>
  <c r="E1234" i="2"/>
  <c r="F1234" i="2"/>
  <c r="G1234" i="2"/>
  <c r="H1234" i="2"/>
  <c r="I1234" i="2"/>
  <c r="J1234" i="2"/>
  <c r="K1234" i="2"/>
  <c r="L1234" i="2"/>
  <c r="N1234" i="2"/>
  <c r="P1234" i="2" s="1"/>
  <c r="O1234" i="2"/>
  <c r="Q1234" i="2"/>
  <c r="R1234" i="2"/>
  <c r="S1234" i="2"/>
  <c r="E1235" i="2"/>
  <c r="F1235" i="2"/>
  <c r="G1235" i="2"/>
  <c r="H1235" i="2"/>
  <c r="I1235" i="2"/>
  <c r="J1235" i="2"/>
  <c r="K1235" i="2"/>
  <c r="M1235" i="2" s="1"/>
  <c r="L1235" i="2"/>
  <c r="N1235" i="2"/>
  <c r="O1235" i="2"/>
  <c r="Q1235" i="2"/>
  <c r="R1235" i="2"/>
  <c r="S1235" i="2"/>
  <c r="E1236" i="2"/>
  <c r="F1236" i="2"/>
  <c r="G1236" i="2"/>
  <c r="H1236" i="2"/>
  <c r="I1236" i="2"/>
  <c r="J1236" i="2"/>
  <c r="K1236" i="2"/>
  <c r="L1236" i="2"/>
  <c r="N1236" i="2"/>
  <c r="P1236" i="2" s="1"/>
  <c r="O1236" i="2"/>
  <c r="Q1236" i="2"/>
  <c r="R1236" i="2"/>
  <c r="S1236" i="2"/>
  <c r="E1237" i="2"/>
  <c r="F1237" i="2"/>
  <c r="G1237" i="2"/>
  <c r="H1237" i="2"/>
  <c r="I1237" i="2"/>
  <c r="J1237" i="2"/>
  <c r="K1237" i="2"/>
  <c r="M1237" i="2" s="1"/>
  <c r="L1237" i="2"/>
  <c r="N1237" i="2"/>
  <c r="O1237" i="2"/>
  <c r="Q1237" i="2"/>
  <c r="R1237" i="2"/>
  <c r="S1237" i="2"/>
  <c r="E1238" i="2"/>
  <c r="F1238" i="2"/>
  <c r="G1238" i="2"/>
  <c r="H1238" i="2"/>
  <c r="I1238" i="2"/>
  <c r="J1238" i="2"/>
  <c r="K1238" i="2"/>
  <c r="L1238" i="2"/>
  <c r="N1238" i="2"/>
  <c r="P1238" i="2" s="1"/>
  <c r="O1238" i="2"/>
  <c r="Q1238" i="2"/>
  <c r="R1238" i="2"/>
  <c r="S1238" i="2"/>
  <c r="E1239" i="2"/>
  <c r="F1239" i="2"/>
  <c r="G1239" i="2"/>
  <c r="H1239" i="2"/>
  <c r="I1239" i="2"/>
  <c r="J1239" i="2"/>
  <c r="K1239" i="2"/>
  <c r="M1239" i="2" s="1"/>
  <c r="L1239" i="2"/>
  <c r="N1239" i="2"/>
  <c r="O1239" i="2"/>
  <c r="Q1239" i="2"/>
  <c r="R1239" i="2"/>
  <c r="S1239" i="2"/>
  <c r="E1240" i="2"/>
  <c r="F1240" i="2"/>
  <c r="G1240" i="2"/>
  <c r="H1240" i="2"/>
  <c r="I1240" i="2"/>
  <c r="J1240" i="2"/>
  <c r="K1240" i="2"/>
  <c r="L1240" i="2"/>
  <c r="N1240" i="2"/>
  <c r="P1240" i="2" s="1"/>
  <c r="O1240" i="2"/>
  <c r="Q1240" i="2"/>
  <c r="R1240" i="2"/>
  <c r="S1240" i="2"/>
  <c r="E1241" i="2"/>
  <c r="F1241" i="2"/>
  <c r="G1241" i="2"/>
  <c r="H1241" i="2"/>
  <c r="I1241" i="2"/>
  <c r="J1241" i="2"/>
  <c r="K1241" i="2"/>
  <c r="M1241" i="2" s="1"/>
  <c r="L1241" i="2"/>
  <c r="N1241" i="2"/>
  <c r="O1241" i="2"/>
  <c r="Q1241" i="2"/>
  <c r="R1241" i="2"/>
  <c r="S1241" i="2"/>
  <c r="E1242" i="2"/>
  <c r="F1242" i="2"/>
  <c r="G1242" i="2"/>
  <c r="H1242" i="2"/>
  <c r="I1242" i="2"/>
  <c r="J1242" i="2"/>
  <c r="K1242" i="2"/>
  <c r="L1242" i="2"/>
  <c r="N1242" i="2"/>
  <c r="P1242" i="2" s="1"/>
  <c r="O1242" i="2"/>
  <c r="Q1242" i="2"/>
  <c r="R1242" i="2"/>
  <c r="S1242" i="2"/>
  <c r="E1243" i="2"/>
  <c r="F1243" i="2"/>
  <c r="G1243" i="2"/>
  <c r="H1243" i="2"/>
  <c r="I1243" i="2"/>
  <c r="J1243" i="2"/>
  <c r="K1243" i="2"/>
  <c r="M1243" i="2" s="1"/>
  <c r="L1243" i="2"/>
  <c r="N1243" i="2"/>
  <c r="O1243" i="2"/>
  <c r="Q1243" i="2"/>
  <c r="R1243" i="2"/>
  <c r="S1243" i="2"/>
  <c r="E1244" i="2"/>
  <c r="F1244" i="2"/>
  <c r="G1244" i="2"/>
  <c r="H1244" i="2"/>
  <c r="I1244" i="2"/>
  <c r="J1244" i="2"/>
  <c r="K1244" i="2"/>
  <c r="L1244" i="2"/>
  <c r="N1244" i="2"/>
  <c r="P1244" i="2" s="1"/>
  <c r="O1244" i="2"/>
  <c r="Q1244" i="2"/>
  <c r="R1244" i="2"/>
  <c r="S1244" i="2"/>
  <c r="E1245" i="2"/>
  <c r="F1245" i="2"/>
  <c r="G1245" i="2"/>
  <c r="H1245" i="2"/>
  <c r="I1245" i="2"/>
  <c r="J1245" i="2"/>
  <c r="K1245" i="2"/>
  <c r="M1245" i="2" s="1"/>
  <c r="L1245" i="2"/>
  <c r="N1245" i="2"/>
  <c r="O1245" i="2"/>
  <c r="Q1245" i="2"/>
  <c r="R1245" i="2"/>
  <c r="S1245" i="2"/>
  <c r="E1246" i="2"/>
  <c r="F1246" i="2"/>
  <c r="G1246" i="2"/>
  <c r="H1246" i="2"/>
  <c r="I1246" i="2"/>
  <c r="J1246" i="2"/>
  <c r="K1246" i="2"/>
  <c r="L1246" i="2"/>
  <c r="N1246" i="2"/>
  <c r="P1246" i="2" s="1"/>
  <c r="O1246" i="2"/>
  <c r="Q1246" i="2"/>
  <c r="R1246" i="2"/>
  <c r="S1246" i="2"/>
  <c r="E1247" i="2"/>
  <c r="F1247" i="2"/>
  <c r="G1247" i="2"/>
  <c r="H1247" i="2"/>
  <c r="I1247" i="2"/>
  <c r="J1247" i="2"/>
  <c r="K1247" i="2"/>
  <c r="M1247" i="2" s="1"/>
  <c r="L1247" i="2"/>
  <c r="N1247" i="2"/>
  <c r="O1247" i="2"/>
  <c r="Q1247" i="2"/>
  <c r="R1247" i="2"/>
  <c r="S1247" i="2"/>
  <c r="E1248" i="2"/>
  <c r="F1248" i="2"/>
  <c r="G1248" i="2"/>
  <c r="H1248" i="2"/>
  <c r="I1248" i="2"/>
  <c r="J1248" i="2"/>
  <c r="K1248" i="2"/>
  <c r="L1248" i="2"/>
  <c r="N1248" i="2"/>
  <c r="P1248" i="2" s="1"/>
  <c r="O1248" i="2"/>
  <c r="Q1248" i="2"/>
  <c r="R1248" i="2"/>
  <c r="S1248" i="2"/>
  <c r="E1249" i="2"/>
  <c r="F1249" i="2"/>
  <c r="G1249" i="2"/>
  <c r="H1249" i="2"/>
  <c r="I1249" i="2"/>
  <c r="J1249" i="2"/>
  <c r="K1249" i="2"/>
  <c r="M1249" i="2" s="1"/>
  <c r="L1249" i="2"/>
  <c r="N1249" i="2"/>
  <c r="O1249" i="2"/>
  <c r="Q1249" i="2"/>
  <c r="R1249" i="2"/>
  <c r="S1249" i="2"/>
  <c r="E1250" i="2"/>
  <c r="F1250" i="2"/>
  <c r="G1250" i="2"/>
  <c r="H1250" i="2"/>
  <c r="I1250" i="2"/>
  <c r="J1250" i="2"/>
  <c r="K1250" i="2"/>
  <c r="L1250" i="2"/>
  <c r="N1250" i="2"/>
  <c r="P1250" i="2" s="1"/>
  <c r="O1250" i="2"/>
  <c r="Q1250" i="2"/>
  <c r="R1250" i="2"/>
  <c r="S1250" i="2"/>
  <c r="E1251" i="2"/>
  <c r="F1251" i="2"/>
  <c r="G1251" i="2"/>
  <c r="H1251" i="2"/>
  <c r="I1251" i="2"/>
  <c r="J1251" i="2"/>
  <c r="K1251" i="2"/>
  <c r="M1251" i="2" s="1"/>
  <c r="L1251" i="2"/>
  <c r="N1251" i="2"/>
  <c r="O1251" i="2"/>
  <c r="Q1251" i="2"/>
  <c r="R1251" i="2"/>
  <c r="S1251" i="2"/>
  <c r="E1252" i="2"/>
  <c r="F1252" i="2"/>
  <c r="G1252" i="2"/>
  <c r="H1252" i="2"/>
  <c r="I1252" i="2"/>
  <c r="J1252" i="2"/>
  <c r="K1252" i="2"/>
  <c r="L1252" i="2"/>
  <c r="N1252" i="2"/>
  <c r="P1252" i="2" s="1"/>
  <c r="O1252" i="2"/>
  <c r="Q1252" i="2"/>
  <c r="R1252" i="2"/>
  <c r="S1252" i="2"/>
  <c r="E1253" i="2"/>
  <c r="F1253" i="2"/>
  <c r="G1253" i="2"/>
  <c r="H1253" i="2"/>
  <c r="I1253" i="2"/>
  <c r="J1253" i="2"/>
  <c r="K1253" i="2"/>
  <c r="M1253" i="2" s="1"/>
  <c r="L1253" i="2"/>
  <c r="N1253" i="2"/>
  <c r="O1253" i="2"/>
  <c r="Q1253" i="2"/>
  <c r="R1253" i="2"/>
  <c r="S1253" i="2"/>
  <c r="E1254" i="2"/>
  <c r="F1254" i="2"/>
  <c r="G1254" i="2"/>
  <c r="H1254" i="2"/>
  <c r="I1254" i="2"/>
  <c r="J1254" i="2"/>
  <c r="K1254" i="2"/>
  <c r="L1254" i="2"/>
  <c r="N1254" i="2"/>
  <c r="P1254" i="2" s="1"/>
  <c r="O1254" i="2"/>
  <c r="Q1254" i="2"/>
  <c r="R1254" i="2"/>
  <c r="S1254" i="2"/>
  <c r="E1255" i="2"/>
  <c r="F1255" i="2"/>
  <c r="G1255" i="2"/>
  <c r="H1255" i="2"/>
  <c r="I1255" i="2"/>
  <c r="J1255" i="2"/>
  <c r="K1255" i="2"/>
  <c r="M1255" i="2" s="1"/>
  <c r="L1255" i="2"/>
  <c r="N1255" i="2"/>
  <c r="O1255" i="2"/>
  <c r="Q1255" i="2"/>
  <c r="R1255" i="2"/>
  <c r="S1255" i="2"/>
  <c r="E1256" i="2"/>
  <c r="F1256" i="2"/>
  <c r="G1256" i="2"/>
  <c r="H1256" i="2"/>
  <c r="I1256" i="2"/>
  <c r="J1256" i="2"/>
  <c r="K1256" i="2"/>
  <c r="L1256" i="2"/>
  <c r="N1256" i="2"/>
  <c r="P1256" i="2" s="1"/>
  <c r="O1256" i="2"/>
  <c r="Q1256" i="2"/>
  <c r="R1256" i="2"/>
  <c r="S1256" i="2"/>
  <c r="E1257" i="2"/>
  <c r="F1257" i="2"/>
  <c r="G1257" i="2"/>
  <c r="H1257" i="2"/>
  <c r="I1257" i="2"/>
  <c r="J1257" i="2"/>
  <c r="K1257" i="2"/>
  <c r="M1257" i="2" s="1"/>
  <c r="L1257" i="2"/>
  <c r="N1257" i="2"/>
  <c r="O1257" i="2"/>
  <c r="Q1257" i="2"/>
  <c r="R1257" i="2"/>
  <c r="S1257" i="2"/>
  <c r="E1258" i="2"/>
  <c r="F1258" i="2"/>
  <c r="G1258" i="2"/>
  <c r="H1258" i="2"/>
  <c r="I1258" i="2"/>
  <c r="J1258" i="2"/>
  <c r="K1258" i="2"/>
  <c r="L1258" i="2"/>
  <c r="N1258" i="2"/>
  <c r="P1258" i="2" s="1"/>
  <c r="O1258" i="2"/>
  <c r="Q1258" i="2"/>
  <c r="R1258" i="2"/>
  <c r="S1258" i="2"/>
  <c r="E1259" i="2"/>
  <c r="F1259" i="2"/>
  <c r="G1259" i="2"/>
  <c r="H1259" i="2"/>
  <c r="I1259" i="2"/>
  <c r="J1259" i="2"/>
  <c r="K1259" i="2"/>
  <c r="M1259" i="2" s="1"/>
  <c r="L1259" i="2"/>
  <c r="N1259" i="2"/>
  <c r="O1259" i="2"/>
  <c r="Q1259" i="2"/>
  <c r="R1259" i="2"/>
  <c r="S1259" i="2"/>
  <c r="E1260" i="2"/>
  <c r="F1260" i="2"/>
  <c r="G1260" i="2"/>
  <c r="H1260" i="2"/>
  <c r="I1260" i="2"/>
  <c r="J1260" i="2"/>
  <c r="K1260" i="2"/>
  <c r="L1260" i="2"/>
  <c r="N1260" i="2"/>
  <c r="P1260" i="2" s="1"/>
  <c r="O1260" i="2"/>
  <c r="Q1260" i="2"/>
  <c r="R1260" i="2"/>
  <c r="S1260" i="2"/>
  <c r="E1261" i="2"/>
  <c r="F1261" i="2"/>
  <c r="G1261" i="2"/>
  <c r="H1261" i="2"/>
  <c r="I1261" i="2"/>
  <c r="J1261" i="2"/>
  <c r="K1261" i="2"/>
  <c r="M1261" i="2" s="1"/>
  <c r="L1261" i="2"/>
  <c r="N1261" i="2"/>
  <c r="O1261" i="2"/>
  <c r="Q1261" i="2"/>
  <c r="R1261" i="2"/>
  <c r="S1261" i="2"/>
  <c r="E1262" i="2"/>
  <c r="F1262" i="2"/>
  <c r="G1262" i="2"/>
  <c r="H1262" i="2"/>
  <c r="I1262" i="2"/>
  <c r="J1262" i="2"/>
  <c r="K1262" i="2"/>
  <c r="L1262" i="2"/>
  <c r="N1262" i="2"/>
  <c r="P1262" i="2" s="1"/>
  <c r="O1262" i="2"/>
  <c r="Q1262" i="2"/>
  <c r="R1262" i="2"/>
  <c r="S1262" i="2"/>
  <c r="E1263" i="2"/>
  <c r="F1263" i="2"/>
  <c r="G1263" i="2"/>
  <c r="H1263" i="2"/>
  <c r="I1263" i="2"/>
  <c r="J1263" i="2"/>
  <c r="K1263" i="2"/>
  <c r="M1263" i="2" s="1"/>
  <c r="L1263" i="2"/>
  <c r="N1263" i="2"/>
  <c r="O1263" i="2"/>
  <c r="Q1263" i="2"/>
  <c r="R1263" i="2"/>
  <c r="S1263" i="2"/>
  <c r="E1264" i="2"/>
  <c r="F1264" i="2"/>
  <c r="G1264" i="2"/>
  <c r="H1264" i="2"/>
  <c r="I1264" i="2"/>
  <c r="J1264" i="2"/>
  <c r="K1264" i="2"/>
  <c r="L1264" i="2"/>
  <c r="N1264" i="2"/>
  <c r="P1264" i="2" s="1"/>
  <c r="O1264" i="2"/>
  <c r="Q1264" i="2"/>
  <c r="R1264" i="2"/>
  <c r="S1264" i="2"/>
  <c r="E1265" i="2"/>
  <c r="F1265" i="2"/>
  <c r="G1265" i="2"/>
  <c r="H1265" i="2"/>
  <c r="I1265" i="2"/>
  <c r="J1265" i="2"/>
  <c r="K1265" i="2"/>
  <c r="M1265" i="2" s="1"/>
  <c r="L1265" i="2"/>
  <c r="N1265" i="2"/>
  <c r="O1265" i="2"/>
  <c r="Q1265" i="2"/>
  <c r="R1265" i="2"/>
  <c r="S1265" i="2"/>
  <c r="E1266" i="2"/>
  <c r="F1266" i="2"/>
  <c r="G1266" i="2"/>
  <c r="H1266" i="2"/>
  <c r="I1266" i="2"/>
  <c r="J1266" i="2"/>
  <c r="K1266" i="2"/>
  <c r="L1266" i="2"/>
  <c r="N1266" i="2"/>
  <c r="P1266" i="2" s="1"/>
  <c r="O1266" i="2"/>
  <c r="Q1266" i="2"/>
  <c r="R1266" i="2"/>
  <c r="S1266" i="2"/>
  <c r="E1267" i="2"/>
  <c r="F1267" i="2"/>
  <c r="G1267" i="2"/>
  <c r="H1267" i="2"/>
  <c r="I1267" i="2"/>
  <c r="J1267" i="2"/>
  <c r="K1267" i="2"/>
  <c r="M1267" i="2" s="1"/>
  <c r="L1267" i="2"/>
  <c r="N1267" i="2"/>
  <c r="O1267" i="2"/>
  <c r="Q1267" i="2"/>
  <c r="R1267" i="2"/>
  <c r="S1267" i="2"/>
  <c r="E1268" i="2"/>
  <c r="F1268" i="2"/>
  <c r="G1268" i="2"/>
  <c r="H1268" i="2"/>
  <c r="I1268" i="2"/>
  <c r="J1268" i="2"/>
  <c r="K1268" i="2"/>
  <c r="L1268" i="2"/>
  <c r="N1268" i="2"/>
  <c r="P1268" i="2" s="1"/>
  <c r="O1268" i="2"/>
  <c r="Q1268" i="2"/>
  <c r="R1268" i="2"/>
  <c r="S1268" i="2"/>
  <c r="E1269" i="2"/>
  <c r="F1269" i="2"/>
  <c r="G1269" i="2"/>
  <c r="H1269" i="2"/>
  <c r="I1269" i="2"/>
  <c r="J1269" i="2"/>
  <c r="K1269" i="2"/>
  <c r="M1269" i="2" s="1"/>
  <c r="L1269" i="2"/>
  <c r="N1269" i="2"/>
  <c r="O1269" i="2"/>
  <c r="Q1269" i="2"/>
  <c r="R1269" i="2"/>
  <c r="S1269" i="2"/>
  <c r="E1270" i="2"/>
  <c r="F1270" i="2"/>
  <c r="G1270" i="2"/>
  <c r="H1270" i="2"/>
  <c r="I1270" i="2"/>
  <c r="J1270" i="2"/>
  <c r="K1270" i="2"/>
  <c r="L1270" i="2"/>
  <c r="N1270" i="2"/>
  <c r="P1270" i="2" s="1"/>
  <c r="O1270" i="2"/>
  <c r="Q1270" i="2"/>
  <c r="R1270" i="2"/>
  <c r="S1270" i="2"/>
  <c r="E1271" i="2"/>
  <c r="F1271" i="2"/>
  <c r="G1271" i="2"/>
  <c r="H1271" i="2"/>
  <c r="I1271" i="2"/>
  <c r="J1271" i="2"/>
  <c r="K1271" i="2"/>
  <c r="M1271" i="2" s="1"/>
  <c r="L1271" i="2"/>
  <c r="N1271" i="2"/>
  <c r="O1271" i="2"/>
  <c r="Q1271" i="2"/>
  <c r="R1271" i="2"/>
  <c r="S1271" i="2"/>
  <c r="E1272" i="2"/>
  <c r="F1272" i="2"/>
  <c r="G1272" i="2"/>
  <c r="H1272" i="2"/>
  <c r="I1272" i="2"/>
  <c r="J1272" i="2"/>
  <c r="K1272" i="2"/>
  <c r="L1272" i="2"/>
  <c r="N1272" i="2"/>
  <c r="P1272" i="2" s="1"/>
  <c r="O1272" i="2"/>
  <c r="Q1272" i="2"/>
  <c r="R1272" i="2"/>
  <c r="S1272" i="2"/>
  <c r="E1273" i="2"/>
  <c r="F1273" i="2"/>
  <c r="G1273" i="2"/>
  <c r="H1273" i="2"/>
  <c r="I1273" i="2"/>
  <c r="J1273" i="2"/>
  <c r="K1273" i="2"/>
  <c r="M1273" i="2" s="1"/>
  <c r="L1273" i="2"/>
  <c r="N1273" i="2"/>
  <c r="O1273" i="2"/>
  <c r="Q1273" i="2"/>
  <c r="R1273" i="2"/>
  <c r="S1273" i="2"/>
  <c r="E1274" i="2"/>
  <c r="F1274" i="2"/>
  <c r="G1274" i="2"/>
  <c r="H1274" i="2"/>
  <c r="I1274" i="2"/>
  <c r="J1274" i="2"/>
  <c r="K1274" i="2"/>
  <c r="L1274" i="2"/>
  <c r="N1274" i="2"/>
  <c r="P1274" i="2" s="1"/>
  <c r="O1274" i="2"/>
  <c r="Q1274" i="2"/>
  <c r="R1274" i="2"/>
  <c r="S1274" i="2"/>
  <c r="E1275" i="2"/>
  <c r="F1275" i="2"/>
  <c r="G1275" i="2"/>
  <c r="H1275" i="2"/>
  <c r="I1275" i="2"/>
  <c r="J1275" i="2"/>
  <c r="K1275" i="2"/>
  <c r="M1275" i="2" s="1"/>
  <c r="L1275" i="2"/>
  <c r="N1275" i="2"/>
  <c r="O1275" i="2"/>
  <c r="Q1275" i="2"/>
  <c r="R1275" i="2"/>
  <c r="S1275" i="2"/>
  <c r="E1276" i="2"/>
  <c r="F1276" i="2"/>
  <c r="G1276" i="2"/>
  <c r="H1276" i="2"/>
  <c r="I1276" i="2"/>
  <c r="J1276" i="2"/>
  <c r="K1276" i="2"/>
  <c r="L1276" i="2"/>
  <c r="N1276" i="2"/>
  <c r="P1276" i="2" s="1"/>
  <c r="O1276" i="2"/>
  <c r="Q1276" i="2"/>
  <c r="R1276" i="2"/>
  <c r="S1276" i="2"/>
  <c r="E1277" i="2"/>
  <c r="F1277" i="2"/>
  <c r="G1277" i="2"/>
  <c r="H1277" i="2"/>
  <c r="I1277" i="2"/>
  <c r="J1277" i="2"/>
  <c r="K1277" i="2"/>
  <c r="M1277" i="2" s="1"/>
  <c r="L1277" i="2"/>
  <c r="N1277" i="2"/>
  <c r="O1277" i="2"/>
  <c r="Q1277" i="2"/>
  <c r="R1277" i="2"/>
  <c r="S1277" i="2"/>
  <c r="E1278" i="2"/>
  <c r="F1278" i="2"/>
  <c r="G1278" i="2"/>
  <c r="H1278" i="2"/>
  <c r="I1278" i="2"/>
  <c r="J1278" i="2"/>
  <c r="K1278" i="2"/>
  <c r="L1278" i="2"/>
  <c r="N1278" i="2"/>
  <c r="P1278" i="2" s="1"/>
  <c r="O1278" i="2"/>
  <c r="Q1278" i="2"/>
  <c r="R1278" i="2"/>
  <c r="S1278" i="2"/>
  <c r="E1279" i="2"/>
  <c r="F1279" i="2"/>
  <c r="G1279" i="2"/>
  <c r="H1279" i="2"/>
  <c r="I1279" i="2"/>
  <c r="J1279" i="2"/>
  <c r="K1279" i="2"/>
  <c r="M1279" i="2" s="1"/>
  <c r="L1279" i="2"/>
  <c r="N1279" i="2"/>
  <c r="O1279" i="2"/>
  <c r="Q1279" i="2"/>
  <c r="R1279" i="2"/>
  <c r="S1279" i="2"/>
  <c r="E1280" i="2"/>
  <c r="F1280" i="2"/>
  <c r="G1280" i="2"/>
  <c r="H1280" i="2"/>
  <c r="I1280" i="2"/>
  <c r="J1280" i="2"/>
  <c r="K1280" i="2"/>
  <c r="L1280" i="2"/>
  <c r="N1280" i="2"/>
  <c r="P1280" i="2" s="1"/>
  <c r="O1280" i="2"/>
  <c r="Q1280" i="2"/>
  <c r="R1280" i="2"/>
  <c r="S1280" i="2"/>
  <c r="E1281" i="2"/>
  <c r="F1281" i="2"/>
  <c r="G1281" i="2"/>
  <c r="H1281" i="2"/>
  <c r="I1281" i="2"/>
  <c r="J1281" i="2"/>
  <c r="K1281" i="2"/>
  <c r="M1281" i="2" s="1"/>
  <c r="L1281" i="2"/>
  <c r="N1281" i="2"/>
  <c r="O1281" i="2"/>
  <c r="Q1281" i="2"/>
  <c r="R1281" i="2"/>
  <c r="S1281" i="2"/>
  <c r="E1282" i="2"/>
  <c r="F1282" i="2"/>
  <c r="G1282" i="2"/>
  <c r="H1282" i="2"/>
  <c r="I1282" i="2"/>
  <c r="J1282" i="2"/>
  <c r="K1282" i="2"/>
  <c r="L1282" i="2"/>
  <c r="N1282" i="2"/>
  <c r="P1282" i="2" s="1"/>
  <c r="O1282" i="2"/>
  <c r="Q1282" i="2"/>
  <c r="R1282" i="2"/>
  <c r="S1282" i="2"/>
  <c r="E1283" i="2"/>
  <c r="F1283" i="2"/>
  <c r="G1283" i="2"/>
  <c r="H1283" i="2"/>
  <c r="I1283" i="2"/>
  <c r="J1283" i="2"/>
  <c r="K1283" i="2"/>
  <c r="M1283" i="2" s="1"/>
  <c r="L1283" i="2"/>
  <c r="N1283" i="2"/>
  <c r="O1283" i="2"/>
  <c r="Q1283" i="2"/>
  <c r="R1283" i="2"/>
  <c r="S1283" i="2"/>
  <c r="E1284" i="2"/>
  <c r="F1284" i="2"/>
  <c r="G1284" i="2"/>
  <c r="H1284" i="2"/>
  <c r="I1284" i="2"/>
  <c r="J1284" i="2"/>
  <c r="K1284" i="2"/>
  <c r="L1284" i="2"/>
  <c r="N1284" i="2"/>
  <c r="P1284" i="2" s="1"/>
  <c r="O1284" i="2"/>
  <c r="Q1284" i="2"/>
  <c r="R1284" i="2"/>
  <c r="S1284" i="2"/>
  <c r="E1285" i="2"/>
  <c r="F1285" i="2"/>
  <c r="G1285" i="2"/>
  <c r="H1285" i="2"/>
  <c r="I1285" i="2"/>
  <c r="J1285" i="2"/>
  <c r="K1285" i="2"/>
  <c r="M1285" i="2" s="1"/>
  <c r="L1285" i="2"/>
  <c r="N1285" i="2"/>
  <c r="O1285" i="2"/>
  <c r="Q1285" i="2"/>
  <c r="R1285" i="2"/>
  <c r="S1285" i="2"/>
  <c r="E1286" i="2"/>
  <c r="F1286" i="2"/>
  <c r="G1286" i="2"/>
  <c r="H1286" i="2"/>
  <c r="I1286" i="2"/>
  <c r="J1286" i="2"/>
  <c r="K1286" i="2"/>
  <c r="L1286" i="2"/>
  <c r="N1286" i="2"/>
  <c r="P1286" i="2" s="1"/>
  <c r="O1286" i="2"/>
  <c r="Q1286" i="2"/>
  <c r="R1286" i="2"/>
  <c r="S1286" i="2"/>
  <c r="E1287" i="2"/>
  <c r="F1287" i="2"/>
  <c r="G1287" i="2"/>
  <c r="H1287" i="2"/>
  <c r="I1287" i="2"/>
  <c r="J1287" i="2"/>
  <c r="K1287" i="2"/>
  <c r="M1287" i="2" s="1"/>
  <c r="L1287" i="2"/>
  <c r="N1287" i="2"/>
  <c r="O1287" i="2"/>
  <c r="Q1287" i="2"/>
  <c r="R1287" i="2"/>
  <c r="S1287" i="2"/>
  <c r="E1288" i="2"/>
  <c r="F1288" i="2"/>
  <c r="G1288" i="2"/>
  <c r="H1288" i="2"/>
  <c r="I1288" i="2"/>
  <c r="J1288" i="2"/>
  <c r="K1288" i="2"/>
  <c r="L1288" i="2"/>
  <c r="N1288" i="2"/>
  <c r="P1288" i="2" s="1"/>
  <c r="O1288" i="2"/>
  <c r="Q1288" i="2"/>
  <c r="R1288" i="2"/>
  <c r="S1288" i="2"/>
  <c r="E1289" i="2"/>
  <c r="F1289" i="2"/>
  <c r="G1289" i="2"/>
  <c r="H1289" i="2"/>
  <c r="I1289" i="2"/>
  <c r="J1289" i="2"/>
  <c r="K1289" i="2"/>
  <c r="M1289" i="2" s="1"/>
  <c r="L1289" i="2"/>
  <c r="N1289" i="2"/>
  <c r="O1289" i="2"/>
  <c r="Q1289" i="2"/>
  <c r="R1289" i="2"/>
  <c r="S1289" i="2"/>
  <c r="E1290" i="2"/>
  <c r="F1290" i="2"/>
  <c r="G1290" i="2"/>
  <c r="H1290" i="2"/>
  <c r="I1290" i="2"/>
  <c r="J1290" i="2"/>
  <c r="K1290" i="2"/>
  <c r="L1290" i="2"/>
  <c r="N1290" i="2"/>
  <c r="P1290" i="2" s="1"/>
  <c r="O1290" i="2"/>
  <c r="Q1290" i="2"/>
  <c r="R1290" i="2"/>
  <c r="S1290" i="2"/>
  <c r="E1291" i="2"/>
  <c r="F1291" i="2"/>
  <c r="G1291" i="2"/>
  <c r="H1291" i="2"/>
  <c r="I1291" i="2"/>
  <c r="J1291" i="2"/>
  <c r="K1291" i="2"/>
  <c r="M1291" i="2" s="1"/>
  <c r="L1291" i="2"/>
  <c r="N1291" i="2"/>
  <c r="O1291" i="2"/>
  <c r="Q1291" i="2"/>
  <c r="R1291" i="2"/>
  <c r="S1291" i="2"/>
  <c r="E1292" i="2"/>
  <c r="F1292" i="2"/>
  <c r="G1292" i="2"/>
  <c r="H1292" i="2"/>
  <c r="I1292" i="2"/>
  <c r="J1292" i="2"/>
  <c r="K1292" i="2"/>
  <c r="L1292" i="2"/>
  <c r="N1292" i="2"/>
  <c r="P1292" i="2" s="1"/>
  <c r="O1292" i="2"/>
  <c r="Q1292" i="2"/>
  <c r="R1292" i="2"/>
  <c r="S1292" i="2"/>
  <c r="E1293" i="2"/>
  <c r="F1293" i="2"/>
  <c r="G1293" i="2"/>
  <c r="H1293" i="2"/>
  <c r="I1293" i="2"/>
  <c r="J1293" i="2"/>
  <c r="K1293" i="2"/>
  <c r="M1293" i="2" s="1"/>
  <c r="L1293" i="2"/>
  <c r="N1293" i="2"/>
  <c r="O1293" i="2"/>
  <c r="Q1293" i="2"/>
  <c r="R1293" i="2"/>
  <c r="S1293" i="2"/>
  <c r="E1294" i="2"/>
  <c r="F1294" i="2"/>
  <c r="G1294" i="2"/>
  <c r="H1294" i="2"/>
  <c r="I1294" i="2"/>
  <c r="J1294" i="2"/>
  <c r="K1294" i="2"/>
  <c r="L1294" i="2"/>
  <c r="N1294" i="2"/>
  <c r="P1294" i="2" s="1"/>
  <c r="O1294" i="2"/>
  <c r="Q1294" i="2"/>
  <c r="R1294" i="2"/>
  <c r="S1294" i="2"/>
  <c r="E1295" i="2"/>
  <c r="F1295" i="2"/>
  <c r="G1295" i="2"/>
  <c r="H1295" i="2"/>
  <c r="I1295" i="2"/>
  <c r="J1295" i="2"/>
  <c r="K1295" i="2"/>
  <c r="M1295" i="2" s="1"/>
  <c r="L1295" i="2"/>
  <c r="N1295" i="2"/>
  <c r="O1295" i="2"/>
  <c r="Q1295" i="2"/>
  <c r="R1295" i="2"/>
  <c r="S1295" i="2"/>
  <c r="E1296" i="2"/>
  <c r="F1296" i="2"/>
  <c r="G1296" i="2"/>
  <c r="H1296" i="2"/>
  <c r="I1296" i="2"/>
  <c r="J1296" i="2"/>
  <c r="K1296" i="2"/>
  <c r="L1296" i="2"/>
  <c r="N1296" i="2"/>
  <c r="P1296" i="2" s="1"/>
  <c r="O1296" i="2"/>
  <c r="Q1296" i="2"/>
  <c r="R1296" i="2"/>
  <c r="S1296" i="2"/>
  <c r="E1297" i="2"/>
  <c r="F1297" i="2"/>
  <c r="G1297" i="2"/>
  <c r="H1297" i="2"/>
  <c r="I1297" i="2"/>
  <c r="J1297" i="2"/>
  <c r="K1297" i="2"/>
  <c r="M1297" i="2" s="1"/>
  <c r="L1297" i="2"/>
  <c r="N1297" i="2"/>
  <c r="O1297" i="2"/>
  <c r="Q1297" i="2"/>
  <c r="R1297" i="2"/>
  <c r="S1297" i="2"/>
  <c r="E1298" i="2"/>
  <c r="F1298" i="2"/>
  <c r="G1298" i="2"/>
  <c r="H1298" i="2"/>
  <c r="I1298" i="2"/>
  <c r="J1298" i="2"/>
  <c r="K1298" i="2"/>
  <c r="L1298" i="2"/>
  <c r="N1298" i="2"/>
  <c r="P1298" i="2" s="1"/>
  <c r="O1298" i="2"/>
  <c r="Q1298" i="2"/>
  <c r="R1298" i="2"/>
  <c r="S1298" i="2"/>
  <c r="E1299" i="2"/>
  <c r="F1299" i="2"/>
  <c r="G1299" i="2"/>
  <c r="H1299" i="2"/>
  <c r="I1299" i="2"/>
  <c r="J1299" i="2"/>
  <c r="K1299" i="2"/>
  <c r="M1299" i="2" s="1"/>
  <c r="L1299" i="2"/>
  <c r="N1299" i="2"/>
  <c r="O1299" i="2"/>
  <c r="Q1299" i="2"/>
  <c r="R1299" i="2"/>
  <c r="S1299" i="2"/>
  <c r="E1300" i="2"/>
  <c r="F1300" i="2"/>
  <c r="G1300" i="2"/>
  <c r="H1300" i="2"/>
  <c r="I1300" i="2"/>
  <c r="J1300" i="2"/>
  <c r="K1300" i="2"/>
  <c r="L1300" i="2"/>
  <c r="N1300" i="2"/>
  <c r="P1300" i="2" s="1"/>
  <c r="O1300" i="2"/>
  <c r="Q1300" i="2"/>
  <c r="R1300" i="2"/>
  <c r="S1300" i="2"/>
  <c r="E1301" i="2"/>
  <c r="F1301" i="2"/>
  <c r="G1301" i="2"/>
  <c r="H1301" i="2"/>
  <c r="I1301" i="2"/>
  <c r="J1301" i="2"/>
  <c r="K1301" i="2"/>
  <c r="M1301" i="2" s="1"/>
  <c r="L1301" i="2"/>
  <c r="N1301" i="2"/>
  <c r="O1301" i="2"/>
  <c r="Q1301" i="2"/>
  <c r="R1301" i="2"/>
  <c r="S1301" i="2"/>
  <c r="E1302" i="2"/>
  <c r="F1302" i="2"/>
  <c r="G1302" i="2"/>
  <c r="H1302" i="2"/>
  <c r="I1302" i="2"/>
  <c r="J1302" i="2"/>
  <c r="K1302" i="2"/>
  <c r="L1302" i="2"/>
  <c r="N1302" i="2"/>
  <c r="P1302" i="2" s="1"/>
  <c r="O1302" i="2"/>
  <c r="Q1302" i="2"/>
  <c r="R1302" i="2"/>
  <c r="S1302" i="2"/>
  <c r="E1303" i="2"/>
  <c r="F1303" i="2"/>
  <c r="G1303" i="2"/>
  <c r="H1303" i="2"/>
  <c r="I1303" i="2"/>
  <c r="J1303" i="2"/>
  <c r="K1303" i="2"/>
  <c r="M1303" i="2" s="1"/>
  <c r="L1303" i="2"/>
  <c r="N1303" i="2"/>
  <c r="O1303" i="2"/>
  <c r="Q1303" i="2"/>
  <c r="R1303" i="2"/>
  <c r="S1303" i="2"/>
  <c r="E1304" i="2"/>
  <c r="F1304" i="2"/>
  <c r="G1304" i="2"/>
  <c r="H1304" i="2"/>
  <c r="I1304" i="2"/>
  <c r="J1304" i="2"/>
  <c r="K1304" i="2"/>
  <c r="L1304" i="2"/>
  <c r="N1304" i="2"/>
  <c r="P1304" i="2" s="1"/>
  <c r="O1304" i="2"/>
  <c r="Q1304" i="2"/>
  <c r="R1304" i="2"/>
  <c r="S1304" i="2"/>
  <c r="E1305" i="2"/>
  <c r="F1305" i="2"/>
  <c r="G1305" i="2"/>
  <c r="H1305" i="2"/>
  <c r="I1305" i="2"/>
  <c r="J1305" i="2"/>
  <c r="K1305" i="2"/>
  <c r="M1305" i="2" s="1"/>
  <c r="L1305" i="2"/>
  <c r="N1305" i="2"/>
  <c r="O1305" i="2"/>
  <c r="Q1305" i="2"/>
  <c r="R1305" i="2"/>
  <c r="S1305" i="2"/>
  <c r="E1306" i="2"/>
  <c r="F1306" i="2"/>
  <c r="G1306" i="2"/>
  <c r="H1306" i="2"/>
  <c r="I1306" i="2"/>
  <c r="J1306" i="2"/>
  <c r="K1306" i="2"/>
  <c r="L1306" i="2"/>
  <c r="N1306" i="2"/>
  <c r="P1306" i="2" s="1"/>
  <c r="O1306" i="2"/>
  <c r="Q1306" i="2"/>
  <c r="R1306" i="2"/>
  <c r="S1306" i="2"/>
  <c r="E1307" i="2"/>
  <c r="F1307" i="2"/>
  <c r="G1307" i="2"/>
  <c r="H1307" i="2"/>
  <c r="I1307" i="2"/>
  <c r="J1307" i="2"/>
  <c r="K1307" i="2"/>
  <c r="M1307" i="2" s="1"/>
  <c r="L1307" i="2"/>
  <c r="N1307" i="2"/>
  <c r="O1307" i="2"/>
  <c r="Q1307" i="2"/>
  <c r="R1307" i="2"/>
  <c r="S1307" i="2"/>
  <c r="E1308" i="2"/>
  <c r="F1308" i="2"/>
  <c r="G1308" i="2"/>
  <c r="H1308" i="2"/>
  <c r="I1308" i="2"/>
  <c r="J1308" i="2"/>
  <c r="K1308" i="2"/>
  <c r="L1308" i="2"/>
  <c r="N1308" i="2"/>
  <c r="P1308" i="2" s="1"/>
  <c r="O1308" i="2"/>
  <c r="Q1308" i="2"/>
  <c r="R1308" i="2"/>
  <c r="S1308" i="2"/>
  <c r="E1309" i="2"/>
  <c r="F1309" i="2"/>
  <c r="G1309" i="2"/>
  <c r="H1309" i="2"/>
  <c r="I1309" i="2"/>
  <c r="J1309" i="2"/>
  <c r="K1309" i="2"/>
  <c r="M1309" i="2" s="1"/>
  <c r="L1309" i="2"/>
  <c r="N1309" i="2"/>
  <c r="O1309" i="2"/>
  <c r="Q1309" i="2"/>
  <c r="R1309" i="2"/>
  <c r="S1309" i="2"/>
  <c r="E1310" i="2"/>
  <c r="F1310" i="2"/>
  <c r="G1310" i="2"/>
  <c r="H1310" i="2"/>
  <c r="I1310" i="2"/>
  <c r="J1310" i="2"/>
  <c r="K1310" i="2"/>
  <c r="L1310" i="2"/>
  <c r="N1310" i="2"/>
  <c r="P1310" i="2" s="1"/>
  <c r="O1310" i="2"/>
  <c r="Q1310" i="2"/>
  <c r="R1310" i="2"/>
  <c r="S1310" i="2"/>
  <c r="E1311" i="2"/>
  <c r="F1311" i="2"/>
  <c r="G1311" i="2"/>
  <c r="H1311" i="2"/>
  <c r="I1311" i="2"/>
  <c r="J1311" i="2"/>
  <c r="K1311" i="2"/>
  <c r="M1311" i="2" s="1"/>
  <c r="L1311" i="2"/>
  <c r="N1311" i="2"/>
  <c r="O1311" i="2"/>
  <c r="Q1311" i="2"/>
  <c r="R1311" i="2"/>
  <c r="S1311" i="2"/>
  <c r="E1312" i="2"/>
  <c r="F1312" i="2"/>
  <c r="G1312" i="2"/>
  <c r="H1312" i="2"/>
  <c r="I1312" i="2"/>
  <c r="J1312" i="2"/>
  <c r="K1312" i="2"/>
  <c r="L1312" i="2"/>
  <c r="N1312" i="2"/>
  <c r="P1312" i="2" s="1"/>
  <c r="O1312" i="2"/>
  <c r="Q1312" i="2"/>
  <c r="R1312" i="2"/>
  <c r="S1312" i="2"/>
  <c r="E1313" i="2"/>
  <c r="F1313" i="2"/>
  <c r="G1313" i="2"/>
  <c r="H1313" i="2"/>
  <c r="I1313" i="2"/>
  <c r="J1313" i="2"/>
  <c r="K1313" i="2"/>
  <c r="L1313" i="2"/>
  <c r="N1313" i="2"/>
  <c r="O1313" i="2"/>
  <c r="P1313" i="2"/>
  <c r="Q1313" i="2"/>
  <c r="R1313" i="2"/>
  <c r="S1313" i="2"/>
  <c r="E1314" i="2"/>
  <c r="P1314" i="2" s="1"/>
  <c r="F1314" i="2"/>
  <c r="G1314" i="2"/>
  <c r="H1314" i="2"/>
  <c r="I1314" i="2"/>
  <c r="J1314" i="2"/>
  <c r="K1314" i="2"/>
  <c r="L1314" i="2"/>
  <c r="M1314" i="2"/>
  <c r="N1314" i="2"/>
  <c r="O1314" i="2"/>
  <c r="Q1314" i="2"/>
  <c r="R1314" i="2"/>
  <c r="S1314" i="2"/>
  <c r="E1315" i="2"/>
  <c r="F1315" i="2"/>
  <c r="G1315" i="2"/>
  <c r="H1315" i="2"/>
  <c r="I1315" i="2"/>
  <c r="J1315" i="2"/>
  <c r="M1315" i="2" s="1"/>
  <c r="K1315" i="2"/>
  <c r="L1315" i="2"/>
  <c r="N1315" i="2"/>
  <c r="O1315" i="2"/>
  <c r="Q1315" i="2"/>
  <c r="R1315" i="2"/>
  <c r="S1315" i="2"/>
  <c r="E1316" i="2"/>
  <c r="F1316" i="2"/>
  <c r="G1316" i="2"/>
  <c r="H1316" i="2"/>
  <c r="I1316" i="2"/>
  <c r="J1316" i="2"/>
  <c r="K1316" i="2"/>
  <c r="L1316" i="2"/>
  <c r="N1316" i="2"/>
  <c r="O1316" i="2"/>
  <c r="Q1316" i="2"/>
  <c r="R1316" i="2"/>
  <c r="S1316" i="2"/>
  <c r="E1317" i="2"/>
  <c r="F1317" i="2"/>
  <c r="G1317" i="2"/>
  <c r="H1317" i="2"/>
  <c r="I1317" i="2"/>
  <c r="J1317" i="2"/>
  <c r="K1317" i="2"/>
  <c r="L1317" i="2"/>
  <c r="M1317" i="2"/>
  <c r="N1317" i="2"/>
  <c r="O1317" i="2"/>
  <c r="Q1317" i="2"/>
  <c r="R1317" i="2"/>
  <c r="S1317" i="2"/>
  <c r="E1318" i="2"/>
  <c r="F1318" i="2"/>
  <c r="G1318" i="2"/>
  <c r="H1318" i="2"/>
  <c r="I1318" i="2"/>
  <c r="J1318" i="2"/>
  <c r="K1318" i="2"/>
  <c r="L1318" i="2"/>
  <c r="N1318" i="2"/>
  <c r="P1318" i="2" s="1"/>
  <c r="O1318" i="2"/>
  <c r="Q1318" i="2"/>
  <c r="R1318" i="2"/>
  <c r="S1318" i="2"/>
  <c r="E1319" i="2"/>
  <c r="F1319" i="2"/>
  <c r="G1319" i="2"/>
  <c r="H1319" i="2"/>
  <c r="I1319" i="2"/>
  <c r="J1319" i="2"/>
  <c r="K1319" i="2"/>
  <c r="M1319" i="2" s="1"/>
  <c r="L1319" i="2"/>
  <c r="N1319" i="2"/>
  <c r="O1319" i="2"/>
  <c r="Q1319" i="2"/>
  <c r="R1319" i="2"/>
  <c r="S1319" i="2"/>
  <c r="E1320" i="2"/>
  <c r="F1320" i="2"/>
  <c r="G1320" i="2"/>
  <c r="H1320" i="2"/>
  <c r="I1320" i="2"/>
  <c r="J1320" i="2"/>
  <c r="K1320" i="2"/>
  <c r="L1320" i="2"/>
  <c r="N1320" i="2"/>
  <c r="O1320" i="2"/>
  <c r="Q1320" i="2"/>
  <c r="R1320" i="2"/>
  <c r="S1320" i="2"/>
  <c r="E1321" i="2"/>
  <c r="F1321" i="2"/>
  <c r="G1321" i="2"/>
  <c r="H1321" i="2"/>
  <c r="I1321" i="2"/>
  <c r="J1321" i="2"/>
  <c r="K1321" i="2"/>
  <c r="L1321" i="2"/>
  <c r="N1321" i="2"/>
  <c r="O1321" i="2"/>
  <c r="P1321" i="2"/>
  <c r="Q1321" i="2"/>
  <c r="R1321" i="2"/>
  <c r="S1321" i="2"/>
  <c r="E1322" i="2"/>
  <c r="F1322" i="2"/>
  <c r="G1322" i="2"/>
  <c r="H1322" i="2"/>
  <c r="I1322" i="2"/>
  <c r="J1322" i="2"/>
  <c r="K1322" i="2"/>
  <c r="L1322" i="2"/>
  <c r="M1322" i="2"/>
  <c r="N1322" i="2"/>
  <c r="O1322" i="2"/>
  <c r="Q1322" i="2"/>
  <c r="R1322" i="2"/>
  <c r="S1322" i="2"/>
  <c r="E1323" i="2"/>
  <c r="F1323" i="2"/>
  <c r="G1323" i="2"/>
  <c r="H1323" i="2"/>
  <c r="I1323" i="2"/>
  <c r="J1323" i="2"/>
  <c r="M1323" i="2" s="1"/>
  <c r="K1323" i="2"/>
  <c r="L1323" i="2"/>
  <c r="N1323" i="2"/>
  <c r="O1323" i="2"/>
  <c r="Q1323" i="2"/>
  <c r="R1323" i="2"/>
  <c r="S1323" i="2"/>
  <c r="E1324" i="2"/>
  <c r="F1324" i="2"/>
  <c r="G1324" i="2"/>
  <c r="H1324" i="2"/>
  <c r="I1324" i="2"/>
  <c r="J1324" i="2"/>
  <c r="K1324" i="2"/>
  <c r="L1324" i="2"/>
  <c r="N1324" i="2"/>
  <c r="O1324" i="2"/>
  <c r="Q1324" i="2"/>
  <c r="R1324" i="2"/>
  <c r="S1324" i="2"/>
  <c r="E1325" i="2"/>
  <c r="F1325" i="2"/>
  <c r="G1325" i="2"/>
  <c r="H1325" i="2"/>
  <c r="I1325" i="2"/>
  <c r="J1325" i="2"/>
  <c r="K1325" i="2"/>
  <c r="L1325" i="2"/>
  <c r="M1325" i="2"/>
  <c r="N1325" i="2"/>
  <c r="O1325" i="2"/>
  <c r="Q1325" i="2"/>
  <c r="R1325" i="2"/>
  <c r="S1325" i="2"/>
  <c r="E1326" i="2"/>
  <c r="F1326" i="2"/>
  <c r="G1326" i="2"/>
  <c r="H1326" i="2"/>
  <c r="M1326" i="2" s="1"/>
  <c r="I1326" i="2"/>
  <c r="J1326" i="2"/>
  <c r="K1326" i="2"/>
  <c r="L1326" i="2"/>
  <c r="N1326" i="2"/>
  <c r="P1326" i="2" s="1"/>
  <c r="O1326" i="2"/>
  <c r="Q1326" i="2"/>
  <c r="R1326" i="2"/>
  <c r="S1326" i="2"/>
  <c r="E1327" i="2"/>
  <c r="F1327" i="2"/>
  <c r="G1327" i="2"/>
  <c r="H1327" i="2"/>
  <c r="I1327" i="2"/>
  <c r="J1327" i="2"/>
  <c r="K1327" i="2"/>
  <c r="M1327" i="2" s="1"/>
  <c r="L1327" i="2"/>
  <c r="N1327" i="2"/>
  <c r="O1327" i="2"/>
  <c r="Q1327" i="2"/>
  <c r="R1327" i="2"/>
  <c r="S1327" i="2"/>
  <c r="E1328" i="2"/>
  <c r="F1328" i="2"/>
  <c r="G1328" i="2"/>
  <c r="H1328" i="2"/>
  <c r="I1328" i="2"/>
  <c r="J1328" i="2"/>
  <c r="K1328" i="2"/>
  <c r="L1328" i="2"/>
  <c r="N1328" i="2"/>
  <c r="O1328" i="2"/>
  <c r="Q1328" i="2"/>
  <c r="R1328" i="2"/>
  <c r="S1328" i="2"/>
  <c r="E1329" i="2"/>
  <c r="F1329" i="2"/>
  <c r="G1329" i="2"/>
  <c r="H1329" i="2"/>
  <c r="I1329" i="2"/>
  <c r="J1329" i="2"/>
  <c r="K1329" i="2"/>
  <c r="L1329" i="2"/>
  <c r="N1329" i="2"/>
  <c r="O1329" i="2"/>
  <c r="P1329" i="2"/>
  <c r="Q1329" i="2"/>
  <c r="R1329" i="2"/>
  <c r="S1329" i="2"/>
  <c r="E1330" i="2"/>
  <c r="P1330" i="2" s="1"/>
  <c r="F1330" i="2"/>
  <c r="G1330" i="2"/>
  <c r="H1330" i="2"/>
  <c r="I1330" i="2"/>
  <c r="J1330" i="2"/>
  <c r="K1330" i="2"/>
  <c r="L1330" i="2"/>
  <c r="M1330" i="2"/>
  <c r="N1330" i="2"/>
  <c r="O1330" i="2"/>
  <c r="Q1330" i="2"/>
  <c r="R1330" i="2"/>
  <c r="S1330" i="2"/>
  <c r="E1331" i="2"/>
  <c r="F1331" i="2"/>
  <c r="G1331" i="2"/>
  <c r="H1331" i="2"/>
  <c r="I1331" i="2"/>
  <c r="J1331" i="2"/>
  <c r="M1331" i="2" s="1"/>
  <c r="K1331" i="2"/>
  <c r="L1331" i="2"/>
  <c r="N1331" i="2"/>
  <c r="O1331" i="2"/>
  <c r="Q1331" i="2"/>
  <c r="R1331" i="2"/>
  <c r="S1331" i="2"/>
  <c r="E1332" i="2"/>
  <c r="F1332" i="2"/>
  <c r="G1332" i="2"/>
  <c r="H1332" i="2"/>
  <c r="I1332" i="2"/>
  <c r="J1332" i="2"/>
  <c r="K1332" i="2"/>
  <c r="L1332" i="2"/>
  <c r="N1332" i="2"/>
  <c r="O1332" i="2"/>
  <c r="Q1332" i="2"/>
  <c r="R1332" i="2"/>
  <c r="S1332" i="2"/>
  <c r="E1333" i="2"/>
  <c r="F1333" i="2"/>
  <c r="G1333" i="2"/>
  <c r="H1333" i="2"/>
  <c r="I1333" i="2"/>
  <c r="J1333" i="2"/>
  <c r="K1333" i="2"/>
  <c r="L1333" i="2"/>
  <c r="M1333" i="2"/>
  <c r="N1333" i="2"/>
  <c r="O1333" i="2"/>
  <c r="Q1333" i="2"/>
  <c r="R1333" i="2"/>
  <c r="S1333" i="2"/>
  <c r="E1334" i="2"/>
  <c r="F1334" i="2"/>
  <c r="G1334" i="2"/>
  <c r="H1334" i="2"/>
  <c r="I1334" i="2"/>
  <c r="J1334" i="2"/>
  <c r="K1334" i="2"/>
  <c r="L1334" i="2"/>
  <c r="N1334" i="2"/>
  <c r="P1334" i="2" s="1"/>
  <c r="O1334" i="2"/>
  <c r="Q1334" i="2"/>
  <c r="R1334" i="2"/>
  <c r="S1334" i="2"/>
  <c r="E1335" i="2"/>
  <c r="F1335" i="2"/>
  <c r="G1335" i="2"/>
  <c r="H1335" i="2"/>
  <c r="I1335" i="2"/>
  <c r="J1335" i="2"/>
  <c r="K1335" i="2"/>
  <c r="M1335" i="2" s="1"/>
  <c r="L1335" i="2"/>
  <c r="N1335" i="2"/>
  <c r="O1335" i="2"/>
  <c r="Q1335" i="2"/>
  <c r="R1335" i="2"/>
  <c r="S1335" i="2"/>
  <c r="E1336" i="2"/>
  <c r="F1336" i="2"/>
  <c r="G1336" i="2"/>
  <c r="H1336" i="2"/>
  <c r="I1336" i="2"/>
  <c r="J1336" i="2"/>
  <c r="K1336" i="2"/>
  <c r="L1336" i="2"/>
  <c r="N1336" i="2"/>
  <c r="O1336" i="2"/>
  <c r="Q1336" i="2"/>
  <c r="R1336" i="2"/>
  <c r="S1336" i="2"/>
  <c r="E1337" i="2"/>
  <c r="F1337" i="2"/>
  <c r="G1337" i="2"/>
  <c r="H1337" i="2"/>
  <c r="I1337" i="2"/>
  <c r="J1337" i="2"/>
  <c r="K1337" i="2"/>
  <c r="L1337" i="2"/>
  <c r="N1337" i="2"/>
  <c r="O1337" i="2"/>
  <c r="P1337" i="2"/>
  <c r="Q1337" i="2"/>
  <c r="R1337" i="2"/>
  <c r="S1337" i="2"/>
  <c r="E1338" i="2"/>
  <c r="F1338" i="2"/>
  <c r="G1338" i="2"/>
  <c r="H1338" i="2"/>
  <c r="I1338" i="2"/>
  <c r="J1338" i="2"/>
  <c r="K1338" i="2"/>
  <c r="L1338" i="2"/>
  <c r="M1338" i="2"/>
  <c r="N1338" i="2"/>
  <c r="O1338" i="2"/>
  <c r="Q1338" i="2"/>
  <c r="R1338" i="2"/>
  <c r="S1338" i="2"/>
  <c r="E1339" i="2"/>
  <c r="F1339" i="2"/>
  <c r="G1339" i="2"/>
  <c r="H1339" i="2"/>
  <c r="I1339" i="2"/>
  <c r="J1339" i="2"/>
  <c r="M1339" i="2" s="1"/>
  <c r="K1339" i="2"/>
  <c r="L1339" i="2"/>
  <c r="N1339" i="2"/>
  <c r="O1339" i="2"/>
  <c r="Q1339" i="2"/>
  <c r="R1339" i="2"/>
  <c r="S1339" i="2"/>
  <c r="E1340" i="2"/>
  <c r="F1340" i="2"/>
  <c r="G1340" i="2"/>
  <c r="H1340" i="2"/>
  <c r="I1340" i="2"/>
  <c r="J1340" i="2"/>
  <c r="K1340" i="2"/>
  <c r="L1340" i="2"/>
  <c r="N1340" i="2"/>
  <c r="O1340" i="2"/>
  <c r="Q1340" i="2"/>
  <c r="R1340" i="2"/>
  <c r="S1340" i="2"/>
  <c r="E1341" i="2"/>
  <c r="F1341" i="2"/>
  <c r="G1341" i="2"/>
  <c r="H1341" i="2"/>
  <c r="I1341" i="2"/>
  <c r="J1341" i="2"/>
  <c r="K1341" i="2"/>
  <c r="L1341" i="2"/>
  <c r="M1341" i="2"/>
  <c r="N1341" i="2"/>
  <c r="O1341" i="2"/>
  <c r="Q1341" i="2"/>
  <c r="R1341" i="2"/>
  <c r="S1341" i="2"/>
  <c r="E1342" i="2"/>
  <c r="F1342" i="2"/>
  <c r="G1342" i="2"/>
  <c r="H1342" i="2"/>
  <c r="M1342" i="2" s="1"/>
  <c r="I1342" i="2"/>
  <c r="J1342" i="2"/>
  <c r="K1342" i="2"/>
  <c r="L1342" i="2"/>
  <c r="N1342" i="2"/>
  <c r="P1342" i="2" s="1"/>
  <c r="O1342" i="2"/>
  <c r="Q1342" i="2"/>
  <c r="R1342" i="2"/>
  <c r="S1342" i="2"/>
  <c r="E1343" i="2"/>
  <c r="F1343" i="2"/>
  <c r="G1343" i="2"/>
  <c r="H1343" i="2"/>
  <c r="I1343" i="2"/>
  <c r="J1343" i="2"/>
  <c r="K1343" i="2"/>
  <c r="M1343" i="2" s="1"/>
  <c r="L1343" i="2"/>
  <c r="N1343" i="2"/>
  <c r="O1343" i="2"/>
  <c r="Q1343" i="2"/>
  <c r="R1343" i="2"/>
  <c r="S1343" i="2"/>
  <c r="E1344" i="2"/>
  <c r="F1344" i="2"/>
  <c r="G1344" i="2"/>
  <c r="H1344" i="2"/>
  <c r="I1344" i="2"/>
  <c r="J1344" i="2"/>
  <c r="K1344" i="2"/>
  <c r="L1344" i="2"/>
  <c r="N1344" i="2"/>
  <c r="O1344" i="2"/>
  <c r="Q1344" i="2"/>
  <c r="R1344" i="2"/>
  <c r="S1344" i="2"/>
  <c r="E1345" i="2"/>
  <c r="F1345" i="2"/>
  <c r="G1345" i="2"/>
  <c r="H1345" i="2"/>
  <c r="I1345" i="2"/>
  <c r="J1345" i="2"/>
  <c r="K1345" i="2"/>
  <c r="L1345" i="2"/>
  <c r="N1345" i="2"/>
  <c r="O1345" i="2"/>
  <c r="P1345" i="2"/>
  <c r="Q1345" i="2"/>
  <c r="R1345" i="2"/>
  <c r="S1345" i="2"/>
  <c r="E1346" i="2"/>
  <c r="P1346" i="2" s="1"/>
  <c r="F1346" i="2"/>
  <c r="G1346" i="2"/>
  <c r="H1346" i="2"/>
  <c r="I1346" i="2"/>
  <c r="J1346" i="2"/>
  <c r="K1346" i="2"/>
  <c r="L1346" i="2"/>
  <c r="M1346" i="2"/>
  <c r="N1346" i="2"/>
  <c r="O1346" i="2"/>
  <c r="Q1346" i="2"/>
  <c r="R1346" i="2"/>
  <c r="S1346" i="2"/>
  <c r="E1347" i="2"/>
  <c r="F1347" i="2"/>
  <c r="G1347" i="2"/>
  <c r="H1347" i="2"/>
  <c r="I1347" i="2"/>
  <c r="J1347" i="2"/>
  <c r="M1347" i="2" s="1"/>
  <c r="K1347" i="2"/>
  <c r="L1347" i="2"/>
  <c r="N1347" i="2"/>
  <c r="O1347" i="2"/>
  <c r="Q1347" i="2"/>
  <c r="R1347" i="2"/>
  <c r="S1347" i="2"/>
  <c r="E1348" i="2"/>
  <c r="F1348" i="2"/>
  <c r="G1348" i="2"/>
  <c r="H1348" i="2"/>
  <c r="I1348" i="2"/>
  <c r="J1348" i="2"/>
  <c r="K1348" i="2"/>
  <c r="L1348" i="2"/>
  <c r="N1348" i="2"/>
  <c r="O1348" i="2"/>
  <c r="Q1348" i="2"/>
  <c r="R1348" i="2"/>
  <c r="S1348" i="2"/>
  <c r="E1349" i="2"/>
  <c r="F1349" i="2"/>
  <c r="G1349" i="2"/>
  <c r="H1349" i="2"/>
  <c r="I1349" i="2"/>
  <c r="J1349" i="2"/>
  <c r="K1349" i="2"/>
  <c r="L1349" i="2"/>
  <c r="M1349" i="2"/>
  <c r="N1349" i="2"/>
  <c r="O1349" i="2"/>
  <c r="Q1349" i="2"/>
  <c r="R1349" i="2"/>
  <c r="S1349" i="2"/>
  <c r="E1350" i="2"/>
  <c r="F1350" i="2"/>
  <c r="G1350" i="2"/>
  <c r="H1350" i="2"/>
  <c r="I1350" i="2"/>
  <c r="J1350" i="2"/>
  <c r="K1350" i="2"/>
  <c r="L1350" i="2"/>
  <c r="N1350" i="2"/>
  <c r="P1350" i="2" s="1"/>
  <c r="O1350" i="2"/>
  <c r="Q1350" i="2"/>
  <c r="R1350" i="2"/>
  <c r="S1350" i="2"/>
  <c r="E1351" i="2"/>
  <c r="F1351" i="2"/>
  <c r="G1351" i="2"/>
  <c r="H1351" i="2"/>
  <c r="I1351" i="2"/>
  <c r="J1351" i="2"/>
  <c r="K1351" i="2"/>
  <c r="M1351" i="2" s="1"/>
  <c r="L1351" i="2"/>
  <c r="N1351" i="2"/>
  <c r="O1351" i="2"/>
  <c r="Q1351" i="2"/>
  <c r="R1351" i="2"/>
  <c r="S1351" i="2"/>
  <c r="E1352" i="2"/>
  <c r="F1352" i="2"/>
  <c r="G1352" i="2"/>
  <c r="H1352" i="2"/>
  <c r="I1352" i="2"/>
  <c r="J1352" i="2"/>
  <c r="K1352" i="2"/>
  <c r="L1352" i="2"/>
  <c r="N1352" i="2"/>
  <c r="O1352" i="2"/>
  <c r="Q1352" i="2"/>
  <c r="R1352" i="2"/>
  <c r="S1352" i="2"/>
  <c r="E1353" i="2"/>
  <c r="F1353" i="2"/>
  <c r="G1353" i="2"/>
  <c r="H1353" i="2"/>
  <c r="I1353" i="2"/>
  <c r="J1353" i="2"/>
  <c r="K1353" i="2"/>
  <c r="L1353" i="2"/>
  <c r="N1353" i="2"/>
  <c r="O1353" i="2"/>
  <c r="P1353" i="2"/>
  <c r="Q1353" i="2"/>
  <c r="R1353" i="2"/>
  <c r="S1353" i="2"/>
  <c r="E1354" i="2"/>
  <c r="F1354" i="2"/>
  <c r="G1354" i="2"/>
  <c r="H1354" i="2"/>
  <c r="I1354" i="2"/>
  <c r="J1354" i="2"/>
  <c r="K1354" i="2"/>
  <c r="L1354" i="2"/>
  <c r="M1354" i="2"/>
  <c r="N1354" i="2"/>
  <c r="O1354" i="2"/>
  <c r="Q1354" i="2"/>
  <c r="R1354" i="2"/>
  <c r="S1354" i="2"/>
  <c r="E1355" i="2"/>
  <c r="F1355" i="2"/>
  <c r="G1355" i="2"/>
  <c r="H1355" i="2"/>
  <c r="I1355" i="2"/>
  <c r="J1355" i="2"/>
  <c r="M1355" i="2" s="1"/>
  <c r="K1355" i="2"/>
  <c r="L1355" i="2"/>
  <c r="N1355" i="2"/>
  <c r="O1355" i="2"/>
  <c r="Q1355" i="2"/>
  <c r="R1355" i="2"/>
  <c r="S1355" i="2"/>
  <c r="E1356" i="2"/>
  <c r="F1356" i="2"/>
  <c r="G1356" i="2"/>
  <c r="H1356" i="2"/>
  <c r="I1356" i="2"/>
  <c r="J1356" i="2"/>
  <c r="K1356" i="2"/>
  <c r="L1356" i="2"/>
  <c r="N1356" i="2"/>
  <c r="O1356" i="2"/>
  <c r="Q1356" i="2"/>
  <c r="R1356" i="2"/>
  <c r="S1356" i="2"/>
  <c r="E1357" i="2"/>
  <c r="F1357" i="2"/>
  <c r="G1357" i="2"/>
  <c r="H1357" i="2"/>
  <c r="I1357" i="2"/>
  <c r="J1357" i="2"/>
  <c r="K1357" i="2"/>
  <c r="L1357" i="2"/>
  <c r="M1357" i="2"/>
  <c r="N1357" i="2"/>
  <c r="O1357" i="2"/>
  <c r="Q1357" i="2"/>
  <c r="R1357" i="2"/>
  <c r="S1357" i="2"/>
  <c r="E1358" i="2"/>
  <c r="F1358" i="2"/>
  <c r="G1358" i="2"/>
  <c r="H1358" i="2"/>
  <c r="M1358" i="2" s="1"/>
  <c r="I1358" i="2"/>
  <c r="J1358" i="2"/>
  <c r="K1358" i="2"/>
  <c r="L1358" i="2"/>
  <c r="N1358" i="2"/>
  <c r="P1358" i="2" s="1"/>
  <c r="O1358" i="2"/>
  <c r="Q1358" i="2"/>
  <c r="R1358" i="2"/>
  <c r="S1358" i="2"/>
  <c r="E1359" i="2"/>
  <c r="F1359" i="2"/>
  <c r="G1359" i="2"/>
  <c r="H1359" i="2"/>
  <c r="I1359" i="2"/>
  <c r="J1359" i="2"/>
  <c r="K1359" i="2"/>
  <c r="M1359" i="2" s="1"/>
  <c r="L1359" i="2"/>
  <c r="N1359" i="2"/>
  <c r="O1359" i="2"/>
  <c r="Q1359" i="2"/>
  <c r="R1359" i="2"/>
  <c r="S1359" i="2"/>
  <c r="E1360" i="2"/>
  <c r="F1360" i="2"/>
  <c r="G1360" i="2"/>
  <c r="H1360" i="2"/>
  <c r="I1360" i="2"/>
  <c r="J1360" i="2"/>
  <c r="K1360" i="2"/>
  <c r="L1360" i="2"/>
  <c r="N1360" i="2"/>
  <c r="O1360" i="2"/>
  <c r="Q1360" i="2"/>
  <c r="R1360" i="2"/>
  <c r="S1360" i="2"/>
  <c r="E1361" i="2"/>
  <c r="F1361" i="2"/>
  <c r="G1361" i="2"/>
  <c r="H1361" i="2"/>
  <c r="I1361" i="2"/>
  <c r="J1361" i="2"/>
  <c r="K1361" i="2"/>
  <c r="L1361" i="2"/>
  <c r="N1361" i="2"/>
  <c r="O1361" i="2"/>
  <c r="P1361" i="2"/>
  <c r="Q1361" i="2"/>
  <c r="R1361" i="2"/>
  <c r="S1361" i="2"/>
  <c r="E1362" i="2"/>
  <c r="P1362" i="2" s="1"/>
  <c r="F1362" i="2"/>
  <c r="G1362" i="2"/>
  <c r="H1362" i="2"/>
  <c r="I1362" i="2"/>
  <c r="J1362" i="2"/>
  <c r="K1362" i="2"/>
  <c r="L1362" i="2"/>
  <c r="M1362" i="2"/>
  <c r="N1362" i="2"/>
  <c r="O1362" i="2"/>
  <c r="Q1362" i="2"/>
  <c r="R1362" i="2"/>
  <c r="S1362" i="2"/>
  <c r="E1363" i="2"/>
  <c r="F1363" i="2"/>
  <c r="G1363" i="2"/>
  <c r="H1363" i="2"/>
  <c r="I1363" i="2"/>
  <c r="J1363" i="2"/>
  <c r="M1363" i="2" s="1"/>
  <c r="K1363" i="2"/>
  <c r="L1363" i="2"/>
  <c r="N1363" i="2"/>
  <c r="O1363" i="2"/>
  <c r="Q1363" i="2"/>
  <c r="R1363" i="2"/>
  <c r="S1363" i="2"/>
  <c r="E1364" i="2"/>
  <c r="F1364" i="2"/>
  <c r="G1364" i="2"/>
  <c r="H1364" i="2"/>
  <c r="I1364" i="2"/>
  <c r="J1364" i="2"/>
  <c r="K1364" i="2"/>
  <c r="L1364" i="2"/>
  <c r="N1364" i="2"/>
  <c r="O1364" i="2"/>
  <c r="Q1364" i="2"/>
  <c r="R1364" i="2"/>
  <c r="S1364" i="2"/>
  <c r="E1365" i="2"/>
  <c r="F1365" i="2"/>
  <c r="G1365" i="2"/>
  <c r="H1365" i="2"/>
  <c r="I1365" i="2"/>
  <c r="J1365" i="2"/>
  <c r="K1365" i="2"/>
  <c r="L1365" i="2"/>
  <c r="M1365" i="2"/>
  <c r="N1365" i="2"/>
  <c r="O1365" i="2"/>
  <c r="Q1365" i="2"/>
  <c r="R1365" i="2"/>
  <c r="S1365" i="2"/>
  <c r="E1366" i="2"/>
  <c r="F1366" i="2"/>
  <c r="G1366" i="2"/>
  <c r="H1366" i="2"/>
  <c r="I1366" i="2"/>
  <c r="J1366" i="2"/>
  <c r="K1366" i="2"/>
  <c r="L1366" i="2"/>
  <c r="N1366" i="2"/>
  <c r="P1366" i="2" s="1"/>
  <c r="O1366" i="2"/>
  <c r="Q1366" i="2"/>
  <c r="R1366" i="2"/>
  <c r="S1366" i="2"/>
  <c r="E1367" i="2"/>
  <c r="F1367" i="2"/>
  <c r="G1367" i="2"/>
  <c r="H1367" i="2"/>
  <c r="I1367" i="2"/>
  <c r="J1367" i="2"/>
  <c r="K1367" i="2"/>
  <c r="M1367" i="2" s="1"/>
  <c r="L1367" i="2"/>
  <c r="N1367" i="2"/>
  <c r="O1367" i="2"/>
  <c r="Q1367" i="2"/>
  <c r="R1367" i="2"/>
  <c r="S1367" i="2"/>
  <c r="E1368" i="2"/>
  <c r="F1368" i="2"/>
  <c r="G1368" i="2"/>
  <c r="H1368" i="2"/>
  <c r="I1368" i="2"/>
  <c r="J1368" i="2"/>
  <c r="K1368" i="2"/>
  <c r="L1368" i="2"/>
  <c r="N1368" i="2"/>
  <c r="O1368" i="2"/>
  <c r="Q1368" i="2"/>
  <c r="R1368" i="2"/>
  <c r="S1368" i="2"/>
  <c r="E1369" i="2"/>
  <c r="F1369" i="2"/>
  <c r="G1369" i="2"/>
  <c r="H1369" i="2"/>
  <c r="I1369" i="2"/>
  <c r="J1369" i="2"/>
  <c r="K1369" i="2"/>
  <c r="L1369" i="2"/>
  <c r="N1369" i="2"/>
  <c r="O1369" i="2"/>
  <c r="P1369" i="2"/>
  <c r="Q1369" i="2"/>
  <c r="R1369" i="2"/>
  <c r="S1369" i="2"/>
  <c r="E1370" i="2"/>
  <c r="F1370" i="2"/>
  <c r="G1370" i="2"/>
  <c r="H1370" i="2"/>
  <c r="I1370" i="2"/>
  <c r="J1370" i="2"/>
  <c r="K1370" i="2"/>
  <c r="L1370" i="2"/>
  <c r="M1370" i="2"/>
  <c r="N1370" i="2"/>
  <c r="O1370" i="2"/>
  <c r="Q1370" i="2"/>
  <c r="R1370" i="2"/>
  <c r="S1370" i="2"/>
  <c r="E1371" i="2"/>
  <c r="F1371" i="2"/>
  <c r="G1371" i="2"/>
  <c r="H1371" i="2"/>
  <c r="I1371" i="2"/>
  <c r="J1371" i="2"/>
  <c r="M1371" i="2" s="1"/>
  <c r="K1371" i="2"/>
  <c r="L1371" i="2"/>
  <c r="N1371" i="2"/>
  <c r="O1371" i="2"/>
  <c r="Q1371" i="2"/>
  <c r="R1371" i="2"/>
  <c r="S1371" i="2"/>
  <c r="E1372" i="2"/>
  <c r="F1372" i="2"/>
  <c r="G1372" i="2"/>
  <c r="H1372" i="2"/>
  <c r="I1372" i="2"/>
  <c r="J1372" i="2"/>
  <c r="K1372" i="2"/>
  <c r="L1372" i="2"/>
  <c r="N1372" i="2"/>
  <c r="O1372" i="2"/>
  <c r="Q1372" i="2"/>
  <c r="R1372" i="2"/>
  <c r="S1372" i="2"/>
  <c r="E1373" i="2"/>
  <c r="F1373" i="2"/>
  <c r="G1373" i="2"/>
  <c r="H1373" i="2"/>
  <c r="I1373" i="2"/>
  <c r="J1373" i="2"/>
  <c r="K1373" i="2"/>
  <c r="L1373" i="2"/>
  <c r="M1373" i="2"/>
  <c r="N1373" i="2"/>
  <c r="O1373" i="2"/>
  <c r="Q1373" i="2"/>
  <c r="R1373" i="2"/>
  <c r="S1373" i="2"/>
  <c r="E1374" i="2"/>
  <c r="F1374" i="2"/>
  <c r="G1374" i="2"/>
  <c r="H1374" i="2"/>
  <c r="M1374" i="2" s="1"/>
  <c r="I1374" i="2"/>
  <c r="J1374" i="2"/>
  <c r="K1374" i="2"/>
  <c r="L1374" i="2"/>
  <c r="N1374" i="2"/>
  <c r="P1374" i="2" s="1"/>
  <c r="O1374" i="2"/>
  <c r="Q1374" i="2"/>
  <c r="R1374" i="2"/>
  <c r="S1374" i="2"/>
  <c r="E1375" i="2"/>
  <c r="F1375" i="2"/>
  <c r="G1375" i="2"/>
  <c r="H1375" i="2"/>
  <c r="I1375" i="2"/>
  <c r="J1375" i="2"/>
  <c r="K1375" i="2"/>
  <c r="M1375" i="2" s="1"/>
  <c r="L1375" i="2"/>
  <c r="N1375" i="2"/>
  <c r="O1375" i="2"/>
  <c r="Q1375" i="2"/>
  <c r="R1375" i="2"/>
  <c r="S1375" i="2"/>
  <c r="E1376" i="2"/>
  <c r="F1376" i="2"/>
  <c r="G1376" i="2"/>
  <c r="H1376" i="2"/>
  <c r="I1376" i="2"/>
  <c r="J1376" i="2"/>
  <c r="K1376" i="2"/>
  <c r="L1376" i="2"/>
  <c r="N1376" i="2"/>
  <c r="O1376" i="2"/>
  <c r="Q1376" i="2"/>
  <c r="R1376" i="2"/>
  <c r="S1376" i="2"/>
  <c r="E1377" i="2"/>
  <c r="F1377" i="2"/>
  <c r="G1377" i="2"/>
  <c r="H1377" i="2"/>
  <c r="I1377" i="2"/>
  <c r="J1377" i="2"/>
  <c r="K1377" i="2"/>
  <c r="L1377" i="2"/>
  <c r="N1377" i="2"/>
  <c r="O1377" i="2"/>
  <c r="P1377" i="2"/>
  <c r="Q1377" i="2"/>
  <c r="R1377" i="2"/>
  <c r="S1377" i="2"/>
  <c r="E1378" i="2"/>
  <c r="P1378" i="2" s="1"/>
  <c r="F1378" i="2"/>
  <c r="G1378" i="2"/>
  <c r="H1378" i="2"/>
  <c r="I1378" i="2"/>
  <c r="J1378" i="2"/>
  <c r="K1378" i="2"/>
  <c r="L1378" i="2"/>
  <c r="M1378" i="2"/>
  <c r="N1378" i="2"/>
  <c r="O1378" i="2"/>
  <c r="Q1378" i="2"/>
  <c r="R1378" i="2"/>
  <c r="S1378" i="2"/>
  <c r="E1379" i="2"/>
  <c r="F1379" i="2"/>
  <c r="G1379" i="2"/>
  <c r="H1379" i="2"/>
  <c r="I1379" i="2"/>
  <c r="J1379" i="2"/>
  <c r="M1379" i="2" s="1"/>
  <c r="K1379" i="2"/>
  <c r="L1379" i="2"/>
  <c r="N1379" i="2"/>
  <c r="O1379" i="2"/>
  <c r="Q1379" i="2"/>
  <c r="R1379" i="2"/>
  <c r="S1379" i="2"/>
  <c r="E1380" i="2"/>
  <c r="F1380" i="2"/>
  <c r="G1380" i="2"/>
  <c r="H1380" i="2"/>
  <c r="I1380" i="2"/>
  <c r="J1380" i="2"/>
  <c r="K1380" i="2"/>
  <c r="L1380" i="2"/>
  <c r="N1380" i="2"/>
  <c r="O1380" i="2"/>
  <c r="Q1380" i="2"/>
  <c r="R1380" i="2"/>
  <c r="S1380" i="2"/>
  <c r="E1381" i="2"/>
  <c r="F1381" i="2"/>
  <c r="G1381" i="2"/>
  <c r="H1381" i="2"/>
  <c r="I1381" i="2"/>
  <c r="J1381" i="2"/>
  <c r="K1381" i="2"/>
  <c r="L1381" i="2"/>
  <c r="M1381" i="2"/>
  <c r="N1381" i="2"/>
  <c r="O1381" i="2"/>
  <c r="Q1381" i="2"/>
  <c r="R1381" i="2"/>
  <c r="S1381" i="2"/>
  <c r="E1382" i="2"/>
  <c r="F1382" i="2"/>
  <c r="G1382" i="2"/>
  <c r="H1382" i="2"/>
  <c r="I1382" i="2"/>
  <c r="J1382" i="2"/>
  <c r="K1382" i="2"/>
  <c r="L1382" i="2"/>
  <c r="N1382" i="2"/>
  <c r="P1382" i="2" s="1"/>
  <c r="O1382" i="2"/>
  <c r="Q1382" i="2"/>
  <c r="R1382" i="2"/>
  <c r="S1382" i="2"/>
  <c r="E1383" i="2"/>
  <c r="F1383" i="2"/>
  <c r="G1383" i="2"/>
  <c r="H1383" i="2"/>
  <c r="I1383" i="2"/>
  <c r="J1383" i="2"/>
  <c r="K1383" i="2"/>
  <c r="M1383" i="2" s="1"/>
  <c r="L1383" i="2"/>
  <c r="N1383" i="2"/>
  <c r="O1383" i="2"/>
  <c r="Q1383" i="2"/>
  <c r="R1383" i="2"/>
  <c r="S1383" i="2"/>
  <c r="E1384" i="2"/>
  <c r="F1384" i="2"/>
  <c r="G1384" i="2"/>
  <c r="H1384" i="2"/>
  <c r="I1384" i="2"/>
  <c r="J1384" i="2"/>
  <c r="K1384" i="2"/>
  <c r="L1384" i="2"/>
  <c r="N1384" i="2"/>
  <c r="O1384" i="2"/>
  <c r="Q1384" i="2"/>
  <c r="R1384" i="2"/>
  <c r="S1384" i="2"/>
  <c r="E1385" i="2"/>
  <c r="F1385" i="2"/>
  <c r="G1385" i="2"/>
  <c r="H1385" i="2"/>
  <c r="I1385" i="2"/>
  <c r="J1385" i="2"/>
  <c r="K1385" i="2"/>
  <c r="L1385" i="2"/>
  <c r="N1385" i="2"/>
  <c r="O1385" i="2"/>
  <c r="P1385" i="2"/>
  <c r="Q1385" i="2"/>
  <c r="R1385" i="2"/>
  <c r="S1385" i="2"/>
  <c r="E1386" i="2"/>
  <c r="F1386" i="2"/>
  <c r="G1386" i="2"/>
  <c r="H1386" i="2"/>
  <c r="I1386" i="2"/>
  <c r="J1386" i="2"/>
  <c r="K1386" i="2"/>
  <c r="L1386" i="2"/>
  <c r="M1386" i="2"/>
  <c r="N1386" i="2"/>
  <c r="O1386" i="2"/>
  <c r="Q1386" i="2"/>
  <c r="R1386" i="2"/>
  <c r="S1386" i="2"/>
  <c r="E1387" i="2"/>
  <c r="F1387" i="2"/>
  <c r="G1387" i="2"/>
  <c r="H1387" i="2"/>
  <c r="I1387" i="2"/>
  <c r="J1387" i="2"/>
  <c r="M1387" i="2" s="1"/>
  <c r="K1387" i="2"/>
  <c r="L1387" i="2"/>
  <c r="N1387" i="2"/>
  <c r="O1387" i="2"/>
  <c r="Q1387" i="2"/>
  <c r="R1387" i="2"/>
  <c r="S1387" i="2"/>
  <c r="E1388" i="2"/>
  <c r="F1388" i="2"/>
  <c r="G1388" i="2"/>
  <c r="H1388" i="2"/>
  <c r="I1388" i="2"/>
  <c r="J1388" i="2"/>
  <c r="K1388" i="2"/>
  <c r="L1388" i="2"/>
  <c r="N1388" i="2"/>
  <c r="O1388" i="2"/>
  <c r="Q1388" i="2"/>
  <c r="R1388" i="2"/>
  <c r="S1388" i="2"/>
  <c r="E1389" i="2"/>
  <c r="F1389" i="2"/>
  <c r="G1389" i="2"/>
  <c r="H1389" i="2"/>
  <c r="I1389" i="2"/>
  <c r="J1389" i="2"/>
  <c r="K1389" i="2"/>
  <c r="L1389" i="2"/>
  <c r="M1389" i="2"/>
  <c r="N1389" i="2"/>
  <c r="O1389" i="2"/>
  <c r="Q1389" i="2"/>
  <c r="R1389" i="2"/>
  <c r="S1389" i="2"/>
  <c r="E1390" i="2"/>
  <c r="F1390" i="2"/>
  <c r="G1390" i="2"/>
  <c r="H1390" i="2"/>
  <c r="M1390" i="2" s="1"/>
  <c r="I1390" i="2"/>
  <c r="J1390" i="2"/>
  <c r="K1390" i="2"/>
  <c r="L1390" i="2"/>
  <c r="N1390" i="2"/>
  <c r="P1390" i="2" s="1"/>
  <c r="O1390" i="2"/>
  <c r="Q1390" i="2"/>
  <c r="R1390" i="2"/>
  <c r="S1390" i="2"/>
  <c r="E1391" i="2"/>
  <c r="F1391" i="2"/>
  <c r="G1391" i="2"/>
  <c r="H1391" i="2"/>
  <c r="I1391" i="2"/>
  <c r="J1391" i="2"/>
  <c r="K1391" i="2"/>
  <c r="M1391" i="2" s="1"/>
  <c r="L1391" i="2"/>
  <c r="N1391" i="2"/>
  <c r="O1391" i="2"/>
  <c r="Q1391" i="2"/>
  <c r="R1391" i="2"/>
  <c r="S1391" i="2"/>
  <c r="E1392" i="2"/>
  <c r="F1392" i="2"/>
  <c r="G1392" i="2"/>
  <c r="H1392" i="2"/>
  <c r="I1392" i="2"/>
  <c r="J1392" i="2"/>
  <c r="K1392" i="2"/>
  <c r="L1392" i="2"/>
  <c r="N1392" i="2"/>
  <c r="O1392" i="2"/>
  <c r="Q1392" i="2"/>
  <c r="R1392" i="2"/>
  <c r="S1392" i="2"/>
  <c r="E1393" i="2"/>
  <c r="F1393" i="2"/>
  <c r="G1393" i="2"/>
  <c r="H1393" i="2"/>
  <c r="I1393" i="2"/>
  <c r="J1393" i="2"/>
  <c r="K1393" i="2"/>
  <c r="L1393" i="2"/>
  <c r="N1393" i="2"/>
  <c r="O1393" i="2"/>
  <c r="P1393" i="2"/>
  <c r="Q1393" i="2"/>
  <c r="R1393" i="2"/>
  <c r="S1393" i="2"/>
  <c r="E1394" i="2"/>
  <c r="P1394" i="2" s="1"/>
  <c r="F1394" i="2"/>
  <c r="G1394" i="2"/>
  <c r="H1394" i="2"/>
  <c r="I1394" i="2"/>
  <c r="J1394" i="2"/>
  <c r="K1394" i="2"/>
  <c r="L1394" i="2"/>
  <c r="M1394" i="2"/>
  <c r="N1394" i="2"/>
  <c r="O1394" i="2"/>
  <c r="Q1394" i="2"/>
  <c r="R1394" i="2"/>
  <c r="S1394" i="2"/>
  <c r="E1395" i="2"/>
  <c r="F1395" i="2"/>
  <c r="G1395" i="2"/>
  <c r="H1395" i="2"/>
  <c r="I1395" i="2"/>
  <c r="J1395" i="2"/>
  <c r="M1395" i="2" s="1"/>
  <c r="K1395" i="2"/>
  <c r="L1395" i="2"/>
  <c r="N1395" i="2"/>
  <c r="O1395" i="2"/>
  <c r="Q1395" i="2"/>
  <c r="R1395" i="2"/>
  <c r="S1395" i="2"/>
  <c r="E1396" i="2"/>
  <c r="F1396" i="2"/>
  <c r="G1396" i="2"/>
  <c r="H1396" i="2"/>
  <c r="I1396" i="2"/>
  <c r="J1396" i="2"/>
  <c r="K1396" i="2"/>
  <c r="L1396" i="2"/>
  <c r="N1396" i="2"/>
  <c r="O1396" i="2"/>
  <c r="Q1396" i="2"/>
  <c r="R1396" i="2"/>
  <c r="S1396" i="2"/>
  <c r="E1397" i="2"/>
  <c r="F1397" i="2"/>
  <c r="G1397" i="2"/>
  <c r="H1397" i="2"/>
  <c r="I1397" i="2"/>
  <c r="J1397" i="2"/>
  <c r="K1397" i="2"/>
  <c r="L1397" i="2"/>
  <c r="M1397" i="2"/>
  <c r="N1397" i="2"/>
  <c r="O1397" i="2"/>
  <c r="Q1397" i="2"/>
  <c r="R1397" i="2"/>
  <c r="S1397" i="2"/>
  <c r="E1398" i="2"/>
  <c r="F1398" i="2"/>
  <c r="G1398" i="2"/>
  <c r="H1398" i="2"/>
  <c r="I1398" i="2"/>
  <c r="J1398" i="2"/>
  <c r="K1398" i="2"/>
  <c r="L1398" i="2"/>
  <c r="N1398" i="2"/>
  <c r="P1398" i="2" s="1"/>
  <c r="O1398" i="2"/>
  <c r="Q1398" i="2"/>
  <c r="R1398" i="2"/>
  <c r="S1398" i="2"/>
  <c r="E1399" i="2"/>
  <c r="F1399" i="2"/>
  <c r="G1399" i="2"/>
  <c r="H1399" i="2"/>
  <c r="I1399" i="2"/>
  <c r="J1399" i="2"/>
  <c r="K1399" i="2"/>
  <c r="M1399" i="2" s="1"/>
  <c r="L1399" i="2"/>
  <c r="N1399" i="2"/>
  <c r="O1399" i="2"/>
  <c r="Q1399" i="2"/>
  <c r="R1399" i="2"/>
  <c r="S1399" i="2"/>
  <c r="E1400" i="2"/>
  <c r="F1400" i="2"/>
  <c r="G1400" i="2"/>
  <c r="H1400" i="2"/>
  <c r="I1400" i="2"/>
  <c r="J1400" i="2"/>
  <c r="K1400" i="2"/>
  <c r="L1400" i="2"/>
  <c r="N1400" i="2"/>
  <c r="O1400" i="2"/>
  <c r="Q1400" i="2"/>
  <c r="R1400" i="2"/>
  <c r="S1400" i="2"/>
  <c r="E1401" i="2"/>
  <c r="F1401" i="2"/>
  <c r="G1401" i="2"/>
  <c r="H1401" i="2"/>
  <c r="I1401" i="2"/>
  <c r="J1401" i="2"/>
  <c r="K1401" i="2"/>
  <c r="L1401" i="2"/>
  <c r="N1401" i="2"/>
  <c r="O1401" i="2"/>
  <c r="P1401" i="2"/>
  <c r="Q1401" i="2"/>
  <c r="R1401" i="2"/>
  <c r="S1401" i="2"/>
  <c r="E1402" i="2"/>
  <c r="F1402" i="2"/>
  <c r="G1402" i="2"/>
  <c r="H1402" i="2"/>
  <c r="I1402" i="2"/>
  <c r="J1402" i="2"/>
  <c r="K1402" i="2"/>
  <c r="L1402" i="2"/>
  <c r="M1402" i="2"/>
  <c r="N1402" i="2"/>
  <c r="O1402" i="2"/>
  <c r="Q1402" i="2"/>
  <c r="R1402" i="2"/>
  <c r="S1402" i="2"/>
  <c r="E1403" i="2"/>
  <c r="F1403" i="2"/>
  <c r="G1403" i="2"/>
  <c r="H1403" i="2"/>
  <c r="I1403" i="2"/>
  <c r="J1403" i="2"/>
  <c r="M1403" i="2" s="1"/>
  <c r="K1403" i="2"/>
  <c r="L1403" i="2"/>
  <c r="N1403" i="2"/>
  <c r="O1403" i="2"/>
  <c r="Q1403" i="2"/>
  <c r="R1403" i="2"/>
  <c r="S1403" i="2"/>
  <c r="E1404" i="2"/>
  <c r="F1404" i="2"/>
  <c r="G1404" i="2"/>
  <c r="H1404" i="2"/>
  <c r="I1404" i="2"/>
  <c r="J1404" i="2"/>
  <c r="K1404" i="2"/>
  <c r="L1404" i="2"/>
  <c r="N1404" i="2"/>
  <c r="O1404" i="2"/>
  <c r="Q1404" i="2"/>
  <c r="R1404" i="2"/>
  <c r="S1404" i="2"/>
  <c r="E1405" i="2"/>
  <c r="F1405" i="2"/>
  <c r="G1405" i="2"/>
  <c r="H1405" i="2"/>
  <c r="I1405" i="2"/>
  <c r="J1405" i="2"/>
  <c r="K1405" i="2"/>
  <c r="L1405" i="2"/>
  <c r="M1405" i="2"/>
  <c r="N1405" i="2"/>
  <c r="O1405" i="2"/>
  <c r="Q1405" i="2"/>
  <c r="R1405" i="2"/>
  <c r="S1405" i="2"/>
  <c r="E1406" i="2"/>
  <c r="F1406" i="2"/>
  <c r="G1406" i="2"/>
  <c r="H1406" i="2"/>
  <c r="M1406" i="2" s="1"/>
  <c r="I1406" i="2"/>
  <c r="J1406" i="2"/>
  <c r="K1406" i="2"/>
  <c r="L1406" i="2"/>
  <c r="N1406" i="2"/>
  <c r="P1406" i="2" s="1"/>
  <c r="O1406" i="2"/>
  <c r="Q1406" i="2"/>
  <c r="R1406" i="2"/>
  <c r="S1406" i="2"/>
  <c r="E1407" i="2"/>
  <c r="F1407" i="2"/>
  <c r="G1407" i="2"/>
  <c r="H1407" i="2"/>
  <c r="I1407" i="2"/>
  <c r="J1407" i="2"/>
  <c r="K1407" i="2"/>
  <c r="M1407" i="2" s="1"/>
  <c r="L1407" i="2"/>
  <c r="N1407" i="2"/>
  <c r="O1407" i="2"/>
  <c r="Q1407" i="2"/>
  <c r="R1407" i="2"/>
  <c r="S1407" i="2"/>
  <c r="E1408" i="2"/>
  <c r="F1408" i="2"/>
  <c r="G1408" i="2"/>
  <c r="H1408" i="2"/>
  <c r="I1408" i="2"/>
  <c r="J1408" i="2"/>
  <c r="K1408" i="2"/>
  <c r="L1408" i="2"/>
  <c r="N1408" i="2"/>
  <c r="O1408" i="2"/>
  <c r="Q1408" i="2"/>
  <c r="R1408" i="2"/>
  <c r="S1408" i="2"/>
  <c r="E1409" i="2"/>
  <c r="F1409" i="2"/>
  <c r="G1409" i="2"/>
  <c r="H1409" i="2"/>
  <c r="I1409" i="2"/>
  <c r="J1409" i="2"/>
  <c r="K1409" i="2"/>
  <c r="L1409" i="2"/>
  <c r="N1409" i="2"/>
  <c r="O1409" i="2"/>
  <c r="P1409" i="2"/>
  <c r="Q1409" i="2"/>
  <c r="R1409" i="2"/>
  <c r="S1409" i="2"/>
  <c r="E1410" i="2"/>
  <c r="P1410" i="2" s="1"/>
  <c r="F1410" i="2"/>
  <c r="G1410" i="2"/>
  <c r="H1410" i="2"/>
  <c r="I1410" i="2"/>
  <c r="J1410" i="2"/>
  <c r="K1410" i="2"/>
  <c r="L1410" i="2"/>
  <c r="M1410" i="2"/>
  <c r="N1410" i="2"/>
  <c r="O1410" i="2"/>
  <c r="Q1410" i="2"/>
  <c r="R1410" i="2"/>
  <c r="S1410" i="2"/>
  <c r="E1411" i="2"/>
  <c r="F1411" i="2"/>
  <c r="G1411" i="2"/>
  <c r="H1411" i="2"/>
  <c r="I1411" i="2"/>
  <c r="J1411" i="2"/>
  <c r="M1411" i="2" s="1"/>
  <c r="K1411" i="2"/>
  <c r="L1411" i="2"/>
  <c r="N1411" i="2"/>
  <c r="O1411" i="2"/>
  <c r="Q1411" i="2"/>
  <c r="R1411" i="2"/>
  <c r="S1411" i="2"/>
  <c r="E1412" i="2"/>
  <c r="F1412" i="2"/>
  <c r="G1412" i="2"/>
  <c r="H1412" i="2"/>
  <c r="I1412" i="2"/>
  <c r="J1412" i="2"/>
  <c r="K1412" i="2"/>
  <c r="L1412" i="2"/>
  <c r="N1412" i="2"/>
  <c r="O1412" i="2"/>
  <c r="P1412" i="2"/>
  <c r="Q1412" i="2"/>
  <c r="R1412" i="2"/>
  <c r="S1412" i="2"/>
  <c r="E1413" i="2"/>
  <c r="F1413" i="2"/>
  <c r="G1413" i="2"/>
  <c r="H1413" i="2"/>
  <c r="I1413" i="2"/>
  <c r="J1413" i="2"/>
  <c r="K1413" i="2"/>
  <c r="L1413" i="2"/>
  <c r="M1413" i="2"/>
  <c r="N1413" i="2"/>
  <c r="O1413" i="2"/>
  <c r="Q1413" i="2"/>
  <c r="R1413" i="2"/>
  <c r="S1413" i="2"/>
  <c r="E1414" i="2"/>
  <c r="F1414" i="2"/>
  <c r="G1414" i="2"/>
  <c r="H1414" i="2"/>
  <c r="I1414" i="2"/>
  <c r="J1414" i="2"/>
  <c r="K1414" i="2"/>
  <c r="L1414" i="2"/>
  <c r="N1414" i="2"/>
  <c r="P1414" i="2" s="1"/>
  <c r="O1414" i="2"/>
  <c r="Q1414" i="2"/>
  <c r="R1414" i="2"/>
  <c r="S1414" i="2"/>
  <c r="E1415" i="2"/>
  <c r="F1415" i="2"/>
  <c r="G1415" i="2"/>
  <c r="H1415" i="2"/>
  <c r="I1415" i="2"/>
  <c r="J1415" i="2"/>
  <c r="K1415" i="2"/>
  <c r="M1415" i="2" s="1"/>
  <c r="L1415" i="2"/>
  <c r="N1415" i="2"/>
  <c r="O1415" i="2"/>
  <c r="Q1415" i="2"/>
  <c r="R1415" i="2"/>
  <c r="S1415" i="2"/>
  <c r="E1416" i="2"/>
  <c r="F1416" i="2"/>
  <c r="G1416" i="2"/>
  <c r="H1416" i="2"/>
  <c r="I1416" i="2"/>
  <c r="J1416" i="2"/>
  <c r="K1416" i="2"/>
  <c r="L1416" i="2"/>
  <c r="N1416" i="2"/>
  <c r="P1416" i="2" s="1"/>
  <c r="O1416" i="2"/>
  <c r="Q1416" i="2"/>
  <c r="R1416" i="2"/>
  <c r="S1416" i="2"/>
  <c r="E1417" i="2"/>
  <c r="F1417" i="2"/>
  <c r="G1417" i="2"/>
  <c r="H1417" i="2"/>
  <c r="I1417" i="2"/>
  <c r="J1417" i="2"/>
  <c r="K1417" i="2"/>
  <c r="L1417" i="2"/>
  <c r="N1417" i="2"/>
  <c r="O1417" i="2"/>
  <c r="P1417" i="2"/>
  <c r="Q1417" i="2"/>
  <c r="R1417" i="2"/>
  <c r="S1417" i="2"/>
  <c r="E1418" i="2"/>
  <c r="F1418" i="2"/>
  <c r="G1418" i="2"/>
  <c r="H1418" i="2"/>
  <c r="I1418" i="2"/>
  <c r="J1418" i="2"/>
  <c r="K1418" i="2"/>
  <c r="L1418" i="2"/>
  <c r="M1418" i="2"/>
  <c r="N1418" i="2"/>
  <c r="O1418" i="2"/>
  <c r="Q1418" i="2"/>
  <c r="R1418" i="2"/>
  <c r="S1418" i="2"/>
  <c r="E1419" i="2"/>
  <c r="F1419" i="2"/>
  <c r="G1419" i="2"/>
  <c r="H1419" i="2"/>
  <c r="I1419" i="2"/>
  <c r="J1419" i="2"/>
  <c r="M1419" i="2" s="1"/>
  <c r="K1419" i="2"/>
  <c r="L1419" i="2"/>
  <c r="N1419" i="2"/>
  <c r="O1419" i="2"/>
  <c r="Q1419" i="2"/>
  <c r="R1419" i="2"/>
  <c r="S1419" i="2"/>
  <c r="E1420" i="2"/>
  <c r="F1420" i="2"/>
  <c r="G1420" i="2"/>
  <c r="H1420" i="2"/>
  <c r="I1420" i="2"/>
  <c r="J1420" i="2"/>
  <c r="K1420" i="2"/>
  <c r="L1420" i="2"/>
  <c r="N1420" i="2"/>
  <c r="O1420" i="2"/>
  <c r="Q1420" i="2"/>
  <c r="R1420" i="2"/>
  <c r="S1420" i="2"/>
  <c r="E1421" i="2"/>
  <c r="F1421" i="2"/>
  <c r="G1421" i="2"/>
  <c r="H1421" i="2"/>
  <c r="I1421" i="2"/>
  <c r="J1421" i="2"/>
  <c r="K1421" i="2"/>
  <c r="L1421" i="2"/>
  <c r="M1421" i="2"/>
  <c r="N1421" i="2"/>
  <c r="O1421" i="2"/>
  <c r="Q1421" i="2"/>
  <c r="R1421" i="2"/>
  <c r="S1421" i="2"/>
  <c r="E1422" i="2"/>
  <c r="F1422" i="2"/>
  <c r="G1422" i="2"/>
  <c r="H1422" i="2"/>
  <c r="M1422" i="2" s="1"/>
  <c r="I1422" i="2"/>
  <c r="J1422" i="2"/>
  <c r="K1422" i="2"/>
  <c r="L1422" i="2"/>
  <c r="N1422" i="2"/>
  <c r="P1422" i="2" s="1"/>
  <c r="O1422" i="2"/>
  <c r="Q1422" i="2"/>
  <c r="R1422" i="2"/>
  <c r="S1422" i="2"/>
  <c r="E1423" i="2"/>
  <c r="F1423" i="2"/>
  <c r="G1423" i="2"/>
  <c r="H1423" i="2"/>
  <c r="I1423" i="2"/>
  <c r="J1423" i="2"/>
  <c r="K1423" i="2"/>
  <c r="M1423" i="2" s="1"/>
  <c r="L1423" i="2"/>
  <c r="N1423" i="2"/>
  <c r="O1423" i="2"/>
  <c r="Q1423" i="2"/>
  <c r="R1423" i="2"/>
  <c r="S1423" i="2"/>
  <c r="E1424" i="2"/>
  <c r="F1424" i="2"/>
  <c r="G1424" i="2"/>
  <c r="H1424" i="2"/>
  <c r="I1424" i="2"/>
  <c r="J1424" i="2"/>
  <c r="K1424" i="2"/>
  <c r="L1424" i="2"/>
  <c r="N1424" i="2"/>
  <c r="O1424" i="2"/>
  <c r="Q1424" i="2"/>
  <c r="R1424" i="2"/>
  <c r="S1424" i="2"/>
  <c r="E1425" i="2"/>
  <c r="F1425" i="2"/>
  <c r="G1425" i="2"/>
  <c r="H1425" i="2"/>
  <c r="I1425" i="2"/>
  <c r="J1425" i="2"/>
  <c r="K1425" i="2"/>
  <c r="L1425" i="2"/>
  <c r="M1425" i="2"/>
  <c r="N1425" i="2"/>
  <c r="O1425" i="2"/>
  <c r="Q1425" i="2"/>
  <c r="R1425" i="2"/>
  <c r="S1425" i="2"/>
  <c r="E1426" i="2"/>
  <c r="F1426" i="2"/>
  <c r="G1426" i="2"/>
  <c r="H1426" i="2"/>
  <c r="I1426" i="2"/>
  <c r="J1426" i="2"/>
  <c r="M1426" i="2" s="1"/>
  <c r="K1426" i="2"/>
  <c r="L1426" i="2"/>
  <c r="N1426" i="2"/>
  <c r="O1426" i="2"/>
  <c r="Q1426" i="2"/>
  <c r="R1426" i="2"/>
  <c r="S1426" i="2"/>
  <c r="E1427" i="2"/>
  <c r="F1427" i="2"/>
  <c r="G1427" i="2"/>
  <c r="H1427" i="2"/>
  <c r="I1427" i="2"/>
  <c r="J1427" i="2"/>
  <c r="K1427" i="2"/>
  <c r="L1427" i="2"/>
  <c r="N1427" i="2"/>
  <c r="O1427" i="2"/>
  <c r="Q1427" i="2"/>
  <c r="R1427" i="2"/>
  <c r="S1427" i="2"/>
  <c r="E1428" i="2"/>
  <c r="F1428" i="2"/>
  <c r="G1428" i="2"/>
  <c r="H1428" i="2"/>
  <c r="I1428" i="2"/>
  <c r="J1428" i="2"/>
  <c r="K1428" i="2"/>
  <c r="L1428" i="2"/>
  <c r="N1428" i="2"/>
  <c r="O1428" i="2"/>
  <c r="Q1428" i="2"/>
  <c r="R1428" i="2"/>
  <c r="S1428" i="2"/>
  <c r="E1429" i="2"/>
  <c r="F1429" i="2"/>
  <c r="G1429" i="2"/>
  <c r="H1429" i="2"/>
  <c r="I1429" i="2"/>
  <c r="J1429" i="2"/>
  <c r="K1429" i="2"/>
  <c r="M1429" i="2" s="1"/>
  <c r="L1429" i="2"/>
  <c r="N1429" i="2"/>
  <c r="O1429" i="2"/>
  <c r="Q1429" i="2"/>
  <c r="R1429" i="2"/>
  <c r="S1429" i="2"/>
  <c r="E1430" i="2"/>
  <c r="F1430" i="2"/>
  <c r="G1430" i="2"/>
  <c r="H1430" i="2"/>
  <c r="I1430" i="2"/>
  <c r="J1430" i="2"/>
  <c r="K1430" i="2"/>
  <c r="L1430" i="2"/>
  <c r="N1430" i="2"/>
  <c r="O1430" i="2"/>
  <c r="Q1430" i="2"/>
  <c r="R1430" i="2"/>
  <c r="S1430" i="2"/>
  <c r="E1431" i="2"/>
  <c r="F1431" i="2"/>
  <c r="G1431" i="2"/>
  <c r="H1431" i="2"/>
  <c r="I1431" i="2"/>
  <c r="J1431" i="2"/>
  <c r="K1431" i="2"/>
  <c r="M1431" i="2" s="1"/>
  <c r="L1431" i="2"/>
  <c r="N1431" i="2"/>
  <c r="O1431" i="2"/>
  <c r="Q1431" i="2"/>
  <c r="R1431" i="2"/>
  <c r="S1431" i="2"/>
  <c r="E1432" i="2"/>
  <c r="F1432" i="2"/>
  <c r="G1432" i="2"/>
  <c r="H1432" i="2"/>
  <c r="I1432" i="2"/>
  <c r="J1432" i="2"/>
  <c r="K1432" i="2"/>
  <c r="L1432" i="2"/>
  <c r="N1432" i="2"/>
  <c r="P1432" i="2" s="1"/>
  <c r="O1432" i="2"/>
  <c r="Q1432" i="2"/>
  <c r="R1432" i="2"/>
  <c r="S1432" i="2"/>
  <c r="E1433" i="2"/>
  <c r="F1433" i="2"/>
  <c r="G1433" i="2"/>
  <c r="H1433" i="2"/>
  <c r="I1433" i="2"/>
  <c r="J1433" i="2"/>
  <c r="K1433" i="2"/>
  <c r="L1433" i="2"/>
  <c r="N1433" i="2"/>
  <c r="O1433" i="2"/>
  <c r="P1433" i="2" s="1"/>
  <c r="Q1433" i="2"/>
  <c r="R1433" i="2"/>
  <c r="S1433" i="2"/>
  <c r="E1434" i="2"/>
  <c r="F1434" i="2"/>
  <c r="G1434" i="2"/>
  <c r="H1434" i="2"/>
  <c r="I1434" i="2"/>
  <c r="J1434" i="2"/>
  <c r="K1434" i="2"/>
  <c r="L1434" i="2"/>
  <c r="N1434" i="2"/>
  <c r="O1434" i="2"/>
  <c r="Q1434" i="2"/>
  <c r="R1434" i="2"/>
  <c r="S1434" i="2"/>
  <c r="E1435" i="2"/>
  <c r="F1435" i="2"/>
  <c r="G1435" i="2"/>
  <c r="H1435" i="2"/>
  <c r="I1435" i="2"/>
  <c r="J1435" i="2"/>
  <c r="K1435" i="2"/>
  <c r="L1435" i="2"/>
  <c r="M1435" i="2"/>
  <c r="N1435" i="2"/>
  <c r="O1435" i="2"/>
  <c r="Q1435" i="2"/>
  <c r="R1435" i="2"/>
  <c r="S1435" i="2"/>
  <c r="E1436" i="2"/>
  <c r="F1436" i="2"/>
  <c r="G1436" i="2"/>
  <c r="H1436" i="2"/>
  <c r="I1436" i="2"/>
  <c r="J1436" i="2"/>
  <c r="K1436" i="2"/>
  <c r="L1436" i="2"/>
  <c r="N1436" i="2"/>
  <c r="O1436" i="2"/>
  <c r="P1436" i="2"/>
  <c r="Q1436" i="2"/>
  <c r="R1436" i="2"/>
  <c r="S1436" i="2"/>
  <c r="E1437" i="2"/>
  <c r="F1437" i="2"/>
  <c r="G1437" i="2"/>
  <c r="H1437" i="2"/>
  <c r="I1437" i="2"/>
  <c r="J1437" i="2"/>
  <c r="K1437" i="2"/>
  <c r="L1437" i="2"/>
  <c r="M1437" i="2"/>
  <c r="N1437" i="2"/>
  <c r="O1437" i="2"/>
  <c r="Q1437" i="2"/>
  <c r="R1437" i="2"/>
  <c r="S1437" i="2"/>
  <c r="E1438" i="2"/>
  <c r="F1438" i="2"/>
  <c r="G1438" i="2"/>
  <c r="H1438" i="2"/>
  <c r="I1438" i="2"/>
  <c r="J1438" i="2"/>
  <c r="K1438" i="2"/>
  <c r="L1438" i="2"/>
  <c r="N1438" i="2"/>
  <c r="O1438" i="2"/>
  <c r="P1438" i="2"/>
  <c r="Q1438" i="2"/>
  <c r="R1438" i="2"/>
  <c r="S1438" i="2"/>
  <c r="E1439" i="2"/>
  <c r="F1439" i="2"/>
  <c r="G1439" i="2"/>
  <c r="H1439" i="2"/>
  <c r="I1439" i="2"/>
  <c r="J1439" i="2"/>
  <c r="K1439" i="2"/>
  <c r="L1439" i="2"/>
  <c r="M1439" i="2"/>
  <c r="N1439" i="2"/>
  <c r="O1439" i="2"/>
  <c r="Q1439" i="2"/>
  <c r="R1439" i="2"/>
  <c r="S1439" i="2"/>
  <c r="E1440" i="2"/>
  <c r="F1440" i="2"/>
  <c r="G1440" i="2"/>
  <c r="H1440" i="2"/>
  <c r="I1440" i="2"/>
  <c r="J1440" i="2"/>
  <c r="K1440" i="2"/>
  <c r="L1440" i="2"/>
  <c r="N1440" i="2"/>
  <c r="O1440" i="2"/>
  <c r="P1440" i="2"/>
  <c r="Q1440" i="2"/>
  <c r="R1440" i="2"/>
  <c r="S1440" i="2"/>
  <c r="E1441" i="2"/>
  <c r="F1441" i="2"/>
  <c r="G1441" i="2"/>
  <c r="H1441" i="2"/>
  <c r="I1441" i="2"/>
  <c r="J1441" i="2"/>
  <c r="K1441" i="2"/>
  <c r="L1441" i="2"/>
  <c r="M1441" i="2"/>
  <c r="N1441" i="2"/>
  <c r="O1441" i="2"/>
  <c r="Q1441" i="2"/>
  <c r="R1441" i="2"/>
  <c r="S1441" i="2"/>
  <c r="E1442" i="2"/>
  <c r="F1442" i="2"/>
  <c r="G1442" i="2"/>
  <c r="H1442" i="2"/>
  <c r="I1442" i="2"/>
  <c r="J1442" i="2"/>
  <c r="M1442" i="2" s="1"/>
  <c r="K1442" i="2"/>
  <c r="L1442" i="2"/>
  <c r="N1442" i="2"/>
  <c r="O1442" i="2"/>
  <c r="Q1442" i="2"/>
  <c r="R1442" i="2"/>
  <c r="S1442" i="2"/>
  <c r="E1443" i="2"/>
  <c r="F1443" i="2"/>
  <c r="G1443" i="2"/>
  <c r="H1443" i="2"/>
  <c r="I1443" i="2"/>
  <c r="J1443" i="2"/>
  <c r="K1443" i="2"/>
  <c r="L1443" i="2"/>
  <c r="N1443" i="2"/>
  <c r="O1443" i="2"/>
  <c r="Q1443" i="2"/>
  <c r="R1443" i="2"/>
  <c r="S1443" i="2"/>
  <c r="E1444" i="2"/>
  <c r="F1444" i="2"/>
  <c r="G1444" i="2"/>
  <c r="H1444" i="2"/>
  <c r="I1444" i="2"/>
  <c r="J1444" i="2"/>
  <c r="K1444" i="2"/>
  <c r="L1444" i="2"/>
  <c r="N1444" i="2"/>
  <c r="O1444" i="2"/>
  <c r="Q1444" i="2"/>
  <c r="R1444" i="2"/>
  <c r="S1444" i="2"/>
  <c r="E1445" i="2"/>
  <c r="F1445" i="2"/>
  <c r="G1445" i="2"/>
  <c r="H1445" i="2"/>
  <c r="I1445" i="2"/>
  <c r="J1445" i="2"/>
  <c r="K1445" i="2"/>
  <c r="M1445" i="2" s="1"/>
  <c r="L1445" i="2"/>
  <c r="N1445" i="2"/>
  <c r="O1445" i="2"/>
  <c r="Q1445" i="2"/>
  <c r="R1445" i="2"/>
  <c r="S1445" i="2"/>
  <c r="E1446" i="2"/>
  <c r="F1446" i="2"/>
  <c r="G1446" i="2"/>
  <c r="H1446" i="2"/>
  <c r="I1446" i="2"/>
  <c r="J1446" i="2"/>
  <c r="K1446" i="2"/>
  <c r="L1446" i="2"/>
  <c r="N1446" i="2"/>
  <c r="O1446" i="2"/>
  <c r="Q1446" i="2"/>
  <c r="R1446" i="2"/>
  <c r="S1446" i="2"/>
  <c r="E1447" i="2"/>
  <c r="F1447" i="2"/>
  <c r="G1447" i="2"/>
  <c r="H1447" i="2"/>
  <c r="I1447" i="2"/>
  <c r="J1447" i="2"/>
  <c r="K1447" i="2"/>
  <c r="M1447" i="2" s="1"/>
  <c r="L1447" i="2"/>
  <c r="N1447" i="2"/>
  <c r="O1447" i="2"/>
  <c r="Q1447" i="2"/>
  <c r="R1447" i="2"/>
  <c r="S1447" i="2"/>
  <c r="E1448" i="2"/>
  <c r="F1448" i="2"/>
  <c r="G1448" i="2"/>
  <c r="H1448" i="2"/>
  <c r="I1448" i="2"/>
  <c r="J1448" i="2"/>
  <c r="K1448" i="2"/>
  <c r="L1448" i="2"/>
  <c r="N1448" i="2"/>
  <c r="P1448" i="2" s="1"/>
  <c r="O1448" i="2"/>
  <c r="Q1448" i="2"/>
  <c r="R1448" i="2"/>
  <c r="S1448" i="2"/>
  <c r="E1449" i="2"/>
  <c r="F1449" i="2"/>
  <c r="G1449" i="2"/>
  <c r="H1449" i="2"/>
  <c r="M1449" i="2" s="1"/>
  <c r="I1449" i="2"/>
  <c r="J1449" i="2"/>
  <c r="K1449" i="2"/>
  <c r="L1449" i="2"/>
  <c r="N1449" i="2"/>
  <c r="O1449" i="2"/>
  <c r="P1449" i="2" s="1"/>
  <c r="Q1449" i="2"/>
  <c r="R1449" i="2"/>
  <c r="S1449" i="2"/>
  <c r="E1450" i="2"/>
  <c r="F1450" i="2"/>
  <c r="G1450" i="2"/>
  <c r="H1450" i="2"/>
  <c r="I1450" i="2"/>
  <c r="J1450" i="2"/>
  <c r="K1450" i="2"/>
  <c r="L1450" i="2"/>
  <c r="N1450" i="2"/>
  <c r="O1450" i="2"/>
  <c r="Q1450" i="2"/>
  <c r="R1450" i="2"/>
  <c r="S1450" i="2"/>
  <c r="E1451" i="2"/>
  <c r="F1451" i="2"/>
  <c r="G1451" i="2"/>
  <c r="H1451" i="2"/>
  <c r="I1451" i="2"/>
  <c r="J1451" i="2"/>
  <c r="K1451" i="2"/>
  <c r="L1451" i="2"/>
  <c r="M1451" i="2"/>
  <c r="N1451" i="2"/>
  <c r="O1451" i="2"/>
  <c r="Q1451" i="2"/>
  <c r="R1451" i="2"/>
  <c r="S1451" i="2"/>
  <c r="E1452" i="2"/>
  <c r="F1452" i="2"/>
  <c r="G1452" i="2"/>
  <c r="H1452" i="2"/>
  <c r="I1452" i="2"/>
  <c r="J1452" i="2"/>
  <c r="K1452" i="2"/>
  <c r="L1452" i="2"/>
  <c r="N1452" i="2"/>
  <c r="O1452" i="2"/>
  <c r="P1452" i="2"/>
  <c r="Q1452" i="2"/>
  <c r="R1452" i="2"/>
  <c r="S1452" i="2"/>
  <c r="E1453" i="2"/>
  <c r="F1453" i="2"/>
  <c r="G1453" i="2"/>
  <c r="H1453" i="2"/>
  <c r="I1453" i="2"/>
  <c r="J1453" i="2"/>
  <c r="K1453" i="2"/>
  <c r="L1453" i="2"/>
  <c r="M1453" i="2"/>
  <c r="N1453" i="2"/>
  <c r="O1453" i="2"/>
  <c r="Q1453" i="2"/>
  <c r="R1453" i="2"/>
  <c r="S1453" i="2"/>
  <c r="E1454" i="2"/>
  <c r="F1454" i="2"/>
  <c r="G1454" i="2"/>
  <c r="H1454" i="2"/>
  <c r="I1454" i="2"/>
  <c r="J1454" i="2"/>
  <c r="K1454" i="2"/>
  <c r="L1454" i="2"/>
  <c r="N1454" i="2"/>
  <c r="O1454" i="2"/>
  <c r="P1454" i="2"/>
  <c r="Q1454" i="2"/>
  <c r="R1454" i="2"/>
  <c r="S1454" i="2"/>
  <c r="E1455" i="2"/>
  <c r="F1455" i="2"/>
  <c r="G1455" i="2"/>
  <c r="H1455" i="2"/>
  <c r="I1455" i="2"/>
  <c r="J1455" i="2"/>
  <c r="K1455" i="2"/>
  <c r="L1455" i="2"/>
  <c r="M1455" i="2"/>
  <c r="N1455" i="2"/>
  <c r="O1455" i="2"/>
  <c r="Q1455" i="2"/>
  <c r="R1455" i="2"/>
  <c r="S1455" i="2"/>
  <c r="E1456" i="2"/>
  <c r="F1456" i="2"/>
  <c r="G1456" i="2"/>
  <c r="H1456" i="2"/>
  <c r="I1456" i="2"/>
  <c r="J1456" i="2"/>
  <c r="K1456" i="2"/>
  <c r="L1456" i="2"/>
  <c r="N1456" i="2"/>
  <c r="O1456" i="2"/>
  <c r="P1456" i="2"/>
  <c r="Q1456" i="2"/>
  <c r="R1456" i="2"/>
  <c r="S1456" i="2"/>
  <c r="E1457" i="2"/>
  <c r="F1457" i="2"/>
  <c r="G1457" i="2"/>
  <c r="H1457" i="2"/>
  <c r="I1457" i="2"/>
  <c r="J1457" i="2"/>
  <c r="K1457" i="2"/>
  <c r="L1457" i="2"/>
  <c r="M1457" i="2"/>
  <c r="N1457" i="2"/>
  <c r="O1457" i="2"/>
  <c r="Q1457" i="2"/>
  <c r="R1457" i="2"/>
  <c r="S1457" i="2"/>
  <c r="E1458" i="2"/>
  <c r="F1458" i="2"/>
  <c r="G1458" i="2"/>
  <c r="H1458" i="2"/>
  <c r="I1458" i="2"/>
  <c r="J1458" i="2"/>
  <c r="M1458" i="2" s="1"/>
  <c r="K1458" i="2"/>
  <c r="L1458" i="2"/>
  <c r="N1458" i="2"/>
  <c r="O1458" i="2"/>
  <c r="Q1458" i="2"/>
  <c r="R1458" i="2"/>
  <c r="S1458" i="2"/>
  <c r="E1459" i="2"/>
  <c r="F1459" i="2"/>
  <c r="G1459" i="2"/>
  <c r="H1459" i="2"/>
  <c r="I1459" i="2"/>
  <c r="J1459" i="2"/>
  <c r="K1459" i="2"/>
  <c r="L1459" i="2"/>
  <c r="N1459" i="2"/>
  <c r="O1459" i="2"/>
  <c r="Q1459" i="2"/>
  <c r="R1459" i="2"/>
  <c r="S1459" i="2"/>
  <c r="E1460" i="2"/>
  <c r="F1460" i="2"/>
  <c r="G1460" i="2"/>
  <c r="H1460" i="2"/>
  <c r="I1460" i="2"/>
  <c r="J1460" i="2"/>
  <c r="K1460" i="2"/>
  <c r="L1460" i="2"/>
  <c r="N1460" i="2"/>
  <c r="O1460" i="2"/>
  <c r="Q1460" i="2"/>
  <c r="R1460" i="2"/>
  <c r="S1460" i="2"/>
  <c r="E1461" i="2"/>
  <c r="F1461" i="2"/>
  <c r="G1461" i="2"/>
  <c r="H1461" i="2"/>
  <c r="I1461" i="2"/>
  <c r="J1461" i="2"/>
  <c r="K1461" i="2"/>
  <c r="M1461" i="2" s="1"/>
  <c r="L1461" i="2"/>
  <c r="N1461" i="2"/>
  <c r="O1461" i="2"/>
  <c r="Q1461" i="2"/>
  <c r="R1461" i="2"/>
  <c r="S1461" i="2"/>
  <c r="E1462" i="2"/>
  <c r="F1462" i="2"/>
  <c r="G1462" i="2"/>
  <c r="H1462" i="2"/>
  <c r="I1462" i="2"/>
  <c r="J1462" i="2"/>
  <c r="K1462" i="2"/>
  <c r="L1462" i="2"/>
  <c r="N1462" i="2"/>
  <c r="O1462" i="2"/>
  <c r="Q1462" i="2"/>
  <c r="R1462" i="2"/>
  <c r="S1462" i="2"/>
  <c r="E1463" i="2"/>
  <c r="F1463" i="2"/>
  <c r="G1463" i="2"/>
  <c r="H1463" i="2"/>
  <c r="I1463" i="2"/>
  <c r="J1463" i="2"/>
  <c r="K1463" i="2"/>
  <c r="M1463" i="2" s="1"/>
  <c r="L1463" i="2"/>
  <c r="N1463" i="2"/>
  <c r="O1463" i="2"/>
  <c r="Q1463" i="2"/>
  <c r="R1463" i="2"/>
  <c r="S1463" i="2"/>
  <c r="E1464" i="2"/>
  <c r="F1464" i="2"/>
  <c r="G1464" i="2"/>
  <c r="H1464" i="2"/>
  <c r="I1464" i="2"/>
  <c r="J1464" i="2"/>
  <c r="K1464" i="2"/>
  <c r="L1464" i="2"/>
  <c r="N1464" i="2"/>
  <c r="P1464" i="2" s="1"/>
  <c r="O1464" i="2"/>
  <c r="Q1464" i="2"/>
  <c r="R1464" i="2"/>
  <c r="S1464" i="2"/>
  <c r="E1465" i="2"/>
  <c r="F1465" i="2"/>
  <c r="G1465" i="2"/>
  <c r="H1465" i="2"/>
  <c r="M1465" i="2" s="1"/>
  <c r="I1465" i="2"/>
  <c r="J1465" i="2"/>
  <c r="K1465" i="2"/>
  <c r="L1465" i="2"/>
  <c r="N1465" i="2"/>
  <c r="O1465" i="2"/>
  <c r="P1465" i="2" s="1"/>
  <c r="Q1465" i="2"/>
  <c r="R1465" i="2"/>
  <c r="S1465" i="2"/>
  <c r="E1466" i="2"/>
  <c r="F1466" i="2"/>
  <c r="G1466" i="2"/>
  <c r="H1466" i="2"/>
  <c r="I1466" i="2"/>
  <c r="J1466" i="2"/>
  <c r="K1466" i="2"/>
  <c r="L1466" i="2"/>
  <c r="N1466" i="2"/>
  <c r="O1466" i="2"/>
  <c r="Q1466" i="2"/>
  <c r="R1466" i="2"/>
  <c r="S1466" i="2"/>
  <c r="E1467" i="2"/>
  <c r="F1467" i="2"/>
  <c r="G1467" i="2"/>
  <c r="H1467" i="2"/>
  <c r="I1467" i="2"/>
  <c r="J1467" i="2"/>
  <c r="K1467" i="2"/>
  <c r="L1467" i="2"/>
  <c r="M1467" i="2"/>
  <c r="N1467" i="2"/>
  <c r="O1467" i="2"/>
  <c r="Q1467" i="2"/>
  <c r="R1467" i="2"/>
  <c r="S1467" i="2"/>
  <c r="E1468" i="2"/>
  <c r="F1468" i="2"/>
  <c r="G1468" i="2"/>
  <c r="H1468" i="2"/>
  <c r="I1468" i="2"/>
  <c r="J1468" i="2"/>
  <c r="K1468" i="2"/>
  <c r="L1468" i="2"/>
  <c r="N1468" i="2"/>
  <c r="O1468" i="2"/>
  <c r="P1468" i="2"/>
  <c r="Q1468" i="2"/>
  <c r="R1468" i="2"/>
  <c r="S1468" i="2"/>
  <c r="E1469" i="2"/>
  <c r="F1469" i="2"/>
  <c r="G1469" i="2"/>
  <c r="H1469" i="2"/>
  <c r="I1469" i="2"/>
  <c r="J1469" i="2"/>
  <c r="K1469" i="2"/>
  <c r="L1469" i="2"/>
  <c r="M1469" i="2"/>
  <c r="N1469" i="2"/>
  <c r="O1469" i="2"/>
  <c r="Q1469" i="2"/>
  <c r="R1469" i="2"/>
  <c r="S1469" i="2"/>
  <c r="E1470" i="2"/>
  <c r="F1470" i="2"/>
  <c r="G1470" i="2"/>
  <c r="H1470" i="2"/>
  <c r="I1470" i="2"/>
  <c r="J1470" i="2"/>
  <c r="M1470" i="2" s="1"/>
  <c r="K1470" i="2"/>
  <c r="L1470" i="2"/>
  <c r="N1470" i="2"/>
  <c r="O1470" i="2"/>
  <c r="Q1470" i="2"/>
  <c r="R1470" i="2"/>
  <c r="S1470" i="2"/>
  <c r="E1471" i="2"/>
  <c r="F1471" i="2"/>
  <c r="G1471" i="2"/>
  <c r="H1471" i="2"/>
  <c r="I1471" i="2"/>
  <c r="J1471" i="2"/>
  <c r="K1471" i="2"/>
  <c r="L1471" i="2"/>
  <c r="N1471" i="2"/>
  <c r="O1471" i="2"/>
  <c r="Q1471" i="2"/>
  <c r="R1471" i="2"/>
  <c r="S1471" i="2"/>
  <c r="E1472" i="2"/>
  <c r="F1472" i="2"/>
  <c r="G1472" i="2"/>
  <c r="H1472" i="2"/>
  <c r="I1472" i="2"/>
  <c r="J1472" i="2"/>
  <c r="K1472" i="2"/>
  <c r="L1472" i="2"/>
  <c r="M1472" i="2"/>
  <c r="N1472" i="2"/>
  <c r="O1472" i="2"/>
  <c r="Q1472" i="2"/>
  <c r="R1472" i="2"/>
  <c r="S1472" i="2"/>
  <c r="E1473" i="2"/>
  <c r="F1473" i="2"/>
  <c r="G1473" i="2"/>
  <c r="H1473" i="2"/>
  <c r="I1473" i="2"/>
  <c r="J1473" i="2"/>
  <c r="M1473" i="2" s="1"/>
  <c r="K1473" i="2"/>
  <c r="L1473" i="2"/>
  <c r="N1473" i="2"/>
  <c r="O1473" i="2"/>
  <c r="Q1473" i="2"/>
  <c r="R1473" i="2"/>
  <c r="S1473" i="2"/>
  <c r="E1474" i="2"/>
  <c r="F1474" i="2"/>
  <c r="G1474" i="2"/>
  <c r="H1474" i="2"/>
  <c r="I1474" i="2"/>
  <c r="J1474" i="2"/>
  <c r="K1474" i="2"/>
  <c r="L1474" i="2"/>
  <c r="N1474" i="2"/>
  <c r="O1474" i="2"/>
  <c r="Q1474" i="2"/>
  <c r="R1474" i="2"/>
  <c r="S1474" i="2"/>
  <c r="E1475" i="2"/>
  <c r="F1475" i="2"/>
  <c r="G1475" i="2"/>
  <c r="H1475" i="2"/>
  <c r="I1475" i="2"/>
  <c r="J1475" i="2"/>
  <c r="K1475" i="2"/>
  <c r="L1475" i="2"/>
  <c r="N1475" i="2"/>
  <c r="O1475" i="2"/>
  <c r="Q1475" i="2"/>
  <c r="R1475" i="2"/>
  <c r="S1475" i="2"/>
  <c r="E1476" i="2"/>
  <c r="F1476" i="2"/>
  <c r="G1476" i="2"/>
  <c r="H1476" i="2"/>
  <c r="I1476" i="2"/>
  <c r="J1476" i="2"/>
  <c r="K1476" i="2"/>
  <c r="L1476" i="2"/>
  <c r="M1476" i="2"/>
  <c r="N1476" i="2"/>
  <c r="O1476" i="2"/>
  <c r="Q1476" i="2"/>
  <c r="R1476" i="2"/>
  <c r="S1476" i="2"/>
  <c r="E1477" i="2"/>
  <c r="F1477" i="2"/>
  <c r="G1477" i="2"/>
  <c r="H1477" i="2"/>
  <c r="I1477" i="2"/>
  <c r="J1477" i="2"/>
  <c r="M1477" i="2" s="1"/>
  <c r="K1477" i="2"/>
  <c r="L1477" i="2"/>
  <c r="N1477" i="2"/>
  <c r="O1477" i="2"/>
  <c r="Q1477" i="2"/>
  <c r="R1477" i="2"/>
  <c r="S1477" i="2"/>
  <c r="E1478" i="2"/>
  <c r="F1478" i="2"/>
  <c r="G1478" i="2"/>
  <c r="H1478" i="2"/>
  <c r="M1478" i="2" s="1"/>
  <c r="I1478" i="2"/>
  <c r="J1478" i="2"/>
  <c r="K1478" i="2"/>
  <c r="L1478" i="2"/>
  <c r="N1478" i="2"/>
  <c r="P1478" i="2" s="1"/>
  <c r="O1478" i="2"/>
  <c r="Q1478" i="2"/>
  <c r="R1478" i="2"/>
  <c r="S1478" i="2"/>
  <c r="E1479" i="2"/>
  <c r="F1479" i="2"/>
  <c r="G1479" i="2"/>
  <c r="H1479" i="2"/>
  <c r="I1479" i="2"/>
  <c r="J1479" i="2"/>
  <c r="K1479" i="2"/>
  <c r="L1479" i="2"/>
  <c r="N1479" i="2"/>
  <c r="O1479" i="2"/>
  <c r="Q1479" i="2"/>
  <c r="R1479" i="2"/>
  <c r="S1479" i="2"/>
  <c r="E1480" i="2"/>
  <c r="F1480" i="2"/>
  <c r="G1480" i="2"/>
  <c r="H1480" i="2"/>
  <c r="I1480" i="2"/>
  <c r="J1480" i="2"/>
  <c r="K1480" i="2"/>
  <c r="L1480" i="2"/>
  <c r="M1480" i="2"/>
  <c r="N1480" i="2"/>
  <c r="O1480" i="2"/>
  <c r="Q1480" i="2"/>
  <c r="R1480" i="2"/>
  <c r="S1480" i="2"/>
  <c r="E1481" i="2"/>
  <c r="F1481" i="2"/>
  <c r="G1481" i="2"/>
  <c r="H1481" i="2"/>
  <c r="I1481" i="2"/>
  <c r="J1481" i="2"/>
  <c r="M1481" i="2" s="1"/>
  <c r="K1481" i="2"/>
  <c r="L1481" i="2"/>
  <c r="N1481" i="2"/>
  <c r="O1481" i="2"/>
  <c r="Q1481" i="2"/>
  <c r="R1481" i="2"/>
  <c r="S1481" i="2"/>
  <c r="E1482" i="2"/>
  <c r="F1482" i="2"/>
  <c r="G1482" i="2"/>
  <c r="H1482" i="2"/>
  <c r="I1482" i="2"/>
  <c r="J1482" i="2"/>
  <c r="K1482" i="2"/>
  <c r="L1482" i="2"/>
  <c r="N1482" i="2"/>
  <c r="O1482" i="2"/>
  <c r="Q1482" i="2"/>
  <c r="R1482" i="2"/>
  <c r="S1482" i="2"/>
  <c r="E1483" i="2"/>
  <c r="F1483" i="2"/>
  <c r="G1483" i="2"/>
  <c r="H1483" i="2"/>
  <c r="I1483" i="2"/>
  <c r="J1483" i="2"/>
  <c r="K1483" i="2"/>
  <c r="L1483" i="2"/>
  <c r="N1483" i="2"/>
  <c r="O1483" i="2"/>
  <c r="Q1483" i="2"/>
  <c r="R1483" i="2"/>
  <c r="S1483" i="2"/>
  <c r="E1484" i="2"/>
  <c r="F1484" i="2"/>
  <c r="G1484" i="2"/>
  <c r="H1484" i="2"/>
  <c r="I1484" i="2"/>
  <c r="J1484" i="2"/>
  <c r="K1484" i="2"/>
  <c r="L1484" i="2"/>
  <c r="M1484" i="2"/>
  <c r="N1484" i="2"/>
  <c r="O1484" i="2"/>
  <c r="Q1484" i="2"/>
  <c r="R1484" i="2"/>
  <c r="S1484" i="2"/>
  <c r="E1485" i="2"/>
  <c r="F1485" i="2"/>
  <c r="G1485" i="2"/>
  <c r="H1485" i="2"/>
  <c r="I1485" i="2"/>
  <c r="J1485" i="2"/>
  <c r="M1485" i="2" s="1"/>
  <c r="K1485" i="2"/>
  <c r="L1485" i="2"/>
  <c r="N1485" i="2"/>
  <c r="O1485" i="2"/>
  <c r="Q1485" i="2"/>
  <c r="R1485" i="2"/>
  <c r="S1485" i="2"/>
  <c r="E1486" i="2"/>
  <c r="F1486" i="2"/>
  <c r="G1486" i="2"/>
  <c r="H1486" i="2"/>
  <c r="M1486" i="2" s="1"/>
  <c r="I1486" i="2"/>
  <c r="J1486" i="2"/>
  <c r="K1486" i="2"/>
  <c r="L1486" i="2"/>
  <c r="N1486" i="2"/>
  <c r="P1486" i="2" s="1"/>
  <c r="O1486" i="2"/>
  <c r="Q1486" i="2"/>
  <c r="R1486" i="2"/>
  <c r="S1486" i="2"/>
  <c r="E1487" i="2"/>
  <c r="F1487" i="2"/>
  <c r="G1487" i="2"/>
  <c r="H1487" i="2"/>
  <c r="I1487" i="2"/>
  <c r="J1487" i="2"/>
  <c r="K1487" i="2"/>
  <c r="L1487" i="2"/>
  <c r="N1487" i="2"/>
  <c r="O1487" i="2"/>
  <c r="Q1487" i="2"/>
  <c r="R1487" i="2"/>
  <c r="S1487" i="2"/>
  <c r="E1488" i="2"/>
  <c r="F1488" i="2"/>
  <c r="G1488" i="2"/>
  <c r="H1488" i="2"/>
  <c r="I1488" i="2"/>
  <c r="J1488" i="2"/>
  <c r="K1488" i="2"/>
  <c r="L1488" i="2"/>
  <c r="M1488" i="2"/>
  <c r="N1488" i="2"/>
  <c r="O1488" i="2"/>
  <c r="Q1488" i="2"/>
  <c r="R1488" i="2"/>
  <c r="S1488" i="2"/>
  <c r="E1489" i="2"/>
  <c r="F1489" i="2"/>
  <c r="G1489" i="2"/>
  <c r="H1489" i="2"/>
  <c r="I1489" i="2"/>
  <c r="J1489" i="2"/>
  <c r="M1489" i="2" s="1"/>
  <c r="K1489" i="2"/>
  <c r="L1489" i="2"/>
  <c r="N1489" i="2"/>
  <c r="O1489" i="2"/>
  <c r="Q1489" i="2"/>
  <c r="R1489" i="2"/>
  <c r="S1489" i="2"/>
  <c r="E1490" i="2"/>
  <c r="F1490" i="2"/>
  <c r="G1490" i="2"/>
  <c r="H1490" i="2"/>
  <c r="I1490" i="2"/>
  <c r="J1490" i="2"/>
  <c r="K1490" i="2"/>
  <c r="L1490" i="2"/>
  <c r="N1490" i="2"/>
  <c r="O1490" i="2"/>
  <c r="Q1490" i="2"/>
  <c r="R1490" i="2"/>
  <c r="S1490" i="2"/>
  <c r="E1491" i="2"/>
  <c r="F1491" i="2"/>
  <c r="G1491" i="2"/>
  <c r="H1491" i="2"/>
  <c r="I1491" i="2"/>
  <c r="J1491" i="2"/>
  <c r="K1491" i="2"/>
  <c r="L1491" i="2"/>
  <c r="N1491" i="2"/>
  <c r="O1491" i="2"/>
  <c r="Q1491" i="2"/>
  <c r="R1491" i="2"/>
  <c r="S1491" i="2"/>
  <c r="E1492" i="2"/>
  <c r="F1492" i="2"/>
  <c r="G1492" i="2"/>
  <c r="H1492" i="2"/>
  <c r="I1492" i="2"/>
  <c r="J1492" i="2"/>
  <c r="K1492" i="2"/>
  <c r="L1492" i="2"/>
  <c r="M1492" i="2"/>
  <c r="N1492" i="2"/>
  <c r="O1492" i="2"/>
  <c r="Q1492" i="2"/>
  <c r="R1492" i="2"/>
  <c r="S1492" i="2"/>
  <c r="E1493" i="2"/>
  <c r="F1493" i="2"/>
  <c r="G1493" i="2"/>
  <c r="H1493" i="2"/>
  <c r="I1493" i="2"/>
  <c r="J1493" i="2"/>
  <c r="M1493" i="2" s="1"/>
  <c r="K1493" i="2"/>
  <c r="L1493" i="2"/>
  <c r="N1493" i="2"/>
  <c r="O1493" i="2"/>
  <c r="Q1493" i="2"/>
  <c r="R1493" i="2"/>
  <c r="S1493" i="2"/>
  <c r="E1494" i="2"/>
  <c r="F1494" i="2"/>
  <c r="G1494" i="2"/>
  <c r="H1494" i="2"/>
  <c r="M1494" i="2" s="1"/>
  <c r="I1494" i="2"/>
  <c r="J1494" i="2"/>
  <c r="K1494" i="2"/>
  <c r="L1494" i="2"/>
  <c r="N1494" i="2"/>
  <c r="P1494" i="2" s="1"/>
  <c r="O1494" i="2"/>
  <c r="Q1494" i="2"/>
  <c r="R1494" i="2"/>
  <c r="S1494" i="2"/>
  <c r="E1495" i="2"/>
  <c r="F1495" i="2"/>
  <c r="G1495" i="2"/>
  <c r="H1495" i="2"/>
  <c r="I1495" i="2"/>
  <c r="J1495" i="2"/>
  <c r="K1495" i="2"/>
  <c r="L1495" i="2"/>
  <c r="N1495" i="2"/>
  <c r="O1495" i="2"/>
  <c r="Q1495" i="2"/>
  <c r="R1495" i="2"/>
  <c r="S1495" i="2"/>
  <c r="E1496" i="2"/>
  <c r="F1496" i="2"/>
  <c r="G1496" i="2"/>
  <c r="H1496" i="2"/>
  <c r="I1496" i="2"/>
  <c r="J1496" i="2"/>
  <c r="K1496" i="2"/>
  <c r="L1496" i="2"/>
  <c r="M1496" i="2"/>
  <c r="N1496" i="2"/>
  <c r="O1496" i="2"/>
  <c r="Q1496" i="2"/>
  <c r="R1496" i="2"/>
  <c r="S1496" i="2"/>
  <c r="E1497" i="2"/>
  <c r="F1497" i="2"/>
  <c r="G1497" i="2"/>
  <c r="H1497" i="2"/>
  <c r="I1497" i="2"/>
  <c r="J1497" i="2"/>
  <c r="M1497" i="2" s="1"/>
  <c r="K1497" i="2"/>
  <c r="L1497" i="2"/>
  <c r="N1497" i="2"/>
  <c r="O1497" i="2"/>
  <c r="Q1497" i="2"/>
  <c r="R1497" i="2"/>
  <c r="S1497" i="2"/>
  <c r="E1498" i="2"/>
  <c r="F1498" i="2"/>
  <c r="G1498" i="2"/>
  <c r="H1498" i="2"/>
  <c r="I1498" i="2"/>
  <c r="J1498" i="2"/>
  <c r="K1498" i="2"/>
  <c r="L1498" i="2"/>
  <c r="N1498" i="2"/>
  <c r="O1498" i="2"/>
  <c r="Q1498" i="2"/>
  <c r="R1498" i="2"/>
  <c r="S1498" i="2"/>
  <c r="E1499" i="2"/>
  <c r="F1499" i="2"/>
  <c r="G1499" i="2"/>
  <c r="H1499" i="2"/>
  <c r="I1499" i="2"/>
  <c r="J1499" i="2"/>
  <c r="K1499" i="2"/>
  <c r="L1499" i="2"/>
  <c r="N1499" i="2"/>
  <c r="O1499" i="2"/>
  <c r="Q1499" i="2"/>
  <c r="R1499" i="2"/>
  <c r="S1499" i="2"/>
  <c r="E1500" i="2"/>
  <c r="F1500" i="2"/>
  <c r="G1500" i="2"/>
  <c r="H1500" i="2"/>
  <c r="I1500" i="2"/>
  <c r="J1500" i="2"/>
  <c r="K1500" i="2"/>
  <c r="L1500" i="2"/>
  <c r="M1500" i="2"/>
  <c r="N1500" i="2"/>
  <c r="O1500" i="2"/>
  <c r="Q1500" i="2"/>
  <c r="R1500" i="2"/>
  <c r="S1500" i="2"/>
  <c r="E1501" i="2"/>
  <c r="F1501" i="2"/>
  <c r="G1501" i="2"/>
  <c r="H1501" i="2"/>
  <c r="I1501" i="2"/>
  <c r="J1501" i="2"/>
  <c r="M1501" i="2" s="1"/>
  <c r="K1501" i="2"/>
  <c r="L1501" i="2"/>
  <c r="N1501" i="2"/>
  <c r="O1501" i="2"/>
  <c r="Q1501" i="2"/>
  <c r="R1501" i="2"/>
  <c r="S1501" i="2"/>
  <c r="E1502" i="2"/>
  <c r="F1502" i="2"/>
  <c r="G1502" i="2"/>
  <c r="H1502" i="2"/>
  <c r="M1502" i="2" s="1"/>
  <c r="I1502" i="2"/>
  <c r="J1502" i="2"/>
  <c r="K1502" i="2"/>
  <c r="L1502" i="2"/>
  <c r="N1502" i="2"/>
  <c r="P1502" i="2" s="1"/>
  <c r="O1502" i="2"/>
  <c r="Q1502" i="2"/>
  <c r="R1502" i="2"/>
  <c r="S1502" i="2"/>
  <c r="E1503" i="2"/>
  <c r="F1503" i="2"/>
  <c r="G1503" i="2"/>
  <c r="H1503" i="2"/>
  <c r="I1503" i="2"/>
  <c r="J1503" i="2"/>
  <c r="K1503" i="2"/>
  <c r="L1503" i="2"/>
  <c r="N1503" i="2"/>
  <c r="O1503" i="2"/>
  <c r="Q1503" i="2"/>
  <c r="R1503" i="2"/>
  <c r="S1503" i="2"/>
  <c r="E1504" i="2"/>
  <c r="F1504" i="2"/>
  <c r="G1504" i="2"/>
  <c r="H1504" i="2"/>
  <c r="I1504" i="2"/>
  <c r="J1504" i="2"/>
  <c r="K1504" i="2"/>
  <c r="L1504" i="2"/>
  <c r="M1504" i="2"/>
  <c r="N1504" i="2"/>
  <c r="O1504" i="2"/>
  <c r="Q1504" i="2"/>
  <c r="R1504" i="2"/>
  <c r="S1504" i="2"/>
  <c r="E1505" i="2"/>
  <c r="F1505" i="2"/>
  <c r="G1505" i="2"/>
  <c r="H1505" i="2"/>
  <c r="I1505" i="2"/>
  <c r="J1505" i="2"/>
  <c r="M1505" i="2" s="1"/>
  <c r="K1505" i="2"/>
  <c r="L1505" i="2"/>
  <c r="N1505" i="2"/>
  <c r="O1505" i="2"/>
  <c r="Q1505" i="2"/>
  <c r="R1505" i="2"/>
  <c r="S1505" i="2"/>
  <c r="E1506" i="2"/>
  <c r="F1506" i="2"/>
  <c r="G1506" i="2"/>
  <c r="H1506" i="2"/>
  <c r="I1506" i="2"/>
  <c r="J1506" i="2"/>
  <c r="K1506" i="2"/>
  <c r="L1506" i="2"/>
  <c r="N1506" i="2"/>
  <c r="O1506" i="2"/>
  <c r="Q1506" i="2"/>
  <c r="R1506" i="2"/>
  <c r="S1506" i="2"/>
  <c r="E1507" i="2"/>
  <c r="F1507" i="2"/>
  <c r="G1507" i="2"/>
  <c r="H1507" i="2"/>
  <c r="I1507" i="2"/>
  <c r="J1507" i="2"/>
  <c r="K1507" i="2"/>
  <c r="L1507" i="2"/>
  <c r="N1507" i="2"/>
  <c r="O1507" i="2"/>
  <c r="Q1507" i="2"/>
  <c r="R1507" i="2"/>
  <c r="S1507" i="2"/>
  <c r="E1508" i="2"/>
  <c r="F1508" i="2"/>
  <c r="G1508" i="2"/>
  <c r="H1508" i="2"/>
  <c r="I1508" i="2"/>
  <c r="J1508" i="2"/>
  <c r="K1508" i="2"/>
  <c r="L1508" i="2"/>
  <c r="M1508" i="2"/>
  <c r="N1508" i="2"/>
  <c r="O1508" i="2"/>
  <c r="Q1508" i="2"/>
  <c r="R1508" i="2"/>
  <c r="S1508" i="2"/>
  <c r="E1509" i="2"/>
  <c r="F1509" i="2"/>
  <c r="G1509" i="2"/>
  <c r="H1509" i="2"/>
  <c r="I1509" i="2"/>
  <c r="J1509" i="2"/>
  <c r="M1509" i="2" s="1"/>
  <c r="K1509" i="2"/>
  <c r="L1509" i="2"/>
  <c r="N1509" i="2"/>
  <c r="O1509" i="2"/>
  <c r="Q1509" i="2"/>
  <c r="R1509" i="2"/>
  <c r="S1509" i="2"/>
  <c r="E1510" i="2"/>
  <c r="F1510" i="2"/>
  <c r="G1510" i="2"/>
  <c r="H1510" i="2"/>
  <c r="M1510" i="2" s="1"/>
  <c r="I1510" i="2"/>
  <c r="J1510" i="2"/>
  <c r="K1510" i="2"/>
  <c r="L1510" i="2"/>
  <c r="N1510" i="2"/>
  <c r="P1510" i="2" s="1"/>
  <c r="O1510" i="2"/>
  <c r="Q1510" i="2"/>
  <c r="R1510" i="2"/>
  <c r="S1510" i="2"/>
  <c r="E1511" i="2"/>
  <c r="F1511" i="2"/>
  <c r="G1511" i="2"/>
  <c r="H1511" i="2"/>
  <c r="I1511" i="2"/>
  <c r="J1511" i="2"/>
  <c r="K1511" i="2"/>
  <c r="L1511" i="2"/>
  <c r="N1511" i="2"/>
  <c r="O1511" i="2"/>
  <c r="Q1511" i="2"/>
  <c r="R1511" i="2"/>
  <c r="S1511" i="2"/>
  <c r="E1512" i="2"/>
  <c r="F1512" i="2"/>
  <c r="G1512" i="2"/>
  <c r="H1512" i="2"/>
  <c r="I1512" i="2"/>
  <c r="J1512" i="2"/>
  <c r="K1512" i="2"/>
  <c r="L1512" i="2"/>
  <c r="M1512" i="2"/>
  <c r="N1512" i="2"/>
  <c r="O1512" i="2"/>
  <c r="Q1512" i="2"/>
  <c r="R1512" i="2"/>
  <c r="S1512" i="2"/>
  <c r="E1513" i="2"/>
  <c r="F1513" i="2"/>
  <c r="G1513" i="2"/>
  <c r="H1513" i="2"/>
  <c r="I1513" i="2"/>
  <c r="J1513" i="2"/>
  <c r="M1513" i="2" s="1"/>
  <c r="K1513" i="2"/>
  <c r="L1513" i="2"/>
  <c r="N1513" i="2"/>
  <c r="O1513" i="2"/>
  <c r="Q1513" i="2"/>
  <c r="R1513" i="2"/>
  <c r="S1513" i="2"/>
  <c r="E1514" i="2"/>
  <c r="F1514" i="2"/>
  <c r="G1514" i="2"/>
  <c r="H1514" i="2"/>
  <c r="I1514" i="2"/>
  <c r="J1514" i="2"/>
  <c r="K1514" i="2"/>
  <c r="L1514" i="2"/>
  <c r="N1514" i="2"/>
  <c r="O1514" i="2"/>
  <c r="Q1514" i="2"/>
  <c r="R1514" i="2"/>
  <c r="S1514" i="2"/>
  <c r="E1515" i="2"/>
  <c r="F1515" i="2"/>
  <c r="G1515" i="2"/>
  <c r="H1515" i="2"/>
  <c r="I1515" i="2"/>
  <c r="J1515" i="2"/>
  <c r="K1515" i="2"/>
  <c r="L1515" i="2"/>
  <c r="N1515" i="2"/>
  <c r="O1515" i="2"/>
  <c r="Q1515" i="2"/>
  <c r="R1515" i="2"/>
  <c r="S1515" i="2"/>
  <c r="E1516" i="2"/>
  <c r="F1516" i="2"/>
  <c r="G1516" i="2"/>
  <c r="H1516" i="2"/>
  <c r="I1516" i="2"/>
  <c r="J1516" i="2"/>
  <c r="K1516" i="2"/>
  <c r="L1516" i="2"/>
  <c r="M1516" i="2"/>
  <c r="N1516" i="2"/>
  <c r="O1516" i="2"/>
  <c r="Q1516" i="2"/>
  <c r="R1516" i="2"/>
  <c r="S1516" i="2"/>
  <c r="E1517" i="2"/>
  <c r="F1517" i="2"/>
  <c r="G1517" i="2"/>
  <c r="H1517" i="2"/>
  <c r="I1517" i="2"/>
  <c r="J1517" i="2"/>
  <c r="M1517" i="2" s="1"/>
  <c r="K1517" i="2"/>
  <c r="L1517" i="2"/>
  <c r="N1517" i="2"/>
  <c r="O1517" i="2"/>
  <c r="Q1517" i="2"/>
  <c r="R1517" i="2"/>
  <c r="S1517" i="2"/>
  <c r="E1518" i="2"/>
  <c r="F1518" i="2"/>
  <c r="G1518" i="2"/>
  <c r="H1518" i="2"/>
  <c r="M1518" i="2" s="1"/>
  <c r="I1518" i="2"/>
  <c r="J1518" i="2"/>
  <c r="K1518" i="2"/>
  <c r="L1518" i="2"/>
  <c r="N1518" i="2"/>
  <c r="P1518" i="2" s="1"/>
  <c r="O1518" i="2"/>
  <c r="Q1518" i="2"/>
  <c r="R1518" i="2"/>
  <c r="S1518" i="2"/>
  <c r="E1519" i="2"/>
  <c r="F1519" i="2"/>
  <c r="G1519" i="2"/>
  <c r="H1519" i="2"/>
  <c r="I1519" i="2"/>
  <c r="J1519" i="2"/>
  <c r="K1519" i="2"/>
  <c r="L1519" i="2"/>
  <c r="N1519" i="2"/>
  <c r="O1519" i="2"/>
  <c r="Q1519" i="2"/>
  <c r="R1519" i="2"/>
  <c r="S1519" i="2"/>
  <c r="E1520" i="2"/>
  <c r="F1520" i="2"/>
  <c r="G1520" i="2"/>
  <c r="H1520" i="2"/>
  <c r="I1520" i="2"/>
  <c r="J1520" i="2"/>
  <c r="K1520" i="2"/>
  <c r="L1520" i="2"/>
  <c r="M1520" i="2"/>
  <c r="N1520" i="2"/>
  <c r="O1520" i="2"/>
  <c r="Q1520" i="2"/>
  <c r="R1520" i="2"/>
  <c r="S1520" i="2"/>
  <c r="E1521" i="2"/>
  <c r="F1521" i="2"/>
  <c r="G1521" i="2"/>
  <c r="H1521" i="2"/>
  <c r="I1521" i="2"/>
  <c r="J1521" i="2"/>
  <c r="M1521" i="2" s="1"/>
  <c r="K1521" i="2"/>
  <c r="L1521" i="2"/>
  <c r="N1521" i="2"/>
  <c r="O1521" i="2"/>
  <c r="Q1521" i="2"/>
  <c r="R1521" i="2"/>
  <c r="S1521" i="2"/>
  <c r="E1522" i="2"/>
  <c r="F1522" i="2"/>
  <c r="G1522" i="2"/>
  <c r="H1522" i="2"/>
  <c r="I1522" i="2"/>
  <c r="J1522" i="2"/>
  <c r="K1522" i="2"/>
  <c r="L1522" i="2"/>
  <c r="N1522" i="2"/>
  <c r="O1522" i="2"/>
  <c r="Q1522" i="2"/>
  <c r="R1522" i="2"/>
  <c r="S1522" i="2"/>
  <c r="E1523" i="2"/>
  <c r="F1523" i="2"/>
  <c r="G1523" i="2"/>
  <c r="H1523" i="2"/>
  <c r="I1523" i="2"/>
  <c r="J1523" i="2"/>
  <c r="K1523" i="2"/>
  <c r="L1523" i="2"/>
  <c r="N1523" i="2"/>
  <c r="O1523" i="2"/>
  <c r="Q1523" i="2"/>
  <c r="R1523" i="2"/>
  <c r="S1523" i="2"/>
  <c r="E1524" i="2"/>
  <c r="F1524" i="2"/>
  <c r="G1524" i="2"/>
  <c r="H1524" i="2"/>
  <c r="I1524" i="2"/>
  <c r="J1524" i="2"/>
  <c r="K1524" i="2"/>
  <c r="L1524" i="2"/>
  <c r="M1524" i="2"/>
  <c r="N1524" i="2"/>
  <c r="O1524" i="2"/>
  <c r="Q1524" i="2"/>
  <c r="R1524" i="2"/>
  <c r="S1524" i="2"/>
  <c r="E1525" i="2"/>
  <c r="F1525" i="2"/>
  <c r="G1525" i="2"/>
  <c r="H1525" i="2"/>
  <c r="I1525" i="2"/>
  <c r="J1525" i="2"/>
  <c r="M1525" i="2" s="1"/>
  <c r="K1525" i="2"/>
  <c r="L1525" i="2"/>
  <c r="N1525" i="2"/>
  <c r="O1525" i="2"/>
  <c r="Q1525" i="2"/>
  <c r="R1525" i="2"/>
  <c r="S1525" i="2"/>
  <c r="E1526" i="2"/>
  <c r="F1526" i="2"/>
  <c r="G1526" i="2"/>
  <c r="H1526" i="2"/>
  <c r="M1526" i="2" s="1"/>
  <c r="I1526" i="2"/>
  <c r="J1526" i="2"/>
  <c r="K1526" i="2"/>
  <c r="L1526" i="2"/>
  <c r="N1526" i="2"/>
  <c r="P1526" i="2" s="1"/>
  <c r="O1526" i="2"/>
  <c r="Q1526" i="2"/>
  <c r="R1526" i="2"/>
  <c r="S1526" i="2"/>
  <c r="E1527" i="2"/>
  <c r="F1527" i="2"/>
  <c r="G1527" i="2"/>
  <c r="H1527" i="2"/>
  <c r="I1527" i="2"/>
  <c r="J1527" i="2"/>
  <c r="K1527" i="2"/>
  <c r="L1527" i="2"/>
  <c r="N1527" i="2"/>
  <c r="O1527" i="2"/>
  <c r="Q1527" i="2"/>
  <c r="R1527" i="2"/>
  <c r="S1527" i="2"/>
  <c r="E1528" i="2"/>
  <c r="F1528" i="2"/>
  <c r="G1528" i="2"/>
  <c r="H1528" i="2"/>
  <c r="I1528" i="2"/>
  <c r="J1528" i="2"/>
  <c r="K1528" i="2"/>
  <c r="L1528" i="2"/>
  <c r="M1528" i="2"/>
  <c r="N1528" i="2"/>
  <c r="O1528" i="2"/>
  <c r="Q1528" i="2"/>
  <c r="R1528" i="2"/>
  <c r="S1528" i="2"/>
  <c r="E1529" i="2"/>
  <c r="F1529" i="2"/>
  <c r="G1529" i="2"/>
  <c r="H1529" i="2"/>
  <c r="I1529" i="2"/>
  <c r="J1529" i="2"/>
  <c r="M1529" i="2" s="1"/>
  <c r="K1529" i="2"/>
  <c r="L1529" i="2"/>
  <c r="N1529" i="2"/>
  <c r="O1529" i="2"/>
  <c r="Q1529" i="2"/>
  <c r="R1529" i="2"/>
  <c r="S1529" i="2"/>
  <c r="E1530" i="2"/>
  <c r="F1530" i="2"/>
  <c r="G1530" i="2"/>
  <c r="H1530" i="2"/>
  <c r="I1530" i="2"/>
  <c r="J1530" i="2"/>
  <c r="K1530" i="2"/>
  <c r="L1530" i="2"/>
  <c r="N1530" i="2"/>
  <c r="O1530" i="2"/>
  <c r="Q1530" i="2"/>
  <c r="R1530" i="2"/>
  <c r="S1530" i="2"/>
  <c r="E1531" i="2"/>
  <c r="F1531" i="2"/>
  <c r="G1531" i="2"/>
  <c r="H1531" i="2"/>
  <c r="I1531" i="2"/>
  <c r="J1531" i="2"/>
  <c r="K1531" i="2"/>
  <c r="L1531" i="2"/>
  <c r="N1531" i="2"/>
  <c r="O1531" i="2"/>
  <c r="Q1531" i="2"/>
  <c r="R1531" i="2"/>
  <c r="S1531" i="2"/>
  <c r="E1532" i="2"/>
  <c r="F1532" i="2"/>
  <c r="G1532" i="2"/>
  <c r="H1532" i="2"/>
  <c r="I1532" i="2"/>
  <c r="J1532" i="2"/>
  <c r="K1532" i="2"/>
  <c r="L1532" i="2"/>
  <c r="M1532" i="2"/>
  <c r="N1532" i="2"/>
  <c r="O1532" i="2"/>
  <c r="Q1532" i="2"/>
  <c r="R1532" i="2"/>
  <c r="S1532" i="2"/>
  <c r="E1533" i="2"/>
  <c r="F1533" i="2"/>
  <c r="G1533" i="2"/>
  <c r="H1533" i="2"/>
  <c r="I1533" i="2"/>
  <c r="J1533" i="2"/>
  <c r="M1533" i="2" s="1"/>
  <c r="K1533" i="2"/>
  <c r="L1533" i="2"/>
  <c r="N1533" i="2"/>
  <c r="O1533" i="2"/>
  <c r="Q1533" i="2"/>
  <c r="R1533" i="2"/>
  <c r="S1533" i="2"/>
  <c r="E1534" i="2"/>
  <c r="F1534" i="2"/>
  <c r="G1534" i="2"/>
  <c r="H1534" i="2"/>
  <c r="M1534" i="2" s="1"/>
  <c r="I1534" i="2"/>
  <c r="J1534" i="2"/>
  <c r="K1534" i="2"/>
  <c r="L1534" i="2"/>
  <c r="N1534" i="2"/>
  <c r="P1534" i="2" s="1"/>
  <c r="O1534" i="2"/>
  <c r="Q1534" i="2"/>
  <c r="R1534" i="2"/>
  <c r="S1534" i="2"/>
  <c r="E1535" i="2"/>
  <c r="F1535" i="2"/>
  <c r="G1535" i="2"/>
  <c r="H1535" i="2"/>
  <c r="I1535" i="2"/>
  <c r="J1535" i="2"/>
  <c r="K1535" i="2"/>
  <c r="L1535" i="2"/>
  <c r="N1535" i="2"/>
  <c r="O1535" i="2"/>
  <c r="Q1535" i="2"/>
  <c r="R1535" i="2"/>
  <c r="S1535" i="2"/>
  <c r="E1536" i="2"/>
  <c r="F1536" i="2"/>
  <c r="G1536" i="2"/>
  <c r="H1536" i="2"/>
  <c r="I1536" i="2"/>
  <c r="J1536" i="2"/>
  <c r="K1536" i="2"/>
  <c r="L1536" i="2"/>
  <c r="M1536" i="2"/>
  <c r="N1536" i="2"/>
  <c r="O1536" i="2"/>
  <c r="Q1536" i="2"/>
  <c r="R1536" i="2"/>
  <c r="S1536" i="2"/>
  <c r="E1537" i="2"/>
  <c r="F1537" i="2"/>
  <c r="G1537" i="2"/>
  <c r="H1537" i="2"/>
  <c r="I1537" i="2"/>
  <c r="J1537" i="2"/>
  <c r="M1537" i="2" s="1"/>
  <c r="K1537" i="2"/>
  <c r="L1537" i="2"/>
  <c r="N1537" i="2"/>
  <c r="O1537" i="2"/>
  <c r="Q1537" i="2"/>
  <c r="R1537" i="2"/>
  <c r="S1537" i="2"/>
  <c r="E1538" i="2"/>
  <c r="F1538" i="2"/>
  <c r="G1538" i="2"/>
  <c r="H1538" i="2"/>
  <c r="I1538" i="2"/>
  <c r="J1538" i="2"/>
  <c r="K1538" i="2"/>
  <c r="L1538" i="2"/>
  <c r="N1538" i="2"/>
  <c r="O1538" i="2"/>
  <c r="Q1538" i="2"/>
  <c r="R1538" i="2"/>
  <c r="S1538" i="2"/>
  <c r="E1539" i="2"/>
  <c r="F1539" i="2"/>
  <c r="G1539" i="2"/>
  <c r="H1539" i="2"/>
  <c r="I1539" i="2"/>
  <c r="J1539" i="2"/>
  <c r="K1539" i="2"/>
  <c r="L1539" i="2"/>
  <c r="N1539" i="2"/>
  <c r="O1539" i="2"/>
  <c r="Q1539" i="2"/>
  <c r="R1539" i="2"/>
  <c r="S1539" i="2"/>
  <c r="E1540" i="2"/>
  <c r="F1540" i="2"/>
  <c r="G1540" i="2"/>
  <c r="H1540" i="2"/>
  <c r="I1540" i="2"/>
  <c r="J1540" i="2"/>
  <c r="K1540" i="2"/>
  <c r="L1540" i="2"/>
  <c r="M1540" i="2"/>
  <c r="N1540" i="2"/>
  <c r="O1540" i="2"/>
  <c r="Q1540" i="2"/>
  <c r="R1540" i="2"/>
  <c r="S1540" i="2"/>
  <c r="E1541" i="2"/>
  <c r="F1541" i="2"/>
  <c r="G1541" i="2"/>
  <c r="H1541" i="2"/>
  <c r="I1541" i="2"/>
  <c r="J1541" i="2"/>
  <c r="M1541" i="2" s="1"/>
  <c r="K1541" i="2"/>
  <c r="L1541" i="2"/>
  <c r="N1541" i="2"/>
  <c r="O1541" i="2"/>
  <c r="Q1541" i="2"/>
  <c r="R1541" i="2"/>
  <c r="S1541" i="2"/>
  <c r="E1542" i="2"/>
  <c r="F1542" i="2"/>
  <c r="G1542" i="2"/>
  <c r="H1542" i="2"/>
  <c r="M1542" i="2" s="1"/>
  <c r="I1542" i="2"/>
  <c r="J1542" i="2"/>
  <c r="K1542" i="2"/>
  <c r="L1542" i="2"/>
  <c r="N1542" i="2"/>
  <c r="P1542" i="2" s="1"/>
  <c r="O1542" i="2"/>
  <c r="Q1542" i="2"/>
  <c r="R1542" i="2"/>
  <c r="S1542" i="2"/>
  <c r="E1543" i="2"/>
  <c r="F1543" i="2"/>
  <c r="G1543" i="2"/>
  <c r="H1543" i="2"/>
  <c r="I1543" i="2"/>
  <c r="J1543" i="2"/>
  <c r="K1543" i="2"/>
  <c r="L1543" i="2"/>
  <c r="N1543" i="2"/>
  <c r="O1543" i="2"/>
  <c r="Q1543" i="2"/>
  <c r="R1543" i="2"/>
  <c r="S1543" i="2"/>
  <c r="E1544" i="2"/>
  <c r="F1544" i="2"/>
  <c r="G1544" i="2"/>
  <c r="H1544" i="2"/>
  <c r="I1544" i="2"/>
  <c r="J1544" i="2"/>
  <c r="K1544" i="2"/>
  <c r="L1544" i="2"/>
  <c r="M1544" i="2"/>
  <c r="N1544" i="2"/>
  <c r="O1544" i="2"/>
  <c r="Q1544" i="2"/>
  <c r="R1544" i="2"/>
  <c r="S1544" i="2"/>
  <c r="E1545" i="2"/>
  <c r="F1545" i="2"/>
  <c r="G1545" i="2"/>
  <c r="H1545" i="2"/>
  <c r="I1545" i="2"/>
  <c r="J1545" i="2"/>
  <c r="M1545" i="2" s="1"/>
  <c r="K1545" i="2"/>
  <c r="L1545" i="2"/>
  <c r="N1545" i="2"/>
  <c r="O1545" i="2"/>
  <c r="Q1545" i="2"/>
  <c r="R1545" i="2"/>
  <c r="S1545" i="2"/>
  <c r="E1546" i="2"/>
  <c r="F1546" i="2"/>
  <c r="G1546" i="2"/>
  <c r="H1546" i="2"/>
  <c r="I1546" i="2"/>
  <c r="J1546" i="2"/>
  <c r="K1546" i="2"/>
  <c r="L1546" i="2"/>
  <c r="N1546" i="2"/>
  <c r="O1546" i="2"/>
  <c r="Q1546" i="2"/>
  <c r="R1546" i="2"/>
  <c r="S1546" i="2"/>
  <c r="E1547" i="2"/>
  <c r="F1547" i="2"/>
  <c r="G1547" i="2"/>
  <c r="H1547" i="2"/>
  <c r="I1547" i="2"/>
  <c r="J1547" i="2"/>
  <c r="K1547" i="2"/>
  <c r="L1547" i="2"/>
  <c r="N1547" i="2"/>
  <c r="O1547" i="2"/>
  <c r="Q1547" i="2"/>
  <c r="R1547" i="2"/>
  <c r="S1547" i="2"/>
  <c r="E1548" i="2"/>
  <c r="F1548" i="2"/>
  <c r="G1548" i="2"/>
  <c r="H1548" i="2"/>
  <c r="I1548" i="2"/>
  <c r="J1548" i="2"/>
  <c r="K1548" i="2"/>
  <c r="L1548" i="2"/>
  <c r="M1548" i="2"/>
  <c r="N1548" i="2"/>
  <c r="O1548" i="2"/>
  <c r="Q1548" i="2"/>
  <c r="R1548" i="2"/>
  <c r="S1548" i="2"/>
  <c r="E1549" i="2"/>
  <c r="F1549" i="2"/>
  <c r="G1549" i="2"/>
  <c r="H1549" i="2"/>
  <c r="I1549" i="2"/>
  <c r="J1549" i="2"/>
  <c r="M1549" i="2" s="1"/>
  <c r="K1549" i="2"/>
  <c r="L1549" i="2"/>
  <c r="N1549" i="2"/>
  <c r="O1549" i="2"/>
  <c r="Q1549" i="2"/>
  <c r="R1549" i="2"/>
  <c r="S1549" i="2"/>
  <c r="E1550" i="2"/>
  <c r="F1550" i="2"/>
  <c r="G1550" i="2"/>
  <c r="H1550" i="2"/>
  <c r="M1550" i="2" s="1"/>
  <c r="I1550" i="2"/>
  <c r="J1550" i="2"/>
  <c r="K1550" i="2"/>
  <c r="L1550" i="2"/>
  <c r="N1550" i="2"/>
  <c r="P1550" i="2" s="1"/>
  <c r="O1550" i="2"/>
  <c r="Q1550" i="2"/>
  <c r="R1550" i="2"/>
  <c r="S1550" i="2"/>
  <c r="E1551" i="2"/>
  <c r="F1551" i="2"/>
  <c r="G1551" i="2"/>
  <c r="H1551" i="2"/>
  <c r="I1551" i="2"/>
  <c r="J1551" i="2"/>
  <c r="K1551" i="2"/>
  <c r="L1551" i="2"/>
  <c r="N1551" i="2"/>
  <c r="O1551" i="2"/>
  <c r="Q1551" i="2"/>
  <c r="R1551" i="2"/>
  <c r="S1551" i="2"/>
  <c r="E1552" i="2"/>
  <c r="F1552" i="2"/>
  <c r="G1552" i="2"/>
  <c r="H1552" i="2"/>
  <c r="I1552" i="2"/>
  <c r="J1552" i="2"/>
  <c r="K1552" i="2"/>
  <c r="L1552" i="2"/>
  <c r="M1552" i="2"/>
  <c r="N1552" i="2"/>
  <c r="O1552" i="2"/>
  <c r="Q1552" i="2"/>
  <c r="R1552" i="2"/>
  <c r="S1552" i="2"/>
  <c r="E1553" i="2"/>
  <c r="F1553" i="2"/>
  <c r="G1553" i="2"/>
  <c r="H1553" i="2"/>
  <c r="I1553" i="2"/>
  <c r="J1553" i="2"/>
  <c r="M1553" i="2" s="1"/>
  <c r="K1553" i="2"/>
  <c r="L1553" i="2"/>
  <c r="N1553" i="2"/>
  <c r="O1553" i="2"/>
  <c r="Q1553" i="2"/>
  <c r="R1553" i="2"/>
  <c r="S1553" i="2"/>
  <c r="E1554" i="2"/>
  <c r="F1554" i="2"/>
  <c r="G1554" i="2"/>
  <c r="H1554" i="2"/>
  <c r="I1554" i="2"/>
  <c r="J1554" i="2"/>
  <c r="K1554" i="2"/>
  <c r="L1554" i="2"/>
  <c r="N1554" i="2"/>
  <c r="O1554" i="2"/>
  <c r="Q1554" i="2"/>
  <c r="R1554" i="2"/>
  <c r="S1554" i="2"/>
  <c r="E1555" i="2"/>
  <c r="F1555" i="2"/>
  <c r="G1555" i="2"/>
  <c r="H1555" i="2"/>
  <c r="I1555" i="2"/>
  <c r="J1555" i="2"/>
  <c r="K1555" i="2"/>
  <c r="L1555" i="2"/>
  <c r="N1555" i="2"/>
  <c r="O1555" i="2"/>
  <c r="Q1555" i="2"/>
  <c r="R1555" i="2"/>
  <c r="S1555" i="2"/>
  <c r="E1556" i="2"/>
  <c r="F1556" i="2"/>
  <c r="G1556" i="2"/>
  <c r="H1556" i="2"/>
  <c r="I1556" i="2"/>
  <c r="J1556" i="2"/>
  <c r="K1556" i="2"/>
  <c r="L1556" i="2"/>
  <c r="M1556" i="2"/>
  <c r="N1556" i="2"/>
  <c r="O1556" i="2"/>
  <c r="Q1556" i="2"/>
  <c r="R1556" i="2"/>
  <c r="S1556" i="2"/>
  <c r="E1557" i="2"/>
  <c r="F1557" i="2"/>
  <c r="G1557" i="2"/>
  <c r="H1557" i="2"/>
  <c r="I1557" i="2"/>
  <c r="J1557" i="2"/>
  <c r="M1557" i="2" s="1"/>
  <c r="K1557" i="2"/>
  <c r="L1557" i="2"/>
  <c r="N1557" i="2"/>
  <c r="O1557" i="2"/>
  <c r="Q1557" i="2"/>
  <c r="R1557" i="2"/>
  <c r="S1557" i="2"/>
  <c r="E1558" i="2"/>
  <c r="F1558" i="2"/>
  <c r="G1558" i="2"/>
  <c r="H1558" i="2"/>
  <c r="M1558" i="2" s="1"/>
  <c r="I1558" i="2"/>
  <c r="J1558" i="2"/>
  <c r="K1558" i="2"/>
  <c r="L1558" i="2"/>
  <c r="N1558" i="2"/>
  <c r="P1558" i="2" s="1"/>
  <c r="O1558" i="2"/>
  <c r="Q1558" i="2"/>
  <c r="R1558" i="2"/>
  <c r="S1558" i="2"/>
  <c r="E1559" i="2"/>
  <c r="F1559" i="2"/>
  <c r="G1559" i="2"/>
  <c r="H1559" i="2"/>
  <c r="I1559" i="2"/>
  <c r="J1559" i="2"/>
  <c r="K1559" i="2"/>
  <c r="L1559" i="2"/>
  <c r="N1559" i="2"/>
  <c r="O1559" i="2"/>
  <c r="Q1559" i="2"/>
  <c r="R1559" i="2"/>
  <c r="S1559" i="2"/>
  <c r="E1560" i="2"/>
  <c r="F1560" i="2"/>
  <c r="G1560" i="2"/>
  <c r="H1560" i="2"/>
  <c r="I1560" i="2"/>
  <c r="J1560" i="2"/>
  <c r="K1560" i="2"/>
  <c r="L1560" i="2"/>
  <c r="M1560" i="2"/>
  <c r="N1560" i="2"/>
  <c r="O1560" i="2"/>
  <c r="Q1560" i="2"/>
  <c r="R1560" i="2"/>
  <c r="S1560" i="2"/>
  <c r="E1561" i="2"/>
  <c r="F1561" i="2"/>
  <c r="G1561" i="2"/>
  <c r="H1561" i="2"/>
  <c r="I1561" i="2"/>
  <c r="J1561" i="2"/>
  <c r="M1561" i="2" s="1"/>
  <c r="K1561" i="2"/>
  <c r="L1561" i="2"/>
  <c r="N1561" i="2"/>
  <c r="O1561" i="2"/>
  <c r="Q1561" i="2"/>
  <c r="R1561" i="2"/>
  <c r="S1561" i="2"/>
  <c r="E1562" i="2"/>
  <c r="F1562" i="2"/>
  <c r="G1562" i="2"/>
  <c r="H1562" i="2"/>
  <c r="I1562" i="2"/>
  <c r="J1562" i="2"/>
  <c r="K1562" i="2"/>
  <c r="L1562" i="2"/>
  <c r="N1562" i="2"/>
  <c r="O1562" i="2"/>
  <c r="Q1562" i="2"/>
  <c r="R1562" i="2"/>
  <c r="S1562" i="2"/>
  <c r="E1563" i="2"/>
  <c r="F1563" i="2"/>
  <c r="G1563" i="2"/>
  <c r="H1563" i="2"/>
  <c r="I1563" i="2"/>
  <c r="J1563" i="2"/>
  <c r="K1563" i="2"/>
  <c r="L1563" i="2"/>
  <c r="N1563" i="2"/>
  <c r="O1563" i="2"/>
  <c r="Q1563" i="2"/>
  <c r="R1563" i="2"/>
  <c r="S1563" i="2"/>
  <c r="E1564" i="2"/>
  <c r="F1564" i="2"/>
  <c r="G1564" i="2"/>
  <c r="H1564" i="2"/>
  <c r="I1564" i="2"/>
  <c r="J1564" i="2"/>
  <c r="K1564" i="2"/>
  <c r="L1564" i="2"/>
  <c r="M1564" i="2"/>
  <c r="N1564" i="2"/>
  <c r="O1564" i="2"/>
  <c r="Q1564" i="2"/>
  <c r="R1564" i="2"/>
  <c r="S1564" i="2"/>
  <c r="E1565" i="2"/>
  <c r="F1565" i="2"/>
  <c r="G1565" i="2"/>
  <c r="H1565" i="2"/>
  <c r="I1565" i="2"/>
  <c r="J1565" i="2"/>
  <c r="M1565" i="2" s="1"/>
  <c r="K1565" i="2"/>
  <c r="L1565" i="2"/>
  <c r="N1565" i="2"/>
  <c r="O1565" i="2"/>
  <c r="Q1565" i="2"/>
  <c r="R1565" i="2"/>
  <c r="S1565" i="2"/>
  <c r="E1566" i="2"/>
  <c r="F1566" i="2"/>
  <c r="G1566" i="2"/>
  <c r="H1566" i="2"/>
  <c r="M1566" i="2" s="1"/>
  <c r="I1566" i="2"/>
  <c r="J1566" i="2"/>
  <c r="K1566" i="2"/>
  <c r="L1566" i="2"/>
  <c r="N1566" i="2"/>
  <c r="P1566" i="2" s="1"/>
  <c r="O1566" i="2"/>
  <c r="Q1566" i="2"/>
  <c r="R1566" i="2"/>
  <c r="S1566" i="2"/>
  <c r="E1567" i="2"/>
  <c r="F1567" i="2"/>
  <c r="G1567" i="2"/>
  <c r="H1567" i="2"/>
  <c r="I1567" i="2"/>
  <c r="J1567" i="2"/>
  <c r="K1567" i="2"/>
  <c r="L1567" i="2"/>
  <c r="N1567" i="2"/>
  <c r="O1567" i="2"/>
  <c r="Q1567" i="2"/>
  <c r="R1567" i="2"/>
  <c r="S1567" i="2"/>
  <c r="E1568" i="2"/>
  <c r="F1568" i="2"/>
  <c r="G1568" i="2"/>
  <c r="H1568" i="2"/>
  <c r="I1568" i="2"/>
  <c r="J1568" i="2"/>
  <c r="K1568" i="2"/>
  <c r="L1568" i="2"/>
  <c r="M1568" i="2"/>
  <c r="N1568" i="2"/>
  <c r="O1568" i="2"/>
  <c r="Q1568" i="2"/>
  <c r="R1568" i="2"/>
  <c r="S1568" i="2"/>
  <c r="E1569" i="2"/>
  <c r="F1569" i="2"/>
  <c r="G1569" i="2"/>
  <c r="H1569" i="2"/>
  <c r="I1569" i="2"/>
  <c r="J1569" i="2"/>
  <c r="M1569" i="2" s="1"/>
  <c r="K1569" i="2"/>
  <c r="L1569" i="2"/>
  <c r="N1569" i="2"/>
  <c r="O1569" i="2"/>
  <c r="Q1569" i="2"/>
  <c r="R1569" i="2"/>
  <c r="S1569" i="2"/>
  <c r="E1570" i="2"/>
  <c r="F1570" i="2"/>
  <c r="G1570" i="2"/>
  <c r="H1570" i="2"/>
  <c r="I1570" i="2"/>
  <c r="J1570" i="2"/>
  <c r="K1570" i="2"/>
  <c r="L1570" i="2"/>
  <c r="N1570" i="2"/>
  <c r="O1570" i="2"/>
  <c r="Q1570" i="2"/>
  <c r="R1570" i="2"/>
  <c r="S1570" i="2"/>
  <c r="E1571" i="2"/>
  <c r="F1571" i="2"/>
  <c r="G1571" i="2"/>
  <c r="H1571" i="2"/>
  <c r="I1571" i="2"/>
  <c r="J1571" i="2"/>
  <c r="K1571" i="2"/>
  <c r="L1571" i="2"/>
  <c r="N1571" i="2"/>
  <c r="O1571" i="2"/>
  <c r="Q1571" i="2"/>
  <c r="R1571" i="2"/>
  <c r="S1571" i="2"/>
  <c r="E1572" i="2"/>
  <c r="F1572" i="2"/>
  <c r="G1572" i="2"/>
  <c r="H1572" i="2"/>
  <c r="I1572" i="2"/>
  <c r="J1572" i="2"/>
  <c r="K1572" i="2"/>
  <c r="L1572" i="2"/>
  <c r="M1572" i="2"/>
  <c r="N1572" i="2"/>
  <c r="O1572" i="2"/>
  <c r="Q1572" i="2"/>
  <c r="R1572" i="2"/>
  <c r="S1572" i="2"/>
  <c r="E1573" i="2"/>
  <c r="F1573" i="2"/>
  <c r="G1573" i="2"/>
  <c r="H1573" i="2"/>
  <c r="I1573" i="2"/>
  <c r="J1573" i="2"/>
  <c r="M1573" i="2" s="1"/>
  <c r="K1573" i="2"/>
  <c r="L1573" i="2"/>
  <c r="N1573" i="2"/>
  <c r="O1573" i="2"/>
  <c r="Q1573" i="2"/>
  <c r="R1573" i="2"/>
  <c r="S1573" i="2"/>
  <c r="E1574" i="2"/>
  <c r="F1574" i="2"/>
  <c r="G1574" i="2"/>
  <c r="H1574" i="2"/>
  <c r="I1574" i="2"/>
  <c r="J1574" i="2"/>
  <c r="K1574" i="2"/>
  <c r="L1574" i="2"/>
  <c r="N1574" i="2"/>
  <c r="P1574" i="2" s="1"/>
  <c r="O1574" i="2"/>
  <c r="Q1574" i="2"/>
  <c r="R1574" i="2"/>
  <c r="S1574" i="2"/>
  <c r="E1575" i="2"/>
  <c r="F1575" i="2"/>
  <c r="G1575" i="2"/>
  <c r="H1575" i="2"/>
  <c r="I1575" i="2"/>
  <c r="J1575" i="2"/>
  <c r="K1575" i="2"/>
  <c r="L1575" i="2"/>
  <c r="N1575" i="2"/>
  <c r="O1575" i="2"/>
  <c r="Q1575" i="2"/>
  <c r="R1575" i="2"/>
  <c r="S1575" i="2"/>
  <c r="E1576" i="2"/>
  <c r="F1576" i="2"/>
  <c r="G1576" i="2"/>
  <c r="H1576" i="2"/>
  <c r="I1576" i="2"/>
  <c r="J1576" i="2"/>
  <c r="K1576" i="2"/>
  <c r="L1576" i="2"/>
  <c r="M1576" i="2"/>
  <c r="N1576" i="2"/>
  <c r="O1576" i="2"/>
  <c r="Q1576" i="2"/>
  <c r="R1576" i="2"/>
  <c r="S1576" i="2"/>
  <c r="E1577" i="2"/>
  <c r="F1577" i="2"/>
  <c r="G1577" i="2"/>
  <c r="H1577" i="2"/>
  <c r="I1577" i="2"/>
  <c r="J1577" i="2"/>
  <c r="M1577" i="2" s="1"/>
  <c r="K1577" i="2"/>
  <c r="L1577" i="2"/>
  <c r="N1577" i="2"/>
  <c r="O1577" i="2"/>
  <c r="Q1577" i="2"/>
  <c r="R1577" i="2"/>
  <c r="S1577" i="2"/>
  <c r="E1578" i="2"/>
  <c r="F1578" i="2"/>
  <c r="G1578" i="2"/>
  <c r="H1578" i="2"/>
  <c r="I1578" i="2"/>
  <c r="J1578" i="2"/>
  <c r="K1578" i="2"/>
  <c r="L1578" i="2"/>
  <c r="N1578" i="2"/>
  <c r="P1578" i="2" s="1"/>
  <c r="O1578" i="2"/>
  <c r="Q1578" i="2"/>
  <c r="R1578" i="2"/>
  <c r="S1578" i="2"/>
  <c r="E1579" i="2"/>
  <c r="F1579" i="2"/>
  <c r="G1579" i="2"/>
  <c r="H1579" i="2"/>
  <c r="I1579" i="2"/>
  <c r="J1579" i="2"/>
  <c r="K1579" i="2"/>
  <c r="L1579" i="2"/>
  <c r="N1579" i="2"/>
  <c r="O1579" i="2"/>
  <c r="Q1579" i="2"/>
  <c r="R1579" i="2"/>
  <c r="S1579" i="2"/>
  <c r="E1580" i="2"/>
  <c r="F1580" i="2"/>
  <c r="G1580" i="2"/>
  <c r="H1580" i="2"/>
  <c r="I1580" i="2"/>
  <c r="J1580" i="2"/>
  <c r="K1580" i="2"/>
  <c r="L1580" i="2"/>
  <c r="M1580" i="2"/>
  <c r="N1580" i="2"/>
  <c r="O1580" i="2"/>
  <c r="Q1580" i="2"/>
  <c r="R1580" i="2"/>
  <c r="S1580" i="2"/>
  <c r="E1581" i="2"/>
  <c r="F1581" i="2"/>
  <c r="G1581" i="2"/>
  <c r="H1581" i="2"/>
  <c r="I1581" i="2"/>
  <c r="J1581" i="2"/>
  <c r="M1581" i="2" s="1"/>
  <c r="K1581" i="2"/>
  <c r="L1581" i="2"/>
  <c r="N1581" i="2"/>
  <c r="O1581" i="2"/>
  <c r="Q1581" i="2"/>
  <c r="R1581" i="2"/>
  <c r="S1581" i="2"/>
  <c r="E1582" i="2"/>
  <c r="F1582" i="2"/>
  <c r="G1582" i="2"/>
  <c r="H1582" i="2"/>
  <c r="I1582" i="2"/>
  <c r="J1582" i="2"/>
  <c r="K1582" i="2"/>
  <c r="L1582" i="2"/>
  <c r="N1582" i="2"/>
  <c r="P1582" i="2" s="1"/>
  <c r="O1582" i="2"/>
  <c r="Q1582" i="2"/>
  <c r="R1582" i="2"/>
  <c r="S1582" i="2"/>
  <c r="E1583" i="2"/>
  <c r="F1583" i="2"/>
  <c r="G1583" i="2"/>
  <c r="H1583" i="2"/>
  <c r="I1583" i="2"/>
  <c r="J1583" i="2"/>
  <c r="K1583" i="2"/>
  <c r="L1583" i="2"/>
  <c r="N1583" i="2"/>
  <c r="O1583" i="2"/>
  <c r="Q1583" i="2"/>
  <c r="R1583" i="2"/>
  <c r="S1583" i="2"/>
  <c r="E1584" i="2"/>
  <c r="F1584" i="2"/>
  <c r="G1584" i="2"/>
  <c r="H1584" i="2"/>
  <c r="I1584" i="2"/>
  <c r="J1584" i="2"/>
  <c r="K1584" i="2"/>
  <c r="L1584" i="2"/>
  <c r="M1584" i="2"/>
  <c r="N1584" i="2"/>
  <c r="O1584" i="2"/>
  <c r="Q1584" i="2"/>
  <c r="R1584" i="2"/>
  <c r="S1584" i="2"/>
  <c r="E1585" i="2"/>
  <c r="F1585" i="2"/>
  <c r="G1585" i="2"/>
  <c r="H1585" i="2"/>
  <c r="I1585" i="2"/>
  <c r="J1585" i="2"/>
  <c r="M1585" i="2" s="1"/>
  <c r="K1585" i="2"/>
  <c r="L1585" i="2"/>
  <c r="N1585" i="2"/>
  <c r="O1585" i="2"/>
  <c r="Q1585" i="2"/>
  <c r="R1585" i="2"/>
  <c r="S1585" i="2"/>
  <c r="E1586" i="2"/>
  <c r="F1586" i="2"/>
  <c r="G1586" i="2"/>
  <c r="H1586" i="2"/>
  <c r="I1586" i="2"/>
  <c r="J1586" i="2"/>
  <c r="K1586" i="2"/>
  <c r="L1586" i="2"/>
  <c r="N1586" i="2"/>
  <c r="P1586" i="2" s="1"/>
  <c r="O1586" i="2"/>
  <c r="Q1586" i="2"/>
  <c r="R1586" i="2"/>
  <c r="S1586" i="2"/>
  <c r="E1587" i="2"/>
  <c r="F1587" i="2"/>
  <c r="G1587" i="2"/>
  <c r="H1587" i="2"/>
  <c r="I1587" i="2"/>
  <c r="J1587" i="2"/>
  <c r="K1587" i="2"/>
  <c r="L1587" i="2"/>
  <c r="N1587" i="2"/>
  <c r="O1587" i="2"/>
  <c r="Q1587" i="2"/>
  <c r="R1587" i="2"/>
  <c r="S1587" i="2"/>
  <c r="E1588" i="2"/>
  <c r="F1588" i="2"/>
  <c r="G1588" i="2"/>
  <c r="H1588" i="2"/>
  <c r="I1588" i="2"/>
  <c r="J1588" i="2"/>
  <c r="K1588" i="2"/>
  <c r="L1588" i="2"/>
  <c r="M1588" i="2"/>
  <c r="N1588" i="2"/>
  <c r="O1588" i="2"/>
  <c r="Q1588" i="2"/>
  <c r="R1588" i="2"/>
  <c r="S1588" i="2"/>
  <c r="E1589" i="2"/>
  <c r="F1589" i="2"/>
  <c r="G1589" i="2"/>
  <c r="H1589" i="2"/>
  <c r="I1589" i="2"/>
  <c r="J1589" i="2"/>
  <c r="M1589" i="2" s="1"/>
  <c r="K1589" i="2"/>
  <c r="L1589" i="2"/>
  <c r="N1589" i="2"/>
  <c r="O1589" i="2"/>
  <c r="Q1589" i="2"/>
  <c r="R1589" i="2"/>
  <c r="S1589" i="2"/>
  <c r="E1590" i="2"/>
  <c r="F1590" i="2"/>
  <c r="G1590" i="2"/>
  <c r="H1590" i="2"/>
  <c r="I1590" i="2"/>
  <c r="J1590" i="2"/>
  <c r="K1590" i="2"/>
  <c r="L1590" i="2"/>
  <c r="N1590" i="2"/>
  <c r="P1590" i="2" s="1"/>
  <c r="O1590" i="2"/>
  <c r="Q1590" i="2"/>
  <c r="R1590" i="2"/>
  <c r="S1590" i="2"/>
  <c r="E1591" i="2"/>
  <c r="F1591" i="2"/>
  <c r="G1591" i="2"/>
  <c r="H1591" i="2"/>
  <c r="I1591" i="2"/>
  <c r="J1591" i="2"/>
  <c r="K1591" i="2"/>
  <c r="L1591" i="2"/>
  <c r="N1591" i="2"/>
  <c r="O1591" i="2"/>
  <c r="Q1591" i="2"/>
  <c r="R1591" i="2"/>
  <c r="S1591" i="2"/>
  <c r="E1592" i="2"/>
  <c r="F1592" i="2"/>
  <c r="G1592" i="2"/>
  <c r="H1592" i="2"/>
  <c r="I1592" i="2"/>
  <c r="J1592" i="2"/>
  <c r="K1592" i="2"/>
  <c r="L1592" i="2"/>
  <c r="M1592" i="2"/>
  <c r="N1592" i="2"/>
  <c r="O1592" i="2"/>
  <c r="Q1592" i="2"/>
  <c r="R1592" i="2"/>
  <c r="S1592" i="2"/>
  <c r="E1593" i="2"/>
  <c r="F1593" i="2"/>
  <c r="G1593" i="2"/>
  <c r="H1593" i="2"/>
  <c r="I1593" i="2"/>
  <c r="J1593" i="2"/>
  <c r="M1593" i="2" s="1"/>
  <c r="K1593" i="2"/>
  <c r="L1593" i="2"/>
  <c r="N1593" i="2"/>
  <c r="O1593" i="2"/>
  <c r="Q1593" i="2"/>
  <c r="R1593" i="2"/>
  <c r="S1593" i="2"/>
  <c r="E1594" i="2"/>
  <c r="F1594" i="2"/>
  <c r="G1594" i="2"/>
  <c r="H1594" i="2"/>
  <c r="I1594" i="2"/>
  <c r="J1594" i="2"/>
  <c r="K1594" i="2"/>
  <c r="L1594" i="2"/>
  <c r="N1594" i="2"/>
  <c r="P1594" i="2" s="1"/>
  <c r="O1594" i="2"/>
  <c r="Q1594" i="2"/>
  <c r="R1594" i="2"/>
  <c r="S1594" i="2"/>
  <c r="E1595" i="2"/>
  <c r="F1595" i="2"/>
  <c r="G1595" i="2"/>
  <c r="H1595" i="2"/>
  <c r="I1595" i="2"/>
  <c r="J1595" i="2"/>
  <c r="K1595" i="2"/>
  <c r="L1595" i="2"/>
  <c r="N1595" i="2"/>
  <c r="O1595" i="2"/>
  <c r="Q1595" i="2"/>
  <c r="R1595" i="2"/>
  <c r="S1595" i="2"/>
  <c r="E1596" i="2"/>
  <c r="F1596" i="2"/>
  <c r="G1596" i="2"/>
  <c r="H1596" i="2"/>
  <c r="I1596" i="2"/>
  <c r="J1596" i="2"/>
  <c r="K1596" i="2"/>
  <c r="L1596" i="2"/>
  <c r="M1596" i="2"/>
  <c r="N1596" i="2"/>
  <c r="O1596" i="2"/>
  <c r="Q1596" i="2"/>
  <c r="R1596" i="2"/>
  <c r="S1596" i="2"/>
  <c r="E1597" i="2"/>
  <c r="F1597" i="2"/>
  <c r="G1597" i="2"/>
  <c r="H1597" i="2"/>
  <c r="I1597" i="2"/>
  <c r="J1597" i="2"/>
  <c r="M1597" i="2" s="1"/>
  <c r="K1597" i="2"/>
  <c r="L1597" i="2"/>
  <c r="N1597" i="2"/>
  <c r="O1597" i="2"/>
  <c r="Q1597" i="2"/>
  <c r="R1597" i="2"/>
  <c r="S1597" i="2"/>
  <c r="E1598" i="2"/>
  <c r="F1598" i="2"/>
  <c r="G1598" i="2"/>
  <c r="H1598" i="2"/>
  <c r="I1598" i="2"/>
  <c r="J1598" i="2"/>
  <c r="K1598" i="2"/>
  <c r="L1598" i="2"/>
  <c r="N1598" i="2"/>
  <c r="P1598" i="2" s="1"/>
  <c r="O1598" i="2"/>
  <c r="Q1598" i="2"/>
  <c r="R1598" i="2"/>
  <c r="S1598" i="2"/>
  <c r="E1599" i="2"/>
  <c r="F1599" i="2"/>
  <c r="G1599" i="2"/>
  <c r="H1599" i="2"/>
  <c r="I1599" i="2"/>
  <c r="J1599" i="2"/>
  <c r="K1599" i="2"/>
  <c r="L1599" i="2"/>
  <c r="N1599" i="2"/>
  <c r="O1599" i="2"/>
  <c r="Q1599" i="2"/>
  <c r="R1599" i="2"/>
  <c r="S1599" i="2"/>
  <c r="E1600" i="2"/>
  <c r="F1600" i="2"/>
  <c r="G1600" i="2"/>
  <c r="H1600" i="2"/>
  <c r="I1600" i="2"/>
  <c r="J1600" i="2"/>
  <c r="K1600" i="2"/>
  <c r="L1600" i="2"/>
  <c r="M1600" i="2"/>
  <c r="N1600" i="2"/>
  <c r="O1600" i="2"/>
  <c r="Q1600" i="2"/>
  <c r="R1600" i="2"/>
  <c r="S1600" i="2"/>
  <c r="E1601" i="2"/>
  <c r="F1601" i="2"/>
  <c r="G1601" i="2"/>
  <c r="H1601" i="2"/>
  <c r="I1601" i="2"/>
  <c r="J1601" i="2"/>
  <c r="M1601" i="2" s="1"/>
  <c r="K1601" i="2"/>
  <c r="L1601" i="2"/>
  <c r="N1601" i="2"/>
  <c r="O1601" i="2"/>
  <c r="Q1601" i="2"/>
  <c r="R1601" i="2"/>
  <c r="S1601" i="2"/>
  <c r="E1602" i="2"/>
  <c r="F1602" i="2"/>
  <c r="G1602" i="2"/>
  <c r="H1602" i="2"/>
  <c r="I1602" i="2"/>
  <c r="J1602" i="2"/>
  <c r="K1602" i="2"/>
  <c r="L1602" i="2"/>
  <c r="N1602" i="2"/>
  <c r="P1602" i="2" s="1"/>
  <c r="O1602" i="2"/>
  <c r="Q1602" i="2"/>
  <c r="R1602" i="2"/>
  <c r="S1602" i="2"/>
  <c r="E1603" i="2"/>
  <c r="F1603" i="2"/>
  <c r="G1603" i="2"/>
  <c r="H1603" i="2"/>
  <c r="I1603" i="2"/>
  <c r="J1603" i="2"/>
  <c r="K1603" i="2"/>
  <c r="L1603" i="2"/>
  <c r="N1603" i="2"/>
  <c r="O1603" i="2"/>
  <c r="Q1603" i="2"/>
  <c r="R1603" i="2"/>
  <c r="S1603" i="2"/>
  <c r="E1604" i="2"/>
  <c r="F1604" i="2"/>
  <c r="G1604" i="2"/>
  <c r="H1604" i="2"/>
  <c r="I1604" i="2"/>
  <c r="J1604" i="2"/>
  <c r="K1604" i="2"/>
  <c r="L1604" i="2"/>
  <c r="M1604" i="2"/>
  <c r="N1604" i="2"/>
  <c r="O1604" i="2"/>
  <c r="Q1604" i="2"/>
  <c r="R1604" i="2"/>
  <c r="S1604" i="2"/>
  <c r="E1605" i="2"/>
  <c r="F1605" i="2"/>
  <c r="G1605" i="2"/>
  <c r="H1605" i="2"/>
  <c r="I1605" i="2"/>
  <c r="J1605" i="2"/>
  <c r="M1605" i="2" s="1"/>
  <c r="K1605" i="2"/>
  <c r="L1605" i="2"/>
  <c r="N1605" i="2"/>
  <c r="O1605" i="2"/>
  <c r="Q1605" i="2"/>
  <c r="R1605" i="2"/>
  <c r="S1605" i="2"/>
  <c r="E1606" i="2"/>
  <c r="F1606" i="2"/>
  <c r="G1606" i="2"/>
  <c r="H1606" i="2"/>
  <c r="I1606" i="2"/>
  <c r="J1606" i="2"/>
  <c r="K1606" i="2"/>
  <c r="L1606" i="2"/>
  <c r="N1606" i="2"/>
  <c r="P1606" i="2" s="1"/>
  <c r="O1606" i="2"/>
  <c r="Q1606" i="2"/>
  <c r="R1606" i="2"/>
  <c r="S1606" i="2"/>
  <c r="E1607" i="2"/>
  <c r="F1607" i="2"/>
  <c r="G1607" i="2"/>
  <c r="H1607" i="2"/>
  <c r="I1607" i="2"/>
  <c r="J1607" i="2"/>
  <c r="K1607" i="2"/>
  <c r="L1607" i="2"/>
  <c r="N1607" i="2"/>
  <c r="O1607" i="2"/>
  <c r="Q1607" i="2"/>
  <c r="R1607" i="2"/>
  <c r="S1607" i="2"/>
  <c r="E1608" i="2"/>
  <c r="F1608" i="2"/>
  <c r="G1608" i="2"/>
  <c r="H1608" i="2"/>
  <c r="I1608" i="2"/>
  <c r="J1608" i="2"/>
  <c r="K1608" i="2"/>
  <c r="L1608" i="2"/>
  <c r="M1608" i="2"/>
  <c r="N1608" i="2"/>
  <c r="O1608" i="2"/>
  <c r="Q1608" i="2"/>
  <c r="R1608" i="2"/>
  <c r="S1608" i="2"/>
  <c r="E1609" i="2"/>
  <c r="F1609" i="2"/>
  <c r="G1609" i="2"/>
  <c r="H1609" i="2"/>
  <c r="I1609" i="2"/>
  <c r="J1609" i="2"/>
  <c r="M1609" i="2" s="1"/>
  <c r="K1609" i="2"/>
  <c r="L1609" i="2"/>
  <c r="N1609" i="2"/>
  <c r="O1609" i="2"/>
  <c r="Q1609" i="2"/>
  <c r="R1609" i="2"/>
  <c r="S1609" i="2"/>
  <c r="E1610" i="2"/>
  <c r="F1610" i="2"/>
  <c r="G1610" i="2"/>
  <c r="H1610" i="2"/>
  <c r="I1610" i="2"/>
  <c r="J1610" i="2"/>
  <c r="K1610" i="2"/>
  <c r="L1610" i="2"/>
  <c r="N1610" i="2"/>
  <c r="P1610" i="2" s="1"/>
  <c r="O1610" i="2"/>
  <c r="Q1610" i="2"/>
  <c r="R1610" i="2"/>
  <c r="S1610" i="2"/>
  <c r="E1611" i="2"/>
  <c r="F1611" i="2"/>
  <c r="G1611" i="2"/>
  <c r="H1611" i="2"/>
  <c r="I1611" i="2"/>
  <c r="J1611" i="2"/>
  <c r="K1611" i="2"/>
  <c r="L1611" i="2"/>
  <c r="N1611" i="2"/>
  <c r="O1611" i="2"/>
  <c r="Q1611" i="2"/>
  <c r="R1611" i="2"/>
  <c r="S1611" i="2"/>
  <c r="E1612" i="2"/>
  <c r="F1612" i="2"/>
  <c r="G1612" i="2"/>
  <c r="H1612" i="2"/>
  <c r="I1612" i="2"/>
  <c r="J1612" i="2"/>
  <c r="K1612" i="2"/>
  <c r="L1612" i="2"/>
  <c r="M1612" i="2"/>
  <c r="N1612" i="2"/>
  <c r="O1612" i="2"/>
  <c r="Q1612" i="2"/>
  <c r="R1612" i="2"/>
  <c r="S1612" i="2"/>
  <c r="E1613" i="2"/>
  <c r="F1613" i="2"/>
  <c r="G1613" i="2"/>
  <c r="H1613" i="2"/>
  <c r="I1613" i="2"/>
  <c r="J1613" i="2"/>
  <c r="M1613" i="2" s="1"/>
  <c r="K1613" i="2"/>
  <c r="L1613" i="2"/>
  <c r="N1613" i="2"/>
  <c r="O1613" i="2"/>
  <c r="Q1613" i="2"/>
  <c r="R1613" i="2"/>
  <c r="S1613" i="2"/>
  <c r="E1614" i="2"/>
  <c r="F1614" i="2"/>
  <c r="G1614" i="2"/>
  <c r="H1614" i="2"/>
  <c r="I1614" i="2"/>
  <c r="J1614" i="2"/>
  <c r="K1614" i="2"/>
  <c r="L1614" i="2"/>
  <c r="N1614" i="2"/>
  <c r="P1614" i="2" s="1"/>
  <c r="O1614" i="2"/>
  <c r="Q1614" i="2"/>
  <c r="R1614" i="2"/>
  <c r="S1614" i="2"/>
  <c r="E1615" i="2"/>
  <c r="F1615" i="2"/>
  <c r="G1615" i="2"/>
  <c r="H1615" i="2"/>
  <c r="I1615" i="2"/>
  <c r="J1615" i="2"/>
  <c r="K1615" i="2"/>
  <c r="L1615" i="2"/>
  <c r="N1615" i="2"/>
  <c r="O1615" i="2"/>
  <c r="Q1615" i="2"/>
  <c r="R1615" i="2"/>
  <c r="S1615" i="2"/>
  <c r="E1616" i="2"/>
  <c r="F1616" i="2"/>
  <c r="G1616" i="2"/>
  <c r="H1616" i="2"/>
  <c r="I1616" i="2"/>
  <c r="J1616" i="2"/>
  <c r="K1616" i="2"/>
  <c r="L1616" i="2"/>
  <c r="M1616" i="2"/>
  <c r="N1616" i="2"/>
  <c r="O1616" i="2"/>
  <c r="Q1616" i="2"/>
  <c r="R1616" i="2"/>
  <c r="S1616" i="2"/>
  <c r="E1617" i="2"/>
  <c r="F1617" i="2"/>
  <c r="G1617" i="2"/>
  <c r="H1617" i="2"/>
  <c r="I1617" i="2"/>
  <c r="J1617" i="2"/>
  <c r="M1617" i="2" s="1"/>
  <c r="K1617" i="2"/>
  <c r="L1617" i="2"/>
  <c r="N1617" i="2"/>
  <c r="O1617" i="2"/>
  <c r="Q1617" i="2"/>
  <c r="R1617" i="2"/>
  <c r="S1617" i="2"/>
  <c r="E1618" i="2"/>
  <c r="F1618" i="2"/>
  <c r="G1618" i="2"/>
  <c r="H1618" i="2"/>
  <c r="I1618" i="2"/>
  <c r="J1618" i="2"/>
  <c r="K1618" i="2"/>
  <c r="L1618" i="2"/>
  <c r="N1618" i="2"/>
  <c r="P1618" i="2" s="1"/>
  <c r="O1618" i="2"/>
  <c r="Q1618" i="2"/>
  <c r="R1618" i="2"/>
  <c r="S1618" i="2"/>
  <c r="E1619" i="2"/>
  <c r="F1619" i="2"/>
  <c r="G1619" i="2"/>
  <c r="H1619" i="2"/>
  <c r="I1619" i="2"/>
  <c r="J1619" i="2"/>
  <c r="K1619" i="2"/>
  <c r="L1619" i="2"/>
  <c r="N1619" i="2"/>
  <c r="O1619" i="2"/>
  <c r="Q1619" i="2"/>
  <c r="R1619" i="2"/>
  <c r="S1619" i="2"/>
  <c r="E1620" i="2"/>
  <c r="F1620" i="2"/>
  <c r="G1620" i="2"/>
  <c r="H1620" i="2"/>
  <c r="I1620" i="2"/>
  <c r="J1620" i="2"/>
  <c r="K1620" i="2"/>
  <c r="L1620" i="2"/>
  <c r="M1620" i="2"/>
  <c r="N1620" i="2"/>
  <c r="O1620" i="2"/>
  <c r="Q1620" i="2"/>
  <c r="R1620" i="2"/>
  <c r="S1620" i="2"/>
  <c r="E1621" i="2"/>
  <c r="F1621" i="2"/>
  <c r="G1621" i="2"/>
  <c r="H1621" i="2"/>
  <c r="I1621" i="2"/>
  <c r="J1621" i="2"/>
  <c r="M1621" i="2" s="1"/>
  <c r="K1621" i="2"/>
  <c r="L1621" i="2"/>
  <c r="N1621" i="2"/>
  <c r="O1621" i="2"/>
  <c r="Q1621" i="2"/>
  <c r="R1621" i="2"/>
  <c r="S1621" i="2"/>
  <c r="E1622" i="2"/>
  <c r="F1622" i="2"/>
  <c r="G1622" i="2"/>
  <c r="H1622" i="2"/>
  <c r="I1622" i="2"/>
  <c r="J1622" i="2"/>
  <c r="K1622" i="2"/>
  <c r="L1622" i="2"/>
  <c r="N1622" i="2"/>
  <c r="P1622" i="2" s="1"/>
  <c r="O1622" i="2"/>
  <c r="Q1622" i="2"/>
  <c r="R1622" i="2"/>
  <c r="S1622" i="2"/>
  <c r="E1623" i="2"/>
  <c r="F1623" i="2"/>
  <c r="G1623" i="2"/>
  <c r="H1623" i="2"/>
  <c r="I1623" i="2"/>
  <c r="J1623" i="2"/>
  <c r="K1623" i="2"/>
  <c r="L1623" i="2"/>
  <c r="N1623" i="2"/>
  <c r="O1623" i="2"/>
  <c r="Q1623" i="2"/>
  <c r="R1623" i="2"/>
  <c r="S1623" i="2"/>
  <c r="E1624" i="2"/>
  <c r="F1624" i="2"/>
  <c r="G1624" i="2"/>
  <c r="H1624" i="2"/>
  <c r="I1624" i="2"/>
  <c r="J1624" i="2"/>
  <c r="K1624" i="2"/>
  <c r="L1624" i="2"/>
  <c r="M1624" i="2"/>
  <c r="N1624" i="2"/>
  <c r="O1624" i="2"/>
  <c r="Q1624" i="2"/>
  <c r="R1624" i="2"/>
  <c r="S1624" i="2"/>
  <c r="E1625" i="2"/>
  <c r="F1625" i="2"/>
  <c r="G1625" i="2"/>
  <c r="H1625" i="2"/>
  <c r="I1625" i="2"/>
  <c r="J1625" i="2"/>
  <c r="M1625" i="2" s="1"/>
  <c r="K1625" i="2"/>
  <c r="L1625" i="2"/>
  <c r="N1625" i="2"/>
  <c r="O1625" i="2"/>
  <c r="Q1625" i="2"/>
  <c r="R1625" i="2"/>
  <c r="S1625" i="2"/>
  <c r="E1626" i="2"/>
  <c r="F1626" i="2"/>
  <c r="G1626" i="2"/>
  <c r="H1626" i="2"/>
  <c r="I1626" i="2"/>
  <c r="J1626" i="2"/>
  <c r="K1626" i="2"/>
  <c r="L1626" i="2"/>
  <c r="N1626" i="2"/>
  <c r="P1626" i="2" s="1"/>
  <c r="O1626" i="2"/>
  <c r="Q1626" i="2"/>
  <c r="R1626" i="2"/>
  <c r="S1626" i="2"/>
  <c r="E1627" i="2"/>
  <c r="F1627" i="2"/>
  <c r="G1627" i="2"/>
  <c r="H1627" i="2"/>
  <c r="I1627" i="2"/>
  <c r="J1627" i="2"/>
  <c r="K1627" i="2"/>
  <c r="L1627" i="2"/>
  <c r="N1627" i="2"/>
  <c r="O1627" i="2"/>
  <c r="Q1627" i="2"/>
  <c r="R1627" i="2"/>
  <c r="S1627" i="2"/>
  <c r="E1628" i="2"/>
  <c r="F1628" i="2"/>
  <c r="G1628" i="2"/>
  <c r="H1628" i="2"/>
  <c r="I1628" i="2"/>
  <c r="J1628" i="2"/>
  <c r="K1628" i="2"/>
  <c r="L1628" i="2"/>
  <c r="M1628" i="2"/>
  <c r="N1628" i="2"/>
  <c r="O1628" i="2"/>
  <c r="Q1628" i="2"/>
  <c r="R1628" i="2"/>
  <c r="S1628" i="2"/>
  <c r="E1629" i="2"/>
  <c r="F1629" i="2"/>
  <c r="G1629" i="2"/>
  <c r="H1629" i="2"/>
  <c r="I1629" i="2"/>
  <c r="J1629" i="2"/>
  <c r="M1629" i="2" s="1"/>
  <c r="K1629" i="2"/>
  <c r="L1629" i="2"/>
  <c r="N1629" i="2"/>
  <c r="O1629" i="2"/>
  <c r="Q1629" i="2"/>
  <c r="R1629" i="2"/>
  <c r="S1629" i="2"/>
  <c r="E1630" i="2"/>
  <c r="F1630" i="2"/>
  <c r="G1630" i="2"/>
  <c r="H1630" i="2"/>
  <c r="I1630" i="2"/>
  <c r="J1630" i="2"/>
  <c r="K1630" i="2"/>
  <c r="L1630" i="2"/>
  <c r="N1630" i="2"/>
  <c r="P1630" i="2" s="1"/>
  <c r="O1630" i="2"/>
  <c r="Q1630" i="2"/>
  <c r="R1630" i="2"/>
  <c r="S1630" i="2"/>
  <c r="E1631" i="2"/>
  <c r="F1631" i="2"/>
  <c r="G1631" i="2"/>
  <c r="H1631" i="2"/>
  <c r="I1631" i="2"/>
  <c r="J1631" i="2"/>
  <c r="K1631" i="2"/>
  <c r="L1631" i="2"/>
  <c r="N1631" i="2"/>
  <c r="O1631" i="2"/>
  <c r="Q1631" i="2"/>
  <c r="R1631" i="2"/>
  <c r="S1631" i="2"/>
  <c r="E1632" i="2"/>
  <c r="F1632" i="2"/>
  <c r="G1632" i="2"/>
  <c r="H1632" i="2"/>
  <c r="I1632" i="2"/>
  <c r="J1632" i="2"/>
  <c r="K1632" i="2"/>
  <c r="L1632" i="2"/>
  <c r="M1632" i="2"/>
  <c r="N1632" i="2"/>
  <c r="O1632" i="2"/>
  <c r="Q1632" i="2"/>
  <c r="R1632" i="2"/>
  <c r="S1632" i="2"/>
  <c r="E1633" i="2"/>
  <c r="F1633" i="2"/>
  <c r="G1633" i="2"/>
  <c r="H1633" i="2"/>
  <c r="I1633" i="2"/>
  <c r="J1633" i="2"/>
  <c r="M1633" i="2" s="1"/>
  <c r="K1633" i="2"/>
  <c r="L1633" i="2"/>
  <c r="N1633" i="2"/>
  <c r="O1633" i="2"/>
  <c r="Q1633" i="2"/>
  <c r="R1633" i="2"/>
  <c r="S1633" i="2"/>
  <c r="E1634" i="2"/>
  <c r="F1634" i="2"/>
  <c r="G1634" i="2"/>
  <c r="H1634" i="2"/>
  <c r="I1634" i="2"/>
  <c r="J1634" i="2"/>
  <c r="K1634" i="2"/>
  <c r="L1634" i="2"/>
  <c r="N1634" i="2"/>
  <c r="P1634" i="2" s="1"/>
  <c r="O1634" i="2"/>
  <c r="Q1634" i="2"/>
  <c r="R1634" i="2"/>
  <c r="S1634" i="2"/>
  <c r="E1635" i="2"/>
  <c r="F1635" i="2"/>
  <c r="G1635" i="2"/>
  <c r="H1635" i="2"/>
  <c r="I1635" i="2"/>
  <c r="J1635" i="2"/>
  <c r="K1635" i="2"/>
  <c r="L1635" i="2"/>
  <c r="N1635" i="2"/>
  <c r="O1635" i="2"/>
  <c r="Q1635" i="2"/>
  <c r="R1635" i="2"/>
  <c r="S1635" i="2"/>
  <c r="E1636" i="2"/>
  <c r="F1636" i="2"/>
  <c r="G1636" i="2"/>
  <c r="H1636" i="2"/>
  <c r="I1636" i="2"/>
  <c r="J1636" i="2"/>
  <c r="K1636" i="2"/>
  <c r="L1636" i="2"/>
  <c r="M1636" i="2"/>
  <c r="N1636" i="2"/>
  <c r="O1636" i="2"/>
  <c r="Q1636" i="2"/>
  <c r="R1636" i="2"/>
  <c r="S1636" i="2"/>
  <c r="E1637" i="2"/>
  <c r="F1637" i="2"/>
  <c r="G1637" i="2"/>
  <c r="H1637" i="2"/>
  <c r="I1637" i="2"/>
  <c r="J1637" i="2"/>
  <c r="M1637" i="2" s="1"/>
  <c r="K1637" i="2"/>
  <c r="L1637" i="2"/>
  <c r="N1637" i="2"/>
  <c r="O1637" i="2"/>
  <c r="Q1637" i="2"/>
  <c r="R1637" i="2"/>
  <c r="S1637" i="2"/>
  <c r="E1638" i="2"/>
  <c r="F1638" i="2"/>
  <c r="G1638" i="2"/>
  <c r="H1638" i="2"/>
  <c r="I1638" i="2"/>
  <c r="J1638" i="2"/>
  <c r="K1638" i="2"/>
  <c r="L1638" i="2"/>
  <c r="N1638" i="2"/>
  <c r="P1638" i="2" s="1"/>
  <c r="O1638" i="2"/>
  <c r="Q1638" i="2"/>
  <c r="R1638" i="2"/>
  <c r="S1638" i="2"/>
  <c r="E1639" i="2"/>
  <c r="F1639" i="2"/>
  <c r="G1639" i="2"/>
  <c r="H1639" i="2"/>
  <c r="I1639" i="2"/>
  <c r="J1639" i="2"/>
  <c r="K1639" i="2"/>
  <c r="L1639" i="2"/>
  <c r="N1639" i="2"/>
  <c r="O1639" i="2"/>
  <c r="Q1639" i="2"/>
  <c r="R1639" i="2"/>
  <c r="S1639" i="2"/>
  <c r="E1640" i="2"/>
  <c r="F1640" i="2"/>
  <c r="G1640" i="2"/>
  <c r="H1640" i="2"/>
  <c r="I1640" i="2"/>
  <c r="J1640" i="2"/>
  <c r="K1640" i="2"/>
  <c r="L1640" i="2"/>
  <c r="M1640" i="2"/>
  <c r="N1640" i="2"/>
  <c r="O1640" i="2"/>
  <c r="Q1640" i="2"/>
  <c r="R1640" i="2"/>
  <c r="S1640" i="2"/>
  <c r="E1641" i="2"/>
  <c r="F1641" i="2"/>
  <c r="G1641" i="2"/>
  <c r="H1641" i="2"/>
  <c r="I1641" i="2"/>
  <c r="J1641" i="2"/>
  <c r="M1641" i="2" s="1"/>
  <c r="K1641" i="2"/>
  <c r="L1641" i="2"/>
  <c r="N1641" i="2"/>
  <c r="O1641" i="2"/>
  <c r="Q1641" i="2"/>
  <c r="R1641" i="2"/>
  <c r="S1641" i="2"/>
  <c r="E1642" i="2"/>
  <c r="F1642" i="2"/>
  <c r="G1642" i="2"/>
  <c r="H1642" i="2"/>
  <c r="I1642" i="2"/>
  <c r="J1642" i="2"/>
  <c r="K1642" i="2"/>
  <c r="L1642" i="2"/>
  <c r="N1642" i="2"/>
  <c r="P1642" i="2" s="1"/>
  <c r="O1642" i="2"/>
  <c r="Q1642" i="2"/>
  <c r="R1642" i="2"/>
  <c r="S1642" i="2"/>
  <c r="E1643" i="2"/>
  <c r="F1643" i="2"/>
  <c r="G1643" i="2"/>
  <c r="H1643" i="2"/>
  <c r="I1643" i="2"/>
  <c r="J1643" i="2"/>
  <c r="K1643" i="2"/>
  <c r="L1643" i="2"/>
  <c r="N1643" i="2"/>
  <c r="O1643" i="2"/>
  <c r="Q1643" i="2"/>
  <c r="R1643" i="2"/>
  <c r="S1643" i="2"/>
  <c r="E1644" i="2"/>
  <c r="F1644" i="2"/>
  <c r="G1644" i="2"/>
  <c r="H1644" i="2"/>
  <c r="I1644" i="2"/>
  <c r="J1644" i="2"/>
  <c r="K1644" i="2"/>
  <c r="L1644" i="2"/>
  <c r="M1644" i="2"/>
  <c r="N1644" i="2"/>
  <c r="O1644" i="2"/>
  <c r="Q1644" i="2"/>
  <c r="R1644" i="2"/>
  <c r="S1644" i="2"/>
  <c r="E1645" i="2"/>
  <c r="F1645" i="2"/>
  <c r="G1645" i="2"/>
  <c r="H1645" i="2"/>
  <c r="I1645" i="2"/>
  <c r="J1645" i="2"/>
  <c r="M1645" i="2" s="1"/>
  <c r="K1645" i="2"/>
  <c r="L1645" i="2"/>
  <c r="N1645" i="2"/>
  <c r="O1645" i="2"/>
  <c r="Q1645" i="2"/>
  <c r="R1645" i="2"/>
  <c r="S1645" i="2"/>
  <c r="E1646" i="2"/>
  <c r="F1646" i="2"/>
  <c r="G1646" i="2"/>
  <c r="H1646" i="2"/>
  <c r="I1646" i="2"/>
  <c r="J1646" i="2"/>
  <c r="K1646" i="2"/>
  <c r="L1646" i="2"/>
  <c r="N1646" i="2"/>
  <c r="P1646" i="2" s="1"/>
  <c r="O1646" i="2"/>
  <c r="Q1646" i="2"/>
  <c r="R1646" i="2"/>
  <c r="S1646" i="2"/>
  <c r="E1647" i="2"/>
  <c r="F1647" i="2"/>
  <c r="G1647" i="2"/>
  <c r="H1647" i="2"/>
  <c r="I1647" i="2"/>
  <c r="J1647" i="2"/>
  <c r="K1647" i="2"/>
  <c r="L1647" i="2"/>
  <c r="N1647" i="2"/>
  <c r="O1647" i="2"/>
  <c r="Q1647" i="2"/>
  <c r="R1647" i="2"/>
  <c r="S1647" i="2"/>
  <c r="E1648" i="2"/>
  <c r="F1648" i="2"/>
  <c r="G1648" i="2"/>
  <c r="H1648" i="2"/>
  <c r="I1648" i="2"/>
  <c r="J1648" i="2"/>
  <c r="K1648" i="2"/>
  <c r="L1648" i="2"/>
  <c r="M1648" i="2"/>
  <c r="N1648" i="2"/>
  <c r="O1648" i="2"/>
  <c r="Q1648" i="2"/>
  <c r="R1648" i="2"/>
  <c r="S1648" i="2"/>
  <c r="E1649" i="2"/>
  <c r="F1649" i="2"/>
  <c r="G1649" i="2"/>
  <c r="H1649" i="2"/>
  <c r="I1649" i="2"/>
  <c r="J1649" i="2"/>
  <c r="M1649" i="2" s="1"/>
  <c r="K1649" i="2"/>
  <c r="L1649" i="2"/>
  <c r="N1649" i="2"/>
  <c r="O1649" i="2"/>
  <c r="Q1649" i="2"/>
  <c r="R1649" i="2"/>
  <c r="S1649" i="2"/>
  <c r="E1650" i="2"/>
  <c r="F1650" i="2"/>
  <c r="G1650" i="2"/>
  <c r="H1650" i="2"/>
  <c r="I1650" i="2"/>
  <c r="J1650" i="2"/>
  <c r="K1650" i="2"/>
  <c r="L1650" i="2"/>
  <c r="N1650" i="2"/>
  <c r="P1650" i="2" s="1"/>
  <c r="O1650" i="2"/>
  <c r="Q1650" i="2"/>
  <c r="R1650" i="2"/>
  <c r="S1650" i="2"/>
  <c r="E1651" i="2"/>
  <c r="F1651" i="2"/>
  <c r="G1651" i="2"/>
  <c r="H1651" i="2"/>
  <c r="I1651" i="2"/>
  <c r="J1651" i="2"/>
  <c r="K1651" i="2"/>
  <c r="L1651" i="2"/>
  <c r="N1651" i="2"/>
  <c r="O1651" i="2"/>
  <c r="Q1651" i="2"/>
  <c r="R1651" i="2"/>
  <c r="S1651" i="2"/>
  <c r="E1652" i="2"/>
  <c r="F1652" i="2"/>
  <c r="G1652" i="2"/>
  <c r="H1652" i="2"/>
  <c r="I1652" i="2"/>
  <c r="J1652" i="2"/>
  <c r="K1652" i="2"/>
  <c r="L1652" i="2"/>
  <c r="M1652" i="2"/>
  <c r="N1652" i="2"/>
  <c r="O1652" i="2"/>
  <c r="Q1652" i="2"/>
  <c r="R1652" i="2"/>
  <c r="S1652" i="2"/>
  <c r="E1653" i="2"/>
  <c r="F1653" i="2"/>
  <c r="G1653" i="2"/>
  <c r="H1653" i="2"/>
  <c r="I1653" i="2"/>
  <c r="J1653" i="2"/>
  <c r="M1653" i="2" s="1"/>
  <c r="K1653" i="2"/>
  <c r="L1653" i="2"/>
  <c r="N1653" i="2"/>
  <c r="O1653" i="2"/>
  <c r="Q1653" i="2"/>
  <c r="R1653" i="2"/>
  <c r="S1653" i="2"/>
  <c r="E1654" i="2"/>
  <c r="F1654" i="2"/>
  <c r="G1654" i="2"/>
  <c r="H1654" i="2"/>
  <c r="I1654" i="2"/>
  <c r="J1654" i="2"/>
  <c r="K1654" i="2"/>
  <c r="L1654" i="2"/>
  <c r="N1654" i="2"/>
  <c r="P1654" i="2" s="1"/>
  <c r="O1654" i="2"/>
  <c r="Q1654" i="2"/>
  <c r="R1654" i="2"/>
  <c r="S1654" i="2"/>
  <c r="E1655" i="2"/>
  <c r="F1655" i="2"/>
  <c r="G1655" i="2"/>
  <c r="H1655" i="2"/>
  <c r="I1655" i="2"/>
  <c r="J1655" i="2"/>
  <c r="K1655" i="2"/>
  <c r="L1655" i="2"/>
  <c r="N1655" i="2"/>
  <c r="O1655" i="2"/>
  <c r="Q1655" i="2"/>
  <c r="R1655" i="2"/>
  <c r="S1655" i="2"/>
  <c r="E1656" i="2"/>
  <c r="F1656" i="2"/>
  <c r="G1656" i="2"/>
  <c r="H1656" i="2"/>
  <c r="I1656" i="2"/>
  <c r="J1656" i="2"/>
  <c r="K1656" i="2"/>
  <c r="L1656" i="2"/>
  <c r="M1656" i="2"/>
  <c r="N1656" i="2"/>
  <c r="O1656" i="2"/>
  <c r="Q1656" i="2"/>
  <c r="R1656" i="2"/>
  <c r="S1656" i="2"/>
  <c r="E1657" i="2"/>
  <c r="F1657" i="2"/>
  <c r="G1657" i="2"/>
  <c r="H1657" i="2"/>
  <c r="I1657" i="2"/>
  <c r="J1657" i="2"/>
  <c r="M1657" i="2" s="1"/>
  <c r="K1657" i="2"/>
  <c r="L1657" i="2"/>
  <c r="N1657" i="2"/>
  <c r="O1657" i="2"/>
  <c r="Q1657" i="2"/>
  <c r="R1657" i="2"/>
  <c r="S1657" i="2"/>
  <c r="E1658" i="2"/>
  <c r="F1658" i="2"/>
  <c r="G1658" i="2"/>
  <c r="H1658" i="2"/>
  <c r="I1658" i="2"/>
  <c r="J1658" i="2"/>
  <c r="K1658" i="2"/>
  <c r="L1658" i="2"/>
  <c r="N1658" i="2"/>
  <c r="P1658" i="2" s="1"/>
  <c r="O1658" i="2"/>
  <c r="Q1658" i="2"/>
  <c r="R1658" i="2"/>
  <c r="S1658" i="2"/>
  <c r="E1659" i="2"/>
  <c r="F1659" i="2"/>
  <c r="G1659" i="2"/>
  <c r="H1659" i="2"/>
  <c r="I1659" i="2"/>
  <c r="J1659" i="2"/>
  <c r="K1659" i="2"/>
  <c r="L1659" i="2"/>
  <c r="N1659" i="2"/>
  <c r="O1659" i="2"/>
  <c r="Q1659" i="2"/>
  <c r="R1659" i="2"/>
  <c r="S1659" i="2"/>
  <c r="E1660" i="2"/>
  <c r="F1660" i="2"/>
  <c r="G1660" i="2"/>
  <c r="H1660" i="2"/>
  <c r="I1660" i="2"/>
  <c r="J1660" i="2"/>
  <c r="K1660" i="2"/>
  <c r="L1660" i="2"/>
  <c r="M1660" i="2"/>
  <c r="N1660" i="2"/>
  <c r="O1660" i="2"/>
  <c r="Q1660" i="2"/>
  <c r="R1660" i="2"/>
  <c r="S1660" i="2"/>
  <c r="E1661" i="2"/>
  <c r="F1661" i="2"/>
  <c r="G1661" i="2"/>
  <c r="H1661" i="2"/>
  <c r="I1661" i="2"/>
  <c r="J1661" i="2"/>
  <c r="M1661" i="2" s="1"/>
  <c r="K1661" i="2"/>
  <c r="L1661" i="2"/>
  <c r="N1661" i="2"/>
  <c r="O1661" i="2"/>
  <c r="Q1661" i="2"/>
  <c r="R1661" i="2"/>
  <c r="S1661" i="2"/>
  <c r="E1662" i="2"/>
  <c r="F1662" i="2"/>
  <c r="G1662" i="2"/>
  <c r="H1662" i="2"/>
  <c r="I1662" i="2"/>
  <c r="J1662" i="2"/>
  <c r="K1662" i="2"/>
  <c r="L1662" i="2"/>
  <c r="N1662" i="2"/>
  <c r="P1662" i="2" s="1"/>
  <c r="O1662" i="2"/>
  <c r="Q1662" i="2"/>
  <c r="R1662" i="2"/>
  <c r="S1662" i="2"/>
  <c r="E1663" i="2"/>
  <c r="F1663" i="2"/>
  <c r="G1663" i="2"/>
  <c r="H1663" i="2"/>
  <c r="I1663" i="2"/>
  <c r="J1663" i="2"/>
  <c r="K1663" i="2"/>
  <c r="L1663" i="2"/>
  <c r="N1663" i="2"/>
  <c r="O1663" i="2"/>
  <c r="Q1663" i="2"/>
  <c r="R1663" i="2"/>
  <c r="S1663" i="2"/>
  <c r="E1664" i="2"/>
  <c r="F1664" i="2"/>
  <c r="G1664" i="2"/>
  <c r="H1664" i="2"/>
  <c r="I1664" i="2"/>
  <c r="J1664" i="2"/>
  <c r="K1664" i="2"/>
  <c r="L1664" i="2"/>
  <c r="M1664" i="2"/>
  <c r="N1664" i="2"/>
  <c r="O1664" i="2"/>
  <c r="Q1664" i="2"/>
  <c r="R1664" i="2"/>
  <c r="S1664" i="2"/>
  <c r="E1665" i="2"/>
  <c r="F1665" i="2"/>
  <c r="G1665" i="2"/>
  <c r="H1665" i="2"/>
  <c r="I1665" i="2"/>
  <c r="J1665" i="2"/>
  <c r="M1665" i="2" s="1"/>
  <c r="K1665" i="2"/>
  <c r="L1665" i="2"/>
  <c r="N1665" i="2"/>
  <c r="O1665" i="2"/>
  <c r="Q1665" i="2"/>
  <c r="R1665" i="2"/>
  <c r="S1665" i="2"/>
  <c r="E1666" i="2"/>
  <c r="F1666" i="2"/>
  <c r="G1666" i="2"/>
  <c r="H1666" i="2"/>
  <c r="I1666" i="2"/>
  <c r="J1666" i="2"/>
  <c r="K1666" i="2"/>
  <c r="L1666" i="2"/>
  <c r="N1666" i="2"/>
  <c r="P1666" i="2" s="1"/>
  <c r="O1666" i="2"/>
  <c r="Q1666" i="2"/>
  <c r="R1666" i="2"/>
  <c r="S1666" i="2"/>
  <c r="E1667" i="2"/>
  <c r="F1667" i="2"/>
  <c r="G1667" i="2"/>
  <c r="H1667" i="2"/>
  <c r="I1667" i="2"/>
  <c r="J1667" i="2"/>
  <c r="K1667" i="2"/>
  <c r="L1667" i="2"/>
  <c r="N1667" i="2"/>
  <c r="O1667" i="2"/>
  <c r="Q1667" i="2"/>
  <c r="R1667" i="2"/>
  <c r="S1667" i="2"/>
  <c r="E1668" i="2"/>
  <c r="F1668" i="2"/>
  <c r="G1668" i="2"/>
  <c r="H1668" i="2"/>
  <c r="I1668" i="2"/>
  <c r="J1668" i="2"/>
  <c r="K1668" i="2"/>
  <c r="L1668" i="2"/>
  <c r="M1668" i="2"/>
  <c r="N1668" i="2"/>
  <c r="O1668" i="2"/>
  <c r="Q1668" i="2"/>
  <c r="R1668" i="2"/>
  <c r="S1668" i="2"/>
  <c r="E1669" i="2"/>
  <c r="F1669" i="2"/>
  <c r="G1669" i="2"/>
  <c r="H1669" i="2"/>
  <c r="I1669" i="2"/>
  <c r="J1669" i="2"/>
  <c r="M1669" i="2" s="1"/>
  <c r="K1669" i="2"/>
  <c r="L1669" i="2"/>
  <c r="N1669" i="2"/>
  <c r="O1669" i="2"/>
  <c r="Q1669" i="2"/>
  <c r="R1669" i="2"/>
  <c r="S1669" i="2"/>
  <c r="E1670" i="2"/>
  <c r="F1670" i="2"/>
  <c r="G1670" i="2"/>
  <c r="H1670" i="2"/>
  <c r="I1670" i="2"/>
  <c r="J1670" i="2"/>
  <c r="K1670" i="2"/>
  <c r="L1670" i="2"/>
  <c r="N1670" i="2"/>
  <c r="P1670" i="2" s="1"/>
  <c r="O1670" i="2"/>
  <c r="Q1670" i="2"/>
  <c r="R1670" i="2"/>
  <c r="S1670" i="2"/>
  <c r="E1671" i="2"/>
  <c r="F1671" i="2"/>
  <c r="G1671" i="2"/>
  <c r="H1671" i="2"/>
  <c r="I1671" i="2"/>
  <c r="J1671" i="2"/>
  <c r="K1671" i="2"/>
  <c r="L1671" i="2"/>
  <c r="N1671" i="2"/>
  <c r="O1671" i="2"/>
  <c r="Q1671" i="2"/>
  <c r="R1671" i="2"/>
  <c r="S1671" i="2"/>
  <c r="E1672" i="2"/>
  <c r="F1672" i="2"/>
  <c r="G1672" i="2"/>
  <c r="H1672" i="2"/>
  <c r="I1672" i="2"/>
  <c r="J1672" i="2"/>
  <c r="K1672" i="2"/>
  <c r="L1672" i="2"/>
  <c r="M1672" i="2"/>
  <c r="N1672" i="2"/>
  <c r="O1672" i="2"/>
  <c r="Q1672" i="2"/>
  <c r="R1672" i="2"/>
  <c r="S1672" i="2"/>
  <c r="E1673" i="2"/>
  <c r="F1673" i="2"/>
  <c r="G1673" i="2"/>
  <c r="H1673" i="2"/>
  <c r="I1673" i="2"/>
  <c r="J1673" i="2"/>
  <c r="M1673" i="2" s="1"/>
  <c r="K1673" i="2"/>
  <c r="L1673" i="2"/>
  <c r="N1673" i="2"/>
  <c r="O1673" i="2"/>
  <c r="Q1673" i="2"/>
  <c r="R1673" i="2"/>
  <c r="S1673" i="2"/>
  <c r="E1674" i="2"/>
  <c r="F1674" i="2"/>
  <c r="G1674" i="2"/>
  <c r="H1674" i="2"/>
  <c r="I1674" i="2"/>
  <c r="J1674" i="2"/>
  <c r="K1674" i="2"/>
  <c r="L1674" i="2"/>
  <c r="N1674" i="2"/>
  <c r="P1674" i="2" s="1"/>
  <c r="O1674" i="2"/>
  <c r="Q1674" i="2"/>
  <c r="R1674" i="2"/>
  <c r="S1674" i="2"/>
  <c r="E1675" i="2"/>
  <c r="F1675" i="2"/>
  <c r="G1675" i="2"/>
  <c r="H1675" i="2"/>
  <c r="I1675" i="2"/>
  <c r="J1675" i="2"/>
  <c r="K1675" i="2"/>
  <c r="L1675" i="2"/>
  <c r="N1675" i="2"/>
  <c r="O1675" i="2"/>
  <c r="Q1675" i="2"/>
  <c r="R1675" i="2"/>
  <c r="S1675" i="2"/>
  <c r="E1676" i="2"/>
  <c r="F1676" i="2"/>
  <c r="G1676" i="2"/>
  <c r="H1676" i="2"/>
  <c r="I1676" i="2"/>
  <c r="J1676" i="2"/>
  <c r="K1676" i="2"/>
  <c r="L1676" i="2"/>
  <c r="M1676" i="2"/>
  <c r="N1676" i="2"/>
  <c r="O1676" i="2"/>
  <c r="Q1676" i="2"/>
  <c r="R1676" i="2"/>
  <c r="S1676" i="2"/>
  <c r="E1677" i="2"/>
  <c r="F1677" i="2"/>
  <c r="G1677" i="2"/>
  <c r="H1677" i="2"/>
  <c r="I1677" i="2"/>
  <c r="J1677" i="2"/>
  <c r="M1677" i="2" s="1"/>
  <c r="K1677" i="2"/>
  <c r="L1677" i="2"/>
  <c r="N1677" i="2"/>
  <c r="O1677" i="2"/>
  <c r="Q1677" i="2"/>
  <c r="R1677" i="2"/>
  <c r="S1677" i="2"/>
  <c r="E1678" i="2"/>
  <c r="F1678" i="2"/>
  <c r="G1678" i="2"/>
  <c r="H1678" i="2"/>
  <c r="I1678" i="2"/>
  <c r="J1678" i="2"/>
  <c r="K1678" i="2"/>
  <c r="L1678" i="2"/>
  <c r="N1678" i="2"/>
  <c r="P1678" i="2" s="1"/>
  <c r="O1678" i="2"/>
  <c r="Q1678" i="2"/>
  <c r="R1678" i="2"/>
  <c r="S1678" i="2"/>
  <c r="E1679" i="2"/>
  <c r="F1679" i="2"/>
  <c r="G1679" i="2"/>
  <c r="H1679" i="2"/>
  <c r="I1679" i="2"/>
  <c r="J1679" i="2"/>
  <c r="K1679" i="2"/>
  <c r="L1679" i="2"/>
  <c r="N1679" i="2"/>
  <c r="O1679" i="2"/>
  <c r="Q1679" i="2"/>
  <c r="R1679" i="2"/>
  <c r="S1679" i="2"/>
  <c r="E1680" i="2"/>
  <c r="F1680" i="2"/>
  <c r="G1680" i="2"/>
  <c r="H1680" i="2"/>
  <c r="I1680" i="2"/>
  <c r="J1680" i="2"/>
  <c r="K1680" i="2"/>
  <c r="L1680" i="2"/>
  <c r="M1680" i="2"/>
  <c r="N1680" i="2"/>
  <c r="O1680" i="2"/>
  <c r="Q1680" i="2"/>
  <c r="R1680" i="2"/>
  <c r="S1680" i="2"/>
  <c r="E1681" i="2"/>
  <c r="F1681" i="2"/>
  <c r="G1681" i="2"/>
  <c r="H1681" i="2"/>
  <c r="I1681" i="2"/>
  <c r="J1681" i="2"/>
  <c r="M1681" i="2" s="1"/>
  <c r="K1681" i="2"/>
  <c r="L1681" i="2"/>
  <c r="N1681" i="2"/>
  <c r="O1681" i="2"/>
  <c r="Q1681" i="2"/>
  <c r="R1681" i="2"/>
  <c r="S1681" i="2"/>
  <c r="E1682" i="2"/>
  <c r="F1682" i="2"/>
  <c r="G1682" i="2"/>
  <c r="H1682" i="2"/>
  <c r="I1682" i="2"/>
  <c r="J1682" i="2"/>
  <c r="K1682" i="2"/>
  <c r="L1682" i="2"/>
  <c r="N1682" i="2"/>
  <c r="P1682" i="2" s="1"/>
  <c r="O1682" i="2"/>
  <c r="Q1682" i="2"/>
  <c r="R1682" i="2"/>
  <c r="S1682" i="2"/>
  <c r="E1683" i="2"/>
  <c r="F1683" i="2"/>
  <c r="G1683" i="2"/>
  <c r="H1683" i="2"/>
  <c r="I1683" i="2"/>
  <c r="J1683" i="2"/>
  <c r="K1683" i="2"/>
  <c r="L1683" i="2"/>
  <c r="N1683" i="2"/>
  <c r="O1683" i="2"/>
  <c r="Q1683" i="2"/>
  <c r="R1683" i="2"/>
  <c r="S1683" i="2"/>
  <c r="E1684" i="2"/>
  <c r="F1684" i="2"/>
  <c r="G1684" i="2"/>
  <c r="H1684" i="2"/>
  <c r="I1684" i="2"/>
  <c r="J1684" i="2"/>
  <c r="K1684" i="2"/>
  <c r="L1684" i="2"/>
  <c r="M1684" i="2"/>
  <c r="N1684" i="2"/>
  <c r="O1684" i="2"/>
  <c r="Q1684" i="2"/>
  <c r="R1684" i="2"/>
  <c r="S1684" i="2"/>
  <c r="E1685" i="2"/>
  <c r="F1685" i="2"/>
  <c r="G1685" i="2"/>
  <c r="H1685" i="2"/>
  <c r="I1685" i="2"/>
  <c r="J1685" i="2"/>
  <c r="M1685" i="2" s="1"/>
  <c r="K1685" i="2"/>
  <c r="L1685" i="2"/>
  <c r="N1685" i="2"/>
  <c r="O1685" i="2"/>
  <c r="Q1685" i="2"/>
  <c r="R1685" i="2"/>
  <c r="S1685" i="2"/>
  <c r="E1686" i="2"/>
  <c r="F1686" i="2"/>
  <c r="G1686" i="2"/>
  <c r="H1686" i="2"/>
  <c r="I1686" i="2"/>
  <c r="J1686" i="2"/>
  <c r="K1686" i="2"/>
  <c r="L1686" i="2"/>
  <c r="N1686" i="2"/>
  <c r="P1686" i="2" s="1"/>
  <c r="O1686" i="2"/>
  <c r="Q1686" i="2"/>
  <c r="R1686" i="2"/>
  <c r="S1686" i="2"/>
  <c r="E1687" i="2"/>
  <c r="F1687" i="2"/>
  <c r="G1687" i="2"/>
  <c r="H1687" i="2"/>
  <c r="I1687" i="2"/>
  <c r="J1687" i="2"/>
  <c r="K1687" i="2"/>
  <c r="L1687" i="2"/>
  <c r="N1687" i="2"/>
  <c r="O1687" i="2"/>
  <c r="Q1687" i="2"/>
  <c r="R1687" i="2"/>
  <c r="S1687" i="2"/>
  <c r="E1688" i="2"/>
  <c r="F1688" i="2"/>
  <c r="G1688" i="2"/>
  <c r="H1688" i="2"/>
  <c r="I1688" i="2"/>
  <c r="J1688" i="2"/>
  <c r="K1688" i="2"/>
  <c r="L1688" i="2"/>
  <c r="M1688" i="2"/>
  <c r="N1688" i="2"/>
  <c r="O1688" i="2"/>
  <c r="Q1688" i="2"/>
  <c r="R1688" i="2"/>
  <c r="S1688" i="2"/>
  <c r="E1689" i="2"/>
  <c r="F1689" i="2"/>
  <c r="G1689" i="2"/>
  <c r="H1689" i="2"/>
  <c r="I1689" i="2"/>
  <c r="J1689" i="2"/>
  <c r="M1689" i="2" s="1"/>
  <c r="K1689" i="2"/>
  <c r="L1689" i="2"/>
  <c r="N1689" i="2"/>
  <c r="O1689" i="2"/>
  <c r="Q1689" i="2"/>
  <c r="R1689" i="2"/>
  <c r="S1689" i="2"/>
  <c r="E1690" i="2"/>
  <c r="F1690" i="2"/>
  <c r="G1690" i="2"/>
  <c r="H1690" i="2"/>
  <c r="I1690" i="2"/>
  <c r="J1690" i="2"/>
  <c r="K1690" i="2"/>
  <c r="L1690" i="2"/>
  <c r="N1690" i="2"/>
  <c r="P1690" i="2" s="1"/>
  <c r="O1690" i="2"/>
  <c r="Q1690" i="2"/>
  <c r="R1690" i="2"/>
  <c r="S1690" i="2"/>
  <c r="E1691" i="2"/>
  <c r="F1691" i="2"/>
  <c r="G1691" i="2"/>
  <c r="H1691" i="2"/>
  <c r="I1691" i="2"/>
  <c r="J1691" i="2"/>
  <c r="K1691" i="2"/>
  <c r="L1691" i="2"/>
  <c r="N1691" i="2"/>
  <c r="O1691" i="2"/>
  <c r="Q1691" i="2"/>
  <c r="R1691" i="2"/>
  <c r="S1691" i="2"/>
  <c r="E1692" i="2"/>
  <c r="F1692" i="2"/>
  <c r="G1692" i="2"/>
  <c r="H1692" i="2"/>
  <c r="I1692" i="2"/>
  <c r="J1692" i="2"/>
  <c r="K1692" i="2"/>
  <c r="L1692" i="2"/>
  <c r="M1692" i="2"/>
  <c r="N1692" i="2"/>
  <c r="O1692" i="2"/>
  <c r="Q1692" i="2"/>
  <c r="R1692" i="2"/>
  <c r="S1692" i="2"/>
  <c r="E1693" i="2"/>
  <c r="F1693" i="2"/>
  <c r="G1693" i="2"/>
  <c r="H1693" i="2"/>
  <c r="I1693" i="2"/>
  <c r="J1693" i="2"/>
  <c r="M1693" i="2" s="1"/>
  <c r="K1693" i="2"/>
  <c r="L1693" i="2"/>
  <c r="N1693" i="2"/>
  <c r="O1693" i="2"/>
  <c r="Q1693" i="2"/>
  <c r="R1693" i="2"/>
  <c r="S1693" i="2"/>
  <c r="E1694" i="2"/>
  <c r="F1694" i="2"/>
  <c r="G1694" i="2"/>
  <c r="H1694" i="2"/>
  <c r="I1694" i="2"/>
  <c r="J1694" i="2"/>
  <c r="K1694" i="2"/>
  <c r="L1694" i="2"/>
  <c r="N1694" i="2"/>
  <c r="P1694" i="2" s="1"/>
  <c r="O1694" i="2"/>
  <c r="Q1694" i="2"/>
  <c r="R1694" i="2"/>
  <c r="S1694" i="2"/>
  <c r="E1695" i="2"/>
  <c r="F1695" i="2"/>
  <c r="G1695" i="2"/>
  <c r="H1695" i="2"/>
  <c r="I1695" i="2"/>
  <c r="J1695" i="2"/>
  <c r="K1695" i="2"/>
  <c r="L1695" i="2"/>
  <c r="N1695" i="2"/>
  <c r="O1695" i="2"/>
  <c r="Q1695" i="2"/>
  <c r="R1695" i="2"/>
  <c r="S1695" i="2"/>
  <c r="E1696" i="2"/>
  <c r="F1696" i="2"/>
  <c r="G1696" i="2"/>
  <c r="H1696" i="2"/>
  <c r="I1696" i="2"/>
  <c r="J1696" i="2"/>
  <c r="K1696" i="2"/>
  <c r="L1696" i="2"/>
  <c r="M1696" i="2"/>
  <c r="N1696" i="2"/>
  <c r="O1696" i="2"/>
  <c r="Q1696" i="2"/>
  <c r="R1696" i="2"/>
  <c r="S1696" i="2"/>
  <c r="E1697" i="2"/>
  <c r="F1697" i="2"/>
  <c r="G1697" i="2"/>
  <c r="H1697" i="2"/>
  <c r="I1697" i="2"/>
  <c r="J1697" i="2"/>
  <c r="M1697" i="2" s="1"/>
  <c r="K1697" i="2"/>
  <c r="L1697" i="2"/>
  <c r="N1697" i="2"/>
  <c r="O1697" i="2"/>
  <c r="Q1697" i="2"/>
  <c r="R1697" i="2"/>
  <c r="S1697" i="2"/>
  <c r="E1698" i="2"/>
  <c r="F1698" i="2"/>
  <c r="G1698" i="2"/>
  <c r="H1698" i="2"/>
  <c r="I1698" i="2"/>
  <c r="J1698" i="2"/>
  <c r="K1698" i="2"/>
  <c r="L1698" i="2"/>
  <c r="N1698" i="2"/>
  <c r="P1698" i="2" s="1"/>
  <c r="O1698" i="2"/>
  <c r="Q1698" i="2"/>
  <c r="R1698" i="2"/>
  <c r="S1698" i="2"/>
  <c r="E1699" i="2"/>
  <c r="F1699" i="2"/>
  <c r="G1699" i="2"/>
  <c r="H1699" i="2"/>
  <c r="I1699" i="2"/>
  <c r="J1699" i="2"/>
  <c r="K1699" i="2"/>
  <c r="L1699" i="2"/>
  <c r="N1699" i="2"/>
  <c r="O1699" i="2"/>
  <c r="Q1699" i="2"/>
  <c r="R1699" i="2"/>
  <c r="S1699" i="2"/>
  <c r="E1700" i="2"/>
  <c r="F1700" i="2"/>
  <c r="G1700" i="2"/>
  <c r="H1700" i="2"/>
  <c r="I1700" i="2"/>
  <c r="J1700" i="2"/>
  <c r="K1700" i="2"/>
  <c r="L1700" i="2"/>
  <c r="M1700" i="2"/>
  <c r="N1700" i="2"/>
  <c r="O1700" i="2"/>
  <c r="Q1700" i="2"/>
  <c r="R1700" i="2"/>
  <c r="S1700" i="2"/>
  <c r="E1701" i="2"/>
  <c r="F1701" i="2"/>
  <c r="G1701" i="2"/>
  <c r="H1701" i="2"/>
  <c r="I1701" i="2"/>
  <c r="J1701" i="2"/>
  <c r="M1701" i="2" s="1"/>
  <c r="K1701" i="2"/>
  <c r="L1701" i="2"/>
  <c r="N1701" i="2"/>
  <c r="O1701" i="2"/>
  <c r="Q1701" i="2"/>
  <c r="R1701" i="2"/>
  <c r="S1701" i="2"/>
  <c r="E1702" i="2"/>
  <c r="F1702" i="2"/>
  <c r="G1702" i="2"/>
  <c r="H1702" i="2"/>
  <c r="I1702" i="2"/>
  <c r="J1702" i="2"/>
  <c r="K1702" i="2"/>
  <c r="L1702" i="2"/>
  <c r="N1702" i="2"/>
  <c r="P1702" i="2" s="1"/>
  <c r="O1702" i="2"/>
  <c r="Q1702" i="2"/>
  <c r="R1702" i="2"/>
  <c r="S1702" i="2"/>
  <c r="E1703" i="2"/>
  <c r="F1703" i="2"/>
  <c r="G1703" i="2"/>
  <c r="H1703" i="2"/>
  <c r="I1703" i="2"/>
  <c r="J1703" i="2"/>
  <c r="K1703" i="2"/>
  <c r="L1703" i="2"/>
  <c r="N1703" i="2"/>
  <c r="O1703" i="2"/>
  <c r="Q1703" i="2"/>
  <c r="R1703" i="2"/>
  <c r="S1703" i="2"/>
  <c r="E1704" i="2"/>
  <c r="F1704" i="2"/>
  <c r="G1704" i="2"/>
  <c r="H1704" i="2"/>
  <c r="I1704" i="2"/>
  <c r="J1704" i="2"/>
  <c r="K1704" i="2"/>
  <c r="L1704" i="2"/>
  <c r="M1704" i="2"/>
  <c r="N1704" i="2"/>
  <c r="O1704" i="2"/>
  <c r="Q1704" i="2"/>
  <c r="R1704" i="2"/>
  <c r="S1704" i="2"/>
  <c r="E1705" i="2"/>
  <c r="F1705" i="2"/>
  <c r="G1705" i="2"/>
  <c r="H1705" i="2"/>
  <c r="I1705" i="2"/>
  <c r="J1705" i="2"/>
  <c r="M1705" i="2" s="1"/>
  <c r="K1705" i="2"/>
  <c r="L1705" i="2"/>
  <c r="N1705" i="2"/>
  <c r="O1705" i="2"/>
  <c r="Q1705" i="2"/>
  <c r="R1705" i="2"/>
  <c r="S1705" i="2"/>
  <c r="E1706" i="2"/>
  <c r="F1706" i="2"/>
  <c r="G1706" i="2"/>
  <c r="H1706" i="2"/>
  <c r="I1706" i="2"/>
  <c r="J1706" i="2"/>
  <c r="K1706" i="2"/>
  <c r="L1706" i="2"/>
  <c r="N1706" i="2"/>
  <c r="P1706" i="2" s="1"/>
  <c r="O1706" i="2"/>
  <c r="Q1706" i="2"/>
  <c r="R1706" i="2"/>
  <c r="S1706" i="2"/>
  <c r="E1707" i="2"/>
  <c r="F1707" i="2"/>
  <c r="G1707" i="2"/>
  <c r="H1707" i="2"/>
  <c r="I1707" i="2"/>
  <c r="J1707" i="2"/>
  <c r="K1707" i="2"/>
  <c r="L1707" i="2"/>
  <c r="N1707" i="2"/>
  <c r="O1707" i="2"/>
  <c r="Q1707" i="2"/>
  <c r="R1707" i="2"/>
  <c r="S1707" i="2"/>
  <c r="E1708" i="2"/>
  <c r="F1708" i="2"/>
  <c r="G1708" i="2"/>
  <c r="H1708" i="2"/>
  <c r="I1708" i="2"/>
  <c r="J1708" i="2"/>
  <c r="K1708" i="2"/>
  <c r="L1708" i="2"/>
  <c r="M1708" i="2"/>
  <c r="N1708" i="2"/>
  <c r="O1708" i="2"/>
  <c r="Q1708" i="2"/>
  <c r="R1708" i="2"/>
  <c r="S1708" i="2"/>
  <c r="E1709" i="2"/>
  <c r="F1709" i="2"/>
  <c r="G1709" i="2"/>
  <c r="H1709" i="2"/>
  <c r="I1709" i="2"/>
  <c r="J1709" i="2"/>
  <c r="M1709" i="2" s="1"/>
  <c r="K1709" i="2"/>
  <c r="L1709" i="2"/>
  <c r="N1709" i="2"/>
  <c r="O1709" i="2"/>
  <c r="Q1709" i="2"/>
  <c r="R1709" i="2"/>
  <c r="S1709" i="2"/>
  <c r="E1710" i="2"/>
  <c r="F1710" i="2"/>
  <c r="G1710" i="2"/>
  <c r="H1710" i="2"/>
  <c r="I1710" i="2"/>
  <c r="J1710" i="2"/>
  <c r="K1710" i="2"/>
  <c r="L1710" i="2"/>
  <c r="N1710" i="2"/>
  <c r="P1710" i="2" s="1"/>
  <c r="O1710" i="2"/>
  <c r="Q1710" i="2"/>
  <c r="R1710" i="2"/>
  <c r="S1710" i="2"/>
  <c r="E1711" i="2"/>
  <c r="F1711" i="2"/>
  <c r="G1711" i="2"/>
  <c r="H1711" i="2"/>
  <c r="I1711" i="2"/>
  <c r="J1711" i="2"/>
  <c r="K1711" i="2"/>
  <c r="L1711" i="2"/>
  <c r="N1711" i="2"/>
  <c r="O1711" i="2"/>
  <c r="Q1711" i="2"/>
  <c r="R1711" i="2"/>
  <c r="S1711" i="2"/>
  <c r="E1712" i="2"/>
  <c r="F1712" i="2"/>
  <c r="G1712" i="2"/>
  <c r="H1712" i="2"/>
  <c r="I1712" i="2"/>
  <c r="J1712" i="2"/>
  <c r="K1712" i="2"/>
  <c r="L1712" i="2"/>
  <c r="M1712" i="2"/>
  <c r="N1712" i="2"/>
  <c r="O1712" i="2"/>
  <c r="Q1712" i="2"/>
  <c r="R1712" i="2"/>
  <c r="S1712" i="2"/>
  <c r="E1713" i="2"/>
  <c r="F1713" i="2"/>
  <c r="G1713" i="2"/>
  <c r="H1713" i="2"/>
  <c r="I1713" i="2"/>
  <c r="J1713" i="2"/>
  <c r="M1713" i="2" s="1"/>
  <c r="K1713" i="2"/>
  <c r="L1713" i="2"/>
  <c r="N1713" i="2"/>
  <c r="O1713" i="2"/>
  <c r="Q1713" i="2"/>
  <c r="R1713" i="2"/>
  <c r="S1713" i="2"/>
  <c r="E1714" i="2"/>
  <c r="F1714" i="2"/>
  <c r="G1714" i="2"/>
  <c r="H1714" i="2"/>
  <c r="I1714" i="2"/>
  <c r="J1714" i="2"/>
  <c r="K1714" i="2"/>
  <c r="L1714" i="2"/>
  <c r="N1714" i="2"/>
  <c r="P1714" i="2" s="1"/>
  <c r="O1714" i="2"/>
  <c r="Q1714" i="2"/>
  <c r="R1714" i="2"/>
  <c r="S1714" i="2"/>
  <c r="E1715" i="2"/>
  <c r="F1715" i="2"/>
  <c r="G1715" i="2"/>
  <c r="H1715" i="2"/>
  <c r="I1715" i="2"/>
  <c r="J1715" i="2"/>
  <c r="K1715" i="2"/>
  <c r="L1715" i="2"/>
  <c r="N1715" i="2"/>
  <c r="O1715" i="2"/>
  <c r="Q1715" i="2"/>
  <c r="R1715" i="2"/>
  <c r="S1715" i="2"/>
  <c r="E1716" i="2"/>
  <c r="F1716" i="2"/>
  <c r="G1716" i="2"/>
  <c r="H1716" i="2"/>
  <c r="I1716" i="2"/>
  <c r="J1716" i="2"/>
  <c r="K1716" i="2"/>
  <c r="L1716" i="2"/>
  <c r="M1716" i="2"/>
  <c r="N1716" i="2"/>
  <c r="O1716" i="2"/>
  <c r="Q1716" i="2"/>
  <c r="R1716" i="2"/>
  <c r="S1716" i="2"/>
  <c r="E1717" i="2"/>
  <c r="F1717" i="2"/>
  <c r="G1717" i="2"/>
  <c r="H1717" i="2"/>
  <c r="I1717" i="2"/>
  <c r="J1717" i="2"/>
  <c r="M1717" i="2" s="1"/>
  <c r="K1717" i="2"/>
  <c r="L1717" i="2"/>
  <c r="N1717" i="2"/>
  <c r="O1717" i="2"/>
  <c r="Q1717" i="2"/>
  <c r="R1717" i="2"/>
  <c r="S1717" i="2"/>
  <c r="E1718" i="2"/>
  <c r="F1718" i="2"/>
  <c r="G1718" i="2"/>
  <c r="H1718" i="2"/>
  <c r="I1718" i="2"/>
  <c r="J1718" i="2"/>
  <c r="K1718" i="2"/>
  <c r="L1718" i="2"/>
  <c r="N1718" i="2"/>
  <c r="P1718" i="2" s="1"/>
  <c r="O1718" i="2"/>
  <c r="Q1718" i="2"/>
  <c r="R1718" i="2"/>
  <c r="S1718" i="2"/>
  <c r="E1719" i="2"/>
  <c r="F1719" i="2"/>
  <c r="G1719" i="2"/>
  <c r="H1719" i="2"/>
  <c r="I1719" i="2"/>
  <c r="J1719" i="2"/>
  <c r="K1719" i="2"/>
  <c r="L1719" i="2"/>
  <c r="N1719" i="2"/>
  <c r="O1719" i="2"/>
  <c r="Q1719" i="2"/>
  <c r="R1719" i="2"/>
  <c r="S1719" i="2"/>
  <c r="E1720" i="2"/>
  <c r="F1720" i="2"/>
  <c r="G1720" i="2"/>
  <c r="H1720" i="2"/>
  <c r="I1720" i="2"/>
  <c r="J1720" i="2"/>
  <c r="K1720" i="2"/>
  <c r="L1720" i="2"/>
  <c r="M1720" i="2"/>
  <c r="N1720" i="2"/>
  <c r="O1720" i="2"/>
  <c r="Q1720" i="2"/>
  <c r="R1720" i="2"/>
  <c r="S1720" i="2"/>
  <c r="E1721" i="2"/>
  <c r="F1721" i="2"/>
  <c r="G1721" i="2"/>
  <c r="H1721" i="2"/>
  <c r="I1721" i="2"/>
  <c r="J1721" i="2"/>
  <c r="M1721" i="2" s="1"/>
  <c r="K1721" i="2"/>
  <c r="L1721" i="2"/>
  <c r="N1721" i="2"/>
  <c r="O1721" i="2"/>
  <c r="Q1721" i="2"/>
  <c r="R1721" i="2"/>
  <c r="S1721" i="2"/>
  <c r="E1722" i="2"/>
  <c r="F1722" i="2"/>
  <c r="G1722" i="2"/>
  <c r="H1722" i="2"/>
  <c r="I1722" i="2"/>
  <c r="J1722" i="2"/>
  <c r="K1722" i="2"/>
  <c r="L1722" i="2"/>
  <c r="N1722" i="2"/>
  <c r="P1722" i="2" s="1"/>
  <c r="O1722" i="2"/>
  <c r="Q1722" i="2"/>
  <c r="R1722" i="2"/>
  <c r="S1722" i="2"/>
  <c r="E1723" i="2"/>
  <c r="F1723" i="2"/>
  <c r="G1723" i="2"/>
  <c r="H1723" i="2"/>
  <c r="I1723" i="2"/>
  <c r="J1723" i="2"/>
  <c r="K1723" i="2"/>
  <c r="L1723" i="2"/>
  <c r="N1723" i="2"/>
  <c r="O1723" i="2"/>
  <c r="Q1723" i="2"/>
  <c r="R1723" i="2"/>
  <c r="S1723" i="2"/>
  <c r="E1724" i="2"/>
  <c r="F1724" i="2"/>
  <c r="G1724" i="2"/>
  <c r="H1724" i="2"/>
  <c r="I1724" i="2"/>
  <c r="J1724" i="2"/>
  <c r="K1724" i="2"/>
  <c r="L1724" i="2"/>
  <c r="M1724" i="2"/>
  <c r="N1724" i="2"/>
  <c r="O1724" i="2"/>
  <c r="Q1724" i="2"/>
  <c r="R1724" i="2"/>
  <c r="S1724" i="2"/>
  <c r="E1725" i="2"/>
  <c r="F1725" i="2"/>
  <c r="G1725" i="2"/>
  <c r="H1725" i="2"/>
  <c r="I1725" i="2"/>
  <c r="J1725" i="2"/>
  <c r="M1725" i="2" s="1"/>
  <c r="K1725" i="2"/>
  <c r="L1725" i="2"/>
  <c r="N1725" i="2"/>
  <c r="O1725" i="2"/>
  <c r="Q1725" i="2"/>
  <c r="R1725" i="2"/>
  <c r="S1725" i="2"/>
  <c r="E1726" i="2"/>
  <c r="F1726" i="2"/>
  <c r="G1726" i="2"/>
  <c r="H1726" i="2"/>
  <c r="I1726" i="2"/>
  <c r="J1726" i="2"/>
  <c r="K1726" i="2"/>
  <c r="L1726" i="2"/>
  <c r="N1726" i="2"/>
  <c r="P1726" i="2" s="1"/>
  <c r="O1726" i="2"/>
  <c r="Q1726" i="2"/>
  <c r="R1726" i="2"/>
  <c r="S1726" i="2"/>
  <c r="E1727" i="2"/>
  <c r="F1727" i="2"/>
  <c r="G1727" i="2"/>
  <c r="H1727" i="2"/>
  <c r="I1727" i="2"/>
  <c r="J1727" i="2"/>
  <c r="K1727" i="2"/>
  <c r="L1727" i="2"/>
  <c r="N1727" i="2"/>
  <c r="O1727" i="2"/>
  <c r="Q1727" i="2"/>
  <c r="R1727" i="2"/>
  <c r="S1727" i="2"/>
  <c r="E1728" i="2"/>
  <c r="F1728" i="2"/>
  <c r="G1728" i="2"/>
  <c r="H1728" i="2"/>
  <c r="I1728" i="2"/>
  <c r="J1728" i="2"/>
  <c r="K1728" i="2"/>
  <c r="L1728" i="2"/>
  <c r="M1728" i="2"/>
  <c r="N1728" i="2"/>
  <c r="O1728" i="2"/>
  <c r="Q1728" i="2"/>
  <c r="R1728" i="2"/>
  <c r="S1728" i="2"/>
  <c r="E1729" i="2"/>
  <c r="F1729" i="2"/>
  <c r="G1729" i="2"/>
  <c r="H1729" i="2"/>
  <c r="I1729" i="2"/>
  <c r="J1729" i="2"/>
  <c r="M1729" i="2" s="1"/>
  <c r="K1729" i="2"/>
  <c r="L1729" i="2"/>
  <c r="N1729" i="2"/>
  <c r="O1729" i="2"/>
  <c r="Q1729" i="2"/>
  <c r="R1729" i="2"/>
  <c r="S1729" i="2"/>
  <c r="E1730" i="2"/>
  <c r="F1730" i="2"/>
  <c r="G1730" i="2"/>
  <c r="H1730" i="2"/>
  <c r="I1730" i="2"/>
  <c r="J1730" i="2"/>
  <c r="K1730" i="2"/>
  <c r="L1730" i="2"/>
  <c r="N1730" i="2"/>
  <c r="P1730" i="2" s="1"/>
  <c r="O1730" i="2"/>
  <c r="Q1730" i="2"/>
  <c r="R1730" i="2"/>
  <c r="S1730" i="2"/>
  <c r="E1731" i="2"/>
  <c r="F1731" i="2"/>
  <c r="G1731" i="2"/>
  <c r="H1731" i="2"/>
  <c r="I1731" i="2"/>
  <c r="J1731" i="2"/>
  <c r="K1731" i="2"/>
  <c r="L1731" i="2"/>
  <c r="N1731" i="2"/>
  <c r="O1731" i="2"/>
  <c r="Q1731" i="2"/>
  <c r="R1731" i="2"/>
  <c r="S1731" i="2"/>
  <c r="E1732" i="2"/>
  <c r="F1732" i="2"/>
  <c r="G1732" i="2"/>
  <c r="H1732" i="2"/>
  <c r="I1732" i="2"/>
  <c r="J1732" i="2"/>
  <c r="K1732" i="2"/>
  <c r="L1732" i="2"/>
  <c r="M1732" i="2"/>
  <c r="N1732" i="2"/>
  <c r="O1732" i="2"/>
  <c r="Q1732" i="2"/>
  <c r="R1732" i="2"/>
  <c r="S1732" i="2"/>
  <c r="E1733" i="2"/>
  <c r="F1733" i="2"/>
  <c r="G1733" i="2"/>
  <c r="H1733" i="2"/>
  <c r="I1733" i="2"/>
  <c r="J1733" i="2"/>
  <c r="M1733" i="2" s="1"/>
  <c r="K1733" i="2"/>
  <c r="L1733" i="2"/>
  <c r="N1733" i="2"/>
  <c r="O1733" i="2"/>
  <c r="Q1733" i="2"/>
  <c r="R1733" i="2"/>
  <c r="S1733" i="2"/>
  <c r="E1734" i="2"/>
  <c r="F1734" i="2"/>
  <c r="G1734" i="2"/>
  <c r="H1734" i="2"/>
  <c r="I1734" i="2"/>
  <c r="J1734" i="2"/>
  <c r="K1734" i="2"/>
  <c r="L1734" i="2"/>
  <c r="N1734" i="2"/>
  <c r="P1734" i="2" s="1"/>
  <c r="O1734" i="2"/>
  <c r="Q1734" i="2"/>
  <c r="R1734" i="2"/>
  <c r="S1734" i="2"/>
  <c r="E1735" i="2"/>
  <c r="F1735" i="2"/>
  <c r="G1735" i="2"/>
  <c r="H1735" i="2"/>
  <c r="I1735" i="2"/>
  <c r="J1735" i="2"/>
  <c r="K1735" i="2"/>
  <c r="L1735" i="2"/>
  <c r="N1735" i="2"/>
  <c r="O1735" i="2"/>
  <c r="Q1735" i="2"/>
  <c r="R1735" i="2"/>
  <c r="S1735" i="2"/>
  <c r="E1736" i="2"/>
  <c r="F1736" i="2"/>
  <c r="G1736" i="2"/>
  <c r="H1736" i="2"/>
  <c r="I1736" i="2"/>
  <c r="J1736" i="2"/>
  <c r="K1736" i="2"/>
  <c r="L1736" i="2"/>
  <c r="M1736" i="2"/>
  <c r="N1736" i="2"/>
  <c r="O1736" i="2"/>
  <c r="Q1736" i="2"/>
  <c r="R1736" i="2"/>
  <c r="S1736" i="2"/>
  <c r="E1737" i="2"/>
  <c r="F1737" i="2"/>
  <c r="G1737" i="2"/>
  <c r="H1737" i="2"/>
  <c r="I1737" i="2"/>
  <c r="J1737" i="2"/>
  <c r="M1737" i="2" s="1"/>
  <c r="K1737" i="2"/>
  <c r="L1737" i="2"/>
  <c r="N1737" i="2"/>
  <c r="O1737" i="2"/>
  <c r="Q1737" i="2"/>
  <c r="R1737" i="2"/>
  <c r="S1737" i="2"/>
  <c r="E1738" i="2"/>
  <c r="F1738" i="2"/>
  <c r="G1738" i="2"/>
  <c r="H1738" i="2"/>
  <c r="I1738" i="2"/>
  <c r="J1738" i="2"/>
  <c r="K1738" i="2"/>
  <c r="L1738" i="2"/>
  <c r="N1738" i="2"/>
  <c r="P1738" i="2" s="1"/>
  <c r="O1738" i="2"/>
  <c r="Q1738" i="2"/>
  <c r="R1738" i="2"/>
  <c r="S1738" i="2"/>
  <c r="E1739" i="2"/>
  <c r="F1739" i="2"/>
  <c r="G1739" i="2"/>
  <c r="H1739" i="2"/>
  <c r="I1739" i="2"/>
  <c r="J1739" i="2"/>
  <c r="K1739" i="2"/>
  <c r="L1739" i="2"/>
  <c r="N1739" i="2"/>
  <c r="O1739" i="2"/>
  <c r="Q1739" i="2"/>
  <c r="R1739" i="2"/>
  <c r="S1739" i="2"/>
  <c r="E1740" i="2"/>
  <c r="F1740" i="2"/>
  <c r="G1740" i="2"/>
  <c r="H1740" i="2"/>
  <c r="I1740" i="2"/>
  <c r="J1740" i="2"/>
  <c r="K1740" i="2"/>
  <c r="L1740" i="2"/>
  <c r="M1740" i="2"/>
  <c r="N1740" i="2"/>
  <c r="O1740" i="2"/>
  <c r="Q1740" i="2"/>
  <c r="R1740" i="2"/>
  <c r="S1740" i="2"/>
  <c r="E1741" i="2"/>
  <c r="F1741" i="2"/>
  <c r="G1741" i="2"/>
  <c r="H1741" i="2"/>
  <c r="I1741" i="2"/>
  <c r="J1741" i="2"/>
  <c r="M1741" i="2" s="1"/>
  <c r="K1741" i="2"/>
  <c r="L1741" i="2"/>
  <c r="N1741" i="2"/>
  <c r="O1741" i="2"/>
  <c r="Q1741" i="2"/>
  <c r="R1741" i="2"/>
  <c r="S1741" i="2"/>
  <c r="E1742" i="2"/>
  <c r="F1742" i="2"/>
  <c r="G1742" i="2"/>
  <c r="H1742" i="2"/>
  <c r="I1742" i="2"/>
  <c r="J1742" i="2"/>
  <c r="K1742" i="2"/>
  <c r="L1742" i="2"/>
  <c r="N1742" i="2"/>
  <c r="P1742" i="2" s="1"/>
  <c r="O1742" i="2"/>
  <c r="Q1742" i="2"/>
  <c r="R1742" i="2"/>
  <c r="S1742" i="2"/>
  <c r="E1743" i="2"/>
  <c r="F1743" i="2"/>
  <c r="G1743" i="2"/>
  <c r="H1743" i="2"/>
  <c r="I1743" i="2"/>
  <c r="J1743" i="2"/>
  <c r="K1743" i="2"/>
  <c r="L1743" i="2"/>
  <c r="N1743" i="2"/>
  <c r="O1743" i="2"/>
  <c r="Q1743" i="2"/>
  <c r="R1743" i="2"/>
  <c r="S1743" i="2"/>
  <c r="E1744" i="2"/>
  <c r="F1744" i="2"/>
  <c r="G1744" i="2"/>
  <c r="H1744" i="2"/>
  <c r="I1744" i="2"/>
  <c r="J1744" i="2"/>
  <c r="K1744" i="2"/>
  <c r="L1744" i="2"/>
  <c r="M1744" i="2"/>
  <c r="N1744" i="2"/>
  <c r="O1744" i="2"/>
  <c r="Q1744" i="2"/>
  <c r="R1744" i="2"/>
  <c r="S1744" i="2"/>
  <c r="E1745" i="2"/>
  <c r="F1745" i="2"/>
  <c r="G1745" i="2"/>
  <c r="H1745" i="2"/>
  <c r="I1745" i="2"/>
  <c r="J1745" i="2"/>
  <c r="M1745" i="2" s="1"/>
  <c r="K1745" i="2"/>
  <c r="L1745" i="2"/>
  <c r="N1745" i="2"/>
  <c r="O1745" i="2"/>
  <c r="Q1745" i="2"/>
  <c r="R1745" i="2"/>
  <c r="S1745" i="2"/>
  <c r="E1746" i="2"/>
  <c r="F1746" i="2"/>
  <c r="G1746" i="2"/>
  <c r="H1746" i="2"/>
  <c r="I1746" i="2"/>
  <c r="J1746" i="2"/>
  <c r="K1746" i="2"/>
  <c r="L1746" i="2"/>
  <c r="N1746" i="2"/>
  <c r="P1746" i="2" s="1"/>
  <c r="O1746" i="2"/>
  <c r="Q1746" i="2"/>
  <c r="R1746" i="2"/>
  <c r="S1746" i="2"/>
  <c r="E1747" i="2"/>
  <c r="F1747" i="2"/>
  <c r="G1747" i="2"/>
  <c r="H1747" i="2"/>
  <c r="I1747" i="2"/>
  <c r="J1747" i="2"/>
  <c r="K1747" i="2"/>
  <c r="L1747" i="2"/>
  <c r="N1747" i="2"/>
  <c r="O1747" i="2"/>
  <c r="Q1747" i="2"/>
  <c r="R1747" i="2"/>
  <c r="S1747" i="2"/>
  <c r="E1748" i="2"/>
  <c r="F1748" i="2"/>
  <c r="G1748" i="2"/>
  <c r="H1748" i="2"/>
  <c r="I1748" i="2"/>
  <c r="J1748" i="2"/>
  <c r="K1748" i="2"/>
  <c r="L1748" i="2"/>
  <c r="M1748" i="2"/>
  <c r="N1748" i="2"/>
  <c r="O1748" i="2"/>
  <c r="Q1748" i="2"/>
  <c r="R1748" i="2"/>
  <c r="S1748" i="2"/>
  <c r="E1749" i="2"/>
  <c r="F1749" i="2"/>
  <c r="G1749" i="2"/>
  <c r="H1749" i="2"/>
  <c r="I1749" i="2"/>
  <c r="J1749" i="2"/>
  <c r="M1749" i="2" s="1"/>
  <c r="K1749" i="2"/>
  <c r="L1749" i="2"/>
  <c r="N1749" i="2"/>
  <c r="O1749" i="2"/>
  <c r="Q1749" i="2"/>
  <c r="R1749" i="2"/>
  <c r="S1749" i="2"/>
  <c r="E1750" i="2"/>
  <c r="F1750" i="2"/>
  <c r="G1750" i="2"/>
  <c r="H1750" i="2"/>
  <c r="I1750" i="2"/>
  <c r="J1750" i="2"/>
  <c r="K1750" i="2"/>
  <c r="L1750" i="2"/>
  <c r="N1750" i="2"/>
  <c r="P1750" i="2" s="1"/>
  <c r="O1750" i="2"/>
  <c r="Q1750" i="2"/>
  <c r="R1750" i="2"/>
  <c r="S1750" i="2"/>
  <c r="E1751" i="2"/>
  <c r="F1751" i="2"/>
  <c r="G1751" i="2"/>
  <c r="H1751" i="2"/>
  <c r="I1751" i="2"/>
  <c r="J1751" i="2"/>
  <c r="K1751" i="2"/>
  <c r="L1751" i="2"/>
  <c r="N1751" i="2"/>
  <c r="O1751" i="2"/>
  <c r="Q1751" i="2"/>
  <c r="R1751" i="2"/>
  <c r="S1751" i="2"/>
  <c r="E1752" i="2"/>
  <c r="F1752" i="2"/>
  <c r="G1752" i="2"/>
  <c r="H1752" i="2"/>
  <c r="I1752" i="2"/>
  <c r="J1752" i="2"/>
  <c r="K1752" i="2"/>
  <c r="L1752" i="2"/>
  <c r="M1752" i="2"/>
  <c r="N1752" i="2"/>
  <c r="O1752" i="2"/>
  <c r="Q1752" i="2"/>
  <c r="R1752" i="2"/>
  <c r="S1752" i="2"/>
  <c r="E1753" i="2"/>
  <c r="F1753" i="2"/>
  <c r="G1753" i="2"/>
  <c r="H1753" i="2"/>
  <c r="I1753" i="2"/>
  <c r="J1753" i="2"/>
  <c r="M1753" i="2" s="1"/>
  <c r="K1753" i="2"/>
  <c r="L1753" i="2"/>
  <c r="N1753" i="2"/>
  <c r="O1753" i="2"/>
  <c r="Q1753" i="2"/>
  <c r="R1753" i="2"/>
  <c r="S1753" i="2"/>
  <c r="E1754" i="2"/>
  <c r="F1754" i="2"/>
  <c r="G1754" i="2"/>
  <c r="H1754" i="2"/>
  <c r="I1754" i="2"/>
  <c r="J1754" i="2"/>
  <c r="K1754" i="2"/>
  <c r="L1754" i="2"/>
  <c r="N1754" i="2"/>
  <c r="P1754" i="2" s="1"/>
  <c r="O1754" i="2"/>
  <c r="Q1754" i="2"/>
  <c r="R1754" i="2"/>
  <c r="S1754" i="2"/>
  <c r="E1755" i="2"/>
  <c r="F1755" i="2"/>
  <c r="G1755" i="2"/>
  <c r="H1755" i="2"/>
  <c r="I1755" i="2"/>
  <c r="J1755" i="2"/>
  <c r="K1755" i="2"/>
  <c r="L1755" i="2"/>
  <c r="N1755" i="2"/>
  <c r="O1755" i="2"/>
  <c r="Q1755" i="2"/>
  <c r="R1755" i="2"/>
  <c r="S1755" i="2"/>
  <c r="E1756" i="2"/>
  <c r="F1756" i="2"/>
  <c r="G1756" i="2"/>
  <c r="H1756" i="2"/>
  <c r="I1756" i="2"/>
  <c r="J1756" i="2"/>
  <c r="K1756" i="2"/>
  <c r="L1756" i="2"/>
  <c r="M1756" i="2"/>
  <c r="N1756" i="2"/>
  <c r="O1756" i="2"/>
  <c r="Q1756" i="2"/>
  <c r="R1756" i="2"/>
  <c r="S1756" i="2"/>
  <c r="E1757" i="2"/>
  <c r="F1757" i="2"/>
  <c r="G1757" i="2"/>
  <c r="H1757" i="2"/>
  <c r="I1757" i="2"/>
  <c r="J1757" i="2"/>
  <c r="M1757" i="2" s="1"/>
  <c r="K1757" i="2"/>
  <c r="L1757" i="2"/>
  <c r="N1757" i="2"/>
  <c r="O1757" i="2"/>
  <c r="Q1757" i="2"/>
  <c r="R1757" i="2"/>
  <c r="S1757" i="2"/>
  <c r="E1758" i="2"/>
  <c r="F1758" i="2"/>
  <c r="G1758" i="2"/>
  <c r="H1758" i="2"/>
  <c r="I1758" i="2"/>
  <c r="J1758" i="2"/>
  <c r="K1758" i="2"/>
  <c r="L1758" i="2"/>
  <c r="N1758" i="2"/>
  <c r="P1758" i="2" s="1"/>
  <c r="O1758" i="2"/>
  <c r="Q1758" i="2"/>
  <c r="R1758" i="2"/>
  <c r="S1758" i="2"/>
  <c r="E1759" i="2"/>
  <c r="F1759" i="2"/>
  <c r="G1759" i="2"/>
  <c r="H1759" i="2"/>
  <c r="I1759" i="2"/>
  <c r="J1759" i="2"/>
  <c r="K1759" i="2"/>
  <c r="L1759" i="2"/>
  <c r="N1759" i="2"/>
  <c r="O1759" i="2"/>
  <c r="Q1759" i="2"/>
  <c r="R1759" i="2"/>
  <c r="S1759" i="2"/>
  <c r="E1760" i="2"/>
  <c r="F1760" i="2"/>
  <c r="G1760" i="2"/>
  <c r="H1760" i="2"/>
  <c r="I1760" i="2"/>
  <c r="J1760" i="2"/>
  <c r="K1760" i="2"/>
  <c r="L1760" i="2"/>
  <c r="M1760" i="2"/>
  <c r="N1760" i="2"/>
  <c r="O1760" i="2"/>
  <c r="Q1760" i="2"/>
  <c r="R1760" i="2"/>
  <c r="S1760" i="2"/>
  <c r="E1761" i="2"/>
  <c r="F1761" i="2"/>
  <c r="G1761" i="2"/>
  <c r="H1761" i="2"/>
  <c r="I1761" i="2"/>
  <c r="J1761" i="2"/>
  <c r="M1761" i="2" s="1"/>
  <c r="K1761" i="2"/>
  <c r="L1761" i="2"/>
  <c r="N1761" i="2"/>
  <c r="O1761" i="2"/>
  <c r="Q1761" i="2"/>
  <c r="R1761" i="2"/>
  <c r="S1761" i="2"/>
  <c r="E1762" i="2"/>
  <c r="F1762" i="2"/>
  <c r="G1762" i="2"/>
  <c r="H1762" i="2"/>
  <c r="I1762" i="2"/>
  <c r="J1762" i="2"/>
  <c r="K1762" i="2"/>
  <c r="L1762" i="2"/>
  <c r="N1762" i="2"/>
  <c r="P1762" i="2" s="1"/>
  <c r="O1762" i="2"/>
  <c r="Q1762" i="2"/>
  <c r="R1762" i="2"/>
  <c r="S1762" i="2"/>
  <c r="E1763" i="2"/>
  <c r="F1763" i="2"/>
  <c r="G1763" i="2"/>
  <c r="H1763" i="2"/>
  <c r="I1763" i="2"/>
  <c r="J1763" i="2"/>
  <c r="K1763" i="2"/>
  <c r="L1763" i="2"/>
  <c r="N1763" i="2"/>
  <c r="O1763" i="2"/>
  <c r="Q1763" i="2"/>
  <c r="R1763" i="2"/>
  <c r="S1763" i="2"/>
  <c r="E1764" i="2"/>
  <c r="F1764" i="2"/>
  <c r="G1764" i="2"/>
  <c r="H1764" i="2"/>
  <c r="I1764" i="2"/>
  <c r="J1764" i="2"/>
  <c r="K1764" i="2"/>
  <c r="L1764" i="2"/>
  <c r="M1764" i="2"/>
  <c r="N1764" i="2"/>
  <c r="O1764" i="2"/>
  <c r="Q1764" i="2"/>
  <c r="R1764" i="2"/>
  <c r="S1764" i="2"/>
  <c r="E1765" i="2"/>
  <c r="F1765" i="2"/>
  <c r="G1765" i="2"/>
  <c r="H1765" i="2"/>
  <c r="I1765" i="2"/>
  <c r="J1765" i="2"/>
  <c r="M1765" i="2" s="1"/>
  <c r="K1765" i="2"/>
  <c r="L1765" i="2"/>
  <c r="N1765" i="2"/>
  <c r="O1765" i="2"/>
  <c r="Q1765" i="2"/>
  <c r="R1765" i="2"/>
  <c r="S1765" i="2"/>
  <c r="E1766" i="2"/>
  <c r="F1766" i="2"/>
  <c r="G1766" i="2"/>
  <c r="H1766" i="2"/>
  <c r="I1766" i="2"/>
  <c r="J1766" i="2"/>
  <c r="K1766" i="2"/>
  <c r="L1766" i="2"/>
  <c r="N1766" i="2"/>
  <c r="P1766" i="2" s="1"/>
  <c r="O1766" i="2"/>
  <c r="Q1766" i="2"/>
  <c r="R1766" i="2"/>
  <c r="S1766" i="2"/>
  <c r="E1767" i="2"/>
  <c r="F1767" i="2"/>
  <c r="G1767" i="2"/>
  <c r="H1767" i="2"/>
  <c r="I1767" i="2"/>
  <c r="J1767" i="2"/>
  <c r="K1767" i="2"/>
  <c r="L1767" i="2"/>
  <c r="N1767" i="2"/>
  <c r="O1767" i="2"/>
  <c r="Q1767" i="2"/>
  <c r="R1767" i="2"/>
  <c r="S1767" i="2"/>
  <c r="E1768" i="2"/>
  <c r="F1768" i="2"/>
  <c r="G1768" i="2"/>
  <c r="H1768" i="2"/>
  <c r="I1768" i="2"/>
  <c r="J1768" i="2"/>
  <c r="K1768" i="2"/>
  <c r="L1768" i="2"/>
  <c r="M1768" i="2"/>
  <c r="N1768" i="2"/>
  <c r="O1768" i="2"/>
  <c r="Q1768" i="2"/>
  <c r="R1768" i="2"/>
  <c r="S1768" i="2"/>
  <c r="E1769" i="2"/>
  <c r="F1769" i="2"/>
  <c r="G1769" i="2"/>
  <c r="H1769" i="2"/>
  <c r="I1769" i="2"/>
  <c r="J1769" i="2"/>
  <c r="M1769" i="2" s="1"/>
  <c r="K1769" i="2"/>
  <c r="L1769" i="2"/>
  <c r="N1769" i="2"/>
  <c r="O1769" i="2"/>
  <c r="Q1769" i="2"/>
  <c r="R1769" i="2"/>
  <c r="S1769" i="2"/>
  <c r="E1770" i="2"/>
  <c r="F1770" i="2"/>
  <c r="G1770" i="2"/>
  <c r="H1770" i="2"/>
  <c r="I1770" i="2"/>
  <c r="J1770" i="2"/>
  <c r="K1770" i="2"/>
  <c r="L1770" i="2"/>
  <c r="N1770" i="2"/>
  <c r="P1770" i="2" s="1"/>
  <c r="O1770" i="2"/>
  <c r="Q1770" i="2"/>
  <c r="R1770" i="2"/>
  <c r="S1770" i="2"/>
  <c r="E1771" i="2"/>
  <c r="F1771" i="2"/>
  <c r="G1771" i="2"/>
  <c r="H1771" i="2"/>
  <c r="I1771" i="2"/>
  <c r="J1771" i="2"/>
  <c r="K1771" i="2"/>
  <c r="L1771" i="2"/>
  <c r="N1771" i="2"/>
  <c r="O1771" i="2"/>
  <c r="Q1771" i="2"/>
  <c r="R1771" i="2"/>
  <c r="S1771" i="2"/>
  <c r="E1772" i="2"/>
  <c r="F1772" i="2"/>
  <c r="G1772" i="2"/>
  <c r="H1772" i="2"/>
  <c r="I1772" i="2"/>
  <c r="J1772" i="2"/>
  <c r="K1772" i="2"/>
  <c r="L1772" i="2"/>
  <c r="M1772" i="2"/>
  <c r="N1772" i="2"/>
  <c r="O1772" i="2"/>
  <c r="Q1772" i="2"/>
  <c r="R1772" i="2"/>
  <c r="S1772" i="2"/>
  <c r="E1773" i="2"/>
  <c r="F1773" i="2"/>
  <c r="G1773" i="2"/>
  <c r="H1773" i="2"/>
  <c r="I1773" i="2"/>
  <c r="J1773" i="2"/>
  <c r="M1773" i="2" s="1"/>
  <c r="K1773" i="2"/>
  <c r="L1773" i="2"/>
  <c r="N1773" i="2"/>
  <c r="O1773" i="2"/>
  <c r="Q1773" i="2"/>
  <c r="R1773" i="2"/>
  <c r="S1773" i="2"/>
  <c r="E1774" i="2"/>
  <c r="F1774" i="2"/>
  <c r="G1774" i="2"/>
  <c r="H1774" i="2"/>
  <c r="I1774" i="2"/>
  <c r="J1774" i="2"/>
  <c r="K1774" i="2"/>
  <c r="L1774" i="2"/>
  <c r="N1774" i="2"/>
  <c r="P1774" i="2" s="1"/>
  <c r="O1774" i="2"/>
  <c r="Q1774" i="2"/>
  <c r="R1774" i="2"/>
  <c r="S1774" i="2"/>
  <c r="E1775" i="2"/>
  <c r="F1775" i="2"/>
  <c r="G1775" i="2"/>
  <c r="H1775" i="2"/>
  <c r="I1775" i="2"/>
  <c r="J1775" i="2"/>
  <c r="K1775" i="2"/>
  <c r="L1775" i="2"/>
  <c r="N1775" i="2"/>
  <c r="O1775" i="2"/>
  <c r="Q1775" i="2"/>
  <c r="R1775" i="2"/>
  <c r="S1775" i="2"/>
  <c r="E1776" i="2"/>
  <c r="F1776" i="2"/>
  <c r="G1776" i="2"/>
  <c r="H1776" i="2"/>
  <c r="I1776" i="2"/>
  <c r="J1776" i="2"/>
  <c r="K1776" i="2"/>
  <c r="L1776" i="2"/>
  <c r="M1776" i="2"/>
  <c r="N1776" i="2"/>
  <c r="O1776" i="2"/>
  <c r="Q1776" i="2"/>
  <c r="R1776" i="2"/>
  <c r="S1776" i="2"/>
  <c r="E1777" i="2"/>
  <c r="F1777" i="2"/>
  <c r="G1777" i="2"/>
  <c r="H1777" i="2"/>
  <c r="I1777" i="2"/>
  <c r="J1777" i="2"/>
  <c r="M1777" i="2" s="1"/>
  <c r="K1777" i="2"/>
  <c r="L1777" i="2"/>
  <c r="N1777" i="2"/>
  <c r="O1777" i="2"/>
  <c r="Q1777" i="2"/>
  <c r="R1777" i="2"/>
  <c r="S1777" i="2"/>
  <c r="E1778" i="2"/>
  <c r="F1778" i="2"/>
  <c r="G1778" i="2"/>
  <c r="H1778" i="2"/>
  <c r="I1778" i="2"/>
  <c r="J1778" i="2"/>
  <c r="K1778" i="2"/>
  <c r="L1778" i="2"/>
  <c r="N1778" i="2"/>
  <c r="P1778" i="2" s="1"/>
  <c r="O1778" i="2"/>
  <c r="Q1778" i="2"/>
  <c r="R1778" i="2"/>
  <c r="S1778" i="2"/>
  <c r="E1779" i="2"/>
  <c r="F1779" i="2"/>
  <c r="G1779" i="2"/>
  <c r="H1779" i="2"/>
  <c r="I1779" i="2"/>
  <c r="J1779" i="2"/>
  <c r="K1779" i="2"/>
  <c r="L1779" i="2"/>
  <c r="N1779" i="2"/>
  <c r="O1779" i="2"/>
  <c r="Q1779" i="2"/>
  <c r="R1779" i="2"/>
  <c r="S1779" i="2"/>
  <c r="E1780" i="2"/>
  <c r="F1780" i="2"/>
  <c r="G1780" i="2"/>
  <c r="H1780" i="2"/>
  <c r="I1780" i="2"/>
  <c r="J1780" i="2"/>
  <c r="K1780" i="2"/>
  <c r="L1780" i="2"/>
  <c r="M1780" i="2"/>
  <c r="N1780" i="2"/>
  <c r="O1780" i="2"/>
  <c r="P1780" i="2"/>
  <c r="Q1780" i="2"/>
  <c r="R1780" i="2"/>
  <c r="S1780" i="2"/>
  <c r="E1781" i="2"/>
  <c r="F1781" i="2"/>
  <c r="G1781" i="2"/>
  <c r="H1781" i="2"/>
  <c r="I1781" i="2"/>
  <c r="J1781" i="2"/>
  <c r="K1781" i="2"/>
  <c r="L1781" i="2"/>
  <c r="M1781" i="2"/>
  <c r="N1781" i="2"/>
  <c r="O1781" i="2"/>
  <c r="Q1781" i="2"/>
  <c r="R1781" i="2"/>
  <c r="S1781" i="2"/>
  <c r="E1782" i="2"/>
  <c r="F1782" i="2"/>
  <c r="G1782" i="2"/>
  <c r="H1782" i="2"/>
  <c r="I1782" i="2"/>
  <c r="J1782" i="2"/>
  <c r="K1782" i="2"/>
  <c r="L1782" i="2"/>
  <c r="N1782" i="2"/>
  <c r="P1782" i="2" s="1"/>
  <c r="O1782" i="2"/>
  <c r="Q1782" i="2"/>
  <c r="R1782" i="2"/>
  <c r="S1782" i="2"/>
  <c r="E1783" i="2"/>
  <c r="F1783" i="2"/>
  <c r="G1783" i="2"/>
  <c r="H1783" i="2"/>
  <c r="I1783" i="2"/>
  <c r="J1783" i="2"/>
  <c r="K1783" i="2"/>
  <c r="L1783" i="2"/>
  <c r="N1783" i="2"/>
  <c r="O1783" i="2"/>
  <c r="Q1783" i="2"/>
  <c r="R1783" i="2"/>
  <c r="S1783" i="2"/>
  <c r="E1784" i="2"/>
  <c r="F1784" i="2"/>
  <c r="G1784" i="2"/>
  <c r="H1784" i="2"/>
  <c r="I1784" i="2"/>
  <c r="J1784" i="2"/>
  <c r="K1784" i="2"/>
  <c r="L1784" i="2"/>
  <c r="N1784" i="2"/>
  <c r="O1784" i="2"/>
  <c r="P1784" i="2"/>
  <c r="Q1784" i="2"/>
  <c r="R1784" i="2"/>
  <c r="S1784" i="2"/>
  <c r="E1785" i="2"/>
  <c r="F1785" i="2"/>
  <c r="G1785" i="2"/>
  <c r="H1785" i="2"/>
  <c r="I1785" i="2"/>
  <c r="J1785" i="2"/>
  <c r="K1785" i="2"/>
  <c r="L1785" i="2"/>
  <c r="M1785" i="2"/>
  <c r="N1785" i="2"/>
  <c r="O1785" i="2"/>
  <c r="Q1785" i="2"/>
  <c r="R1785" i="2"/>
  <c r="S1785" i="2"/>
  <c r="E1786" i="2"/>
  <c r="F1786" i="2"/>
  <c r="G1786" i="2"/>
  <c r="H1786" i="2"/>
  <c r="I1786" i="2"/>
  <c r="J1786" i="2"/>
  <c r="K1786" i="2"/>
  <c r="L1786" i="2"/>
  <c r="N1786" i="2"/>
  <c r="P1786" i="2" s="1"/>
  <c r="O1786" i="2"/>
  <c r="Q1786" i="2"/>
  <c r="R1786" i="2"/>
  <c r="S1786" i="2"/>
  <c r="E1787" i="2"/>
  <c r="F1787" i="2"/>
  <c r="G1787" i="2"/>
  <c r="H1787" i="2"/>
  <c r="I1787" i="2"/>
  <c r="J1787" i="2"/>
  <c r="K1787" i="2"/>
  <c r="L1787" i="2"/>
  <c r="N1787" i="2"/>
  <c r="O1787" i="2"/>
  <c r="Q1787" i="2"/>
  <c r="R1787" i="2"/>
  <c r="S1787" i="2"/>
  <c r="E1788" i="2"/>
  <c r="F1788" i="2"/>
  <c r="G1788" i="2"/>
  <c r="H1788" i="2"/>
  <c r="I1788" i="2"/>
  <c r="J1788" i="2"/>
  <c r="K1788" i="2"/>
  <c r="L1788" i="2"/>
  <c r="N1788" i="2"/>
  <c r="O1788" i="2"/>
  <c r="P1788" i="2"/>
  <c r="Q1788" i="2"/>
  <c r="R1788" i="2"/>
  <c r="S1788" i="2"/>
  <c r="E1789" i="2"/>
  <c r="F1789" i="2"/>
  <c r="G1789" i="2"/>
  <c r="H1789" i="2"/>
  <c r="I1789" i="2"/>
  <c r="J1789" i="2"/>
  <c r="K1789" i="2"/>
  <c r="L1789" i="2"/>
  <c r="M1789" i="2"/>
  <c r="N1789" i="2"/>
  <c r="O1789" i="2"/>
  <c r="Q1789" i="2"/>
  <c r="R1789" i="2"/>
  <c r="S1789" i="2"/>
  <c r="E1790" i="2"/>
  <c r="F1790" i="2"/>
  <c r="G1790" i="2"/>
  <c r="H1790" i="2"/>
  <c r="I1790" i="2"/>
  <c r="J1790" i="2"/>
  <c r="K1790" i="2"/>
  <c r="L1790" i="2"/>
  <c r="N1790" i="2"/>
  <c r="P1790" i="2" s="1"/>
  <c r="O1790" i="2"/>
  <c r="Q1790" i="2"/>
  <c r="R1790" i="2"/>
  <c r="S1790" i="2"/>
  <c r="E1791" i="2"/>
  <c r="F1791" i="2"/>
  <c r="G1791" i="2"/>
  <c r="H1791" i="2"/>
  <c r="I1791" i="2"/>
  <c r="J1791" i="2"/>
  <c r="K1791" i="2"/>
  <c r="L1791" i="2"/>
  <c r="N1791" i="2"/>
  <c r="O1791" i="2"/>
  <c r="P1791" i="2" s="1"/>
  <c r="Q1791" i="2"/>
  <c r="R1791" i="2"/>
  <c r="S1791" i="2"/>
  <c r="E1792" i="2"/>
  <c r="F1792" i="2"/>
  <c r="G1792" i="2"/>
  <c r="H1792" i="2"/>
  <c r="I1792" i="2"/>
  <c r="J1792" i="2"/>
  <c r="K1792" i="2"/>
  <c r="L1792" i="2"/>
  <c r="N1792" i="2"/>
  <c r="O1792" i="2"/>
  <c r="P1792" i="2"/>
  <c r="Q1792" i="2"/>
  <c r="R1792" i="2"/>
  <c r="S1792" i="2"/>
  <c r="E1793" i="2"/>
  <c r="F1793" i="2"/>
  <c r="G1793" i="2"/>
  <c r="H1793" i="2"/>
  <c r="I1793" i="2"/>
  <c r="J1793" i="2"/>
  <c r="K1793" i="2"/>
  <c r="L1793" i="2"/>
  <c r="M1793" i="2"/>
  <c r="N1793" i="2"/>
  <c r="O1793" i="2"/>
  <c r="Q1793" i="2"/>
  <c r="R1793" i="2"/>
  <c r="S1793" i="2"/>
  <c r="E1794" i="2"/>
  <c r="F1794" i="2"/>
  <c r="G1794" i="2"/>
  <c r="H1794" i="2"/>
  <c r="I1794" i="2"/>
  <c r="J1794" i="2"/>
  <c r="K1794" i="2"/>
  <c r="L1794" i="2"/>
  <c r="N1794" i="2"/>
  <c r="P1794" i="2" s="1"/>
  <c r="O1794" i="2"/>
  <c r="Q1794" i="2"/>
  <c r="R1794" i="2"/>
  <c r="S1794" i="2"/>
  <c r="E1795" i="2"/>
  <c r="F1795" i="2"/>
  <c r="G1795" i="2"/>
  <c r="H1795" i="2"/>
  <c r="I1795" i="2"/>
  <c r="J1795" i="2"/>
  <c r="K1795" i="2"/>
  <c r="L1795" i="2"/>
  <c r="N1795" i="2"/>
  <c r="O1795" i="2"/>
  <c r="P1795" i="2" s="1"/>
  <c r="Q1795" i="2"/>
  <c r="R1795" i="2"/>
  <c r="S1795" i="2"/>
  <c r="E1796" i="2"/>
  <c r="F1796" i="2"/>
  <c r="G1796" i="2"/>
  <c r="H1796" i="2"/>
  <c r="I1796" i="2"/>
  <c r="J1796" i="2"/>
  <c r="K1796" i="2"/>
  <c r="L1796" i="2"/>
  <c r="N1796" i="2"/>
  <c r="O1796" i="2"/>
  <c r="P1796" i="2"/>
  <c r="Q1796" i="2"/>
  <c r="R1796" i="2"/>
  <c r="S1796" i="2"/>
  <c r="E1797" i="2"/>
  <c r="F1797" i="2"/>
  <c r="G1797" i="2"/>
  <c r="H1797" i="2"/>
  <c r="I1797" i="2"/>
  <c r="J1797" i="2"/>
  <c r="K1797" i="2"/>
  <c r="L1797" i="2"/>
  <c r="M1797" i="2"/>
  <c r="N1797" i="2"/>
  <c r="O1797" i="2"/>
  <c r="Q1797" i="2"/>
  <c r="R1797" i="2"/>
  <c r="S1797" i="2"/>
  <c r="E1798" i="2"/>
  <c r="F1798" i="2"/>
  <c r="G1798" i="2"/>
  <c r="H1798" i="2"/>
  <c r="I1798" i="2"/>
  <c r="J1798" i="2"/>
  <c r="K1798" i="2"/>
  <c r="L1798" i="2"/>
  <c r="N1798" i="2"/>
  <c r="P1798" i="2" s="1"/>
  <c r="O1798" i="2"/>
  <c r="Q1798" i="2"/>
  <c r="R1798" i="2"/>
  <c r="S1798" i="2"/>
  <c r="E1799" i="2"/>
  <c r="F1799" i="2"/>
  <c r="G1799" i="2"/>
  <c r="H1799" i="2"/>
  <c r="I1799" i="2"/>
  <c r="J1799" i="2"/>
  <c r="K1799" i="2"/>
  <c r="L1799" i="2"/>
  <c r="N1799" i="2"/>
  <c r="O1799" i="2"/>
  <c r="P1799" i="2" s="1"/>
  <c r="Q1799" i="2"/>
  <c r="R1799" i="2"/>
  <c r="S1799" i="2"/>
  <c r="E1800" i="2"/>
  <c r="F1800" i="2"/>
  <c r="G1800" i="2"/>
  <c r="H1800" i="2"/>
  <c r="I1800" i="2"/>
  <c r="J1800" i="2"/>
  <c r="K1800" i="2"/>
  <c r="L1800" i="2"/>
  <c r="N1800" i="2"/>
  <c r="O1800" i="2"/>
  <c r="P1800" i="2"/>
  <c r="Q1800" i="2"/>
  <c r="R1800" i="2"/>
  <c r="S1800" i="2"/>
  <c r="E1801" i="2"/>
  <c r="F1801" i="2"/>
  <c r="G1801" i="2"/>
  <c r="H1801" i="2"/>
  <c r="I1801" i="2"/>
  <c r="J1801" i="2"/>
  <c r="K1801" i="2"/>
  <c r="L1801" i="2"/>
  <c r="M1801" i="2"/>
  <c r="N1801" i="2"/>
  <c r="O1801" i="2"/>
  <c r="Q1801" i="2"/>
  <c r="R1801" i="2"/>
  <c r="S1801" i="2"/>
  <c r="E1802" i="2"/>
  <c r="F1802" i="2"/>
  <c r="G1802" i="2"/>
  <c r="H1802" i="2"/>
  <c r="I1802" i="2"/>
  <c r="J1802" i="2"/>
  <c r="K1802" i="2"/>
  <c r="L1802" i="2"/>
  <c r="N1802" i="2"/>
  <c r="P1802" i="2" s="1"/>
  <c r="O1802" i="2"/>
  <c r="Q1802" i="2"/>
  <c r="R1802" i="2"/>
  <c r="S1802" i="2"/>
  <c r="E1803" i="2"/>
  <c r="F1803" i="2"/>
  <c r="G1803" i="2"/>
  <c r="H1803" i="2"/>
  <c r="I1803" i="2"/>
  <c r="J1803" i="2"/>
  <c r="K1803" i="2"/>
  <c r="L1803" i="2"/>
  <c r="N1803" i="2"/>
  <c r="O1803" i="2"/>
  <c r="P1803" i="2" s="1"/>
  <c r="Q1803" i="2"/>
  <c r="R1803" i="2"/>
  <c r="S1803" i="2"/>
  <c r="E1804" i="2"/>
  <c r="F1804" i="2"/>
  <c r="G1804" i="2"/>
  <c r="H1804" i="2"/>
  <c r="I1804" i="2"/>
  <c r="J1804" i="2"/>
  <c r="K1804" i="2"/>
  <c r="L1804" i="2"/>
  <c r="N1804" i="2"/>
  <c r="O1804" i="2"/>
  <c r="P1804" i="2"/>
  <c r="Q1804" i="2"/>
  <c r="R1804" i="2"/>
  <c r="S1804" i="2"/>
  <c r="E1805" i="2"/>
  <c r="F1805" i="2"/>
  <c r="G1805" i="2"/>
  <c r="H1805" i="2"/>
  <c r="I1805" i="2"/>
  <c r="J1805" i="2"/>
  <c r="K1805" i="2"/>
  <c r="L1805" i="2"/>
  <c r="M1805" i="2"/>
  <c r="N1805" i="2"/>
  <c r="O1805" i="2"/>
  <c r="Q1805" i="2"/>
  <c r="R1805" i="2"/>
  <c r="S1805" i="2"/>
  <c r="E1806" i="2"/>
  <c r="F1806" i="2"/>
  <c r="G1806" i="2"/>
  <c r="H1806" i="2"/>
  <c r="I1806" i="2"/>
  <c r="J1806" i="2"/>
  <c r="K1806" i="2"/>
  <c r="L1806" i="2"/>
  <c r="N1806" i="2"/>
  <c r="P1806" i="2" s="1"/>
  <c r="O1806" i="2"/>
  <c r="Q1806" i="2"/>
  <c r="R1806" i="2"/>
  <c r="S1806" i="2"/>
  <c r="E1807" i="2"/>
  <c r="F1807" i="2"/>
  <c r="G1807" i="2"/>
  <c r="H1807" i="2"/>
  <c r="I1807" i="2"/>
  <c r="J1807" i="2"/>
  <c r="K1807" i="2"/>
  <c r="L1807" i="2"/>
  <c r="N1807" i="2"/>
  <c r="O1807" i="2"/>
  <c r="P1807" i="2" s="1"/>
  <c r="Q1807" i="2"/>
  <c r="R1807" i="2"/>
  <c r="S1807" i="2"/>
  <c r="E1808" i="2"/>
  <c r="F1808" i="2"/>
  <c r="G1808" i="2"/>
  <c r="H1808" i="2"/>
  <c r="I1808" i="2"/>
  <c r="J1808" i="2"/>
  <c r="K1808" i="2"/>
  <c r="L1808" i="2"/>
  <c r="N1808" i="2"/>
  <c r="O1808" i="2"/>
  <c r="P1808" i="2"/>
  <c r="Q1808" i="2"/>
  <c r="R1808" i="2"/>
  <c r="S1808" i="2"/>
  <c r="E1809" i="2"/>
  <c r="F1809" i="2"/>
  <c r="G1809" i="2"/>
  <c r="H1809" i="2"/>
  <c r="I1809" i="2"/>
  <c r="J1809" i="2"/>
  <c r="K1809" i="2"/>
  <c r="L1809" i="2"/>
  <c r="M1809" i="2"/>
  <c r="N1809" i="2"/>
  <c r="O1809" i="2"/>
  <c r="Q1809" i="2"/>
  <c r="R1809" i="2"/>
  <c r="S1809" i="2"/>
  <c r="E1810" i="2"/>
  <c r="F1810" i="2"/>
  <c r="G1810" i="2"/>
  <c r="H1810" i="2"/>
  <c r="I1810" i="2"/>
  <c r="J1810" i="2"/>
  <c r="K1810" i="2"/>
  <c r="L1810" i="2"/>
  <c r="N1810" i="2"/>
  <c r="P1810" i="2" s="1"/>
  <c r="O1810" i="2"/>
  <c r="Q1810" i="2"/>
  <c r="R1810" i="2"/>
  <c r="S1810" i="2"/>
  <c r="E1811" i="2"/>
  <c r="F1811" i="2"/>
  <c r="G1811" i="2"/>
  <c r="H1811" i="2"/>
  <c r="I1811" i="2"/>
  <c r="J1811" i="2"/>
  <c r="K1811" i="2"/>
  <c r="L1811" i="2"/>
  <c r="N1811" i="2"/>
  <c r="O1811" i="2"/>
  <c r="P1811" i="2" s="1"/>
  <c r="Q1811" i="2"/>
  <c r="R1811" i="2"/>
  <c r="S1811" i="2"/>
  <c r="E1812" i="2"/>
  <c r="F1812" i="2"/>
  <c r="G1812" i="2"/>
  <c r="H1812" i="2"/>
  <c r="I1812" i="2"/>
  <c r="J1812" i="2"/>
  <c r="K1812" i="2"/>
  <c r="L1812" i="2"/>
  <c r="N1812" i="2"/>
  <c r="O1812" i="2"/>
  <c r="P1812" i="2"/>
  <c r="Q1812" i="2"/>
  <c r="R1812" i="2"/>
  <c r="S1812" i="2"/>
  <c r="E1813" i="2"/>
  <c r="F1813" i="2"/>
  <c r="G1813" i="2"/>
  <c r="H1813" i="2"/>
  <c r="I1813" i="2"/>
  <c r="J1813" i="2"/>
  <c r="K1813" i="2"/>
  <c r="L1813" i="2"/>
  <c r="M1813" i="2"/>
  <c r="N1813" i="2"/>
  <c r="O1813" i="2"/>
  <c r="Q1813" i="2"/>
  <c r="R1813" i="2"/>
  <c r="S1813" i="2"/>
  <c r="E1814" i="2"/>
  <c r="F1814" i="2"/>
  <c r="G1814" i="2"/>
  <c r="H1814" i="2"/>
  <c r="I1814" i="2"/>
  <c r="J1814" i="2"/>
  <c r="K1814" i="2"/>
  <c r="L1814" i="2"/>
  <c r="N1814" i="2"/>
  <c r="P1814" i="2" s="1"/>
  <c r="O1814" i="2"/>
  <c r="Q1814" i="2"/>
  <c r="R1814" i="2"/>
  <c r="S1814" i="2"/>
  <c r="E1815" i="2"/>
  <c r="F1815" i="2"/>
  <c r="G1815" i="2"/>
  <c r="H1815" i="2"/>
  <c r="I1815" i="2"/>
  <c r="J1815" i="2"/>
  <c r="K1815" i="2"/>
  <c r="L1815" i="2"/>
  <c r="N1815" i="2"/>
  <c r="O1815" i="2"/>
  <c r="P1815" i="2" s="1"/>
  <c r="Q1815" i="2"/>
  <c r="R1815" i="2"/>
  <c r="S1815" i="2"/>
  <c r="E1816" i="2"/>
  <c r="F1816" i="2"/>
  <c r="G1816" i="2"/>
  <c r="H1816" i="2"/>
  <c r="I1816" i="2"/>
  <c r="J1816" i="2"/>
  <c r="K1816" i="2"/>
  <c r="L1816" i="2"/>
  <c r="N1816" i="2"/>
  <c r="O1816" i="2"/>
  <c r="P1816" i="2"/>
  <c r="Q1816" i="2"/>
  <c r="R1816" i="2"/>
  <c r="S1816" i="2"/>
  <c r="E1817" i="2"/>
  <c r="F1817" i="2"/>
  <c r="G1817" i="2"/>
  <c r="H1817" i="2"/>
  <c r="I1817" i="2"/>
  <c r="J1817" i="2"/>
  <c r="K1817" i="2"/>
  <c r="L1817" i="2"/>
  <c r="M1817" i="2"/>
  <c r="N1817" i="2"/>
  <c r="O1817" i="2"/>
  <c r="Q1817" i="2"/>
  <c r="R1817" i="2"/>
  <c r="S1817" i="2"/>
  <c r="E1818" i="2"/>
  <c r="F1818" i="2"/>
  <c r="G1818" i="2"/>
  <c r="H1818" i="2"/>
  <c r="I1818" i="2"/>
  <c r="J1818" i="2"/>
  <c r="K1818" i="2"/>
  <c r="L1818" i="2"/>
  <c r="N1818" i="2"/>
  <c r="P1818" i="2" s="1"/>
  <c r="O1818" i="2"/>
  <c r="Q1818" i="2"/>
  <c r="R1818" i="2"/>
  <c r="S1818" i="2"/>
  <c r="E1819" i="2"/>
  <c r="F1819" i="2"/>
  <c r="G1819" i="2"/>
  <c r="H1819" i="2"/>
  <c r="I1819" i="2"/>
  <c r="J1819" i="2"/>
  <c r="K1819" i="2"/>
  <c r="L1819" i="2"/>
  <c r="N1819" i="2"/>
  <c r="O1819" i="2"/>
  <c r="P1819" i="2" s="1"/>
  <c r="Q1819" i="2"/>
  <c r="R1819" i="2"/>
  <c r="S1819" i="2"/>
  <c r="E1820" i="2"/>
  <c r="F1820" i="2"/>
  <c r="G1820" i="2"/>
  <c r="H1820" i="2"/>
  <c r="I1820" i="2"/>
  <c r="J1820" i="2"/>
  <c r="K1820" i="2"/>
  <c r="L1820" i="2"/>
  <c r="N1820" i="2"/>
  <c r="O1820" i="2"/>
  <c r="P1820" i="2"/>
  <c r="Q1820" i="2"/>
  <c r="R1820" i="2"/>
  <c r="S1820" i="2"/>
  <c r="E1821" i="2"/>
  <c r="F1821" i="2"/>
  <c r="G1821" i="2"/>
  <c r="H1821" i="2"/>
  <c r="I1821" i="2"/>
  <c r="J1821" i="2"/>
  <c r="K1821" i="2"/>
  <c r="L1821" i="2"/>
  <c r="M1821" i="2"/>
  <c r="N1821" i="2"/>
  <c r="O1821" i="2"/>
  <c r="Q1821" i="2"/>
  <c r="R1821" i="2"/>
  <c r="S1821" i="2"/>
  <c r="E1822" i="2"/>
  <c r="F1822" i="2"/>
  <c r="G1822" i="2"/>
  <c r="H1822" i="2"/>
  <c r="I1822" i="2"/>
  <c r="J1822" i="2"/>
  <c r="K1822" i="2"/>
  <c r="L1822" i="2"/>
  <c r="N1822" i="2"/>
  <c r="P1822" i="2" s="1"/>
  <c r="O1822" i="2"/>
  <c r="Q1822" i="2"/>
  <c r="R1822" i="2"/>
  <c r="S1822" i="2"/>
  <c r="E1823" i="2"/>
  <c r="F1823" i="2"/>
  <c r="G1823" i="2"/>
  <c r="H1823" i="2"/>
  <c r="I1823" i="2"/>
  <c r="J1823" i="2"/>
  <c r="K1823" i="2"/>
  <c r="L1823" i="2"/>
  <c r="N1823" i="2"/>
  <c r="O1823" i="2"/>
  <c r="P1823" i="2" s="1"/>
  <c r="Q1823" i="2"/>
  <c r="R1823" i="2"/>
  <c r="S1823" i="2"/>
  <c r="E1824" i="2"/>
  <c r="F1824" i="2"/>
  <c r="G1824" i="2"/>
  <c r="H1824" i="2"/>
  <c r="I1824" i="2"/>
  <c r="J1824" i="2"/>
  <c r="K1824" i="2"/>
  <c r="L1824" i="2"/>
  <c r="N1824" i="2"/>
  <c r="O1824" i="2"/>
  <c r="P1824" i="2"/>
  <c r="Q1824" i="2"/>
  <c r="R1824" i="2"/>
  <c r="S1824" i="2"/>
  <c r="E1825" i="2"/>
  <c r="F1825" i="2"/>
  <c r="G1825" i="2"/>
  <c r="H1825" i="2"/>
  <c r="I1825" i="2"/>
  <c r="J1825" i="2"/>
  <c r="K1825" i="2"/>
  <c r="L1825" i="2"/>
  <c r="M1825" i="2"/>
  <c r="N1825" i="2"/>
  <c r="O1825" i="2"/>
  <c r="Q1825" i="2"/>
  <c r="R1825" i="2"/>
  <c r="S1825" i="2"/>
  <c r="E1826" i="2"/>
  <c r="F1826" i="2"/>
  <c r="G1826" i="2"/>
  <c r="H1826" i="2"/>
  <c r="I1826" i="2"/>
  <c r="J1826" i="2"/>
  <c r="K1826" i="2"/>
  <c r="L1826" i="2"/>
  <c r="N1826" i="2"/>
  <c r="P1826" i="2" s="1"/>
  <c r="O1826" i="2"/>
  <c r="Q1826" i="2"/>
  <c r="R1826" i="2"/>
  <c r="S1826" i="2"/>
  <c r="E1827" i="2"/>
  <c r="F1827" i="2"/>
  <c r="G1827" i="2"/>
  <c r="H1827" i="2"/>
  <c r="I1827" i="2"/>
  <c r="J1827" i="2"/>
  <c r="K1827" i="2"/>
  <c r="L1827" i="2"/>
  <c r="N1827" i="2"/>
  <c r="O1827" i="2"/>
  <c r="P1827" i="2" s="1"/>
  <c r="Q1827" i="2"/>
  <c r="R1827" i="2"/>
  <c r="S1827" i="2"/>
  <c r="E1828" i="2"/>
  <c r="F1828" i="2"/>
  <c r="G1828" i="2"/>
  <c r="H1828" i="2"/>
  <c r="I1828" i="2"/>
  <c r="J1828" i="2"/>
  <c r="K1828" i="2"/>
  <c r="L1828" i="2"/>
  <c r="N1828" i="2"/>
  <c r="O1828" i="2"/>
  <c r="P1828" i="2"/>
  <c r="Q1828" i="2"/>
  <c r="R1828" i="2"/>
  <c r="S1828" i="2"/>
  <c r="E1829" i="2"/>
  <c r="F1829" i="2"/>
  <c r="G1829" i="2"/>
  <c r="H1829" i="2"/>
  <c r="I1829" i="2"/>
  <c r="J1829" i="2"/>
  <c r="K1829" i="2"/>
  <c r="L1829" i="2"/>
  <c r="M1829" i="2"/>
  <c r="N1829" i="2"/>
  <c r="O1829" i="2"/>
  <c r="Q1829" i="2"/>
  <c r="R1829" i="2"/>
  <c r="S1829" i="2"/>
  <c r="E1830" i="2"/>
  <c r="F1830" i="2"/>
  <c r="G1830" i="2"/>
  <c r="H1830" i="2"/>
  <c r="I1830" i="2"/>
  <c r="J1830" i="2"/>
  <c r="K1830" i="2"/>
  <c r="L1830" i="2"/>
  <c r="N1830" i="2"/>
  <c r="P1830" i="2" s="1"/>
  <c r="O1830" i="2"/>
  <c r="Q1830" i="2"/>
  <c r="R1830" i="2"/>
  <c r="S1830" i="2"/>
  <c r="E1831" i="2"/>
  <c r="F1831" i="2"/>
  <c r="G1831" i="2"/>
  <c r="H1831" i="2"/>
  <c r="I1831" i="2"/>
  <c r="J1831" i="2"/>
  <c r="K1831" i="2"/>
  <c r="L1831" i="2"/>
  <c r="N1831" i="2"/>
  <c r="O1831" i="2"/>
  <c r="P1831" i="2" s="1"/>
  <c r="Q1831" i="2"/>
  <c r="R1831" i="2"/>
  <c r="S1831" i="2"/>
  <c r="E1832" i="2"/>
  <c r="F1832" i="2"/>
  <c r="G1832" i="2"/>
  <c r="H1832" i="2"/>
  <c r="I1832" i="2"/>
  <c r="J1832" i="2"/>
  <c r="K1832" i="2"/>
  <c r="L1832" i="2"/>
  <c r="N1832" i="2"/>
  <c r="O1832" i="2"/>
  <c r="P1832" i="2"/>
  <c r="Q1832" i="2"/>
  <c r="R1832" i="2"/>
  <c r="S1832" i="2"/>
  <c r="E1833" i="2"/>
  <c r="F1833" i="2"/>
  <c r="G1833" i="2"/>
  <c r="H1833" i="2"/>
  <c r="I1833" i="2"/>
  <c r="J1833" i="2"/>
  <c r="K1833" i="2"/>
  <c r="L1833" i="2"/>
  <c r="M1833" i="2"/>
  <c r="N1833" i="2"/>
  <c r="O1833" i="2"/>
  <c r="Q1833" i="2"/>
  <c r="R1833" i="2"/>
  <c r="S1833" i="2"/>
  <c r="E1834" i="2"/>
  <c r="F1834" i="2"/>
  <c r="G1834" i="2"/>
  <c r="H1834" i="2"/>
  <c r="I1834" i="2"/>
  <c r="J1834" i="2"/>
  <c r="K1834" i="2"/>
  <c r="L1834" i="2"/>
  <c r="N1834" i="2"/>
  <c r="P1834" i="2" s="1"/>
  <c r="O1834" i="2"/>
  <c r="Q1834" i="2"/>
  <c r="R1834" i="2"/>
  <c r="S1834" i="2"/>
  <c r="E1835" i="2"/>
  <c r="F1835" i="2"/>
  <c r="G1835" i="2"/>
  <c r="H1835" i="2"/>
  <c r="I1835" i="2"/>
  <c r="J1835" i="2"/>
  <c r="K1835" i="2"/>
  <c r="L1835" i="2"/>
  <c r="N1835" i="2"/>
  <c r="O1835" i="2"/>
  <c r="P1835" i="2" s="1"/>
  <c r="Q1835" i="2"/>
  <c r="R1835" i="2"/>
  <c r="S1835" i="2"/>
  <c r="E1836" i="2"/>
  <c r="F1836" i="2"/>
  <c r="G1836" i="2"/>
  <c r="H1836" i="2"/>
  <c r="I1836" i="2"/>
  <c r="J1836" i="2"/>
  <c r="K1836" i="2"/>
  <c r="L1836" i="2"/>
  <c r="N1836" i="2"/>
  <c r="O1836" i="2"/>
  <c r="P1836" i="2"/>
  <c r="Q1836" i="2"/>
  <c r="R1836" i="2"/>
  <c r="S1836" i="2"/>
  <c r="E1837" i="2"/>
  <c r="F1837" i="2"/>
  <c r="G1837" i="2"/>
  <c r="H1837" i="2"/>
  <c r="I1837" i="2"/>
  <c r="J1837" i="2"/>
  <c r="K1837" i="2"/>
  <c r="L1837" i="2"/>
  <c r="M1837" i="2"/>
  <c r="N1837" i="2"/>
  <c r="O1837" i="2"/>
  <c r="Q1837" i="2"/>
  <c r="R1837" i="2"/>
  <c r="S1837" i="2"/>
  <c r="E1838" i="2"/>
  <c r="F1838" i="2"/>
  <c r="G1838" i="2"/>
  <c r="H1838" i="2"/>
  <c r="I1838" i="2"/>
  <c r="J1838" i="2"/>
  <c r="K1838" i="2"/>
  <c r="L1838" i="2"/>
  <c r="N1838" i="2"/>
  <c r="P1838" i="2" s="1"/>
  <c r="O1838" i="2"/>
  <c r="Q1838" i="2"/>
  <c r="R1838" i="2"/>
  <c r="S1838" i="2"/>
  <c r="E1839" i="2"/>
  <c r="F1839" i="2"/>
  <c r="G1839" i="2"/>
  <c r="H1839" i="2"/>
  <c r="I1839" i="2"/>
  <c r="J1839" i="2"/>
  <c r="K1839" i="2"/>
  <c r="L1839" i="2"/>
  <c r="N1839" i="2"/>
  <c r="O1839" i="2"/>
  <c r="P1839" i="2" s="1"/>
  <c r="Q1839" i="2"/>
  <c r="R1839" i="2"/>
  <c r="S1839" i="2"/>
  <c r="E1840" i="2"/>
  <c r="F1840" i="2"/>
  <c r="G1840" i="2"/>
  <c r="H1840" i="2"/>
  <c r="I1840" i="2"/>
  <c r="J1840" i="2"/>
  <c r="K1840" i="2"/>
  <c r="L1840" i="2"/>
  <c r="N1840" i="2"/>
  <c r="O1840" i="2"/>
  <c r="P1840" i="2"/>
  <c r="Q1840" i="2"/>
  <c r="R1840" i="2"/>
  <c r="S1840" i="2"/>
  <c r="E1841" i="2"/>
  <c r="F1841" i="2"/>
  <c r="G1841" i="2"/>
  <c r="H1841" i="2"/>
  <c r="I1841" i="2"/>
  <c r="J1841" i="2"/>
  <c r="K1841" i="2"/>
  <c r="L1841" i="2"/>
  <c r="M1841" i="2"/>
  <c r="N1841" i="2"/>
  <c r="O1841" i="2"/>
  <c r="Q1841" i="2"/>
  <c r="R1841" i="2"/>
  <c r="S1841" i="2"/>
  <c r="E1842" i="2"/>
  <c r="F1842" i="2"/>
  <c r="G1842" i="2"/>
  <c r="H1842" i="2"/>
  <c r="I1842" i="2"/>
  <c r="J1842" i="2"/>
  <c r="K1842" i="2"/>
  <c r="L1842" i="2"/>
  <c r="N1842" i="2"/>
  <c r="P1842" i="2" s="1"/>
  <c r="O1842" i="2"/>
  <c r="Q1842" i="2"/>
  <c r="R1842" i="2"/>
  <c r="S1842" i="2"/>
  <c r="E1843" i="2"/>
  <c r="F1843" i="2"/>
  <c r="G1843" i="2"/>
  <c r="H1843" i="2"/>
  <c r="I1843" i="2"/>
  <c r="J1843" i="2"/>
  <c r="K1843" i="2"/>
  <c r="L1843" i="2"/>
  <c r="N1843" i="2"/>
  <c r="O1843" i="2"/>
  <c r="P1843" i="2" s="1"/>
  <c r="Q1843" i="2"/>
  <c r="R1843" i="2"/>
  <c r="S1843" i="2"/>
  <c r="E1844" i="2"/>
  <c r="F1844" i="2"/>
  <c r="G1844" i="2"/>
  <c r="H1844" i="2"/>
  <c r="I1844" i="2"/>
  <c r="J1844" i="2"/>
  <c r="K1844" i="2"/>
  <c r="L1844" i="2"/>
  <c r="N1844" i="2"/>
  <c r="O1844" i="2"/>
  <c r="P1844" i="2"/>
  <c r="Q1844" i="2"/>
  <c r="R1844" i="2"/>
  <c r="S1844" i="2"/>
  <c r="E1845" i="2"/>
  <c r="F1845" i="2"/>
  <c r="G1845" i="2"/>
  <c r="H1845" i="2"/>
  <c r="I1845" i="2"/>
  <c r="J1845" i="2"/>
  <c r="K1845" i="2"/>
  <c r="L1845" i="2"/>
  <c r="M1845" i="2"/>
  <c r="N1845" i="2"/>
  <c r="O1845" i="2"/>
  <c r="Q1845" i="2"/>
  <c r="R1845" i="2"/>
  <c r="S1845" i="2"/>
  <c r="E1846" i="2"/>
  <c r="F1846" i="2"/>
  <c r="G1846" i="2"/>
  <c r="H1846" i="2"/>
  <c r="I1846" i="2"/>
  <c r="J1846" i="2"/>
  <c r="K1846" i="2"/>
  <c r="L1846" i="2"/>
  <c r="N1846" i="2"/>
  <c r="P1846" i="2" s="1"/>
  <c r="O1846" i="2"/>
  <c r="Q1846" i="2"/>
  <c r="R1846" i="2"/>
  <c r="S1846" i="2"/>
  <c r="E1847" i="2"/>
  <c r="F1847" i="2"/>
  <c r="G1847" i="2"/>
  <c r="H1847" i="2"/>
  <c r="I1847" i="2"/>
  <c r="J1847" i="2"/>
  <c r="K1847" i="2"/>
  <c r="L1847" i="2"/>
  <c r="N1847" i="2"/>
  <c r="O1847" i="2"/>
  <c r="P1847" i="2" s="1"/>
  <c r="Q1847" i="2"/>
  <c r="R1847" i="2"/>
  <c r="S1847" i="2"/>
  <c r="E1848" i="2"/>
  <c r="F1848" i="2"/>
  <c r="G1848" i="2"/>
  <c r="H1848" i="2"/>
  <c r="I1848" i="2"/>
  <c r="J1848" i="2"/>
  <c r="K1848" i="2"/>
  <c r="L1848" i="2"/>
  <c r="N1848" i="2"/>
  <c r="O1848" i="2"/>
  <c r="P1848" i="2"/>
  <c r="Q1848" i="2"/>
  <c r="R1848" i="2"/>
  <c r="S1848" i="2"/>
  <c r="E1849" i="2"/>
  <c r="F1849" i="2"/>
  <c r="G1849" i="2"/>
  <c r="H1849" i="2"/>
  <c r="I1849" i="2"/>
  <c r="J1849" i="2"/>
  <c r="K1849" i="2"/>
  <c r="L1849" i="2"/>
  <c r="M1849" i="2"/>
  <c r="N1849" i="2"/>
  <c r="O1849" i="2"/>
  <c r="Q1849" i="2"/>
  <c r="R1849" i="2"/>
  <c r="S1849" i="2"/>
  <c r="E1850" i="2"/>
  <c r="F1850" i="2"/>
  <c r="G1850" i="2"/>
  <c r="H1850" i="2"/>
  <c r="I1850" i="2"/>
  <c r="J1850" i="2"/>
  <c r="K1850" i="2"/>
  <c r="L1850" i="2"/>
  <c r="N1850" i="2"/>
  <c r="P1850" i="2" s="1"/>
  <c r="O1850" i="2"/>
  <c r="Q1850" i="2"/>
  <c r="R1850" i="2"/>
  <c r="S1850" i="2"/>
  <c r="E1851" i="2"/>
  <c r="F1851" i="2"/>
  <c r="G1851" i="2"/>
  <c r="H1851" i="2"/>
  <c r="I1851" i="2"/>
  <c r="J1851" i="2"/>
  <c r="K1851" i="2"/>
  <c r="L1851" i="2"/>
  <c r="N1851" i="2"/>
  <c r="O1851" i="2"/>
  <c r="P1851" i="2" s="1"/>
  <c r="Q1851" i="2"/>
  <c r="R1851" i="2"/>
  <c r="S1851" i="2"/>
  <c r="E1852" i="2"/>
  <c r="F1852" i="2"/>
  <c r="G1852" i="2"/>
  <c r="H1852" i="2"/>
  <c r="I1852" i="2"/>
  <c r="J1852" i="2"/>
  <c r="K1852" i="2"/>
  <c r="L1852" i="2"/>
  <c r="N1852" i="2"/>
  <c r="O1852" i="2"/>
  <c r="P1852" i="2"/>
  <c r="Q1852" i="2"/>
  <c r="R1852" i="2"/>
  <c r="S1852" i="2"/>
  <c r="E1853" i="2"/>
  <c r="F1853" i="2"/>
  <c r="G1853" i="2"/>
  <c r="H1853" i="2"/>
  <c r="I1853" i="2"/>
  <c r="J1853" i="2"/>
  <c r="K1853" i="2"/>
  <c r="L1853" i="2"/>
  <c r="M1853" i="2"/>
  <c r="N1853" i="2"/>
  <c r="O1853" i="2"/>
  <c r="Q1853" i="2"/>
  <c r="R1853" i="2"/>
  <c r="S1853" i="2"/>
  <c r="E1854" i="2"/>
  <c r="F1854" i="2"/>
  <c r="G1854" i="2"/>
  <c r="H1854" i="2"/>
  <c r="I1854" i="2"/>
  <c r="J1854" i="2"/>
  <c r="K1854" i="2"/>
  <c r="L1854" i="2"/>
  <c r="N1854" i="2"/>
  <c r="P1854" i="2" s="1"/>
  <c r="O1854" i="2"/>
  <c r="Q1854" i="2"/>
  <c r="R1854" i="2"/>
  <c r="S1854" i="2"/>
  <c r="E1855" i="2"/>
  <c r="F1855" i="2"/>
  <c r="G1855" i="2"/>
  <c r="H1855" i="2"/>
  <c r="I1855" i="2"/>
  <c r="J1855" i="2"/>
  <c r="K1855" i="2"/>
  <c r="L1855" i="2"/>
  <c r="N1855" i="2"/>
  <c r="O1855" i="2"/>
  <c r="P1855" i="2" s="1"/>
  <c r="Q1855" i="2"/>
  <c r="R1855" i="2"/>
  <c r="S1855" i="2"/>
  <c r="E1856" i="2"/>
  <c r="F1856" i="2"/>
  <c r="G1856" i="2"/>
  <c r="H1856" i="2"/>
  <c r="I1856" i="2"/>
  <c r="J1856" i="2"/>
  <c r="K1856" i="2"/>
  <c r="L1856" i="2"/>
  <c r="N1856" i="2"/>
  <c r="O1856" i="2"/>
  <c r="P1856" i="2"/>
  <c r="Q1856" i="2"/>
  <c r="R1856" i="2"/>
  <c r="S1856" i="2"/>
  <c r="E1857" i="2"/>
  <c r="F1857" i="2"/>
  <c r="G1857" i="2"/>
  <c r="H1857" i="2"/>
  <c r="I1857" i="2"/>
  <c r="J1857" i="2"/>
  <c r="K1857" i="2"/>
  <c r="L1857" i="2"/>
  <c r="M1857" i="2"/>
  <c r="N1857" i="2"/>
  <c r="O1857" i="2"/>
  <c r="Q1857" i="2"/>
  <c r="R1857" i="2"/>
  <c r="S1857" i="2"/>
  <c r="E1858" i="2"/>
  <c r="F1858" i="2"/>
  <c r="G1858" i="2"/>
  <c r="H1858" i="2"/>
  <c r="I1858" i="2"/>
  <c r="J1858" i="2"/>
  <c r="K1858" i="2"/>
  <c r="L1858" i="2"/>
  <c r="N1858" i="2"/>
  <c r="P1858" i="2" s="1"/>
  <c r="O1858" i="2"/>
  <c r="Q1858" i="2"/>
  <c r="R1858" i="2"/>
  <c r="S1858" i="2"/>
  <c r="E1859" i="2"/>
  <c r="F1859" i="2"/>
  <c r="G1859" i="2"/>
  <c r="H1859" i="2"/>
  <c r="I1859" i="2"/>
  <c r="J1859" i="2"/>
  <c r="K1859" i="2"/>
  <c r="L1859" i="2"/>
  <c r="N1859" i="2"/>
  <c r="O1859" i="2"/>
  <c r="P1859" i="2" s="1"/>
  <c r="Q1859" i="2"/>
  <c r="R1859" i="2"/>
  <c r="S1859" i="2"/>
  <c r="E1860" i="2"/>
  <c r="F1860" i="2"/>
  <c r="G1860" i="2"/>
  <c r="H1860" i="2"/>
  <c r="I1860" i="2"/>
  <c r="J1860" i="2"/>
  <c r="K1860" i="2"/>
  <c r="L1860" i="2"/>
  <c r="N1860" i="2"/>
  <c r="O1860" i="2"/>
  <c r="P1860" i="2"/>
  <c r="Q1860" i="2"/>
  <c r="R1860" i="2"/>
  <c r="S1860" i="2"/>
  <c r="E1861" i="2"/>
  <c r="F1861" i="2"/>
  <c r="G1861" i="2"/>
  <c r="H1861" i="2"/>
  <c r="I1861" i="2"/>
  <c r="J1861" i="2"/>
  <c r="K1861" i="2"/>
  <c r="L1861" i="2"/>
  <c r="M1861" i="2"/>
  <c r="N1861" i="2"/>
  <c r="O1861" i="2"/>
  <c r="Q1861" i="2"/>
  <c r="R1861" i="2"/>
  <c r="S1861" i="2"/>
  <c r="E1862" i="2"/>
  <c r="F1862" i="2"/>
  <c r="G1862" i="2"/>
  <c r="H1862" i="2"/>
  <c r="I1862" i="2"/>
  <c r="J1862" i="2"/>
  <c r="K1862" i="2"/>
  <c r="L1862" i="2"/>
  <c r="N1862" i="2"/>
  <c r="P1862" i="2" s="1"/>
  <c r="O1862" i="2"/>
  <c r="Q1862" i="2"/>
  <c r="R1862" i="2"/>
  <c r="S1862" i="2"/>
  <c r="E1863" i="2"/>
  <c r="F1863" i="2"/>
  <c r="G1863" i="2"/>
  <c r="H1863" i="2"/>
  <c r="I1863" i="2"/>
  <c r="J1863" i="2"/>
  <c r="K1863" i="2"/>
  <c r="L1863" i="2"/>
  <c r="N1863" i="2"/>
  <c r="O1863" i="2"/>
  <c r="P1863" i="2" s="1"/>
  <c r="Q1863" i="2"/>
  <c r="R1863" i="2"/>
  <c r="S1863" i="2"/>
  <c r="E1864" i="2"/>
  <c r="F1864" i="2"/>
  <c r="G1864" i="2"/>
  <c r="H1864" i="2"/>
  <c r="I1864" i="2"/>
  <c r="J1864" i="2"/>
  <c r="K1864" i="2"/>
  <c r="L1864" i="2"/>
  <c r="N1864" i="2"/>
  <c r="O1864" i="2"/>
  <c r="P1864" i="2"/>
  <c r="Q1864" i="2"/>
  <c r="R1864" i="2"/>
  <c r="S1864" i="2"/>
  <c r="E1865" i="2"/>
  <c r="F1865" i="2"/>
  <c r="G1865" i="2"/>
  <c r="H1865" i="2"/>
  <c r="I1865" i="2"/>
  <c r="J1865" i="2"/>
  <c r="K1865" i="2"/>
  <c r="L1865" i="2"/>
  <c r="M1865" i="2"/>
  <c r="N1865" i="2"/>
  <c r="O1865" i="2"/>
  <c r="Q1865" i="2"/>
  <c r="R1865" i="2"/>
  <c r="S1865" i="2"/>
  <c r="E1866" i="2"/>
  <c r="F1866" i="2"/>
  <c r="G1866" i="2"/>
  <c r="H1866" i="2"/>
  <c r="I1866" i="2"/>
  <c r="J1866" i="2"/>
  <c r="K1866" i="2"/>
  <c r="L1866" i="2"/>
  <c r="N1866" i="2"/>
  <c r="P1866" i="2" s="1"/>
  <c r="O1866" i="2"/>
  <c r="Q1866" i="2"/>
  <c r="R1866" i="2"/>
  <c r="S1866" i="2"/>
  <c r="E1867" i="2"/>
  <c r="F1867" i="2"/>
  <c r="G1867" i="2"/>
  <c r="H1867" i="2"/>
  <c r="I1867" i="2"/>
  <c r="J1867" i="2"/>
  <c r="K1867" i="2"/>
  <c r="L1867" i="2"/>
  <c r="N1867" i="2"/>
  <c r="O1867" i="2"/>
  <c r="P1867" i="2" s="1"/>
  <c r="Q1867" i="2"/>
  <c r="R1867" i="2"/>
  <c r="S1867" i="2"/>
  <c r="E1868" i="2"/>
  <c r="F1868" i="2"/>
  <c r="G1868" i="2"/>
  <c r="H1868" i="2"/>
  <c r="I1868" i="2"/>
  <c r="J1868" i="2"/>
  <c r="K1868" i="2"/>
  <c r="L1868" i="2"/>
  <c r="N1868" i="2"/>
  <c r="O1868" i="2"/>
  <c r="P1868" i="2"/>
  <c r="Q1868" i="2"/>
  <c r="R1868" i="2"/>
  <c r="S1868" i="2"/>
  <c r="E1869" i="2"/>
  <c r="F1869" i="2"/>
  <c r="G1869" i="2"/>
  <c r="H1869" i="2"/>
  <c r="I1869" i="2"/>
  <c r="J1869" i="2"/>
  <c r="K1869" i="2"/>
  <c r="L1869" i="2"/>
  <c r="M1869" i="2"/>
  <c r="N1869" i="2"/>
  <c r="O1869" i="2"/>
  <c r="Q1869" i="2"/>
  <c r="R1869" i="2"/>
  <c r="S1869" i="2"/>
  <c r="E1870" i="2"/>
  <c r="F1870" i="2"/>
  <c r="G1870" i="2"/>
  <c r="H1870" i="2"/>
  <c r="I1870" i="2"/>
  <c r="J1870" i="2"/>
  <c r="K1870" i="2"/>
  <c r="L1870" i="2"/>
  <c r="N1870" i="2"/>
  <c r="P1870" i="2" s="1"/>
  <c r="O1870" i="2"/>
  <c r="Q1870" i="2"/>
  <c r="R1870" i="2"/>
  <c r="S1870" i="2"/>
  <c r="E1871" i="2"/>
  <c r="F1871" i="2"/>
  <c r="G1871" i="2"/>
  <c r="H1871" i="2"/>
  <c r="I1871" i="2"/>
  <c r="J1871" i="2"/>
  <c r="K1871" i="2"/>
  <c r="L1871" i="2"/>
  <c r="N1871" i="2"/>
  <c r="O1871" i="2"/>
  <c r="P1871" i="2" s="1"/>
  <c r="Q1871" i="2"/>
  <c r="R1871" i="2"/>
  <c r="S1871" i="2"/>
  <c r="E1872" i="2"/>
  <c r="F1872" i="2"/>
  <c r="G1872" i="2"/>
  <c r="H1872" i="2"/>
  <c r="I1872" i="2"/>
  <c r="J1872" i="2"/>
  <c r="K1872" i="2"/>
  <c r="L1872" i="2"/>
  <c r="N1872" i="2"/>
  <c r="O1872" i="2"/>
  <c r="P1872" i="2"/>
  <c r="Q1872" i="2"/>
  <c r="R1872" i="2"/>
  <c r="S1872" i="2"/>
  <c r="E1873" i="2"/>
  <c r="F1873" i="2"/>
  <c r="G1873" i="2"/>
  <c r="H1873" i="2"/>
  <c r="I1873" i="2"/>
  <c r="J1873" i="2"/>
  <c r="K1873" i="2"/>
  <c r="L1873" i="2"/>
  <c r="M1873" i="2"/>
  <c r="N1873" i="2"/>
  <c r="O1873" i="2"/>
  <c r="Q1873" i="2"/>
  <c r="R1873" i="2"/>
  <c r="S1873" i="2"/>
  <c r="E1874" i="2"/>
  <c r="F1874" i="2"/>
  <c r="G1874" i="2"/>
  <c r="H1874" i="2"/>
  <c r="I1874" i="2"/>
  <c r="J1874" i="2"/>
  <c r="K1874" i="2"/>
  <c r="L1874" i="2"/>
  <c r="N1874" i="2"/>
  <c r="P1874" i="2" s="1"/>
  <c r="O1874" i="2"/>
  <c r="Q1874" i="2"/>
  <c r="R1874" i="2"/>
  <c r="S1874" i="2"/>
  <c r="E1875" i="2"/>
  <c r="F1875" i="2"/>
  <c r="G1875" i="2"/>
  <c r="H1875" i="2"/>
  <c r="I1875" i="2"/>
  <c r="J1875" i="2"/>
  <c r="K1875" i="2"/>
  <c r="L1875" i="2"/>
  <c r="N1875" i="2"/>
  <c r="O1875" i="2"/>
  <c r="P1875" i="2" s="1"/>
  <c r="Q1875" i="2"/>
  <c r="R1875" i="2"/>
  <c r="S1875" i="2"/>
  <c r="E1876" i="2"/>
  <c r="F1876" i="2"/>
  <c r="G1876" i="2"/>
  <c r="H1876" i="2"/>
  <c r="I1876" i="2"/>
  <c r="J1876" i="2"/>
  <c r="K1876" i="2"/>
  <c r="L1876" i="2"/>
  <c r="N1876" i="2"/>
  <c r="O1876" i="2"/>
  <c r="P1876" i="2"/>
  <c r="Q1876" i="2"/>
  <c r="R1876" i="2"/>
  <c r="S1876" i="2"/>
  <c r="E1877" i="2"/>
  <c r="F1877" i="2"/>
  <c r="G1877" i="2"/>
  <c r="H1877" i="2"/>
  <c r="I1877" i="2"/>
  <c r="J1877" i="2"/>
  <c r="K1877" i="2"/>
  <c r="L1877" i="2"/>
  <c r="M1877" i="2"/>
  <c r="N1877" i="2"/>
  <c r="O1877" i="2"/>
  <c r="Q1877" i="2"/>
  <c r="R1877" i="2"/>
  <c r="S1877" i="2"/>
  <c r="E1878" i="2"/>
  <c r="F1878" i="2"/>
  <c r="G1878" i="2"/>
  <c r="H1878" i="2"/>
  <c r="I1878" i="2"/>
  <c r="J1878" i="2"/>
  <c r="K1878" i="2"/>
  <c r="L1878" i="2"/>
  <c r="N1878" i="2"/>
  <c r="P1878" i="2" s="1"/>
  <c r="O1878" i="2"/>
  <c r="Q1878" i="2"/>
  <c r="R1878" i="2"/>
  <c r="S1878" i="2"/>
  <c r="E1879" i="2"/>
  <c r="F1879" i="2"/>
  <c r="G1879" i="2"/>
  <c r="H1879" i="2"/>
  <c r="I1879" i="2"/>
  <c r="J1879" i="2"/>
  <c r="K1879" i="2"/>
  <c r="L1879" i="2"/>
  <c r="N1879" i="2"/>
  <c r="O1879" i="2"/>
  <c r="P1879" i="2" s="1"/>
  <c r="Q1879" i="2"/>
  <c r="R1879" i="2"/>
  <c r="S1879" i="2"/>
  <c r="E1880" i="2"/>
  <c r="F1880" i="2"/>
  <c r="G1880" i="2"/>
  <c r="H1880" i="2"/>
  <c r="I1880" i="2"/>
  <c r="J1880" i="2"/>
  <c r="K1880" i="2"/>
  <c r="L1880" i="2"/>
  <c r="N1880" i="2"/>
  <c r="O1880" i="2"/>
  <c r="P1880" i="2"/>
  <c r="Q1880" i="2"/>
  <c r="R1880" i="2"/>
  <c r="S1880" i="2"/>
  <c r="E1881" i="2"/>
  <c r="F1881" i="2"/>
  <c r="G1881" i="2"/>
  <c r="H1881" i="2"/>
  <c r="I1881" i="2"/>
  <c r="J1881" i="2"/>
  <c r="K1881" i="2"/>
  <c r="L1881" i="2"/>
  <c r="M1881" i="2"/>
  <c r="N1881" i="2"/>
  <c r="O1881" i="2"/>
  <c r="Q1881" i="2"/>
  <c r="R1881" i="2"/>
  <c r="S1881" i="2"/>
  <c r="E1882" i="2"/>
  <c r="F1882" i="2"/>
  <c r="G1882" i="2"/>
  <c r="H1882" i="2"/>
  <c r="I1882" i="2"/>
  <c r="J1882" i="2"/>
  <c r="K1882" i="2"/>
  <c r="L1882" i="2"/>
  <c r="N1882" i="2"/>
  <c r="P1882" i="2" s="1"/>
  <c r="O1882" i="2"/>
  <c r="Q1882" i="2"/>
  <c r="R1882" i="2"/>
  <c r="S1882" i="2"/>
  <c r="E1883" i="2"/>
  <c r="F1883" i="2"/>
  <c r="G1883" i="2"/>
  <c r="H1883" i="2"/>
  <c r="I1883" i="2"/>
  <c r="J1883" i="2"/>
  <c r="K1883" i="2"/>
  <c r="L1883" i="2"/>
  <c r="N1883" i="2"/>
  <c r="O1883" i="2"/>
  <c r="P1883" i="2" s="1"/>
  <c r="Q1883" i="2"/>
  <c r="R1883" i="2"/>
  <c r="S1883" i="2"/>
  <c r="E1884" i="2"/>
  <c r="F1884" i="2"/>
  <c r="G1884" i="2"/>
  <c r="H1884" i="2"/>
  <c r="I1884" i="2"/>
  <c r="J1884" i="2"/>
  <c r="K1884" i="2"/>
  <c r="L1884" i="2"/>
  <c r="N1884" i="2"/>
  <c r="O1884" i="2"/>
  <c r="P1884" i="2"/>
  <c r="Q1884" i="2"/>
  <c r="R1884" i="2"/>
  <c r="S1884" i="2"/>
  <c r="E1885" i="2"/>
  <c r="F1885" i="2"/>
  <c r="G1885" i="2"/>
  <c r="H1885" i="2"/>
  <c r="I1885" i="2"/>
  <c r="J1885" i="2"/>
  <c r="K1885" i="2"/>
  <c r="L1885" i="2"/>
  <c r="M1885" i="2"/>
  <c r="N1885" i="2"/>
  <c r="O1885" i="2"/>
  <c r="Q1885" i="2"/>
  <c r="R1885" i="2"/>
  <c r="S1885" i="2"/>
  <c r="E1886" i="2"/>
  <c r="F1886" i="2"/>
  <c r="G1886" i="2"/>
  <c r="H1886" i="2"/>
  <c r="I1886" i="2"/>
  <c r="J1886" i="2"/>
  <c r="K1886" i="2"/>
  <c r="L1886" i="2"/>
  <c r="N1886" i="2"/>
  <c r="P1886" i="2" s="1"/>
  <c r="O1886" i="2"/>
  <c r="Q1886" i="2"/>
  <c r="R1886" i="2"/>
  <c r="S1886" i="2"/>
  <c r="E1887" i="2"/>
  <c r="F1887" i="2"/>
  <c r="G1887" i="2"/>
  <c r="H1887" i="2"/>
  <c r="I1887" i="2"/>
  <c r="J1887" i="2"/>
  <c r="K1887" i="2"/>
  <c r="L1887" i="2"/>
  <c r="N1887" i="2"/>
  <c r="O1887" i="2"/>
  <c r="P1887" i="2" s="1"/>
  <c r="Q1887" i="2"/>
  <c r="R1887" i="2"/>
  <c r="S1887" i="2"/>
  <c r="E1888" i="2"/>
  <c r="F1888" i="2"/>
  <c r="G1888" i="2"/>
  <c r="H1888" i="2"/>
  <c r="I1888" i="2"/>
  <c r="J1888" i="2"/>
  <c r="K1888" i="2"/>
  <c r="L1888" i="2"/>
  <c r="N1888" i="2"/>
  <c r="O1888" i="2"/>
  <c r="P1888" i="2"/>
  <c r="Q1888" i="2"/>
  <c r="R1888" i="2"/>
  <c r="S1888" i="2"/>
  <c r="E1889" i="2"/>
  <c r="F1889" i="2"/>
  <c r="G1889" i="2"/>
  <c r="H1889" i="2"/>
  <c r="I1889" i="2"/>
  <c r="J1889" i="2"/>
  <c r="K1889" i="2"/>
  <c r="L1889" i="2"/>
  <c r="M1889" i="2"/>
  <c r="N1889" i="2"/>
  <c r="O1889" i="2"/>
  <c r="Q1889" i="2"/>
  <c r="R1889" i="2"/>
  <c r="S1889" i="2"/>
  <c r="E1890" i="2"/>
  <c r="F1890" i="2"/>
  <c r="G1890" i="2"/>
  <c r="H1890" i="2"/>
  <c r="I1890" i="2"/>
  <c r="J1890" i="2"/>
  <c r="K1890" i="2"/>
  <c r="L1890" i="2"/>
  <c r="N1890" i="2"/>
  <c r="P1890" i="2" s="1"/>
  <c r="O1890" i="2"/>
  <c r="Q1890" i="2"/>
  <c r="R1890" i="2"/>
  <c r="S1890" i="2"/>
  <c r="E1891" i="2"/>
  <c r="F1891" i="2"/>
  <c r="G1891" i="2"/>
  <c r="H1891" i="2"/>
  <c r="I1891" i="2"/>
  <c r="J1891" i="2"/>
  <c r="K1891" i="2"/>
  <c r="L1891" i="2"/>
  <c r="N1891" i="2"/>
  <c r="O1891" i="2"/>
  <c r="P1891" i="2" s="1"/>
  <c r="Q1891" i="2"/>
  <c r="R1891" i="2"/>
  <c r="S1891" i="2"/>
  <c r="E1892" i="2"/>
  <c r="F1892" i="2"/>
  <c r="G1892" i="2"/>
  <c r="H1892" i="2"/>
  <c r="I1892" i="2"/>
  <c r="J1892" i="2"/>
  <c r="K1892" i="2"/>
  <c r="L1892" i="2"/>
  <c r="N1892" i="2"/>
  <c r="O1892" i="2"/>
  <c r="P1892" i="2"/>
  <c r="Q1892" i="2"/>
  <c r="R1892" i="2"/>
  <c r="S1892" i="2"/>
  <c r="E1893" i="2"/>
  <c r="F1893" i="2"/>
  <c r="G1893" i="2"/>
  <c r="H1893" i="2"/>
  <c r="I1893" i="2"/>
  <c r="J1893" i="2"/>
  <c r="K1893" i="2"/>
  <c r="L1893" i="2"/>
  <c r="M1893" i="2"/>
  <c r="N1893" i="2"/>
  <c r="O1893" i="2"/>
  <c r="Q1893" i="2"/>
  <c r="R1893" i="2"/>
  <c r="S1893" i="2"/>
  <c r="E1894" i="2"/>
  <c r="F1894" i="2"/>
  <c r="G1894" i="2"/>
  <c r="H1894" i="2"/>
  <c r="I1894" i="2"/>
  <c r="J1894" i="2"/>
  <c r="K1894" i="2"/>
  <c r="L1894" i="2"/>
  <c r="N1894" i="2"/>
  <c r="P1894" i="2" s="1"/>
  <c r="O1894" i="2"/>
  <c r="Q1894" i="2"/>
  <c r="R1894" i="2"/>
  <c r="S1894" i="2"/>
  <c r="E1895" i="2"/>
  <c r="F1895" i="2"/>
  <c r="G1895" i="2"/>
  <c r="H1895" i="2"/>
  <c r="I1895" i="2"/>
  <c r="J1895" i="2"/>
  <c r="K1895" i="2"/>
  <c r="L1895" i="2"/>
  <c r="N1895" i="2"/>
  <c r="O1895" i="2"/>
  <c r="P1895" i="2" s="1"/>
  <c r="Q1895" i="2"/>
  <c r="R1895" i="2"/>
  <c r="S1895" i="2"/>
  <c r="E1896" i="2"/>
  <c r="F1896" i="2"/>
  <c r="G1896" i="2"/>
  <c r="H1896" i="2"/>
  <c r="I1896" i="2"/>
  <c r="J1896" i="2"/>
  <c r="K1896" i="2"/>
  <c r="L1896" i="2"/>
  <c r="N1896" i="2"/>
  <c r="O1896" i="2"/>
  <c r="P1896" i="2"/>
  <c r="Q1896" i="2"/>
  <c r="R1896" i="2"/>
  <c r="S1896" i="2"/>
  <c r="E1897" i="2"/>
  <c r="F1897" i="2"/>
  <c r="G1897" i="2"/>
  <c r="H1897" i="2"/>
  <c r="I1897" i="2"/>
  <c r="J1897" i="2"/>
  <c r="K1897" i="2"/>
  <c r="L1897" i="2"/>
  <c r="M1897" i="2"/>
  <c r="N1897" i="2"/>
  <c r="O1897" i="2"/>
  <c r="Q1897" i="2"/>
  <c r="R1897" i="2"/>
  <c r="S1897" i="2"/>
  <c r="E1898" i="2"/>
  <c r="F1898" i="2"/>
  <c r="G1898" i="2"/>
  <c r="H1898" i="2"/>
  <c r="I1898" i="2"/>
  <c r="J1898" i="2"/>
  <c r="K1898" i="2"/>
  <c r="L1898" i="2"/>
  <c r="N1898" i="2"/>
  <c r="P1898" i="2" s="1"/>
  <c r="O1898" i="2"/>
  <c r="Q1898" i="2"/>
  <c r="R1898" i="2"/>
  <c r="S1898" i="2"/>
  <c r="E1899" i="2"/>
  <c r="F1899" i="2"/>
  <c r="G1899" i="2"/>
  <c r="H1899" i="2"/>
  <c r="I1899" i="2"/>
  <c r="J1899" i="2"/>
  <c r="K1899" i="2"/>
  <c r="L1899" i="2"/>
  <c r="N1899" i="2"/>
  <c r="O1899" i="2"/>
  <c r="P1899" i="2" s="1"/>
  <c r="Q1899" i="2"/>
  <c r="R1899" i="2"/>
  <c r="S1899" i="2"/>
  <c r="E1900" i="2"/>
  <c r="F1900" i="2"/>
  <c r="G1900" i="2"/>
  <c r="H1900" i="2"/>
  <c r="I1900" i="2"/>
  <c r="J1900" i="2"/>
  <c r="K1900" i="2"/>
  <c r="L1900" i="2"/>
  <c r="N1900" i="2"/>
  <c r="O1900" i="2"/>
  <c r="P1900" i="2"/>
  <c r="Q1900" i="2"/>
  <c r="R1900" i="2"/>
  <c r="S1900" i="2"/>
  <c r="E1901" i="2"/>
  <c r="F1901" i="2"/>
  <c r="G1901" i="2"/>
  <c r="H1901" i="2"/>
  <c r="I1901" i="2"/>
  <c r="J1901" i="2"/>
  <c r="K1901" i="2"/>
  <c r="L1901" i="2"/>
  <c r="M1901" i="2"/>
  <c r="N1901" i="2"/>
  <c r="O1901" i="2"/>
  <c r="Q1901" i="2"/>
  <c r="R1901" i="2"/>
  <c r="S1901" i="2"/>
  <c r="E1902" i="2"/>
  <c r="F1902" i="2"/>
  <c r="G1902" i="2"/>
  <c r="H1902" i="2"/>
  <c r="I1902" i="2"/>
  <c r="J1902" i="2"/>
  <c r="K1902" i="2"/>
  <c r="L1902" i="2"/>
  <c r="N1902" i="2"/>
  <c r="P1902" i="2" s="1"/>
  <c r="O1902" i="2"/>
  <c r="Q1902" i="2"/>
  <c r="R1902" i="2"/>
  <c r="S1902" i="2"/>
  <c r="E1903" i="2"/>
  <c r="F1903" i="2"/>
  <c r="G1903" i="2"/>
  <c r="H1903" i="2"/>
  <c r="I1903" i="2"/>
  <c r="J1903" i="2"/>
  <c r="K1903" i="2"/>
  <c r="L1903" i="2"/>
  <c r="N1903" i="2"/>
  <c r="O1903" i="2"/>
  <c r="P1903" i="2" s="1"/>
  <c r="Q1903" i="2"/>
  <c r="R1903" i="2"/>
  <c r="S1903" i="2"/>
  <c r="E1904" i="2"/>
  <c r="F1904" i="2"/>
  <c r="G1904" i="2"/>
  <c r="H1904" i="2"/>
  <c r="I1904" i="2"/>
  <c r="J1904" i="2"/>
  <c r="K1904" i="2"/>
  <c r="L1904" i="2"/>
  <c r="N1904" i="2"/>
  <c r="O1904" i="2"/>
  <c r="P1904" i="2"/>
  <c r="Q1904" i="2"/>
  <c r="R1904" i="2"/>
  <c r="S1904" i="2"/>
  <c r="E1905" i="2"/>
  <c r="F1905" i="2"/>
  <c r="G1905" i="2"/>
  <c r="H1905" i="2"/>
  <c r="I1905" i="2"/>
  <c r="J1905" i="2"/>
  <c r="K1905" i="2"/>
  <c r="L1905" i="2"/>
  <c r="M1905" i="2"/>
  <c r="N1905" i="2"/>
  <c r="O1905" i="2"/>
  <c r="Q1905" i="2"/>
  <c r="R1905" i="2"/>
  <c r="S1905" i="2"/>
  <c r="E1906" i="2"/>
  <c r="F1906" i="2"/>
  <c r="G1906" i="2"/>
  <c r="H1906" i="2"/>
  <c r="I1906" i="2"/>
  <c r="J1906" i="2"/>
  <c r="K1906" i="2"/>
  <c r="L1906" i="2"/>
  <c r="N1906" i="2"/>
  <c r="P1906" i="2" s="1"/>
  <c r="O1906" i="2"/>
  <c r="Q1906" i="2"/>
  <c r="R1906" i="2"/>
  <c r="S1906" i="2"/>
  <c r="E1907" i="2"/>
  <c r="F1907" i="2"/>
  <c r="G1907" i="2"/>
  <c r="H1907" i="2"/>
  <c r="I1907" i="2"/>
  <c r="J1907" i="2"/>
  <c r="K1907" i="2"/>
  <c r="L1907" i="2"/>
  <c r="N1907" i="2"/>
  <c r="O1907" i="2"/>
  <c r="P1907" i="2" s="1"/>
  <c r="Q1907" i="2"/>
  <c r="R1907" i="2"/>
  <c r="S1907" i="2"/>
  <c r="E1908" i="2"/>
  <c r="F1908" i="2"/>
  <c r="G1908" i="2"/>
  <c r="H1908" i="2"/>
  <c r="I1908" i="2"/>
  <c r="J1908" i="2"/>
  <c r="K1908" i="2"/>
  <c r="L1908" i="2"/>
  <c r="N1908" i="2"/>
  <c r="O1908" i="2"/>
  <c r="P1908" i="2"/>
  <c r="Q1908" i="2"/>
  <c r="R1908" i="2"/>
  <c r="S1908" i="2"/>
  <c r="E1909" i="2"/>
  <c r="F1909" i="2"/>
  <c r="G1909" i="2"/>
  <c r="H1909" i="2"/>
  <c r="I1909" i="2"/>
  <c r="J1909" i="2"/>
  <c r="K1909" i="2"/>
  <c r="L1909" i="2"/>
  <c r="M1909" i="2"/>
  <c r="N1909" i="2"/>
  <c r="O1909" i="2"/>
  <c r="Q1909" i="2"/>
  <c r="R1909" i="2"/>
  <c r="S1909" i="2"/>
  <c r="E1910" i="2"/>
  <c r="F1910" i="2"/>
  <c r="G1910" i="2"/>
  <c r="H1910" i="2"/>
  <c r="I1910" i="2"/>
  <c r="J1910" i="2"/>
  <c r="K1910" i="2"/>
  <c r="L1910" i="2"/>
  <c r="N1910" i="2"/>
  <c r="P1910" i="2" s="1"/>
  <c r="O1910" i="2"/>
  <c r="Q1910" i="2"/>
  <c r="R1910" i="2"/>
  <c r="S1910" i="2"/>
  <c r="E1911" i="2"/>
  <c r="F1911" i="2"/>
  <c r="G1911" i="2"/>
  <c r="H1911" i="2"/>
  <c r="I1911" i="2"/>
  <c r="J1911" i="2"/>
  <c r="K1911" i="2"/>
  <c r="L1911" i="2"/>
  <c r="N1911" i="2"/>
  <c r="O1911" i="2"/>
  <c r="P1911" i="2" s="1"/>
  <c r="Q1911" i="2"/>
  <c r="R1911" i="2"/>
  <c r="S1911" i="2"/>
  <c r="E1912" i="2"/>
  <c r="F1912" i="2"/>
  <c r="G1912" i="2"/>
  <c r="H1912" i="2"/>
  <c r="I1912" i="2"/>
  <c r="J1912" i="2"/>
  <c r="K1912" i="2"/>
  <c r="L1912" i="2"/>
  <c r="N1912" i="2"/>
  <c r="O1912" i="2"/>
  <c r="P1912" i="2"/>
  <c r="Q1912" i="2"/>
  <c r="R1912" i="2"/>
  <c r="S1912" i="2"/>
  <c r="E1913" i="2"/>
  <c r="F1913" i="2"/>
  <c r="G1913" i="2"/>
  <c r="H1913" i="2"/>
  <c r="I1913" i="2"/>
  <c r="J1913" i="2"/>
  <c r="K1913" i="2"/>
  <c r="L1913" i="2"/>
  <c r="M1913" i="2"/>
  <c r="N1913" i="2"/>
  <c r="O1913" i="2"/>
  <c r="Q1913" i="2"/>
  <c r="R1913" i="2"/>
  <c r="S1913" i="2"/>
  <c r="E1914" i="2"/>
  <c r="F1914" i="2"/>
  <c r="G1914" i="2"/>
  <c r="H1914" i="2"/>
  <c r="I1914" i="2"/>
  <c r="J1914" i="2"/>
  <c r="K1914" i="2"/>
  <c r="L1914" i="2"/>
  <c r="N1914" i="2"/>
  <c r="P1914" i="2" s="1"/>
  <c r="O1914" i="2"/>
  <c r="Q1914" i="2"/>
  <c r="R1914" i="2"/>
  <c r="S1914" i="2"/>
  <c r="E1915" i="2"/>
  <c r="F1915" i="2"/>
  <c r="G1915" i="2"/>
  <c r="H1915" i="2"/>
  <c r="I1915" i="2"/>
  <c r="J1915" i="2"/>
  <c r="K1915" i="2"/>
  <c r="L1915" i="2"/>
  <c r="N1915" i="2"/>
  <c r="O1915" i="2"/>
  <c r="P1915" i="2" s="1"/>
  <c r="Q1915" i="2"/>
  <c r="R1915" i="2"/>
  <c r="S1915" i="2"/>
  <c r="E1916" i="2"/>
  <c r="F1916" i="2"/>
  <c r="G1916" i="2"/>
  <c r="H1916" i="2"/>
  <c r="I1916" i="2"/>
  <c r="J1916" i="2"/>
  <c r="K1916" i="2"/>
  <c r="L1916" i="2"/>
  <c r="N1916" i="2"/>
  <c r="O1916" i="2"/>
  <c r="P1916" i="2"/>
  <c r="Q1916" i="2"/>
  <c r="R1916" i="2"/>
  <c r="S1916" i="2"/>
  <c r="E1917" i="2"/>
  <c r="F1917" i="2"/>
  <c r="G1917" i="2"/>
  <c r="H1917" i="2"/>
  <c r="I1917" i="2"/>
  <c r="J1917" i="2"/>
  <c r="K1917" i="2"/>
  <c r="L1917" i="2"/>
  <c r="M1917" i="2"/>
  <c r="N1917" i="2"/>
  <c r="O1917" i="2"/>
  <c r="Q1917" i="2"/>
  <c r="R1917" i="2"/>
  <c r="S1917" i="2"/>
  <c r="E1918" i="2"/>
  <c r="F1918" i="2"/>
  <c r="G1918" i="2"/>
  <c r="H1918" i="2"/>
  <c r="I1918" i="2"/>
  <c r="J1918" i="2"/>
  <c r="K1918" i="2"/>
  <c r="L1918" i="2"/>
  <c r="N1918" i="2"/>
  <c r="P1918" i="2" s="1"/>
  <c r="O1918" i="2"/>
  <c r="Q1918" i="2"/>
  <c r="R1918" i="2"/>
  <c r="S1918" i="2"/>
  <c r="E1919" i="2"/>
  <c r="F1919" i="2"/>
  <c r="G1919" i="2"/>
  <c r="H1919" i="2"/>
  <c r="I1919" i="2"/>
  <c r="J1919" i="2"/>
  <c r="K1919" i="2"/>
  <c r="L1919" i="2"/>
  <c r="N1919" i="2"/>
  <c r="O1919" i="2"/>
  <c r="P1919" i="2" s="1"/>
  <c r="Q1919" i="2"/>
  <c r="R1919" i="2"/>
  <c r="S1919" i="2"/>
  <c r="E1920" i="2"/>
  <c r="F1920" i="2"/>
  <c r="G1920" i="2"/>
  <c r="H1920" i="2"/>
  <c r="I1920" i="2"/>
  <c r="J1920" i="2"/>
  <c r="K1920" i="2"/>
  <c r="L1920" i="2"/>
  <c r="N1920" i="2"/>
  <c r="O1920" i="2"/>
  <c r="P1920" i="2"/>
  <c r="Q1920" i="2"/>
  <c r="R1920" i="2"/>
  <c r="S1920" i="2"/>
  <c r="E1921" i="2"/>
  <c r="F1921" i="2"/>
  <c r="G1921" i="2"/>
  <c r="H1921" i="2"/>
  <c r="I1921" i="2"/>
  <c r="J1921" i="2"/>
  <c r="K1921" i="2"/>
  <c r="L1921" i="2"/>
  <c r="M1921" i="2"/>
  <c r="N1921" i="2"/>
  <c r="O1921" i="2"/>
  <c r="Q1921" i="2"/>
  <c r="R1921" i="2"/>
  <c r="S1921" i="2"/>
  <c r="E1922" i="2"/>
  <c r="F1922" i="2"/>
  <c r="G1922" i="2"/>
  <c r="H1922" i="2"/>
  <c r="I1922" i="2"/>
  <c r="J1922" i="2"/>
  <c r="K1922" i="2"/>
  <c r="L1922" i="2"/>
  <c r="N1922" i="2"/>
  <c r="P1922" i="2" s="1"/>
  <c r="O1922" i="2"/>
  <c r="Q1922" i="2"/>
  <c r="R1922" i="2"/>
  <c r="S1922" i="2"/>
  <c r="E1923" i="2"/>
  <c r="F1923" i="2"/>
  <c r="G1923" i="2"/>
  <c r="H1923" i="2"/>
  <c r="I1923" i="2"/>
  <c r="J1923" i="2"/>
  <c r="K1923" i="2"/>
  <c r="L1923" i="2"/>
  <c r="N1923" i="2"/>
  <c r="O1923" i="2"/>
  <c r="P1923" i="2" s="1"/>
  <c r="Q1923" i="2"/>
  <c r="R1923" i="2"/>
  <c r="S1923" i="2"/>
  <c r="E1924" i="2"/>
  <c r="F1924" i="2"/>
  <c r="G1924" i="2"/>
  <c r="H1924" i="2"/>
  <c r="I1924" i="2"/>
  <c r="J1924" i="2"/>
  <c r="K1924" i="2"/>
  <c r="L1924" i="2"/>
  <c r="N1924" i="2"/>
  <c r="O1924" i="2"/>
  <c r="P1924" i="2"/>
  <c r="Q1924" i="2"/>
  <c r="R1924" i="2"/>
  <c r="S1924" i="2"/>
  <c r="E1925" i="2"/>
  <c r="F1925" i="2"/>
  <c r="G1925" i="2"/>
  <c r="H1925" i="2"/>
  <c r="I1925" i="2"/>
  <c r="J1925" i="2"/>
  <c r="K1925" i="2"/>
  <c r="L1925" i="2"/>
  <c r="M1925" i="2"/>
  <c r="N1925" i="2"/>
  <c r="O1925" i="2"/>
  <c r="Q1925" i="2"/>
  <c r="R1925" i="2"/>
  <c r="S1925" i="2"/>
  <c r="E1926" i="2"/>
  <c r="F1926" i="2"/>
  <c r="G1926" i="2"/>
  <c r="H1926" i="2"/>
  <c r="I1926" i="2"/>
  <c r="J1926" i="2"/>
  <c r="K1926" i="2"/>
  <c r="L1926" i="2"/>
  <c r="N1926" i="2"/>
  <c r="P1926" i="2" s="1"/>
  <c r="O1926" i="2"/>
  <c r="Q1926" i="2"/>
  <c r="R1926" i="2"/>
  <c r="S1926" i="2"/>
  <c r="E1927" i="2"/>
  <c r="F1927" i="2"/>
  <c r="G1927" i="2"/>
  <c r="H1927" i="2"/>
  <c r="I1927" i="2"/>
  <c r="J1927" i="2"/>
  <c r="K1927" i="2"/>
  <c r="L1927" i="2"/>
  <c r="N1927" i="2"/>
  <c r="O1927" i="2"/>
  <c r="P1927" i="2" s="1"/>
  <c r="Q1927" i="2"/>
  <c r="R1927" i="2"/>
  <c r="S1927" i="2"/>
  <c r="E1928" i="2"/>
  <c r="F1928" i="2"/>
  <c r="G1928" i="2"/>
  <c r="H1928" i="2"/>
  <c r="I1928" i="2"/>
  <c r="J1928" i="2"/>
  <c r="K1928" i="2"/>
  <c r="L1928" i="2"/>
  <c r="N1928" i="2"/>
  <c r="O1928" i="2"/>
  <c r="P1928" i="2"/>
  <c r="Q1928" i="2"/>
  <c r="R1928" i="2"/>
  <c r="S1928" i="2"/>
  <c r="E1929" i="2"/>
  <c r="F1929" i="2"/>
  <c r="G1929" i="2"/>
  <c r="H1929" i="2"/>
  <c r="I1929" i="2"/>
  <c r="J1929" i="2"/>
  <c r="K1929" i="2"/>
  <c r="L1929" i="2"/>
  <c r="M1929" i="2"/>
  <c r="N1929" i="2"/>
  <c r="O1929" i="2"/>
  <c r="Q1929" i="2"/>
  <c r="R1929" i="2"/>
  <c r="S1929" i="2"/>
  <c r="E1930" i="2"/>
  <c r="F1930" i="2"/>
  <c r="G1930" i="2"/>
  <c r="H1930" i="2"/>
  <c r="I1930" i="2"/>
  <c r="J1930" i="2"/>
  <c r="K1930" i="2"/>
  <c r="L1930" i="2"/>
  <c r="N1930" i="2"/>
  <c r="P1930" i="2" s="1"/>
  <c r="O1930" i="2"/>
  <c r="Q1930" i="2"/>
  <c r="R1930" i="2"/>
  <c r="S1930" i="2"/>
  <c r="E1931" i="2"/>
  <c r="F1931" i="2"/>
  <c r="G1931" i="2"/>
  <c r="H1931" i="2"/>
  <c r="I1931" i="2"/>
  <c r="J1931" i="2"/>
  <c r="K1931" i="2"/>
  <c r="L1931" i="2"/>
  <c r="N1931" i="2"/>
  <c r="O1931" i="2"/>
  <c r="P1931" i="2" s="1"/>
  <c r="Q1931" i="2"/>
  <c r="R1931" i="2"/>
  <c r="S1931" i="2"/>
  <c r="E1932" i="2"/>
  <c r="F1932" i="2"/>
  <c r="G1932" i="2"/>
  <c r="H1932" i="2"/>
  <c r="I1932" i="2"/>
  <c r="J1932" i="2"/>
  <c r="K1932" i="2"/>
  <c r="L1932" i="2"/>
  <c r="N1932" i="2"/>
  <c r="O1932" i="2"/>
  <c r="P1932" i="2"/>
  <c r="Q1932" i="2"/>
  <c r="R1932" i="2"/>
  <c r="S1932" i="2"/>
  <c r="E1933" i="2"/>
  <c r="F1933" i="2"/>
  <c r="G1933" i="2"/>
  <c r="H1933" i="2"/>
  <c r="I1933" i="2"/>
  <c r="J1933" i="2"/>
  <c r="K1933" i="2"/>
  <c r="L1933" i="2"/>
  <c r="M1933" i="2"/>
  <c r="N1933" i="2"/>
  <c r="O1933" i="2"/>
  <c r="Q1933" i="2"/>
  <c r="R1933" i="2"/>
  <c r="S1933" i="2"/>
  <c r="E1934" i="2"/>
  <c r="F1934" i="2"/>
  <c r="G1934" i="2"/>
  <c r="H1934" i="2"/>
  <c r="I1934" i="2"/>
  <c r="J1934" i="2"/>
  <c r="K1934" i="2"/>
  <c r="L1934" i="2"/>
  <c r="N1934" i="2"/>
  <c r="P1934" i="2" s="1"/>
  <c r="O1934" i="2"/>
  <c r="Q1934" i="2"/>
  <c r="R1934" i="2"/>
  <c r="S1934" i="2"/>
  <c r="E1935" i="2"/>
  <c r="F1935" i="2"/>
  <c r="G1935" i="2"/>
  <c r="H1935" i="2"/>
  <c r="I1935" i="2"/>
  <c r="J1935" i="2"/>
  <c r="K1935" i="2"/>
  <c r="L1935" i="2"/>
  <c r="N1935" i="2"/>
  <c r="O1935" i="2"/>
  <c r="P1935" i="2" s="1"/>
  <c r="Q1935" i="2"/>
  <c r="R1935" i="2"/>
  <c r="S1935" i="2"/>
  <c r="E1936" i="2"/>
  <c r="F1936" i="2"/>
  <c r="G1936" i="2"/>
  <c r="H1936" i="2"/>
  <c r="I1936" i="2"/>
  <c r="J1936" i="2"/>
  <c r="K1936" i="2"/>
  <c r="L1936" i="2"/>
  <c r="N1936" i="2"/>
  <c r="O1936" i="2"/>
  <c r="P1936" i="2"/>
  <c r="Q1936" i="2"/>
  <c r="R1936" i="2"/>
  <c r="S1936" i="2"/>
  <c r="E1937" i="2"/>
  <c r="F1937" i="2"/>
  <c r="G1937" i="2"/>
  <c r="H1937" i="2"/>
  <c r="I1937" i="2"/>
  <c r="J1937" i="2"/>
  <c r="K1937" i="2"/>
  <c r="L1937" i="2"/>
  <c r="M1937" i="2"/>
  <c r="N1937" i="2"/>
  <c r="O1937" i="2"/>
  <c r="Q1937" i="2"/>
  <c r="R1937" i="2"/>
  <c r="S1937" i="2"/>
  <c r="E1938" i="2"/>
  <c r="F1938" i="2"/>
  <c r="G1938" i="2"/>
  <c r="H1938" i="2"/>
  <c r="I1938" i="2"/>
  <c r="J1938" i="2"/>
  <c r="K1938" i="2"/>
  <c r="L1938" i="2"/>
  <c r="N1938" i="2"/>
  <c r="P1938" i="2" s="1"/>
  <c r="O1938" i="2"/>
  <c r="Q1938" i="2"/>
  <c r="R1938" i="2"/>
  <c r="S1938" i="2"/>
  <c r="E1939" i="2"/>
  <c r="F1939" i="2"/>
  <c r="G1939" i="2"/>
  <c r="H1939" i="2"/>
  <c r="I1939" i="2"/>
  <c r="J1939" i="2"/>
  <c r="K1939" i="2"/>
  <c r="L1939" i="2"/>
  <c r="N1939" i="2"/>
  <c r="O1939" i="2"/>
  <c r="P1939" i="2" s="1"/>
  <c r="Q1939" i="2"/>
  <c r="R1939" i="2"/>
  <c r="S1939" i="2"/>
  <c r="E1940" i="2"/>
  <c r="F1940" i="2"/>
  <c r="G1940" i="2"/>
  <c r="H1940" i="2"/>
  <c r="I1940" i="2"/>
  <c r="J1940" i="2"/>
  <c r="K1940" i="2"/>
  <c r="L1940" i="2"/>
  <c r="N1940" i="2"/>
  <c r="O1940" i="2"/>
  <c r="P1940" i="2"/>
  <c r="Q1940" i="2"/>
  <c r="R1940" i="2"/>
  <c r="S1940" i="2"/>
  <c r="E1941" i="2"/>
  <c r="F1941" i="2"/>
  <c r="G1941" i="2"/>
  <c r="H1941" i="2"/>
  <c r="I1941" i="2"/>
  <c r="J1941" i="2"/>
  <c r="K1941" i="2"/>
  <c r="L1941" i="2"/>
  <c r="M1941" i="2"/>
  <c r="N1941" i="2"/>
  <c r="O1941" i="2"/>
  <c r="Q1941" i="2"/>
  <c r="R1941" i="2"/>
  <c r="S1941" i="2"/>
  <c r="E1942" i="2"/>
  <c r="F1942" i="2"/>
  <c r="G1942" i="2"/>
  <c r="H1942" i="2"/>
  <c r="I1942" i="2"/>
  <c r="J1942" i="2"/>
  <c r="K1942" i="2"/>
  <c r="L1942" i="2"/>
  <c r="N1942" i="2"/>
  <c r="P1942" i="2" s="1"/>
  <c r="O1942" i="2"/>
  <c r="Q1942" i="2"/>
  <c r="R1942" i="2"/>
  <c r="S1942" i="2"/>
  <c r="E1943" i="2"/>
  <c r="F1943" i="2"/>
  <c r="G1943" i="2"/>
  <c r="H1943" i="2"/>
  <c r="I1943" i="2"/>
  <c r="J1943" i="2"/>
  <c r="K1943" i="2"/>
  <c r="L1943" i="2"/>
  <c r="N1943" i="2"/>
  <c r="O1943" i="2"/>
  <c r="P1943" i="2" s="1"/>
  <c r="Q1943" i="2"/>
  <c r="R1943" i="2"/>
  <c r="S1943" i="2"/>
  <c r="E1944" i="2"/>
  <c r="F1944" i="2"/>
  <c r="G1944" i="2"/>
  <c r="H1944" i="2"/>
  <c r="I1944" i="2"/>
  <c r="J1944" i="2"/>
  <c r="K1944" i="2"/>
  <c r="L1944" i="2"/>
  <c r="N1944" i="2"/>
  <c r="O1944" i="2"/>
  <c r="P1944" i="2"/>
  <c r="Q1944" i="2"/>
  <c r="R1944" i="2"/>
  <c r="S1944" i="2"/>
  <c r="E1945" i="2"/>
  <c r="F1945" i="2"/>
  <c r="G1945" i="2"/>
  <c r="H1945" i="2"/>
  <c r="I1945" i="2"/>
  <c r="J1945" i="2"/>
  <c r="K1945" i="2"/>
  <c r="L1945" i="2"/>
  <c r="M1945" i="2"/>
  <c r="N1945" i="2"/>
  <c r="O1945" i="2"/>
  <c r="Q1945" i="2"/>
  <c r="R1945" i="2"/>
  <c r="S1945" i="2"/>
  <c r="E1946" i="2"/>
  <c r="F1946" i="2"/>
  <c r="G1946" i="2"/>
  <c r="H1946" i="2"/>
  <c r="I1946" i="2"/>
  <c r="J1946" i="2"/>
  <c r="K1946" i="2"/>
  <c r="L1946" i="2"/>
  <c r="N1946" i="2"/>
  <c r="P1946" i="2" s="1"/>
  <c r="O1946" i="2"/>
  <c r="Q1946" i="2"/>
  <c r="R1946" i="2"/>
  <c r="S1946" i="2"/>
  <c r="E1947" i="2"/>
  <c r="F1947" i="2"/>
  <c r="G1947" i="2"/>
  <c r="H1947" i="2"/>
  <c r="I1947" i="2"/>
  <c r="J1947" i="2"/>
  <c r="K1947" i="2"/>
  <c r="L1947" i="2"/>
  <c r="N1947" i="2"/>
  <c r="O1947" i="2"/>
  <c r="P1947" i="2" s="1"/>
  <c r="Q1947" i="2"/>
  <c r="R1947" i="2"/>
  <c r="S1947" i="2"/>
  <c r="E1948" i="2"/>
  <c r="F1948" i="2"/>
  <c r="G1948" i="2"/>
  <c r="H1948" i="2"/>
  <c r="I1948" i="2"/>
  <c r="J1948" i="2"/>
  <c r="K1948" i="2"/>
  <c r="L1948" i="2"/>
  <c r="N1948" i="2"/>
  <c r="O1948" i="2"/>
  <c r="P1948" i="2"/>
  <c r="Q1948" i="2"/>
  <c r="R1948" i="2"/>
  <c r="S1948" i="2"/>
  <c r="E1949" i="2"/>
  <c r="F1949" i="2"/>
  <c r="G1949" i="2"/>
  <c r="H1949" i="2"/>
  <c r="I1949" i="2"/>
  <c r="J1949" i="2"/>
  <c r="K1949" i="2"/>
  <c r="L1949" i="2"/>
  <c r="M1949" i="2"/>
  <c r="N1949" i="2"/>
  <c r="O1949" i="2"/>
  <c r="Q1949" i="2"/>
  <c r="R1949" i="2"/>
  <c r="S1949" i="2"/>
  <c r="E1950" i="2"/>
  <c r="F1950" i="2"/>
  <c r="G1950" i="2"/>
  <c r="H1950" i="2"/>
  <c r="I1950" i="2"/>
  <c r="J1950" i="2"/>
  <c r="K1950" i="2"/>
  <c r="L1950" i="2"/>
  <c r="N1950" i="2"/>
  <c r="P1950" i="2" s="1"/>
  <c r="O1950" i="2"/>
  <c r="Q1950" i="2"/>
  <c r="R1950" i="2"/>
  <c r="S1950" i="2"/>
  <c r="E1951" i="2"/>
  <c r="F1951" i="2"/>
  <c r="G1951" i="2"/>
  <c r="H1951" i="2"/>
  <c r="I1951" i="2"/>
  <c r="J1951" i="2"/>
  <c r="K1951" i="2"/>
  <c r="L1951" i="2"/>
  <c r="N1951" i="2"/>
  <c r="O1951" i="2"/>
  <c r="P1951" i="2" s="1"/>
  <c r="Q1951" i="2"/>
  <c r="R1951" i="2"/>
  <c r="S1951" i="2"/>
  <c r="E1952" i="2"/>
  <c r="F1952" i="2"/>
  <c r="G1952" i="2"/>
  <c r="H1952" i="2"/>
  <c r="I1952" i="2"/>
  <c r="J1952" i="2"/>
  <c r="K1952" i="2"/>
  <c r="L1952" i="2"/>
  <c r="N1952" i="2"/>
  <c r="O1952" i="2"/>
  <c r="P1952" i="2"/>
  <c r="Q1952" i="2"/>
  <c r="R1952" i="2"/>
  <c r="S1952" i="2"/>
  <c r="E1953" i="2"/>
  <c r="F1953" i="2"/>
  <c r="G1953" i="2"/>
  <c r="H1953" i="2"/>
  <c r="I1953" i="2"/>
  <c r="J1953" i="2"/>
  <c r="K1953" i="2"/>
  <c r="L1953" i="2"/>
  <c r="M1953" i="2"/>
  <c r="N1953" i="2"/>
  <c r="O1953" i="2"/>
  <c r="Q1953" i="2"/>
  <c r="R1953" i="2"/>
  <c r="S1953" i="2"/>
  <c r="E1954" i="2"/>
  <c r="F1954" i="2"/>
  <c r="G1954" i="2"/>
  <c r="H1954" i="2"/>
  <c r="I1954" i="2"/>
  <c r="J1954" i="2"/>
  <c r="K1954" i="2"/>
  <c r="L1954" i="2"/>
  <c r="N1954" i="2"/>
  <c r="P1954" i="2" s="1"/>
  <c r="O1954" i="2"/>
  <c r="Q1954" i="2"/>
  <c r="R1954" i="2"/>
  <c r="S1954" i="2"/>
  <c r="E1955" i="2"/>
  <c r="F1955" i="2"/>
  <c r="G1955" i="2"/>
  <c r="H1955" i="2"/>
  <c r="I1955" i="2"/>
  <c r="J1955" i="2"/>
  <c r="K1955" i="2"/>
  <c r="L1955" i="2"/>
  <c r="N1955" i="2"/>
  <c r="O1955" i="2"/>
  <c r="P1955" i="2" s="1"/>
  <c r="Q1955" i="2"/>
  <c r="R1955" i="2"/>
  <c r="S1955" i="2"/>
  <c r="E1956" i="2"/>
  <c r="F1956" i="2"/>
  <c r="G1956" i="2"/>
  <c r="H1956" i="2"/>
  <c r="I1956" i="2"/>
  <c r="J1956" i="2"/>
  <c r="K1956" i="2"/>
  <c r="L1956" i="2"/>
  <c r="N1956" i="2"/>
  <c r="O1956" i="2"/>
  <c r="P1956" i="2"/>
  <c r="Q1956" i="2"/>
  <c r="R1956" i="2"/>
  <c r="S1956" i="2"/>
  <c r="E1957" i="2"/>
  <c r="F1957" i="2"/>
  <c r="G1957" i="2"/>
  <c r="H1957" i="2"/>
  <c r="I1957" i="2"/>
  <c r="J1957" i="2"/>
  <c r="K1957" i="2"/>
  <c r="L1957" i="2"/>
  <c r="M1957" i="2"/>
  <c r="N1957" i="2"/>
  <c r="O1957" i="2"/>
  <c r="Q1957" i="2"/>
  <c r="R1957" i="2"/>
  <c r="S1957" i="2"/>
  <c r="E1958" i="2"/>
  <c r="F1958" i="2"/>
  <c r="G1958" i="2"/>
  <c r="H1958" i="2"/>
  <c r="I1958" i="2"/>
  <c r="J1958" i="2"/>
  <c r="K1958" i="2"/>
  <c r="L1958" i="2"/>
  <c r="N1958" i="2"/>
  <c r="P1958" i="2" s="1"/>
  <c r="O1958" i="2"/>
  <c r="Q1958" i="2"/>
  <c r="R1958" i="2"/>
  <c r="S1958" i="2"/>
  <c r="E1959" i="2"/>
  <c r="F1959" i="2"/>
  <c r="G1959" i="2"/>
  <c r="H1959" i="2"/>
  <c r="I1959" i="2"/>
  <c r="J1959" i="2"/>
  <c r="K1959" i="2"/>
  <c r="L1959" i="2"/>
  <c r="N1959" i="2"/>
  <c r="O1959" i="2"/>
  <c r="P1959" i="2" s="1"/>
  <c r="Q1959" i="2"/>
  <c r="R1959" i="2"/>
  <c r="S1959" i="2"/>
  <c r="E1960" i="2"/>
  <c r="F1960" i="2"/>
  <c r="G1960" i="2"/>
  <c r="H1960" i="2"/>
  <c r="I1960" i="2"/>
  <c r="J1960" i="2"/>
  <c r="K1960" i="2"/>
  <c r="L1960" i="2"/>
  <c r="N1960" i="2"/>
  <c r="O1960" i="2"/>
  <c r="P1960" i="2"/>
  <c r="Q1960" i="2"/>
  <c r="R1960" i="2"/>
  <c r="S1960" i="2"/>
  <c r="E1961" i="2"/>
  <c r="F1961" i="2"/>
  <c r="G1961" i="2"/>
  <c r="H1961" i="2"/>
  <c r="I1961" i="2"/>
  <c r="J1961" i="2"/>
  <c r="K1961" i="2"/>
  <c r="L1961" i="2"/>
  <c r="M1961" i="2"/>
  <c r="N1961" i="2"/>
  <c r="O1961" i="2"/>
  <c r="Q1961" i="2"/>
  <c r="R1961" i="2"/>
  <c r="S1961" i="2"/>
  <c r="E1962" i="2"/>
  <c r="F1962" i="2"/>
  <c r="G1962" i="2"/>
  <c r="H1962" i="2"/>
  <c r="I1962" i="2"/>
  <c r="J1962" i="2"/>
  <c r="K1962" i="2"/>
  <c r="L1962" i="2"/>
  <c r="N1962" i="2"/>
  <c r="P1962" i="2" s="1"/>
  <c r="O1962" i="2"/>
  <c r="Q1962" i="2"/>
  <c r="R1962" i="2"/>
  <c r="S1962" i="2"/>
  <c r="E1963" i="2"/>
  <c r="F1963" i="2"/>
  <c r="G1963" i="2"/>
  <c r="H1963" i="2"/>
  <c r="I1963" i="2"/>
  <c r="J1963" i="2"/>
  <c r="K1963" i="2"/>
  <c r="L1963" i="2"/>
  <c r="N1963" i="2"/>
  <c r="O1963" i="2"/>
  <c r="P1963" i="2" s="1"/>
  <c r="Q1963" i="2"/>
  <c r="R1963" i="2"/>
  <c r="S1963" i="2"/>
  <c r="E1964" i="2"/>
  <c r="F1964" i="2"/>
  <c r="G1964" i="2"/>
  <c r="H1964" i="2"/>
  <c r="I1964" i="2"/>
  <c r="J1964" i="2"/>
  <c r="K1964" i="2"/>
  <c r="L1964" i="2"/>
  <c r="N1964" i="2"/>
  <c r="O1964" i="2"/>
  <c r="P1964" i="2"/>
  <c r="Q1964" i="2"/>
  <c r="R1964" i="2"/>
  <c r="S1964" i="2"/>
  <c r="E1965" i="2"/>
  <c r="F1965" i="2"/>
  <c r="G1965" i="2"/>
  <c r="H1965" i="2"/>
  <c r="I1965" i="2"/>
  <c r="J1965" i="2"/>
  <c r="K1965" i="2"/>
  <c r="L1965" i="2"/>
  <c r="M1965" i="2"/>
  <c r="N1965" i="2"/>
  <c r="O1965" i="2"/>
  <c r="Q1965" i="2"/>
  <c r="R1965" i="2"/>
  <c r="S1965" i="2"/>
  <c r="E1966" i="2"/>
  <c r="F1966" i="2"/>
  <c r="G1966" i="2"/>
  <c r="H1966" i="2"/>
  <c r="I1966" i="2"/>
  <c r="J1966" i="2"/>
  <c r="K1966" i="2"/>
  <c r="L1966" i="2"/>
  <c r="N1966" i="2"/>
  <c r="P1966" i="2" s="1"/>
  <c r="O1966" i="2"/>
  <c r="Q1966" i="2"/>
  <c r="R1966" i="2"/>
  <c r="S1966" i="2"/>
  <c r="E1967" i="2"/>
  <c r="F1967" i="2"/>
  <c r="G1967" i="2"/>
  <c r="H1967" i="2"/>
  <c r="I1967" i="2"/>
  <c r="J1967" i="2"/>
  <c r="K1967" i="2"/>
  <c r="L1967" i="2"/>
  <c r="N1967" i="2"/>
  <c r="O1967" i="2"/>
  <c r="P1967" i="2" s="1"/>
  <c r="Q1967" i="2"/>
  <c r="R1967" i="2"/>
  <c r="S1967" i="2"/>
  <c r="E1968" i="2"/>
  <c r="F1968" i="2"/>
  <c r="G1968" i="2"/>
  <c r="H1968" i="2"/>
  <c r="I1968" i="2"/>
  <c r="J1968" i="2"/>
  <c r="K1968" i="2"/>
  <c r="L1968" i="2"/>
  <c r="N1968" i="2"/>
  <c r="O1968" i="2"/>
  <c r="P1968" i="2"/>
  <c r="Q1968" i="2"/>
  <c r="R1968" i="2"/>
  <c r="S1968" i="2"/>
  <c r="E1969" i="2"/>
  <c r="F1969" i="2"/>
  <c r="G1969" i="2"/>
  <c r="H1969" i="2"/>
  <c r="I1969" i="2"/>
  <c r="J1969" i="2"/>
  <c r="K1969" i="2"/>
  <c r="L1969" i="2"/>
  <c r="M1969" i="2"/>
  <c r="N1969" i="2"/>
  <c r="O1969" i="2"/>
  <c r="Q1969" i="2"/>
  <c r="R1969" i="2"/>
  <c r="S1969" i="2"/>
  <c r="E1970" i="2"/>
  <c r="F1970" i="2"/>
  <c r="G1970" i="2"/>
  <c r="H1970" i="2"/>
  <c r="I1970" i="2"/>
  <c r="J1970" i="2"/>
  <c r="K1970" i="2"/>
  <c r="L1970" i="2"/>
  <c r="N1970" i="2"/>
  <c r="P1970" i="2" s="1"/>
  <c r="O1970" i="2"/>
  <c r="Q1970" i="2"/>
  <c r="R1970" i="2"/>
  <c r="S1970" i="2"/>
  <c r="E1971" i="2"/>
  <c r="F1971" i="2"/>
  <c r="G1971" i="2"/>
  <c r="H1971" i="2"/>
  <c r="I1971" i="2"/>
  <c r="J1971" i="2"/>
  <c r="K1971" i="2"/>
  <c r="L1971" i="2"/>
  <c r="N1971" i="2"/>
  <c r="O1971" i="2"/>
  <c r="P1971" i="2" s="1"/>
  <c r="Q1971" i="2"/>
  <c r="R1971" i="2"/>
  <c r="S1971" i="2"/>
  <c r="E1972" i="2"/>
  <c r="F1972" i="2"/>
  <c r="G1972" i="2"/>
  <c r="H1972" i="2"/>
  <c r="I1972" i="2"/>
  <c r="J1972" i="2"/>
  <c r="K1972" i="2"/>
  <c r="L1972" i="2"/>
  <c r="N1972" i="2"/>
  <c r="O1972" i="2"/>
  <c r="P1972" i="2"/>
  <c r="Q1972" i="2"/>
  <c r="R1972" i="2"/>
  <c r="S1972" i="2"/>
  <c r="E1973" i="2"/>
  <c r="F1973" i="2"/>
  <c r="G1973" i="2"/>
  <c r="H1973" i="2"/>
  <c r="I1973" i="2"/>
  <c r="J1973" i="2"/>
  <c r="K1973" i="2"/>
  <c r="L1973" i="2"/>
  <c r="M1973" i="2"/>
  <c r="N1973" i="2"/>
  <c r="O1973" i="2"/>
  <c r="Q1973" i="2"/>
  <c r="R1973" i="2"/>
  <c r="S1973" i="2"/>
  <c r="E1974" i="2"/>
  <c r="F1974" i="2"/>
  <c r="G1974" i="2"/>
  <c r="H1974" i="2"/>
  <c r="I1974" i="2"/>
  <c r="J1974" i="2"/>
  <c r="K1974" i="2"/>
  <c r="L1974" i="2"/>
  <c r="N1974" i="2"/>
  <c r="P1974" i="2" s="1"/>
  <c r="O1974" i="2"/>
  <c r="Q1974" i="2"/>
  <c r="R1974" i="2"/>
  <c r="S1974" i="2"/>
  <c r="E1975" i="2"/>
  <c r="F1975" i="2"/>
  <c r="G1975" i="2"/>
  <c r="H1975" i="2"/>
  <c r="I1975" i="2"/>
  <c r="J1975" i="2"/>
  <c r="K1975" i="2"/>
  <c r="L1975" i="2"/>
  <c r="N1975" i="2"/>
  <c r="O1975" i="2"/>
  <c r="P1975" i="2" s="1"/>
  <c r="Q1975" i="2"/>
  <c r="R1975" i="2"/>
  <c r="S1975" i="2"/>
  <c r="E1976" i="2"/>
  <c r="F1976" i="2"/>
  <c r="G1976" i="2"/>
  <c r="H1976" i="2"/>
  <c r="I1976" i="2"/>
  <c r="J1976" i="2"/>
  <c r="K1976" i="2"/>
  <c r="L1976" i="2"/>
  <c r="N1976" i="2"/>
  <c r="O1976" i="2"/>
  <c r="P1976" i="2"/>
  <c r="Q1976" i="2"/>
  <c r="R1976" i="2"/>
  <c r="S1976" i="2"/>
  <c r="E1977" i="2"/>
  <c r="F1977" i="2"/>
  <c r="G1977" i="2"/>
  <c r="H1977" i="2"/>
  <c r="I1977" i="2"/>
  <c r="J1977" i="2"/>
  <c r="K1977" i="2"/>
  <c r="L1977" i="2"/>
  <c r="M1977" i="2"/>
  <c r="N1977" i="2"/>
  <c r="O1977" i="2"/>
  <c r="Q1977" i="2"/>
  <c r="R1977" i="2"/>
  <c r="S1977" i="2"/>
  <c r="E1978" i="2"/>
  <c r="F1978" i="2"/>
  <c r="G1978" i="2"/>
  <c r="H1978" i="2"/>
  <c r="I1978" i="2"/>
  <c r="J1978" i="2"/>
  <c r="K1978" i="2"/>
  <c r="L1978" i="2"/>
  <c r="N1978" i="2"/>
  <c r="P1978" i="2" s="1"/>
  <c r="O1978" i="2"/>
  <c r="Q1978" i="2"/>
  <c r="R1978" i="2"/>
  <c r="S1978" i="2"/>
  <c r="E1979" i="2"/>
  <c r="F1979" i="2"/>
  <c r="G1979" i="2"/>
  <c r="H1979" i="2"/>
  <c r="I1979" i="2"/>
  <c r="J1979" i="2"/>
  <c r="K1979" i="2"/>
  <c r="L1979" i="2"/>
  <c r="N1979" i="2"/>
  <c r="O1979" i="2"/>
  <c r="P1979" i="2" s="1"/>
  <c r="Q1979" i="2"/>
  <c r="R1979" i="2"/>
  <c r="S1979" i="2"/>
  <c r="E1980" i="2"/>
  <c r="F1980" i="2"/>
  <c r="G1980" i="2"/>
  <c r="H1980" i="2"/>
  <c r="I1980" i="2"/>
  <c r="J1980" i="2"/>
  <c r="K1980" i="2"/>
  <c r="L1980" i="2"/>
  <c r="N1980" i="2"/>
  <c r="O1980" i="2"/>
  <c r="P1980" i="2"/>
  <c r="Q1980" i="2"/>
  <c r="R1980" i="2"/>
  <c r="S1980" i="2"/>
  <c r="E1981" i="2"/>
  <c r="F1981" i="2"/>
  <c r="G1981" i="2"/>
  <c r="H1981" i="2"/>
  <c r="I1981" i="2"/>
  <c r="J1981" i="2"/>
  <c r="K1981" i="2"/>
  <c r="L1981" i="2"/>
  <c r="M1981" i="2"/>
  <c r="N1981" i="2"/>
  <c r="O1981" i="2"/>
  <c r="Q1981" i="2"/>
  <c r="R1981" i="2"/>
  <c r="S1981" i="2"/>
  <c r="E1982" i="2"/>
  <c r="F1982" i="2"/>
  <c r="G1982" i="2"/>
  <c r="H1982" i="2"/>
  <c r="I1982" i="2"/>
  <c r="J1982" i="2"/>
  <c r="K1982" i="2"/>
  <c r="L1982" i="2"/>
  <c r="N1982" i="2"/>
  <c r="P1982" i="2" s="1"/>
  <c r="O1982" i="2"/>
  <c r="Q1982" i="2"/>
  <c r="R1982" i="2"/>
  <c r="S1982" i="2"/>
  <c r="E1983" i="2"/>
  <c r="F1983" i="2"/>
  <c r="G1983" i="2"/>
  <c r="H1983" i="2"/>
  <c r="I1983" i="2"/>
  <c r="J1983" i="2"/>
  <c r="K1983" i="2"/>
  <c r="L1983" i="2"/>
  <c r="N1983" i="2"/>
  <c r="O1983" i="2"/>
  <c r="P1983" i="2" s="1"/>
  <c r="Q1983" i="2"/>
  <c r="R1983" i="2"/>
  <c r="S1983" i="2"/>
  <c r="E1984" i="2"/>
  <c r="F1984" i="2"/>
  <c r="G1984" i="2"/>
  <c r="H1984" i="2"/>
  <c r="I1984" i="2"/>
  <c r="J1984" i="2"/>
  <c r="K1984" i="2"/>
  <c r="L1984" i="2"/>
  <c r="N1984" i="2"/>
  <c r="O1984" i="2"/>
  <c r="P1984" i="2"/>
  <c r="Q1984" i="2"/>
  <c r="R1984" i="2"/>
  <c r="S1984" i="2"/>
  <c r="E1985" i="2"/>
  <c r="F1985" i="2"/>
  <c r="G1985" i="2"/>
  <c r="H1985" i="2"/>
  <c r="I1985" i="2"/>
  <c r="J1985" i="2"/>
  <c r="K1985" i="2"/>
  <c r="L1985" i="2"/>
  <c r="M1985" i="2"/>
  <c r="N1985" i="2"/>
  <c r="O1985" i="2"/>
  <c r="Q1985" i="2"/>
  <c r="R1985" i="2"/>
  <c r="S1985" i="2"/>
  <c r="E1986" i="2"/>
  <c r="F1986" i="2"/>
  <c r="G1986" i="2"/>
  <c r="H1986" i="2"/>
  <c r="I1986" i="2"/>
  <c r="J1986" i="2"/>
  <c r="K1986" i="2"/>
  <c r="L1986" i="2"/>
  <c r="N1986" i="2"/>
  <c r="P1986" i="2" s="1"/>
  <c r="O1986" i="2"/>
  <c r="Q1986" i="2"/>
  <c r="R1986" i="2"/>
  <c r="S1986" i="2"/>
  <c r="E1987" i="2"/>
  <c r="F1987" i="2"/>
  <c r="G1987" i="2"/>
  <c r="H1987" i="2"/>
  <c r="I1987" i="2"/>
  <c r="J1987" i="2"/>
  <c r="K1987" i="2"/>
  <c r="L1987" i="2"/>
  <c r="N1987" i="2"/>
  <c r="O1987" i="2"/>
  <c r="P1987" i="2" s="1"/>
  <c r="Q1987" i="2"/>
  <c r="R1987" i="2"/>
  <c r="S1987" i="2"/>
  <c r="E1988" i="2"/>
  <c r="F1988" i="2"/>
  <c r="G1988" i="2"/>
  <c r="H1988" i="2"/>
  <c r="I1988" i="2"/>
  <c r="J1988" i="2"/>
  <c r="K1988" i="2"/>
  <c r="L1988" i="2"/>
  <c r="N1988" i="2"/>
  <c r="O1988" i="2"/>
  <c r="P1988" i="2"/>
  <c r="Q1988" i="2"/>
  <c r="R1988" i="2"/>
  <c r="S1988" i="2"/>
  <c r="E1989" i="2"/>
  <c r="F1989" i="2"/>
  <c r="G1989" i="2"/>
  <c r="H1989" i="2"/>
  <c r="I1989" i="2"/>
  <c r="J1989" i="2"/>
  <c r="K1989" i="2"/>
  <c r="L1989" i="2"/>
  <c r="M1989" i="2"/>
  <c r="N1989" i="2"/>
  <c r="O1989" i="2"/>
  <c r="Q1989" i="2"/>
  <c r="R1989" i="2"/>
  <c r="S1989" i="2"/>
  <c r="E1990" i="2"/>
  <c r="F1990" i="2"/>
  <c r="G1990" i="2"/>
  <c r="H1990" i="2"/>
  <c r="I1990" i="2"/>
  <c r="J1990" i="2"/>
  <c r="K1990" i="2"/>
  <c r="L1990" i="2"/>
  <c r="N1990" i="2"/>
  <c r="P1990" i="2" s="1"/>
  <c r="O1990" i="2"/>
  <c r="Q1990" i="2"/>
  <c r="R1990" i="2"/>
  <c r="S1990" i="2"/>
  <c r="E1991" i="2"/>
  <c r="F1991" i="2"/>
  <c r="G1991" i="2"/>
  <c r="H1991" i="2"/>
  <c r="I1991" i="2"/>
  <c r="J1991" i="2"/>
  <c r="K1991" i="2"/>
  <c r="L1991" i="2"/>
  <c r="N1991" i="2"/>
  <c r="O1991" i="2"/>
  <c r="P1991" i="2" s="1"/>
  <c r="Q1991" i="2"/>
  <c r="R1991" i="2"/>
  <c r="S1991" i="2"/>
  <c r="E1992" i="2"/>
  <c r="F1992" i="2"/>
  <c r="G1992" i="2"/>
  <c r="H1992" i="2"/>
  <c r="I1992" i="2"/>
  <c r="J1992" i="2"/>
  <c r="K1992" i="2"/>
  <c r="L1992" i="2"/>
  <c r="N1992" i="2"/>
  <c r="O1992" i="2"/>
  <c r="P1992" i="2"/>
  <c r="Q1992" i="2"/>
  <c r="R1992" i="2"/>
  <c r="S1992" i="2"/>
  <c r="E1993" i="2"/>
  <c r="F1993" i="2"/>
  <c r="G1993" i="2"/>
  <c r="H1993" i="2"/>
  <c r="I1993" i="2"/>
  <c r="J1993" i="2"/>
  <c r="K1993" i="2"/>
  <c r="L1993" i="2"/>
  <c r="M1993" i="2"/>
  <c r="N1993" i="2"/>
  <c r="O1993" i="2"/>
  <c r="Q1993" i="2"/>
  <c r="R1993" i="2"/>
  <c r="S1993" i="2"/>
  <c r="E1994" i="2"/>
  <c r="F1994" i="2"/>
  <c r="G1994" i="2"/>
  <c r="H1994" i="2"/>
  <c r="I1994" i="2"/>
  <c r="J1994" i="2"/>
  <c r="K1994" i="2"/>
  <c r="L1994" i="2"/>
  <c r="N1994" i="2"/>
  <c r="P1994" i="2" s="1"/>
  <c r="O1994" i="2"/>
  <c r="Q1994" i="2"/>
  <c r="R1994" i="2"/>
  <c r="S1994" i="2"/>
  <c r="E1995" i="2"/>
  <c r="F1995" i="2"/>
  <c r="G1995" i="2"/>
  <c r="H1995" i="2"/>
  <c r="I1995" i="2"/>
  <c r="J1995" i="2"/>
  <c r="K1995" i="2"/>
  <c r="L1995" i="2"/>
  <c r="N1995" i="2"/>
  <c r="O1995" i="2"/>
  <c r="P1995" i="2" s="1"/>
  <c r="Q1995" i="2"/>
  <c r="R1995" i="2"/>
  <c r="S1995" i="2"/>
  <c r="E1996" i="2"/>
  <c r="F1996" i="2"/>
  <c r="G1996" i="2"/>
  <c r="H1996" i="2"/>
  <c r="I1996" i="2"/>
  <c r="J1996" i="2"/>
  <c r="K1996" i="2"/>
  <c r="L1996" i="2"/>
  <c r="N1996" i="2"/>
  <c r="O1996" i="2"/>
  <c r="P1996" i="2"/>
  <c r="Q1996" i="2"/>
  <c r="R1996" i="2"/>
  <c r="S1996" i="2"/>
  <c r="E1997" i="2"/>
  <c r="F1997" i="2"/>
  <c r="G1997" i="2"/>
  <c r="H1997" i="2"/>
  <c r="I1997" i="2"/>
  <c r="J1997" i="2"/>
  <c r="K1997" i="2"/>
  <c r="L1997" i="2"/>
  <c r="M1997" i="2"/>
  <c r="N1997" i="2"/>
  <c r="O1997" i="2"/>
  <c r="Q1997" i="2"/>
  <c r="R1997" i="2"/>
  <c r="S1997" i="2"/>
  <c r="E1998" i="2"/>
  <c r="F1998" i="2"/>
  <c r="G1998" i="2"/>
  <c r="H1998" i="2"/>
  <c r="I1998" i="2"/>
  <c r="J1998" i="2"/>
  <c r="K1998" i="2"/>
  <c r="L1998" i="2"/>
  <c r="N1998" i="2"/>
  <c r="P1998" i="2" s="1"/>
  <c r="O1998" i="2"/>
  <c r="Q1998" i="2"/>
  <c r="R1998" i="2"/>
  <c r="S1998" i="2"/>
  <c r="E1999" i="2"/>
  <c r="F1999" i="2"/>
  <c r="G1999" i="2"/>
  <c r="H1999" i="2"/>
  <c r="I1999" i="2"/>
  <c r="J1999" i="2"/>
  <c r="K1999" i="2"/>
  <c r="L1999" i="2"/>
  <c r="N1999" i="2"/>
  <c r="O1999" i="2"/>
  <c r="P1999" i="2" s="1"/>
  <c r="Q1999" i="2"/>
  <c r="R1999" i="2"/>
  <c r="S1999" i="2"/>
  <c r="E2000" i="2"/>
  <c r="F2000" i="2"/>
  <c r="G2000" i="2"/>
  <c r="H2000" i="2"/>
  <c r="I2000" i="2"/>
  <c r="J2000" i="2"/>
  <c r="K2000" i="2"/>
  <c r="L2000" i="2"/>
  <c r="N2000" i="2"/>
  <c r="O2000" i="2"/>
  <c r="P2000" i="2"/>
  <c r="Q2000" i="2"/>
  <c r="R2000" i="2"/>
  <c r="S2000" i="2"/>
  <c r="E2001" i="2"/>
  <c r="F2001" i="2"/>
  <c r="G2001" i="2"/>
  <c r="H2001" i="2"/>
  <c r="I2001" i="2"/>
  <c r="J2001" i="2"/>
  <c r="K2001" i="2"/>
  <c r="L2001" i="2"/>
  <c r="M2001" i="2"/>
  <c r="N2001" i="2"/>
  <c r="O2001" i="2"/>
  <c r="Q2001" i="2"/>
  <c r="R2001" i="2"/>
  <c r="S2001" i="2"/>
  <c r="E2002" i="2"/>
  <c r="F2002" i="2"/>
  <c r="G2002" i="2"/>
  <c r="H2002" i="2"/>
  <c r="I2002" i="2"/>
  <c r="J2002" i="2"/>
  <c r="K2002" i="2"/>
  <c r="L2002" i="2"/>
  <c r="N2002" i="2"/>
  <c r="P2002" i="2" s="1"/>
  <c r="O2002" i="2"/>
  <c r="Q2002" i="2"/>
  <c r="R2002" i="2"/>
  <c r="S2002" i="2"/>
  <c r="E2003" i="2"/>
  <c r="F2003" i="2"/>
  <c r="G2003" i="2"/>
  <c r="H2003" i="2"/>
  <c r="I2003" i="2"/>
  <c r="J2003" i="2"/>
  <c r="K2003" i="2"/>
  <c r="L2003" i="2"/>
  <c r="N2003" i="2"/>
  <c r="O2003" i="2"/>
  <c r="P2003" i="2" s="1"/>
  <c r="Q2003" i="2"/>
  <c r="R2003" i="2"/>
  <c r="S2003" i="2"/>
  <c r="E2004" i="2"/>
  <c r="F2004" i="2"/>
  <c r="G2004" i="2"/>
  <c r="H2004" i="2"/>
  <c r="I2004" i="2"/>
  <c r="J2004" i="2"/>
  <c r="K2004" i="2"/>
  <c r="L2004" i="2"/>
  <c r="N2004" i="2"/>
  <c r="O2004" i="2"/>
  <c r="P2004" i="2"/>
  <c r="Q2004" i="2"/>
  <c r="R2004" i="2"/>
  <c r="S2004" i="2"/>
  <c r="E2005" i="2"/>
  <c r="F2005" i="2"/>
  <c r="G2005" i="2"/>
  <c r="H2005" i="2"/>
  <c r="I2005" i="2"/>
  <c r="J2005" i="2"/>
  <c r="K2005" i="2"/>
  <c r="L2005" i="2"/>
  <c r="M2005" i="2"/>
  <c r="N2005" i="2"/>
  <c r="O2005" i="2"/>
  <c r="Q2005" i="2"/>
  <c r="R2005" i="2"/>
  <c r="S2005" i="2"/>
  <c r="E2006" i="2"/>
  <c r="F2006" i="2"/>
  <c r="G2006" i="2"/>
  <c r="H2006" i="2"/>
  <c r="I2006" i="2"/>
  <c r="J2006" i="2"/>
  <c r="K2006" i="2"/>
  <c r="L2006" i="2"/>
  <c r="N2006" i="2"/>
  <c r="P2006" i="2" s="1"/>
  <c r="O2006" i="2"/>
  <c r="Q2006" i="2"/>
  <c r="R2006" i="2"/>
  <c r="S2006" i="2"/>
  <c r="E2007" i="2"/>
  <c r="F2007" i="2"/>
  <c r="G2007" i="2"/>
  <c r="H2007" i="2"/>
  <c r="M2007" i="2" s="1"/>
  <c r="I2007" i="2"/>
  <c r="J2007" i="2"/>
  <c r="K2007" i="2"/>
  <c r="L2007" i="2"/>
  <c r="N2007" i="2"/>
  <c r="O2007" i="2"/>
  <c r="P2007" i="2" s="1"/>
  <c r="Q2007" i="2"/>
  <c r="R2007" i="2"/>
  <c r="S2007" i="2"/>
  <c r="E2008" i="2"/>
  <c r="F2008" i="2"/>
  <c r="G2008" i="2"/>
  <c r="H2008" i="2"/>
  <c r="M2008" i="2" s="1"/>
  <c r="I2008" i="2"/>
  <c r="J2008" i="2"/>
  <c r="K2008" i="2"/>
  <c r="L2008" i="2"/>
  <c r="N2008" i="2"/>
  <c r="O2008" i="2"/>
  <c r="P2008" i="2"/>
  <c r="Q2008" i="2"/>
  <c r="R2008" i="2"/>
  <c r="S2008" i="2"/>
  <c r="E2009" i="2"/>
  <c r="F2009" i="2"/>
  <c r="G2009" i="2"/>
  <c r="H2009" i="2"/>
  <c r="I2009" i="2"/>
  <c r="J2009" i="2"/>
  <c r="K2009" i="2"/>
  <c r="L2009" i="2"/>
  <c r="M2009" i="2"/>
  <c r="N2009" i="2"/>
  <c r="O2009" i="2"/>
  <c r="Q2009" i="2"/>
  <c r="R2009" i="2"/>
  <c r="S2009" i="2"/>
  <c r="E2010" i="2"/>
  <c r="F2010" i="2"/>
  <c r="G2010" i="2"/>
  <c r="H2010" i="2"/>
  <c r="I2010" i="2"/>
  <c r="J2010" i="2"/>
  <c r="K2010" i="2"/>
  <c r="L2010" i="2"/>
  <c r="N2010" i="2"/>
  <c r="O2010" i="2"/>
  <c r="P2010" i="2" s="1"/>
  <c r="Q2010" i="2"/>
  <c r="R2010" i="2"/>
  <c r="S2010" i="2"/>
  <c r="E2011" i="2"/>
  <c r="F2011" i="2"/>
  <c r="G2011" i="2"/>
  <c r="H2011" i="2"/>
  <c r="M2011" i="2" s="1"/>
  <c r="I2011" i="2"/>
  <c r="J2011" i="2"/>
  <c r="K2011" i="2"/>
  <c r="L2011" i="2"/>
  <c r="N2011" i="2"/>
  <c r="O2011" i="2"/>
  <c r="Q2011" i="2"/>
  <c r="R2011" i="2"/>
  <c r="S2011" i="2"/>
  <c r="E2012" i="2"/>
  <c r="F2012" i="2"/>
  <c r="G2012" i="2"/>
  <c r="H2012" i="2"/>
  <c r="I2012" i="2"/>
  <c r="J2012" i="2"/>
  <c r="K2012" i="2"/>
  <c r="L2012" i="2"/>
  <c r="M2012" i="2"/>
  <c r="N2012" i="2"/>
  <c r="O2012" i="2"/>
  <c r="Q2012" i="2"/>
  <c r="R2012" i="2"/>
  <c r="S2012" i="2"/>
  <c r="E2013" i="2"/>
  <c r="F2013" i="2"/>
  <c r="G2013" i="2"/>
  <c r="H2013" i="2"/>
  <c r="I2013" i="2"/>
  <c r="J2013" i="2"/>
  <c r="M2013" i="2" s="1"/>
  <c r="K2013" i="2"/>
  <c r="L2013" i="2"/>
  <c r="N2013" i="2"/>
  <c r="O2013" i="2"/>
  <c r="Q2013" i="2"/>
  <c r="R2013" i="2"/>
  <c r="S2013" i="2"/>
  <c r="E2014" i="2"/>
  <c r="F2014" i="2"/>
  <c r="G2014" i="2"/>
  <c r="H2014" i="2"/>
  <c r="I2014" i="2"/>
  <c r="J2014" i="2"/>
  <c r="K2014" i="2"/>
  <c r="L2014" i="2"/>
  <c r="N2014" i="2"/>
  <c r="O2014" i="2"/>
  <c r="Q2014" i="2"/>
  <c r="R2014" i="2"/>
  <c r="S2014" i="2"/>
  <c r="E2015" i="2"/>
  <c r="F2015" i="2"/>
  <c r="G2015" i="2"/>
  <c r="H2015" i="2"/>
  <c r="M2015" i="2" s="1"/>
  <c r="I2015" i="2"/>
  <c r="J2015" i="2"/>
  <c r="K2015" i="2"/>
  <c r="L2015" i="2"/>
  <c r="N2015" i="2"/>
  <c r="O2015" i="2"/>
  <c r="P2015" i="2" s="1"/>
  <c r="Q2015" i="2"/>
  <c r="R2015" i="2"/>
  <c r="S2015" i="2"/>
  <c r="E2016" i="2"/>
  <c r="F2016" i="2"/>
  <c r="G2016" i="2"/>
  <c r="H2016" i="2"/>
  <c r="M2016" i="2" s="1"/>
  <c r="I2016" i="2"/>
  <c r="J2016" i="2"/>
  <c r="K2016" i="2"/>
  <c r="L2016" i="2"/>
  <c r="N2016" i="2"/>
  <c r="O2016" i="2"/>
  <c r="P2016" i="2"/>
  <c r="Q2016" i="2"/>
  <c r="R2016" i="2"/>
  <c r="S2016" i="2"/>
  <c r="E2017" i="2"/>
  <c r="F2017" i="2"/>
  <c r="G2017" i="2"/>
  <c r="H2017" i="2"/>
  <c r="I2017" i="2"/>
  <c r="J2017" i="2"/>
  <c r="K2017" i="2"/>
  <c r="L2017" i="2"/>
  <c r="M2017" i="2"/>
  <c r="N2017" i="2"/>
  <c r="O2017" i="2"/>
  <c r="Q2017" i="2"/>
  <c r="R2017" i="2"/>
  <c r="S2017" i="2"/>
  <c r="E2018" i="2"/>
  <c r="F2018" i="2"/>
  <c r="G2018" i="2"/>
  <c r="H2018" i="2"/>
  <c r="I2018" i="2"/>
  <c r="J2018" i="2"/>
  <c r="K2018" i="2"/>
  <c r="L2018" i="2"/>
  <c r="N2018" i="2"/>
  <c r="O2018" i="2"/>
  <c r="P2018" i="2" s="1"/>
  <c r="Q2018" i="2"/>
  <c r="R2018" i="2"/>
  <c r="S2018" i="2"/>
  <c r="E2019" i="2"/>
  <c r="F2019" i="2"/>
  <c r="G2019" i="2"/>
  <c r="H2019" i="2"/>
  <c r="P2019" i="2" s="1"/>
  <c r="I2019" i="2"/>
  <c r="J2019" i="2"/>
  <c r="K2019" i="2"/>
  <c r="L2019" i="2"/>
  <c r="N2019" i="2"/>
  <c r="O2019" i="2"/>
  <c r="Q2019" i="2"/>
  <c r="R2019" i="2"/>
  <c r="S2019" i="2"/>
  <c r="E2020" i="2"/>
  <c r="F2020" i="2"/>
  <c r="G2020" i="2"/>
  <c r="H2020" i="2"/>
  <c r="I2020" i="2"/>
  <c r="J2020" i="2"/>
  <c r="K2020" i="2"/>
  <c r="L2020" i="2"/>
  <c r="M2020" i="2"/>
  <c r="N2020" i="2"/>
  <c r="O2020" i="2"/>
  <c r="Q2020" i="2"/>
  <c r="R2020" i="2"/>
  <c r="S2020" i="2"/>
  <c r="E2021" i="2"/>
  <c r="F2021" i="2"/>
  <c r="G2021" i="2"/>
  <c r="H2021" i="2"/>
  <c r="I2021" i="2"/>
  <c r="J2021" i="2"/>
  <c r="M2021" i="2" s="1"/>
  <c r="K2021" i="2"/>
  <c r="L2021" i="2"/>
  <c r="N2021" i="2"/>
  <c r="O2021" i="2"/>
  <c r="Q2021" i="2"/>
  <c r="R2021" i="2"/>
  <c r="S2021" i="2"/>
  <c r="E2022" i="2"/>
  <c r="F2022" i="2"/>
  <c r="G2022" i="2"/>
  <c r="H2022" i="2"/>
  <c r="I2022" i="2"/>
  <c r="J2022" i="2"/>
  <c r="K2022" i="2"/>
  <c r="L2022" i="2"/>
  <c r="N2022" i="2"/>
  <c r="O2022" i="2"/>
  <c r="Q2022" i="2"/>
  <c r="R2022" i="2"/>
  <c r="S2022" i="2"/>
  <c r="E2023" i="2"/>
  <c r="F2023" i="2"/>
  <c r="G2023" i="2"/>
  <c r="H2023" i="2"/>
  <c r="M2023" i="2" s="1"/>
  <c r="I2023" i="2"/>
  <c r="J2023" i="2"/>
  <c r="K2023" i="2"/>
  <c r="L2023" i="2"/>
  <c r="N2023" i="2"/>
  <c r="O2023" i="2"/>
  <c r="P2023" i="2" s="1"/>
  <c r="Q2023" i="2"/>
  <c r="R2023" i="2"/>
  <c r="S2023" i="2"/>
  <c r="E2024" i="2"/>
  <c r="F2024" i="2"/>
  <c r="G2024" i="2"/>
  <c r="H2024" i="2"/>
  <c r="M2024" i="2" s="1"/>
  <c r="I2024" i="2"/>
  <c r="J2024" i="2"/>
  <c r="K2024" i="2"/>
  <c r="L2024" i="2"/>
  <c r="N2024" i="2"/>
  <c r="O2024" i="2"/>
  <c r="P2024" i="2"/>
  <c r="Q2024" i="2"/>
  <c r="R2024" i="2"/>
  <c r="S2024" i="2"/>
  <c r="E2025" i="2"/>
  <c r="F2025" i="2"/>
  <c r="G2025" i="2"/>
  <c r="H2025" i="2"/>
  <c r="I2025" i="2"/>
  <c r="J2025" i="2"/>
  <c r="K2025" i="2"/>
  <c r="L2025" i="2"/>
  <c r="M2025" i="2"/>
  <c r="N2025" i="2"/>
  <c r="O2025" i="2"/>
  <c r="Q2025" i="2"/>
  <c r="R2025" i="2"/>
  <c r="S2025" i="2"/>
  <c r="E2026" i="2"/>
  <c r="F2026" i="2"/>
  <c r="G2026" i="2"/>
  <c r="H2026" i="2"/>
  <c r="I2026" i="2"/>
  <c r="J2026" i="2"/>
  <c r="K2026" i="2"/>
  <c r="L2026" i="2"/>
  <c r="N2026" i="2"/>
  <c r="O2026" i="2"/>
  <c r="P2026" i="2" s="1"/>
  <c r="Q2026" i="2"/>
  <c r="R2026" i="2"/>
  <c r="S2026" i="2"/>
  <c r="E2027" i="2"/>
  <c r="F2027" i="2"/>
  <c r="G2027" i="2"/>
  <c r="H2027" i="2"/>
  <c r="M2027" i="2" s="1"/>
  <c r="I2027" i="2"/>
  <c r="J2027" i="2"/>
  <c r="K2027" i="2"/>
  <c r="L2027" i="2"/>
  <c r="N2027" i="2"/>
  <c r="O2027" i="2"/>
  <c r="Q2027" i="2"/>
  <c r="R2027" i="2"/>
  <c r="S2027" i="2"/>
  <c r="E2028" i="2"/>
  <c r="F2028" i="2"/>
  <c r="G2028" i="2"/>
  <c r="H2028" i="2"/>
  <c r="I2028" i="2"/>
  <c r="J2028" i="2"/>
  <c r="K2028" i="2"/>
  <c r="L2028" i="2"/>
  <c r="M2028" i="2"/>
  <c r="N2028" i="2"/>
  <c r="O2028" i="2"/>
  <c r="Q2028" i="2"/>
  <c r="R2028" i="2"/>
  <c r="S2028" i="2"/>
  <c r="E2029" i="2"/>
  <c r="F2029" i="2"/>
  <c r="G2029" i="2"/>
  <c r="H2029" i="2"/>
  <c r="I2029" i="2"/>
  <c r="J2029" i="2"/>
  <c r="M2029" i="2" s="1"/>
  <c r="K2029" i="2"/>
  <c r="L2029" i="2"/>
  <c r="N2029" i="2"/>
  <c r="O2029" i="2"/>
  <c r="Q2029" i="2"/>
  <c r="R2029" i="2"/>
  <c r="S2029" i="2"/>
  <c r="E2030" i="2"/>
  <c r="F2030" i="2"/>
  <c r="G2030" i="2"/>
  <c r="H2030" i="2"/>
  <c r="I2030" i="2"/>
  <c r="J2030" i="2"/>
  <c r="K2030" i="2"/>
  <c r="L2030" i="2"/>
  <c r="N2030" i="2"/>
  <c r="O2030" i="2"/>
  <c r="Q2030" i="2"/>
  <c r="R2030" i="2"/>
  <c r="S2030" i="2"/>
  <c r="E2031" i="2"/>
  <c r="F2031" i="2"/>
  <c r="G2031" i="2"/>
  <c r="H2031" i="2"/>
  <c r="M2031" i="2" s="1"/>
  <c r="I2031" i="2"/>
  <c r="J2031" i="2"/>
  <c r="K2031" i="2"/>
  <c r="L2031" i="2"/>
  <c r="N2031" i="2"/>
  <c r="O2031" i="2"/>
  <c r="P2031" i="2" s="1"/>
  <c r="Q2031" i="2"/>
  <c r="R2031" i="2"/>
  <c r="S2031" i="2"/>
  <c r="E2032" i="2"/>
  <c r="F2032" i="2"/>
  <c r="G2032" i="2"/>
  <c r="H2032" i="2"/>
  <c r="M2032" i="2" s="1"/>
  <c r="I2032" i="2"/>
  <c r="J2032" i="2"/>
  <c r="K2032" i="2"/>
  <c r="L2032" i="2"/>
  <c r="N2032" i="2"/>
  <c r="O2032" i="2"/>
  <c r="P2032" i="2"/>
  <c r="Q2032" i="2"/>
  <c r="R2032" i="2"/>
  <c r="S2032" i="2"/>
  <c r="E2033" i="2"/>
  <c r="F2033" i="2"/>
  <c r="G2033" i="2"/>
  <c r="H2033" i="2"/>
  <c r="I2033" i="2"/>
  <c r="J2033" i="2"/>
  <c r="K2033" i="2"/>
  <c r="L2033" i="2"/>
  <c r="M2033" i="2"/>
  <c r="N2033" i="2"/>
  <c r="O2033" i="2"/>
  <c r="Q2033" i="2"/>
  <c r="R2033" i="2"/>
  <c r="S2033" i="2"/>
  <c r="E2034" i="2"/>
  <c r="F2034" i="2"/>
  <c r="G2034" i="2"/>
  <c r="H2034" i="2"/>
  <c r="I2034" i="2"/>
  <c r="J2034" i="2"/>
  <c r="K2034" i="2"/>
  <c r="L2034" i="2"/>
  <c r="N2034" i="2"/>
  <c r="O2034" i="2"/>
  <c r="P2034" i="2" s="1"/>
  <c r="Q2034" i="2"/>
  <c r="R2034" i="2"/>
  <c r="S2034" i="2"/>
  <c r="E2035" i="2"/>
  <c r="F2035" i="2"/>
  <c r="G2035" i="2"/>
  <c r="H2035" i="2"/>
  <c r="I2035" i="2"/>
  <c r="J2035" i="2"/>
  <c r="K2035" i="2"/>
  <c r="L2035" i="2"/>
  <c r="N2035" i="2"/>
  <c r="O2035" i="2"/>
  <c r="Q2035" i="2"/>
  <c r="R2035" i="2"/>
  <c r="S2035" i="2"/>
  <c r="E2036" i="2"/>
  <c r="F2036" i="2"/>
  <c r="G2036" i="2"/>
  <c r="H2036" i="2"/>
  <c r="I2036" i="2"/>
  <c r="J2036" i="2"/>
  <c r="K2036" i="2"/>
  <c r="L2036" i="2"/>
  <c r="M2036" i="2"/>
  <c r="N2036" i="2"/>
  <c r="O2036" i="2"/>
  <c r="Q2036" i="2"/>
  <c r="R2036" i="2"/>
  <c r="S2036" i="2"/>
  <c r="E2037" i="2"/>
  <c r="F2037" i="2"/>
  <c r="G2037" i="2"/>
  <c r="H2037" i="2"/>
  <c r="I2037" i="2"/>
  <c r="J2037" i="2"/>
  <c r="M2037" i="2" s="1"/>
  <c r="K2037" i="2"/>
  <c r="L2037" i="2"/>
  <c r="N2037" i="2"/>
  <c r="O2037" i="2"/>
  <c r="Q2037" i="2"/>
  <c r="R2037" i="2"/>
  <c r="S2037" i="2"/>
  <c r="E2038" i="2"/>
  <c r="F2038" i="2"/>
  <c r="G2038" i="2"/>
  <c r="H2038" i="2"/>
  <c r="I2038" i="2"/>
  <c r="J2038" i="2"/>
  <c r="K2038" i="2"/>
  <c r="L2038" i="2"/>
  <c r="N2038" i="2"/>
  <c r="O2038" i="2"/>
  <c r="Q2038" i="2"/>
  <c r="R2038" i="2"/>
  <c r="S2038" i="2"/>
  <c r="E2039" i="2"/>
  <c r="F2039" i="2"/>
  <c r="G2039" i="2"/>
  <c r="H2039" i="2"/>
  <c r="M2039" i="2" s="1"/>
  <c r="I2039" i="2"/>
  <c r="J2039" i="2"/>
  <c r="K2039" i="2"/>
  <c r="L2039" i="2"/>
  <c r="N2039" i="2"/>
  <c r="O2039" i="2"/>
  <c r="P2039" i="2" s="1"/>
  <c r="Q2039" i="2"/>
  <c r="R2039" i="2"/>
  <c r="S2039" i="2"/>
  <c r="E2040" i="2"/>
  <c r="F2040" i="2"/>
  <c r="G2040" i="2"/>
  <c r="H2040" i="2"/>
  <c r="M2040" i="2" s="1"/>
  <c r="I2040" i="2"/>
  <c r="J2040" i="2"/>
  <c r="K2040" i="2"/>
  <c r="L2040" i="2"/>
  <c r="N2040" i="2"/>
  <c r="O2040" i="2"/>
  <c r="P2040" i="2"/>
  <c r="Q2040" i="2"/>
  <c r="R2040" i="2"/>
  <c r="S2040" i="2"/>
  <c r="E2041" i="2"/>
  <c r="F2041" i="2"/>
  <c r="G2041" i="2"/>
  <c r="H2041" i="2"/>
  <c r="I2041" i="2"/>
  <c r="J2041" i="2"/>
  <c r="K2041" i="2"/>
  <c r="L2041" i="2"/>
  <c r="M2041" i="2"/>
  <c r="N2041" i="2"/>
  <c r="O2041" i="2"/>
  <c r="Q2041" i="2"/>
  <c r="R2041" i="2"/>
  <c r="S2041" i="2"/>
  <c r="E2042" i="2"/>
  <c r="F2042" i="2"/>
  <c r="G2042" i="2"/>
  <c r="H2042" i="2"/>
  <c r="I2042" i="2"/>
  <c r="J2042" i="2"/>
  <c r="K2042" i="2"/>
  <c r="L2042" i="2"/>
  <c r="N2042" i="2"/>
  <c r="O2042" i="2"/>
  <c r="P2042" i="2" s="1"/>
  <c r="Q2042" i="2"/>
  <c r="R2042" i="2"/>
  <c r="S2042" i="2"/>
  <c r="E2043" i="2"/>
  <c r="F2043" i="2"/>
  <c r="G2043" i="2"/>
  <c r="H2043" i="2"/>
  <c r="M2043" i="2" s="1"/>
  <c r="I2043" i="2"/>
  <c r="J2043" i="2"/>
  <c r="K2043" i="2"/>
  <c r="L2043" i="2"/>
  <c r="N2043" i="2"/>
  <c r="O2043" i="2"/>
  <c r="Q2043" i="2"/>
  <c r="R2043" i="2"/>
  <c r="S2043" i="2"/>
  <c r="E2044" i="2"/>
  <c r="F2044" i="2"/>
  <c r="G2044" i="2"/>
  <c r="H2044" i="2"/>
  <c r="I2044" i="2"/>
  <c r="J2044" i="2"/>
  <c r="K2044" i="2"/>
  <c r="L2044" i="2"/>
  <c r="M2044" i="2"/>
  <c r="N2044" i="2"/>
  <c r="O2044" i="2"/>
  <c r="Q2044" i="2"/>
  <c r="R2044" i="2"/>
  <c r="S2044" i="2"/>
  <c r="E2045" i="2"/>
  <c r="F2045" i="2"/>
  <c r="G2045" i="2"/>
  <c r="H2045" i="2"/>
  <c r="I2045" i="2"/>
  <c r="J2045" i="2"/>
  <c r="M2045" i="2" s="1"/>
  <c r="K2045" i="2"/>
  <c r="L2045" i="2"/>
  <c r="N2045" i="2"/>
  <c r="O2045" i="2"/>
  <c r="Q2045" i="2"/>
  <c r="R2045" i="2"/>
  <c r="S2045" i="2"/>
  <c r="E2046" i="2"/>
  <c r="F2046" i="2"/>
  <c r="G2046" i="2"/>
  <c r="H2046" i="2"/>
  <c r="I2046" i="2"/>
  <c r="J2046" i="2"/>
  <c r="K2046" i="2"/>
  <c r="L2046" i="2"/>
  <c r="N2046" i="2"/>
  <c r="O2046" i="2"/>
  <c r="Q2046" i="2"/>
  <c r="R2046" i="2"/>
  <c r="S2046" i="2"/>
  <c r="E2047" i="2"/>
  <c r="F2047" i="2"/>
  <c r="G2047" i="2"/>
  <c r="H2047" i="2"/>
  <c r="I2047" i="2"/>
  <c r="J2047" i="2"/>
  <c r="K2047" i="2"/>
  <c r="L2047" i="2"/>
  <c r="N2047" i="2"/>
  <c r="P2047" i="2" s="1"/>
  <c r="O2047" i="2"/>
  <c r="Q2047" i="2"/>
  <c r="R2047" i="2"/>
  <c r="S2047" i="2"/>
  <c r="E2048" i="2"/>
  <c r="F2048" i="2"/>
  <c r="G2048" i="2"/>
  <c r="H2048" i="2"/>
  <c r="I2048" i="2"/>
  <c r="J2048" i="2"/>
  <c r="K2048" i="2"/>
  <c r="L2048" i="2"/>
  <c r="N2048" i="2"/>
  <c r="O2048" i="2"/>
  <c r="P2048" i="2" s="1"/>
  <c r="Q2048" i="2"/>
  <c r="R2048" i="2"/>
  <c r="S2048" i="2"/>
  <c r="E2049" i="2"/>
  <c r="F2049" i="2"/>
  <c r="G2049" i="2"/>
  <c r="H2049" i="2"/>
  <c r="M2049" i="2" s="1"/>
  <c r="I2049" i="2"/>
  <c r="J2049" i="2"/>
  <c r="K2049" i="2"/>
  <c r="L2049" i="2"/>
  <c r="N2049" i="2"/>
  <c r="O2049" i="2"/>
  <c r="Q2049" i="2"/>
  <c r="R2049" i="2"/>
  <c r="S2049" i="2"/>
  <c r="E2050" i="2"/>
  <c r="F2050" i="2"/>
  <c r="G2050" i="2"/>
  <c r="H2050" i="2"/>
  <c r="I2050" i="2"/>
  <c r="J2050" i="2"/>
  <c r="K2050" i="2"/>
  <c r="L2050" i="2"/>
  <c r="M2050" i="2"/>
  <c r="N2050" i="2"/>
  <c r="O2050" i="2"/>
  <c r="Q2050" i="2"/>
  <c r="R2050" i="2"/>
  <c r="S2050" i="2"/>
  <c r="E2051" i="2"/>
  <c r="F2051" i="2"/>
  <c r="G2051" i="2"/>
  <c r="H2051" i="2"/>
  <c r="M2051" i="2" s="1"/>
  <c r="I2051" i="2"/>
  <c r="J2051" i="2"/>
  <c r="K2051" i="2"/>
  <c r="L2051" i="2"/>
  <c r="N2051" i="2"/>
  <c r="P2051" i="2" s="1"/>
  <c r="O2051" i="2"/>
  <c r="Q2051" i="2"/>
  <c r="R2051" i="2"/>
  <c r="S2051" i="2"/>
  <c r="E2052" i="2"/>
  <c r="F2052" i="2"/>
  <c r="G2052" i="2"/>
  <c r="H2052" i="2"/>
  <c r="I2052" i="2"/>
  <c r="J2052" i="2"/>
  <c r="K2052" i="2"/>
  <c r="L2052" i="2"/>
  <c r="N2052" i="2"/>
  <c r="O2052" i="2"/>
  <c r="P2052" i="2" s="1"/>
  <c r="Q2052" i="2"/>
  <c r="R2052" i="2"/>
  <c r="S2052" i="2"/>
  <c r="E2053" i="2"/>
  <c r="F2053" i="2"/>
  <c r="G2053" i="2"/>
  <c r="H2053" i="2"/>
  <c r="I2053" i="2"/>
  <c r="J2053" i="2"/>
  <c r="K2053" i="2"/>
  <c r="L2053" i="2"/>
  <c r="N2053" i="2"/>
  <c r="O2053" i="2"/>
  <c r="Q2053" i="2"/>
  <c r="R2053" i="2"/>
  <c r="S2053" i="2"/>
  <c r="E2054" i="2"/>
  <c r="F2054" i="2"/>
  <c r="G2054" i="2"/>
  <c r="H2054" i="2"/>
  <c r="I2054" i="2"/>
  <c r="J2054" i="2"/>
  <c r="K2054" i="2"/>
  <c r="L2054" i="2"/>
  <c r="M2054" i="2"/>
  <c r="N2054" i="2"/>
  <c r="O2054" i="2"/>
  <c r="Q2054" i="2"/>
  <c r="R2054" i="2"/>
  <c r="S2054" i="2"/>
  <c r="E2055" i="2"/>
  <c r="F2055" i="2"/>
  <c r="G2055" i="2"/>
  <c r="H2055" i="2"/>
  <c r="I2055" i="2"/>
  <c r="J2055" i="2"/>
  <c r="K2055" i="2"/>
  <c r="L2055" i="2"/>
  <c r="N2055" i="2"/>
  <c r="P2055" i="2" s="1"/>
  <c r="O2055" i="2"/>
  <c r="Q2055" i="2"/>
  <c r="R2055" i="2"/>
  <c r="S2055" i="2"/>
  <c r="E2056" i="2"/>
  <c r="F2056" i="2"/>
  <c r="G2056" i="2"/>
  <c r="H2056" i="2"/>
  <c r="I2056" i="2"/>
  <c r="J2056" i="2"/>
  <c r="K2056" i="2"/>
  <c r="L2056" i="2"/>
  <c r="N2056" i="2"/>
  <c r="O2056" i="2"/>
  <c r="P2056" i="2" s="1"/>
  <c r="Q2056" i="2"/>
  <c r="R2056" i="2"/>
  <c r="S2056" i="2"/>
  <c r="E2057" i="2"/>
  <c r="F2057" i="2"/>
  <c r="G2057" i="2"/>
  <c r="H2057" i="2"/>
  <c r="M2057" i="2" s="1"/>
  <c r="I2057" i="2"/>
  <c r="J2057" i="2"/>
  <c r="K2057" i="2"/>
  <c r="L2057" i="2"/>
  <c r="N2057" i="2"/>
  <c r="O2057" i="2"/>
  <c r="Q2057" i="2"/>
  <c r="R2057" i="2"/>
  <c r="S2057" i="2"/>
  <c r="E2058" i="2"/>
  <c r="F2058" i="2"/>
  <c r="G2058" i="2"/>
  <c r="H2058" i="2"/>
  <c r="I2058" i="2"/>
  <c r="J2058" i="2"/>
  <c r="K2058" i="2"/>
  <c r="L2058" i="2"/>
  <c r="M2058" i="2"/>
  <c r="N2058" i="2"/>
  <c r="O2058" i="2"/>
  <c r="Q2058" i="2"/>
  <c r="R2058" i="2"/>
  <c r="S2058" i="2"/>
  <c r="E2059" i="2"/>
  <c r="F2059" i="2"/>
  <c r="G2059" i="2"/>
  <c r="H2059" i="2"/>
  <c r="M2059" i="2" s="1"/>
  <c r="I2059" i="2"/>
  <c r="J2059" i="2"/>
  <c r="K2059" i="2"/>
  <c r="L2059" i="2"/>
  <c r="N2059" i="2"/>
  <c r="P2059" i="2" s="1"/>
  <c r="O2059" i="2"/>
  <c r="Q2059" i="2"/>
  <c r="R2059" i="2"/>
  <c r="S2059" i="2"/>
  <c r="E2060" i="2"/>
  <c r="F2060" i="2"/>
  <c r="G2060" i="2"/>
  <c r="H2060" i="2"/>
  <c r="I2060" i="2"/>
  <c r="J2060" i="2"/>
  <c r="K2060" i="2"/>
  <c r="L2060" i="2"/>
  <c r="N2060" i="2"/>
  <c r="O2060" i="2"/>
  <c r="P2060" i="2" s="1"/>
  <c r="Q2060" i="2"/>
  <c r="R2060" i="2"/>
  <c r="S2060" i="2"/>
  <c r="E2061" i="2"/>
  <c r="F2061" i="2"/>
  <c r="G2061" i="2"/>
  <c r="H2061" i="2"/>
  <c r="I2061" i="2"/>
  <c r="J2061" i="2"/>
  <c r="K2061" i="2"/>
  <c r="L2061" i="2"/>
  <c r="N2061" i="2"/>
  <c r="O2061" i="2"/>
  <c r="Q2061" i="2"/>
  <c r="R2061" i="2"/>
  <c r="S2061" i="2"/>
  <c r="E2062" i="2"/>
  <c r="F2062" i="2"/>
  <c r="G2062" i="2"/>
  <c r="H2062" i="2"/>
  <c r="I2062" i="2"/>
  <c r="J2062" i="2"/>
  <c r="K2062" i="2"/>
  <c r="L2062" i="2"/>
  <c r="M2062" i="2"/>
  <c r="N2062" i="2"/>
  <c r="O2062" i="2"/>
  <c r="Q2062" i="2"/>
  <c r="R2062" i="2"/>
  <c r="S2062" i="2"/>
  <c r="E2063" i="2"/>
  <c r="F2063" i="2"/>
  <c r="G2063" i="2"/>
  <c r="H2063" i="2"/>
  <c r="I2063" i="2"/>
  <c r="J2063" i="2"/>
  <c r="K2063" i="2"/>
  <c r="L2063" i="2"/>
  <c r="N2063" i="2"/>
  <c r="P2063" i="2" s="1"/>
  <c r="O2063" i="2"/>
  <c r="Q2063" i="2"/>
  <c r="R2063" i="2"/>
  <c r="S2063" i="2"/>
  <c r="E2064" i="2"/>
  <c r="F2064" i="2"/>
  <c r="G2064" i="2"/>
  <c r="H2064" i="2"/>
  <c r="I2064" i="2"/>
  <c r="J2064" i="2"/>
  <c r="K2064" i="2"/>
  <c r="L2064" i="2"/>
  <c r="N2064" i="2"/>
  <c r="O2064" i="2"/>
  <c r="P2064" i="2" s="1"/>
  <c r="Q2064" i="2"/>
  <c r="R2064" i="2"/>
  <c r="S2064" i="2"/>
  <c r="E2065" i="2"/>
  <c r="F2065" i="2"/>
  <c r="G2065" i="2"/>
  <c r="H2065" i="2"/>
  <c r="I2065" i="2"/>
  <c r="J2065" i="2"/>
  <c r="K2065" i="2"/>
  <c r="L2065" i="2"/>
  <c r="N2065" i="2"/>
  <c r="O2065" i="2"/>
  <c r="Q2065" i="2"/>
  <c r="R2065" i="2"/>
  <c r="S2065" i="2"/>
  <c r="E2066" i="2"/>
  <c r="F2066" i="2"/>
  <c r="G2066" i="2"/>
  <c r="H2066" i="2"/>
  <c r="I2066" i="2"/>
  <c r="J2066" i="2"/>
  <c r="K2066" i="2"/>
  <c r="L2066" i="2"/>
  <c r="M2066" i="2"/>
  <c r="N2066" i="2"/>
  <c r="O2066" i="2"/>
  <c r="Q2066" i="2"/>
  <c r="R2066" i="2"/>
  <c r="S2066" i="2"/>
  <c r="E2067" i="2"/>
  <c r="F2067" i="2"/>
  <c r="G2067" i="2"/>
  <c r="H2067" i="2"/>
  <c r="M2067" i="2" s="1"/>
  <c r="I2067" i="2"/>
  <c r="J2067" i="2"/>
  <c r="K2067" i="2"/>
  <c r="L2067" i="2"/>
  <c r="N2067" i="2"/>
  <c r="P2067" i="2" s="1"/>
  <c r="O2067" i="2"/>
  <c r="Q2067" i="2"/>
  <c r="R2067" i="2"/>
  <c r="S2067" i="2"/>
  <c r="E2068" i="2"/>
  <c r="F2068" i="2"/>
  <c r="G2068" i="2"/>
  <c r="H2068" i="2"/>
  <c r="I2068" i="2"/>
  <c r="J2068" i="2"/>
  <c r="K2068" i="2"/>
  <c r="L2068" i="2"/>
  <c r="N2068" i="2"/>
  <c r="O2068" i="2"/>
  <c r="P2068" i="2" s="1"/>
  <c r="Q2068" i="2"/>
  <c r="R2068" i="2"/>
  <c r="S2068" i="2"/>
  <c r="E2069" i="2"/>
  <c r="F2069" i="2"/>
  <c r="G2069" i="2"/>
  <c r="H2069" i="2"/>
  <c r="I2069" i="2"/>
  <c r="J2069" i="2"/>
  <c r="K2069" i="2"/>
  <c r="L2069" i="2"/>
  <c r="N2069" i="2"/>
  <c r="O2069" i="2"/>
  <c r="Q2069" i="2"/>
  <c r="R2069" i="2"/>
  <c r="S2069" i="2"/>
  <c r="E2070" i="2"/>
  <c r="F2070" i="2"/>
  <c r="G2070" i="2"/>
  <c r="H2070" i="2"/>
  <c r="I2070" i="2"/>
  <c r="J2070" i="2"/>
  <c r="K2070" i="2"/>
  <c r="L2070" i="2"/>
  <c r="M2070" i="2"/>
  <c r="N2070" i="2"/>
  <c r="O2070" i="2"/>
  <c r="Q2070" i="2"/>
  <c r="R2070" i="2"/>
  <c r="S2070" i="2"/>
  <c r="E2071" i="2"/>
  <c r="F2071" i="2"/>
  <c r="G2071" i="2"/>
  <c r="H2071" i="2"/>
  <c r="I2071" i="2"/>
  <c r="J2071" i="2"/>
  <c r="K2071" i="2"/>
  <c r="L2071" i="2"/>
  <c r="N2071" i="2"/>
  <c r="P2071" i="2" s="1"/>
  <c r="O2071" i="2"/>
  <c r="Q2071" i="2"/>
  <c r="R2071" i="2"/>
  <c r="S2071" i="2"/>
  <c r="E2072" i="2"/>
  <c r="F2072" i="2"/>
  <c r="G2072" i="2"/>
  <c r="H2072" i="2"/>
  <c r="I2072" i="2"/>
  <c r="J2072" i="2"/>
  <c r="K2072" i="2"/>
  <c r="L2072" i="2"/>
  <c r="N2072" i="2"/>
  <c r="O2072" i="2"/>
  <c r="P2072" i="2" s="1"/>
  <c r="Q2072" i="2"/>
  <c r="R2072" i="2"/>
  <c r="S2072" i="2"/>
  <c r="E2073" i="2"/>
  <c r="F2073" i="2"/>
  <c r="G2073" i="2"/>
  <c r="H2073" i="2"/>
  <c r="M2073" i="2" s="1"/>
  <c r="I2073" i="2"/>
  <c r="J2073" i="2"/>
  <c r="K2073" i="2"/>
  <c r="L2073" i="2"/>
  <c r="N2073" i="2"/>
  <c r="O2073" i="2"/>
  <c r="Q2073" i="2"/>
  <c r="R2073" i="2"/>
  <c r="S2073" i="2"/>
  <c r="E2074" i="2"/>
  <c r="F2074" i="2"/>
  <c r="G2074" i="2"/>
  <c r="H2074" i="2"/>
  <c r="I2074" i="2"/>
  <c r="J2074" i="2"/>
  <c r="K2074" i="2"/>
  <c r="L2074" i="2"/>
  <c r="M2074" i="2"/>
  <c r="N2074" i="2"/>
  <c r="O2074" i="2"/>
  <c r="Q2074" i="2"/>
  <c r="R2074" i="2"/>
  <c r="S2074" i="2"/>
  <c r="E2075" i="2"/>
  <c r="F2075" i="2"/>
  <c r="G2075" i="2"/>
  <c r="H2075" i="2"/>
  <c r="M2075" i="2" s="1"/>
  <c r="I2075" i="2"/>
  <c r="J2075" i="2"/>
  <c r="K2075" i="2"/>
  <c r="L2075" i="2"/>
  <c r="N2075" i="2"/>
  <c r="P2075" i="2" s="1"/>
  <c r="O2075" i="2"/>
  <c r="Q2075" i="2"/>
  <c r="R2075" i="2"/>
  <c r="S2075" i="2"/>
  <c r="E2076" i="2"/>
  <c r="F2076" i="2"/>
  <c r="G2076" i="2"/>
  <c r="H2076" i="2"/>
  <c r="I2076" i="2"/>
  <c r="J2076" i="2"/>
  <c r="K2076" i="2"/>
  <c r="L2076" i="2"/>
  <c r="N2076" i="2"/>
  <c r="O2076" i="2"/>
  <c r="P2076" i="2" s="1"/>
  <c r="Q2076" i="2"/>
  <c r="R2076" i="2"/>
  <c r="S2076" i="2"/>
  <c r="E2077" i="2"/>
  <c r="F2077" i="2"/>
  <c r="G2077" i="2"/>
  <c r="H2077" i="2"/>
  <c r="I2077" i="2"/>
  <c r="J2077" i="2"/>
  <c r="K2077" i="2"/>
  <c r="L2077" i="2"/>
  <c r="N2077" i="2"/>
  <c r="O2077" i="2"/>
  <c r="Q2077" i="2"/>
  <c r="R2077" i="2"/>
  <c r="S2077" i="2"/>
  <c r="E2078" i="2"/>
  <c r="F2078" i="2"/>
  <c r="G2078" i="2"/>
  <c r="H2078" i="2"/>
  <c r="I2078" i="2"/>
  <c r="J2078" i="2"/>
  <c r="K2078" i="2"/>
  <c r="L2078" i="2"/>
  <c r="M2078" i="2"/>
  <c r="N2078" i="2"/>
  <c r="O2078" i="2"/>
  <c r="Q2078" i="2"/>
  <c r="R2078" i="2"/>
  <c r="S2078" i="2"/>
  <c r="E2079" i="2"/>
  <c r="F2079" i="2"/>
  <c r="G2079" i="2"/>
  <c r="H2079" i="2"/>
  <c r="I2079" i="2"/>
  <c r="J2079" i="2"/>
  <c r="K2079" i="2"/>
  <c r="L2079" i="2"/>
  <c r="N2079" i="2"/>
  <c r="P2079" i="2" s="1"/>
  <c r="O2079" i="2"/>
  <c r="Q2079" i="2"/>
  <c r="R2079" i="2"/>
  <c r="S2079" i="2"/>
  <c r="E2080" i="2"/>
  <c r="F2080" i="2"/>
  <c r="G2080" i="2"/>
  <c r="H2080" i="2"/>
  <c r="I2080" i="2"/>
  <c r="J2080" i="2"/>
  <c r="K2080" i="2"/>
  <c r="L2080" i="2"/>
  <c r="N2080" i="2"/>
  <c r="O2080" i="2"/>
  <c r="P2080" i="2" s="1"/>
  <c r="Q2080" i="2"/>
  <c r="R2080" i="2"/>
  <c r="S2080" i="2"/>
  <c r="E2081" i="2"/>
  <c r="F2081" i="2"/>
  <c r="G2081" i="2"/>
  <c r="H2081" i="2"/>
  <c r="I2081" i="2"/>
  <c r="J2081" i="2"/>
  <c r="K2081" i="2"/>
  <c r="L2081" i="2"/>
  <c r="N2081" i="2"/>
  <c r="O2081" i="2"/>
  <c r="Q2081" i="2"/>
  <c r="R2081" i="2"/>
  <c r="S2081" i="2"/>
  <c r="E2082" i="2"/>
  <c r="F2082" i="2"/>
  <c r="G2082" i="2"/>
  <c r="H2082" i="2"/>
  <c r="I2082" i="2"/>
  <c r="J2082" i="2"/>
  <c r="K2082" i="2"/>
  <c r="L2082" i="2"/>
  <c r="M2082" i="2"/>
  <c r="N2082" i="2"/>
  <c r="O2082" i="2"/>
  <c r="Q2082" i="2"/>
  <c r="R2082" i="2"/>
  <c r="S2082" i="2"/>
  <c r="E2083" i="2"/>
  <c r="F2083" i="2"/>
  <c r="G2083" i="2"/>
  <c r="H2083" i="2"/>
  <c r="M2083" i="2" s="1"/>
  <c r="I2083" i="2"/>
  <c r="J2083" i="2"/>
  <c r="K2083" i="2"/>
  <c r="L2083" i="2"/>
  <c r="N2083" i="2"/>
  <c r="P2083" i="2" s="1"/>
  <c r="O2083" i="2"/>
  <c r="Q2083" i="2"/>
  <c r="R2083" i="2"/>
  <c r="S2083" i="2"/>
  <c r="E2084" i="2"/>
  <c r="F2084" i="2"/>
  <c r="G2084" i="2"/>
  <c r="H2084" i="2"/>
  <c r="I2084" i="2"/>
  <c r="J2084" i="2"/>
  <c r="K2084" i="2"/>
  <c r="L2084" i="2"/>
  <c r="N2084" i="2"/>
  <c r="O2084" i="2"/>
  <c r="P2084" i="2" s="1"/>
  <c r="Q2084" i="2"/>
  <c r="R2084" i="2"/>
  <c r="S2084" i="2"/>
  <c r="E2085" i="2"/>
  <c r="F2085" i="2"/>
  <c r="G2085" i="2"/>
  <c r="H2085" i="2"/>
  <c r="I2085" i="2"/>
  <c r="J2085" i="2"/>
  <c r="K2085" i="2"/>
  <c r="L2085" i="2"/>
  <c r="N2085" i="2"/>
  <c r="O2085" i="2"/>
  <c r="Q2085" i="2"/>
  <c r="R2085" i="2"/>
  <c r="S2085" i="2"/>
  <c r="E2086" i="2"/>
  <c r="F2086" i="2"/>
  <c r="G2086" i="2"/>
  <c r="H2086" i="2"/>
  <c r="I2086" i="2"/>
  <c r="J2086" i="2"/>
  <c r="K2086" i="2"/>
  <c r="L2086" i="2"/>
  <c r="M2086" i="2"/>
  <c r="N2086" i="2"/>
  <c r="O2086" i="2"/>
  <c r="Q2086" i="2"/>
  <c r="R2086" i="2"/>
  <c r="S2086" i="2"/>
  <c r="E2087" i="2"/>
  <c r="F2087" i="2"/>
  <c r="G2087" i="2"/>
  <c r="H2087" i="2"/>
  <c r="I2087" i="2"/>
  <c r="J2087" i="2"/>
  <c r="K2087" i="2"/>
  <c r="L2087" i="2"/>
  <c r="N2087" i="2"/>
  <c r="P2087" i="2" s="1"/>
  <c r="O2087" i="2"/>
  <c r="Q2087" i="2"/>
  <c r="R2087" i="2"/>
  <c r="S2087" i="2"/>
  <c r="E2088" i="2"/>
  <c r="F2088" i="2"/>
  <c r="G2088" i="2"/>
  <c r="H2088" i="2"/>
  <c r="I2088" i="2"/>
  <c r="J2088" i="2"/>
  <c r="K2088" i="2"/>
  <c r="L2088" i="2"/>
  <c r="N2088" i="2"/>
  <c r="O2088" i="2"/>
  <c r="P2088" i="2" s="1"/>
  <c r="Q2088" i="2"/>
  <c r="R2088" i="2"/>
  <c r="S2088" i="2"/>
  <c r="E2089" i="2"/>
  <c r="F2089" i="2"/>
  <c r="G2089" i="2"/>
  <c r="H2089" i="2"/>
  <c r="M2089" i="2" s="1"/>
  <c r="I2089" i="2"/>
  <c r="J2089" i="2"/>
  <c r="K2089" i="2"/>
  <c r="L2089" i="2"/>
  <c r="N2089" i="2"/>
  <c r="O2089" i="2"/>
  <c r="Q2089" i="2"/>
  <c r="R2089" i="2"/>
  <c r="S2089" i="2"/>
  <c r="E2090" i="2"/>
  <c r="F2090" i="2"/>
  <c r="G2090" i="2"/>
  <c r="H2090" i="2"/>
  <c r="I2090" i="2"/>
  <c r="J2090" i="2"/>
  <c r="K2090" i="2"/>
  <c r="L2090" i="2"/>
  <c r="M2090" i="2"/>
  <c r="N2090" i="2"/>
  <c r="O2090" i="2"/>
  <c r="Q2090" i="2"/>
  <c r="R2090" i="2"/>
  <c r="S2090" i="2"/>
  <c r="E2091" i="2"/>
  <c r="F2091" i="2"/>
  <c r="G2091" i="2"/>
  <c r="H2091" i="2"/>
  <c r="M2091" i="2" s="1"/>
  <c r="I2091" i="2"/>
  <c r="J2091" i="2"/>
  <c r="K2091" i="2"/>
  <c r="L2091" i="2"/>
  <c r="N2091" i="2"/>
  <c r="P2091" i="2" s="1"/>
  <c r="O2091" i="2"/>
  <c r="Q2091" i="2"/>
  <c r="R2091" i="2"/>
  <c r="S2091" i="2"/>
  <c r="E2092" i="2"/>
  <c r="F2092" i="2"/>
  <c r="G2092" i="2"/>
  <c r="H2092" i="2"/>
  <c r="I2092" i="2"/>
  <c r="J2092" i="2"/>
  <c r="K2092" i="2"/>
  <c r="L2092" i="2"/>
  <c r="N2092" i="2"/>
  <c r="O2092" i="2"/>
  <c r="P2092" i="2" s="1"/>
  <c r="Q2092" i="2"/>
  <c r="R2092" i="2"/>
  <c r="S2092" i="2"/>
  <c r="E2093" i="2"/>
  <c r="F2093" i="2"/>
  <c r="G2093" i="2"/>
  <c r="H2093" i="2"/>
  <c r="I2093" i="2"/>
  <c r="J2093" i="2"/>
  <c r="K2093" i="2"/>
  <c r="L2093" i="2"/>
  <c r="N2093" i="2"/>
  <c r="O2093" i="2"/>
  <c r="Q2093" i="2"/>
  <c r="R2093" i="2"/>
  <c r="S2093" i="2"/>
  <c r="E2094" i="2"/>
  <c r="F2094" i="2"/>
  <c r="G2094" i="2"/>
  <c r="H2094" i="2"/>
  <c r="I2094" i="2"/>
  <c r="J2094" i="2"/>
  <c r="K2094" i="2"/>
  <c r="L2094" i="2"/>
  <c r="M2094" i="2"/>
  <c r="N2094" i="2"/>
  <c r="O2094" i="2"/>
  <c r="Q2094" i="2"/>
  <c r="R2094" i="2"/>
  <c r="S2094" i="2"/>
  <c r="E2095" i="2"/>
  <c r="F2095" i="2"/>
  <c r="G2095" i="2"/>
  <c r="H2095" i="2"/>
  <c r="I2095" i="2"/>
  <c r="J2095" i="2"/>
  <c r="K2095" i="2"/>
  <c r="L2095" i="2"/>
  <c r="N2095" i="2"/>
  <c r="P2095" i="2" s="1"/>
  <c r="O2095" i="2"/>
  <c r="Q2095" i="2"/>
  <c r="R2095" i="2"/>
  <c r="S2095" i="2"/>
  <c r="E2096" i="2"/>
  <c r="F2096" i="2"/>
  <c r="G2096" i="2"/>
  <c r="H2096" i="2"/>
  <c r="I2096" i="2"/>
  <c r="J2096" i="2"/>
  <c r="K2096" i="2"/>
  <c r="L2096" i="2"/>
  <c r="N2096" i="2"/>
  <c r="O2096" i="2"/>
  <c r="P2096" i="2" s="1"/>
  <c r="Q2096" i="2"/>
  <c r="R2096" i="2"/>
  <c r="S2096" i="2"/>
  <c r="E2097" i="2"/>
  <c r="F2097" i="2"/>
  <c r="G2097" i="2"/>
  <c r="H2097" i="2"/>
  <c r="M2097" i="2" s="1"/>
  <c r="I2097" i="2"/>
  <c r="J2097" i="2"/>
  <c r="K2097" i="2"/>
  <c r="L2097" i="2"/>
  <c r="N2097" i="2"/>
  <c r="O2097" i="2"/>
  <c r="Q2097" i="2"/>
  <c r="R2097" i="2"/>
  <c r="S2097" i="2"/>
  <c r="E2098" i="2"/>
  <c r="F2098" i="2"/>
  <c r="G2098" i="2"/>
  <c r="H2098" i="2"/>
  <c r="I2098" i="2"/>
  <c r="J2098" i="2"/>
  <c r="K2098" i="2"/>
  <c r="L2098" i="2"/>
  <c r="M2098" i="2"/>
  <c r="N2098" i="2"/>
  <c r="O2098" i="2"/>
  <c r="Q2098" i="2"/>
  <c r="R2098" i="2"/>
  <c r="S2098" i="2"/>
  <c r="E2099" i="2"/>
  <c r="F2099" i="2"/>
  <c r="G2099" i="2"/>
  <c r="H2099" i="2"/>
  <c r="M2099" i="2" s="1"/>
  <c r="I2099" i="2"/>
  <c r="J2099" i="2"/>
  <c r="K2099" i="2"/>
  <c r="L2099" i="2"/>
  <c r="N2099" i="2"/>
  <c r="P2099" i="2" s="1"/>
  <c r="O2099" i="2"/>
  <c r="Q2099" i="2"/>
  <c r="R2099" i="2"/>
  <c r="S2099" i="2"/>
  <c r="E2100" i="2"/>
  <c r="F2100" i="2"/>
  <c r="G2100" i="2"/>
  <c r="H2100" i="2"/>
  <c r="I2100" i="2"/>
  <c r="J2100" i="2"/>
  <c r="K2100" i="2"/>
  <c r="L2100" i="2"/>
  <c r="N2100" i="2"/>
  <c r="O2100" i="2"/>
  <c r="P2100" i="2" s="1"/>
  <c r="Q2100" i="2"/>
  <c r="R2100" i="2"/>
  <c r="S2100" i="2"/>
  <c r="E2101" i="2"/>
  <c r="F2101" i="2"/>
  <c r="G2101" i="2"/>
  <c r="H2101" i="2"/>
  <c r="I2101" i="2"/>
  <c r="J2101" i="2"/>
  <c r="K2101" i="2"/>
  <c r="L2101" i="2"/>
  <c r="N2101" i="2"/>
  <c r="O2101" i="2"/>
  <c r="Q2101" i="2"/>
  <c r="R2101" i="2"/>
  <c r="S2101" i="2"/>
  <c r="E2102" i="2"/>
  <c r="F2102" i="2"/>
  <c r="G2102" i="2"/>
  <c r="H2102" i="2"/>
  <c r="I2102" i="2"/>
  <c r="J2102" i="2"/>
  <c r="K2102" i="2"/>
  <c r="L2102" i="2"/>
  <c r="M2102" i="2"/>
  <c r="N2102" i="2"/>
  <c r="O2102" i="2"/>
  <c r="Q2102" i="2"/>
  <c r="R2102" i="2"/>
  <c r="S2102" i="2"/>
  <c r="E2103" i="2"/>
  <c r="F2103" i="2"/>
  <c r="G2103" i="2"/>
  <c r="H2103" i="2"/>
  <c r="I2103" i="2"/>
  <c r="J2103" i="2"/>
  <c r="K2103" i="2"/>
  <c r="L2103" i="2"/>
  <c r="N2103" i="2"/>
  <c r="P2103" i="2" s="1"/>
  <c r="O2103" i="2"/>
  <c r="Q2103" i="2"/>
  <c r="R2103" i="2"/>
  <c r="S2103" i="2"/>
  <c r="E2104" i="2"/>
  <c r="F2104" i="2"/>
  <c r="G2104" i="2"/>
  <c r="H2104" i="2"/>
  <c r="I2104" i="2"/>
  <c r="J2104" i="2"/>
  <c r="K2104" i="2"/>
  <c r="L2104" i="2"/>
  <c r="N2104" i="2"/>
  <c r="O2104" i="2"/>
  <c r="P2104" i="2" s="1"/>
  <c r="Q2104" i="2"/>
  <c r="R2104" i="2"/>
  <c r="S2104" i="2"/>
  <c r="E2105" i="2"/>
  <c r="F2105" i="2"/>
  <c r="G2105" i="2"/>
  <c r="H2105" i="2"/>
  <c r="I2105" i="2"/>
  <c r="J2105" i="2"/>
  <c r="K2105" i="2"/>
  <c r="L2105" i="2"/>
  <c r="N2105" i="2"/>
  <c r="O2105" i="2"/>
  <c r="Q2105" i="2"/>
  <c r="R2105" i="2"/>
  <c r="S2105" i="2"/>
  <c r="E2106" i="2"/>
  <c r="F2106" i="2"/>
  <c r="G2106" i="2"/>
  <c r="H2106" i="2"/>
  <c r="I2106" i="2"/>
  <c r="J2106" i="2"/>
  <c r="K2106" i="2"/>
  <c r="L2106" i="2"/>
  <c r="M2106" i="2"/>
  <c r="N2106" i="2"/>
  <c r="O2106" i="2"/>
  <c r="Q2106" i="2"/>
  <c r="R2106" i="2"/>
  <c r="S2106" i="2"/>
  <c r="E2107" i="2"/>
  <c r="F2107" i="2"/>
  <c r="G2107" i="2"/>
  <c r="H2107" i="2"/>
  <c r="M2107" i="2" s="1"/>
  <c r="I2107" i="2"/>
  <c r="J2107" i="2"/>
  <c r="K2107" i="2"/>
  <c r="L2107" i="2"/>
  <c r="N2107" i="2"/>
  <c r="P2107" i="2" s="1"/>
  <c r="O2107" i="2"/>
  <c r="Q2107" i="2"/>
  <c r="R2107" i="2"/>
  <c r="S2107" i="2"/>
  <c r="E2108" i="2"/>
  <c r="F2108" i="2"/>
  <c r="G2108" i="2"/>
  <c r="H2108" i="2"/>
  <c r="I2108" i="2"/>
  <c r="J2108" i="2"/>
  <c r="K2108" i="2"/>
  <c r="L2108" i="2"/>
  <c r="N2108" i="2"/>
  <c r="O2108" i="2"/>
  <c r="P2108" i="2" s="1"/>
  <c r="Q2108" i="2"/>
  <c r="R2108" i="2"/>
  <c r="S2108" i="2"/>
  <c r="E2109" i="2"/>
  <c r="F2109" i="2"/>
  <c r="G2109" i="2"/>
  <c r="H2109" i="2"/>
  <c r="I2109" i="2"/>
  <c r="J2109" i="2"/>
  <c r="K2109" i="2"/>
  <c r="L2109" i="2"/>
  <c r="N2109" i="2"/>
  <c r="O2109" i="2"/>
  <c r="Q2109" i="2"/>
  <c r="R2109" i="2"/>
  <c r="S2109" i="2"/>
  <c r="E2110" i="2"/>
  <c r="F2110" i="2"/>
  <c r="G2110" i="2"/>
  <c r="H2110" i="2"/>
  <c r="I2110" i="2"/>
  <c r="J2110" i="2"/>
  <c r="K2110" i="2"/>
  <c r="L2110" i="2"/>
  <c r="M2110" i="2"/>
  <c r="N2110" i="2"/>
  <c r="O2110" i="2"/>
  <c r="Q2110" i="2"/>
  <c r="R2110" i="2"/>
  <c r="S2110" i="2"/>
  <c r="E2111" i="2"/>
  <c r="F2111" i="2"/>
  <c r="G2111" i="2"/>
  <c r="H2111" i="2"/>
  <c r="I2111" i="2"/>
  <c r="J2111" i="2"/>
  <c r="K2111" i="2"/>
  <c r="L2111" i="2"/>
  <c r="N2111" i="2"/>
  <c r="P2111" i="2" s="1"/>
  <c r="O2111" i="2"/>
  <c r="Q2111" i="2"/>
  <c r="R2111" i="2"/>
  <c r="S2111" i="2"/>
  <c r="E2112" i="2"/>
  <c r="F2112" i="2"/>
  <c r="G2112" i="2"/>
  <c r="H2112" i="2"/>
  <c r="I2112" i="2"/>
  <c r="J2112" i="2"/>
  <c r="K2112" i="2"/>
  <c r="L2112" i="2"/>
  <c r="N2112" i="2"/>
  <c r="O2112" i="2"/>
  <c r="P2112" i="2" s="1"/>
  <c r="Q2112" i="2"/>
  <c r="R2112" i="2"/>
  <c r="S2112" i="2"/>
  <c r="E2113" i="2"/>
  <c r="F2113" i="2"/>
  <c r="G2113" i="2"/>
  <c r="H2113" i="2"/>
  <c r="M2113" i="2" s="1"/>
  <c r="I2113" i="2"/>
  <c r="J2113" i="2"/>
  <c r="K2113" i="2"/>
  <c r="L2113" i="2"/>
  <c r="N2113" i="2"/>
  <c r="O2113" i="2"/>
  <c r="Q2113" i="2"/>
  <c r="R2113" i="2"/>
  <c r="S2113" i="2"/>
  <c r="E2114" i="2"/>
  <c r="F2114" i="2"/>
  <c r="G2114" i="2"/>
  <c r="H2114" i="2"/>
  <c r="I2114" i="2"/>
  <c r="J2114" i="2"/>
  <c r="K2114" i="2"/>
  <c r="L2114" i="2"/>
  <c r="M2114" i="2"/>
  <c r="N2114" i="2"/>
  <c r="O2114" i="2"/>
  <c r="Q2114" i="2"/>
  <c r="R2114" i="2"/>
  <c r="S2114" i="2"/>
  <c r="E2115" i="2"/>
  <c r="F2115" i="2"/>
  <c r="G2115" i="2"/>
  <c r="H2115" i="2"/>
  <c r="M2115" i="2" s="1"/>
  <c r="I2115" i="2"/>
  <c r="J2115" i="2"/>
  <c r="K2115" i="2"/>
  <c r="L2115" i="2"/>
  <c r="N2115" i="2"/>
  <c r="P2115" i="2" s="1"/>
  <c r="O2115" i="2"/>
  <c r="Q2115" i="2"/>
  <c r="R2115" i="2"/>
  <c r="S2115" i="2"/>
  <c r="E2116" i="2"/>
  <c r="F2116" i="2"/>
  <c r="G2116" i="2"/>
  <c r="H2116" i="2"/>
  <c r="I2116" i="2"/>
  <c r="J2116" i="2"/>
  <c r="K2116" i="2"/>
  <c r="L2116" i="2"/>
  <c r="N2116" i="2"/>
  <c r="O2116" i="2"/>
  <c r="P2116" i="2" s="1"/>
  <c r="Q2116" i="2"/>
  <c r="R2116" i="2"/>
  <c r="S2116" i="2"/>
  <c r="E2117" i="2"/>
  <c r="F2117" i="2"/>
  <c r="G2117" i="2"/>
  <c r="H2117" i="2"/>
  <c r="I2117" i="2"/>
  <c r="J2117" i="2"/>
  <c r="K2117" i="2"/>
  <c r="L2117" i="2"/>
  <c r="N2117" i="2"/>
  <c r="O2117" i="2"/>
  <c r="Q2117" i="2"/>
  <c r="R2117" i="2"/>
  <c r="S2117" i="2"/>
  <c r="E2118" i="2"/>
  <c r="F2118" i="2"/>
  <c r="G2118" i="2"/>
  <c r="H2118" i="2"/>
  <c r="I2118" i="2"/>
  <c r="J2118" i="2"/>
  <c r="K2118" i="2"/>
  <c r="L2118" i="2"/>
  <c r="M2118" i="2"/>
  <c r="N2118" i="2"/>
  <c r="O2118" i="2"/>
  <c r="Q2118" i="2"/>
  <c r="R2118" i="2"/>
  <c r="S2118" i="2"/>
  <c r="E2119" i="2"/>
  <c r="F2119" i="2"/>
  <c r="G2119" i="2"/>
  <c r="H2119" i="2"/>
  <c r="I2119" i="2"/>
  <c r="J2119" i="2"/>
  <c r="K2119" i="2"/>
  <c r="L2119" i="2"/>
  <c r="N2119" i="2"/>
  <c r="P2119" i="2" s="1"/>
  <c r="O2119" i="2"/>
  <c r="Q2119" i="2"/>
  <c r="R2119" i="2"/>
  <c r="S2119" i="2"/>
  <c r="E2120" i="2"/>
  <c r="F2120" i="2"/>
  <c r="G2120" i="2"/>
  <c r="H2120" i="2"/>
  <c r="I2120" i="2"/>
  <c r="J2120" i="2"/>
  <c r="K2120" i="2"/>
  <c r="L2120" i="2"/>
  <c r="N2120" i="2"/>
  <c r="O2120" i="2"/>
  <c r="P2120" i="2" s="1"/>
  <c r="Q2120" i="2"/>
  <c r="R2120" i="2"/>
  <c r="S2120" i="2"/>
  <c r="E2121" i="2"/>
  <c r="F2121" i="2"/>
  <c r="G2121" i="2"/>
  <c r="H2121" i="2"/>
  <c r="I2121" i="2"/>
  <c r="J2121" i="2"/>
  <c r="K2121" i="2"/>
  <c r="L2121" i="2"/>
  <c r="N2121" i="2"/>
  <c r="O2121" i="2"/>
  <c r="Q2121" i="2"/>
  <c r="R2121" i="2"/>
  <c r="S2121" i="2"/>
  <c r="E2122" i="2"/>
  <c r="F2122" i="2"/>
  <c r="G2122" i="2"/>
  <c r="H2122" i="2"/>
  <c r="I2122" i="2"/>
  <c r="J2122" i="2"/>
  <c r="K2122" i="2"/>
  <c r="L2122" i="2"/>
  <c r="M2122" i="2"/>
  <c r="N2122" i="2"/>
  <c r="O2122" i="2"/>
  <c r="Q2122" i="2"/>
  <c r="R2122" i="2"/>
  <c r="S2122" i="2"/>
  <c r="E2123" i="2"/>
  <c r="F2123" i="2"/>
  <c r="G2123" i="2"/>
  <c r="H2123" i="2"/>
  <c r="M2123" i="2" s="1"/>
  <c r="I2123" i="2"/>
  <c r="J2123" i="2"/>
  <c r="K2123" i="2"/>
  <c r="L2123" i="2"/>
  <c r="N2123" i="2"/>
  <c r="P2123" i="2" s="1"/>
  <c r="O2123" i="2"/>
  <c r="Q2123" i="2"/>
  <c r="R2123" i="2"/>
  <c r="S2123" i="2"/>
  <c r="E2124" i="2"/>
  <c r="F2124" i="2"/>
  <c r="G2124" i="2"/>
  <c r="H2124" i="2"/>
  <c r="I2124" i="2"/>
  <c r="J2124" i="2"/>
  <c r="K2124" i="2"/>
  <c r="L2124" i="2"/>
  <c r="N2124" i="2"/>
  <c r="O2124" i="2"/>
  <c r="P2124" i="2" s="1"/>
  <c r="Q2124" i="2"/>
  <c r="R2124" i="2"/>
  <c r="S2124" i="2"/>
  <c r="E2125" i="2"/>
  <c r="F2125" i="2"/>
  <c r="G2125" i="2"/>
  <c r="H2125" i="2"/>
  <c r="I2125" i="2"/>
  <c r="J2125" i="2"/>
  <c r="K2125" i="2"/>
  <c r="L2125" i="2"/>
  <c r="N2125" i="2"/>
  <c r="O2125" i="2"/>
  <c r="Q2125" i="2"/>
  <c r="R2125" i="2"/>
  <c r="S2125" i="2"/>
  <c r="E2126" i="2"/>
  <c r="F2126" i="2"/>
  <c r="G2126" i="2"/>
  <c r="H2126" i="2"/>
  <c r="I2126" i="2"/>
  <c r="J2126" i="2"/>
  <c r="K2126" i="2"/>
  <c r="L2126" i="2"/>
  <c r="M2126" i="2"/>
  <c r="N2126" i="2"/>
  <c r="O2126" i="2"/>
  <c r="Q2126" i="2"/>
  <c r="R2126" i="2"/>
  <c r="S2126" i="2"/>
  <c r="E2127" i="2"/>
  <c r="F2127" i="2"/>
  <c r="G2127" i="2"/>
  <c r="H2127" i="2"/>
  <c r="I2127" i="2"/>
  <c r="J2127" i="2"/>
  <c r="K2127" i="2"/>
  <c r="L2127" i="2"/>
  <c r="N2127" i="2"/>
  <c r="P2127" i="2" s="1"/>
  <c r="O2127" i="2"/>
  <c r="Q2127" i="2"/>
  <c r="R2127" i="2"/>
  <c r="S2127" i="2"/>
  <c r="E2128" i="2"/>
  <c r="F2128" i="2"/>
  <c r="G2128" i="2"/>
  <c r="H2128" i="2"/>
  <c r="I2128" i="2"/>
  <c r="J2128" i="2"/>
  <c r="K2128" i="2"/>
  <c r="L2128" i="2"/>
  <c r="N2128" i="2"/>
  <c r="O2128" i="2"/>
  <c r="P2128" i="2" s="1"/>
  <c r="Q2128" i="2"/>
  <c r="R2128" i="2"/>
  <c r="S2128" i="2"/>
  <c r="E2129" i="2"/>
  <c r="F2129" i="2"/>
  <c r="G2129" i="2"/>
  <c r="H2129" i="2"/>
  <c r="P2129" i="2" s="1"/>
  <c r="I2129" i="2"/>
  <c r="J2129" i="2"/>
  <c r="K2129" i="2"/>
  <c r="L2129" i="2"/>
  <c r="N2129" i="2"/>
  <c r="O2129" i="2"/>
  <c r="Q2129" i="2"/>
  <c r="R2129" i="2"/>
  <c r="S2129" i="2"/>
  <c r="E2130" i="2"/>
  <c r="F2130" i="2"/>
  <c r="G2130" i="2"/>
  <c r="H2130" i="2"/>
  <c r="I2130" i="2"/>
  <c r="J2130" i="2"/>
  <c r="K2130" i="2"/>
  <c r="L2130" i="2"/>
  <c r="M2130" i="2"/>
  <c r="N2130" i="2"/>
  <c r="O2130" i="2"/>
  <c r="Q2130" i="2"/>
  <c r="R2130" i="2"/>
  <c r="S2130" i="2"/>
  <c r="E2131" i="2"/>
  <c r="F2131" i="2"/>
  <c r="G2131" i="2"/>
  <c r="H2131" i="2"/>
  <c r="M2131" i="2" s="1"/>
  <c r="I2131" i="2"/>
  <c r="J2131" i="2"/>
  <c r="K2131" i="2"/>
  <c r="L2131" i="2"/>
  <c r="N2131" i="2"/>
  <c r="P2131" i="2" s="1"/>
  <c r="O2131" i="2"/>
  <c r="Q2131" i="2"/>
  <c r="R2131" i="2"/>
  <c r="S2131" i="2"/>
  <c r="E2132" i="2"/>
  <c r="F2132" i="2"/>
  <c r="G2132" i="2"/>
  <c r="H2132" i="2"/>
  <c r="I2132" i="2"/>
  <c r="J2132" i="2"/>
  <c r="K2132" i="2"/>
  <c r="L2132" i="2"/>
  <c r="N2132" i="2"/>
  <c r="O2132" i="2"/>
  <c r="P2132" i="2" s="1"/>
  <c r="Q2132" i="2"/>
  <c r="R2132" i="2"/>
  <c r="S2132" i="2"/>
  <c r="E2133" i="2"/>
  <c r="F2133" i="2"/>
  <c r="G2133" i="2"/>
  <c r="H2133" i="2"/>
  <c r="I2133" i="2"/>
  <c r="J2133" i="2"/>
  <c r="K2133" i="2"/>
  <c r="L2133" i="2"/>
  <c r="N2133" i="2"/>
  <c r="O2133" i="2"/>
  <c r="Q2133" i="2"/>
  <c r="R2133" i="2"/>
  <c r="S2133" i="2"/>
  <c r="E2134" i="2"/>
  <c r="F2134" i="2"/>
  <c r="G2134" i="2"/>
  <c r="H2134" i="2"/>
  <c r="I2134" i="2"/>
  <c r="J2134" i="2"/>
  <c r="K2134" i="2"/>
  <c r="L2134" i="2"/>
  <c r="M2134" i="2"/>
  <c r="N2134" i="2"/>
  <c r="O2134" i="2"/>
  <c r="Q2134" i="2"/>
  <c r="R2134" i="2"/>
  <c r="S2134" i="2"/>
  <c r="E2135" i="2"/>
  <c r="F2135" i="2"/>
  <c r="G2135" i="2"/>
  <c r="H2135" i="2"/>
  <c r="I2135" i="2"/>
  <c r="J2135" i="2"/>
  <c r="K2135" i="2"/>
  <c r="L2135" i="2"/>
  <c r="N2135" i="2"/>
  <c r="P2135" i="2" s="1"/>
  <c r="O2135" i="2"/>
  <c r="Q2135" i="2"/>
  <c r="R2135" i="2"/>
  <c r="S2135" i="2"/>
  <c r="E2136" i="2"/>
  <c r="F2136" i="2"/>
  <c r="G2136" i="2"/>
  <c r="H2136" i="2"/>
  <c r="I2136" i="2"/>
  <c r="J2136" i="2"/>
  <c r="K2136" i="2"/>
  <c r="L2136" i="2"/>
  <c r="N2136" i="2"/>
  <c r="O2136" i="2"/>
  <c r="P2136" i="2" s="1"/>
  <c r="Q2136" i="2"/>
  <c r="R2136" i="2"/>
  <c r="S2136" i="2"/>
  <c r="E2137" i="2"/>
  <c r="F2137" i="2"/>
  <c r="G2137" i="2"/>
  <c r="H2137" i="2"/>
  <c r="M2137" i="2" s="1"/>
  <c r="I2137" i="2"/>
  <c r="J2137" i="2"/>
  <c r="K2137" i="2"/>
  <c r="L2137" i="2"/>
  <c r="N2137" i="2"/>
  <c r="O2137" i="2"/>
  <c r="Q2137" i="2"/>
  <c r="R2137" i="2"/>
  <c r="S2137" i="2"/>
  <c r="E2138" i="2"/>
  <c r="F2138" i="2"/>
  <c r="G2138" i="2"/>
  <c r="H2138" i="2"/>
  <c r="I2138" i="2"/>
  <c r="J2138" i="2"/>
  <c r="K2138" i="2"/>
  <c r="L2138" i="2"/>
  <c r="M2138" i="2"/>
  <c r="N2138" i="2"/>
  <c r="O2138" i="2"/>
  <c r="Q2138" i="2"/>
  <c r="R2138" i="2"/>
  <c r="S2138" i="2"/>
  <c r="E2139" i="2"/>
  <c r="F2139" i="2"/>
  <c r="G2139" i="2"/>
  <c r="H2139" i="2"/>
  <c r="M2139" i="2" s="1"/>
  <c r="I2139" i="2"/>
  <c r="J2139" i="2"/>
  <c r="K2139" i="2"/>
  <c r="L2139" i="2"/>
  <c r="N2139" i="2"/>
  <c r="P2139" i="2" s="1"/>
  <c r="O2139" i="2"/>
  <c r="Q2139" i="2"/>
  <c r="R2139" i="2"/>
  <c r="S2139" i="2"/>
  <c r="E2140" i="2"/>
  <c r="F2140" i="2"/>
  <c r="G2140" i="2"/>
  <c r="H2140" i="2"/>
  <c r="I2140" i="2"/>
  <c r="J2140" i="2"/>
  <c r="K2140" i="2"/>
  <c r="L2140" i="2"/>
  <c r="N2140" i="2"/>
  <c r="O2140" i="2"/>
  <c r="P2140" i="2" s="1"/>
  <c r="Q2140" i="2"/>
  <c r="R2140" i="2"/>
  <c r="S2140" i="2"/>
  <c r="E2141" i="2"/>
  <c r="F2141" i="2"/>
  <c r="G2141" i="2"/>
  <c r="H2141" i="2"/>
  <c r="I2141" i="2"/>
  <c r="J2141" i="2"/>
  <c r="K2141" i="2"/>
  <c r="L2141" i="2"/>
  <c r="N2141" i="2"/>
  <c r="O2141" i="2"/>
  <c r="Q2141" i="2"/>
  <c r="R2141" i="2"/>
  <c r="S2141" i="2"/>
  <c r="E2142" i="2"/>
  <c r="F2142" i="2"/>
  <c r="G2142" i="2"/>
  <c r="H2142" i="2"/>
  <c r="I2142" i="2"/>
  <c r="J2142" i="2"/>
  <c r="K2142" i="2"/>
  <c r="L2142" i="2"/>
  <c r="M2142" i="2"/>
  <c r="N2142" i="2"/>
  <c r="O2142" i="2"/>
  <c r="Q2142" i="2"/>
  <c r="R2142" i="2"/>
  <c r="S2142" i="2"/>
  <c r="E2143" i="2"/>
  <c r="F2143" i="2"/>
  <c r="G2143" i="2"/>
  <c r="H2143" i="2"/>
  <c r="I2143" i="2"/>
  <c r="J2143" i="2"/>
  <c r="K2143" i="2"/>
  <c r="L2143" i="2"/>
  <c r="N2143" i="2"/>
  <c r="P2143" i="2" s="1"/>
  <c r="O2143" i="2"/>
  <c r="Q2143" i="2"/>
  <c r="R2143" i="2"/>
  <c r="S2143" i="2"/>
  <c r="E2144" i="2"/>
  <c r="F2144" i="2"/>
  <c r="G2144" i="2"/>
  <c r="H2144" i="2"/>
  <c r="I2144" i="2"/>
  <c r="J2144" i="2"/>
  <c r="K2144" i="2"/>
  <c r="L2144" i="2"/>
  <c r="N2144" i="2"/>
  <c r="O2144" i="2"/>
  <c r="P2144" i="2" s="1"/>
  <c r="Q2144" i="2"/>
  <c r="R2144" i="2"/>
  <c r="S2144" i="2"/>
  <c r="E2145" i="2"/>
  <c r="F2145" i="2"/>
  <c r="G2145" i="2"/>
  <c r="H2145" i="2"/>
  <c r="P2145" i="2" s="1"/>
  <c r="I2145" i="2"/>
  <c r="J2145" i="2"/>
  <c r="K2145" i="2"/>
  <c r="L2145" i="2"/>
  <c r="N2145" i="2"/>
  <c r="O2145" i="2"/>
  <c r="Q2145" i="2"/>
  <c r="R2145" i="2"/>
  <c r="S2145" i="2"/>
  <c r="E2146" i="2"/>
  <c r="F2146" i="2"/>
  <c r="G2146" i="2"/>
  <c r="H2146" i="2"/>
  <c r="I2146" i="2"/>
  <c r="J2146" i="2"/>
  <c r="K2146" i="2"/>
  <c r="L2146" i="2"/>
  <c r="M2146" i="2"/>
  <c r="N2146" i="2"/>
  <c r="O2146" i="2"/>
  <c r="Q2146" i="2"/>
  <c r="R2146" i="2"/>
  <c r="S2146" i="2"/>
  <c r="E2147" i="2"/>
  <c r="F2147" i="2"/>
  <c r="G2147" i="2"/>
  <c r="H2147" i="2"/>
  <c r="M2147" i="2" s="1"/>
  <c r="I2147" i="2"/>
  <c r="J2147" i="2"/>
  <c r="K2147" i="2"/>
  <c r="L2147" i="2"/>
  <c r="N2147" i="2"/>
  <c r="P2147" i="2" s="1"/>
  <c r="O2147" i="2"/>
  <c r="Q2147" i="2"/>
  <c r="R2147" i="2"/>
  <c r="S2147" i="2"/>
  <c r="E2148" i="2"/>
  <c r="F2148" i="2"/>
  <c r="G2148" i="2"/>
  <c r="H2148" i="2"/>
  <c r="I2148" i="2"/>
  <c r="J2148" i="2"/>
  <c r="K2148" i="2"/>
  <c r="L2148" i="2"/>
  <c r="N2148" i="2"/>
  <c r="O2148" i="2"/>
  <c r="P2148" i="2" s="1"/>
  <c r="Q2148" i="2"/>
  <c r="R2148" i="2"/>
  <c r="S2148" i="2"/>
  <c r="E2149" i="2"/>
  <c r="F2149" i="2"/>
  <c r="G2149" i="2"/>
  <c r="H2149" i="2"/>
  <c r="I2149" i="2"/>
  <c r="J2149" i="2"/>
  <c r="K2149" i="2"/>
  <c r="L2149" i="2"/>
  <c r="N2149" i="2"/>
  <c r="O2149" i="2"/>
  <c r="Q2149" i="2"/>
  <c r="R2149" i="2"/>
  <c r="S2149" i="2"/>
  <c r="E2150" i="2"/>
  <c r="F2150" i="2"/>
  <c r="G2150" i="2"/>
  <c r="H2150" i="2"/>
  <c r="I2150" i="2"/>
  <c r="J2150" i="2"/>
  <c r="K2150" i="2"/>
  <c r="L2150" i="2"/>
  <c r="M2150" i="2"/>
  <c r="N2150" i="2"/>
  <c r="O2150" i="2"/>
  <c r="Q2150" i="2"/>
  <c r="R2150" i="2"/>
  <c r="S2150" i="2"/>
  <c r="E2151" i="2"/>
  <c r="F2151" i="2"/>
  <c r="G2151" i="2"/>
  <c r="H2151" i="2"/>
  <c r="I2151" i="2"/>
  <c r="J2151" i="2"/>
  <c r="K2151" i="2"/>
  <c r="L2151" i="2"/>
  <c r="N2151" i="2"/>
  <c r="P2151" i="2" s="1"/>
  <c r="O2151" i="2"/>
  <c r="Q2151" i="2"/>
  <c r="R2151" i="2"/>
  <c r="S2151" i="2"/>
  <c r="E2152" i="2"/>
  <c r="F2152" i="2"/>
  <c r="G2152" i="2"/>
  <c r="H2152" i="2"/>
  <c r="I2152" i="2"/>
  <c r="J2152" i="2"/>
  <c r="K2152" i="2"/>
  <c r="L2152" i="2"/>
  <c r="N2152" i="2"/>
  <c r="O2152" i="2"/>
  <c r="P2152" i="2" s="1"/>
  <c r="Q2152" i="2"/>
  <c r="R2152" i="2"/>
  <c r="S2152" i="2"/>
  <c r="E2153" i="2"/>
  <c r="F2153" i="2"/>
  <c r="G2153" i="2"/>
  <c r="H2153" i="2"/>
  <c r="I2153" i="2"/>
  <c r="J2153" i="2"/>
  <c r="K2153" i="2"/>
  <c r="L2153" i="2"/>
  <c r="N2153" i="2"/>
  <c r="O2153" i="2"/>
  <c r="Q2153" i="2"/>
  <c r="R2153" i="2"/>
  <c r="S2153" i="2"/>
  <c r="E2154" i="2"/>
  <c r="F2154" i="2"/>
  <c r="G2154" i="2"/>
  <c r="H2154" i="2"/>
  <c r="I2154" i="2"/>
  <c r="J2154" i="2"/>
  <c r="K2154" i="2"/>
  <c r="L2154" i="2"/>
  <c r="M2154" i="2"/>
  <c r="N2154" i="2"/>
  <c r="O2154" i="2"/>
  <c r="Q2154" i="2"/>
  <c r="R2154" i="2"/>
  <c r="S2154" i="2"/>
  <c r="E2155" i="2"/>
  <c r="F2155" i="2"/>
  <c r="G2155" i="2"/>
  <c r="H2155" i="2"/>
  <c r="M2155" i="2" s="1"/>
  <c r="I2155" i="2"/>
  <c r="J2155" i="2"/>
  <c r="K2155" i="2"/>
  <c r="L2155" i="2"/>
  <c r="N2155" i="2"/>
  <c r="P2155" i="2" s="1"/>
  <c r="O2155" i="2"/>
  <c r="Q2155" i="2"/>
  <c r="R2155" i="2"/>
  <c r="S2155" i="2"/>
  <c r="E2156" i="2"/>
  <c r="F2156" i="2"/>
  <c r="G2156" i="2"/>
  <c r="H2156" i="2"/>
  <c r="I2156" i="2"/>
  <c r="J2156" i="2"/>
  <c r="K2156" i="2"/>
  <c r="L2156" i="2"/>
  <c r="N2156" i="2"/>
  <c r="O2156" i="2"/>
  <c r="P2156" i="2" s="1"/>
  <c r="Q2156" i="2"/>
  <c r="R2156" i="2"/>
  <c r="S2156" i="2"/>
  <c r="E2157" i="2"/>
  <c r="F2157" i="2"/>
  <c r="G2157" i="2"/>
  <c r="H2157" i="2"/>
  <c r="I2157" i="2"/>
  <c r="J2157" i="2"/>
  <c r="K2157" i="2"/>
  <c r="L2157" i="2"/>
  <c r="N2157" i="2"/>
  <c r="O2157" i="2"/>
  <c r="Q2157" i="2"/>
  <c r="R2157" i="2"/>
  <c r="S2157" i="2"/>
  <c r="E2158" i="2"/>
  <c r="F2158" i="2"/>
  <c r="G2158" i="2"/>
  <c r="H2158" i="2"/>
  <c r="I2158" i="2"/>
  <c r="J2158" i="2"/>
  <c r="K2158" i="2"/>
  <c r="L2158" i="2"/>
  <c r="M2158" i="2"/>
  <c r="N2158" i="2"/>
  <c r="O2158" i="2"/>
  <c r="Q2158" i="2"/>
  <c r="R2158" i="2"/>
  <c r="S2158" i="2"/>
  <c r="E2159" i="2"/>
  <c r="F2159" i="2"/>
  <c r="G2159" i="2"/>
  <c r="H2159" i="2"/>
  <c r="I2159" i="2"/>
  <c r="J2159" i="2"/>
  <c r="K2159" i="2"/>
  <c r="L2159" i="2"/>
  <c r="N2159" i="2"/>
  <c r="P2159" i="2" s="1"/>
  <c r="O2159" i="2"/>
  <c r="Q2159" i="2"/>
  <c r="R2159" i="2"/>
  <c r="S2159" i="2"/>
  <c r="E2160" i="2"/>
  <c r="F2160" i="2"/>
  <c r="G2160" i="2"/>
  <c r="H2160" i="2"/>
  <c r="I2160" i="2"/>
  <c r="J2160" i="2"/>
  <c r="K2160" i="2"/>
  <c r="L2160" i="2"/>
  <c r="N2160" i="2"/>
  <c r="O2160" i="2"/>
  <c r="P2160" i="2" s="1"/>
  <c r="Q2160" i="2"/>
  <c r="R2160" i="2"/>
  <c r="S2160" i="2"/>
  <c r="E2161" i="2"/>
  <c r="F2161" i="2"/>
  <c r="G2161" i="2"/>
  <c r="H2161" i="2"/>
  <c r="P2161" i="2" s="1"/>
  <c r="I2161" i="2"/>
  <c r="J2161" i="2"/>
  <c r="K2161" i="2"/>
  <c r="L2161" i="2"/>
  <c r="N2161" i="2"/>
  <c r="O2161" i="2"/>
  <c r="Q2161" i="2"/>
  <c r="R2161" i="2"/>
  <c r="S2161" i="2"/>
  <c r="E2162" i="2"/>
  <c r="F2162" i="2"/>
  <c r="G2162" i="2"/>
  <c r="H2162" i="2"/>
  <c r="I2162" i="2"/>
  <c r="J2162" i="2"/>
  <c r="K2162" i="2"/>
  <c r="L2162" i="2"/>
  <c r="M2162" i="2"/>
  <c r="N2162" i="2"/>
  <c r="O2162" i="2"/>
  <c r="Q2162" i="2"/>
  <c r="R2162" i="2"/>
  <c r="S2162" i="2"/>
  <c r="E2163" i="2"/>
  <c r="F2163" i="2"/>
  <c r="G2163" i="2"/>
  <c r="H2163" i="2"/>
  <c r="M2163" i="2" s="1"/>
  <c r="I2163" i="2"/>
  <c r="J2163" i="2"/>
  <c r="K2163" i="2"/>
  <c r="L2163" i="2"/>
  <c r="N2163" i="2"/>
  <c r="P2163" i="2" s="1"/>
  <c r="O2163" i="2"/>
  <c r="Q2163" i="2"/>
  <c r="R2163" i="2"/>
  <c r="S2163" i="2"/>
  <c r="E2164" i="2"/>
  <c r="F2164" i="2"/>
  <c r="G2164" i="2"/>
  <c r="H2164" i="2"/>
  <c r="I2164" i="2"/>
  <c r="J2164" i="2"/>
  <c r="K2164" i="2"/>
  <c r="L2164" i="2"/>
  <c r="N2164" i="2"/>
  <c r="O2164" i="2"/>
  <c r="P2164" i="2" s="1"/>
  <c r="Q2164" i="2"/>
  <c r="R2164" i="2"/>
  <c r="S2164" i="2"/>
  <c r="E2165" i="2"/>
  <c r="F2165" i="2"/>
  <c r="G2165" i="2"/>
  <c r="H2165" i="2"/>
  <c r="I2165" i="2"/>
  <c r="J2165" i="2"/>
  <c r="K2165" i="2"/>
  <c r="L2165" i="2"/>
  <c r="N2165" i="2"/>
  <c r="O2165" i="2"/>
  <c r="Q2165" i="2"/>
  <c r="R2165" i="2"/>
  <c r="S2165" i="2"/>
  <c r="E2166" i="2"/>
  <c r="F2166" i="2"/>
  <c r="G2166" i="2"/>
  <c r="H2166" i="2"/>
  <c r="I2166" i="2"/>
  <c r="J2166" i="2"/>
  <c r="K2166" i="2"/>
  <c r="L2166" i="2"/>
  <c r="M2166" i="2"/>
  <c r="N2166" i="2"/>
  <c r="O2166" i="2"/>
  <c r="Q2166" i="2"/>
  <c r="R2166" i="2"/>
  <c r="S2166" i="2"/>
  <c r="E2167" i="2"/>
  <c r="F2167" i="2"/>
  <c r="G2167" i="2"/>
  <c r="H2167" i="2"/>
  <c r="I2167" i="2"/>
  <c r="J2167" i="2"/>
  <c r="K2167" i="2"/>
  <c r="L2167" i="2"/>
  <c r="N2167" i="2"/>
  <c r="P2167" i="2" s="1"/>
  <c r="O2167" i="2"/>
  <c r="Q2167" i="2"/>
  <c r="R2167" i="2"/>
  <c r="S2167" i="2"/>
  <c r="E2168" i="2"/>
  <c r="F2168" i="2"/>
  <c r="G2168" i="2"/>
  <c r="H2168" i="2"/>
  <c r="I2168" i="2"/>
  <c r="J2168" i="2"/>
  <c r="K2168" i="2"/>
  <c r="L2168" i="2"/>
  <c r="N2168" i="2"/>
  <c r="O2168" i="2"/>
  <c r="P2168" i="2" s="1"/>
  <c r="Q2168" i="2"/>
  <c r="R2168" i="2"/>
  <c r="S2168" i="2"/>
  <c r="E2169" i="2"/>
  <c r="F2169" i="2"/>
  <c r="G2169" i="2"/>
  <c r="H2169" i="2"/>
  <c r="M2169" i="2" s="1"/>
  <c r="I2169" i="2"/>
  <c r="J2169" i="2"/>
  <c r="K2169" i="2"/>
  <c r="L2169" i="2"/>
  <c r="N2169" i="2"/>
  <c r="O2169" i="2"/>
  <c r="Q2169" i="2"/>
  <c r="R2169" i="2"/>
  <c r="S2169" i="2"/>
  <c r="E2170" i="2"/>
  <c r="F2170" i="2"/>
  <c r="G2170" i="2"/>
  <c r="H2170" i="2"/>
  <c r="I2170" i="2"/>
  <c r="J2170" i="2"/>
  <c r="K2170" i="2"/>
  <c r="L2170" i="2"/>
  <c r="M2170" i="2"/>
  <c r="N2170" i="2"/>
  <c r="O2170" i="2"/>
  <c r="Q2170" i="2"/>
  <c r="R2170" i="2"/>
  <c r="S2170" i="2"/>
  <c r="E2171" i="2"/>
  <c r="F2171" i="2"/>
  <c r="G2171" i="2"/>
  <c r="H2171" i="2"/>
  <c r="M2171" i="2" s="1"/>
  <c r="I2171" i="2"/>
  <c r="J2171" i="2"/>
  <c r="K2171" i="2"/>
  <c r="L2171" i="2"/>
  <c r="N2171" i="2"/>
  <c r="P2171" i="2" s="1"/>
  <c r="O2171" i="2"/>
  <c r="Q2171" i="2"/>
  <c r="R2171" i="2"/>
  <c r="S2171" i="2"/>
  <c r="E2172" i="2"/>
  <c r="F2172" i="2"/>
  <c r="G2172" i="2"/>
  <c r="H2172" i="2"/>
  <c r="I2172" i="2"/>
  <c r="J2172" i="2"/>
  <c r="K2172" i="2"/>
  <c r="L2172" i="2"/>
  <c r="N2172" i="2"/>
  <c r="O2172" i="2"/>
  <c r="P2172" i="2" s="1"/>
  <c r="Q2172" i="2"/>
  <c r="R2172" i="2"/>
  <c r="S2172" i="2"/>
  <c r="E2173" i="2"/>
  <c r="F2173" i="2"/>
  <c r="G2173" i="2"/>
  <c r="H2173" i="2"/>
  <c r="I2173" i="2"/>
  <c r="J2173" i="2"/>
  <c r="K2173" i="2"/>
  <c r="L2173" i="2"/>
  <c r="N2173" i="2"/>
  <c r="O2173" i="2"/>
  <c r="Q2173" i="2"/>
  <c r="R2173" i="2"/>
  <c r="S2173" i="2"/>
  <c r="E2174" i="2"/>
  <c r="F2174" i="2"/>
  <c r="G2174" i="2"/>
  <c r="H2174" i="2"/>
  <c r="I2174" i="2"/>
  <c r="J2174" i="2"/>
  <c r="K2174" i="2"/>
  <c r="L2174" i="2"/>
  <c r="M2174" i="2"/>
  <c r="N2174" i="2"/>
  <c r="O2174" i="2"/>
  <c r="Q2174" i="2"/>
  <c r="R2174" i="2"/>
  <c r="S2174" i="2"/>
  <c r="E2175" i="2"/>
  <c r="F2175" i="2"/>
  <c r="G2175" i="2"/>
  <c r="H2175" i="2"/>
  <c r="I2175" i="2"/>
  <c r="J2175" i="2"/>
  <c r="K2175" i="2"/>
  <c r="L2175" i="2"/>
  <c r="N2175" i="2"/>
  <c r="P2175" i="2" s="1"/>
  <c r="O2175" i="2"/>
  <c r="Q2175" i="2"/>
  <c r="R2175" i="2"/>
  <c r="S2175" i="2"/>
  <c r="E2176" i="2"/>
  <c r="F2176" i="2"/>
  <c r="G2176" i="2"/>
  <c r="H2176" i="2"/>
  <c r="I2176" i="2"/>
  <c r="J2176" i="2"/>
  <c r="K2176" i="2"/>
  <c r="L2176" i="2"/>
  <c r="N2176" i="2"/>
  <c r="O2176" i="2"/>
  <c r="P2176" i="2" s="1"/>
  <c r="Q2176" i="2"/>
  <c r="R2176" i="2"/>
  <c r="S2176" i="2"/>
  <c r="E2177" i="2"/>
  <c r="F2177" i="2"/>
  <c r="G2177" i="2"/>
  <c r="H2177" i="2"/>
  <c r="M2177" i="2" s="1"/>
  <c r="I2177" i="2"/>
  <c r="J2177" i="2"/>
  <c r="K2177" i="2"/>
  <c r="L2177" i="2"/>
  <c r="N2177" i="2"/>
  <c r="O2177" i="2"/>
  <c r="Q2177" i="2"/>
  <c r="R2177" i="2"/>
  <c r="S2177" i="2"/>
  <c r="E2178" i="2"/>
  <c r="F2178" i="2"/>
  <c r="G2178" i="2"/>
  <c r="H2178" i="2"/>
  <c r="I2178" i="2"/>
  <c r="J2178" i="2"/>
  <c r="K2178" i="2"/>
  <c r="L2178" i="2"/>
  <c r="M2178" i="2"/>
  <c r="N2178" i="2"/>
  <c r="O2178" i="2"/>
  <c r="Q2178" i="2"/>
  <c r="R2178" i="2"/>
  <c r="S2178" i="2"/>
  <c r="E2179" i="2"/>
  <c r="F2179" i="2"/>
  <c r="G2179" i="2"/>
  <c r="H2179" i="2"/>
  <c r="M2179" i="2" s="1"/>
  <c r="I2179" i="2"/>
  <c r="J2179" i="2"/>
  <c r="K2179" i="2"/>
  <c r="L2179" i="2"/>
  <c r="N2179" i="2"/>
  <c r="P2179" i="2" s="1"/>
  <c r="O2179" i="2"/>
  <c r="Q2179" i="2"/>
  <c r="R2179" i="2"/>
  <c r="S2179" i="2"/>
  <c r="E2180" i="2"/>
  <c r="F2180" i="2"/>
  <c r="G2180" i="2"/>
  <c r="H2180" i="2"/>
  <c r="I2180" i="2"/>
  <c r="J2180" i="2"/>
  <c r="K2180" i="2"/>
  <c r="L2180" i="2"/>
  <c r="N2180" i="2"/>
  <c r="O2180" i="2"/>
  <c r="P2180" i="2" s="1"/>
  <c r="Q2180" i="2"/>
  <c r="R2180" i="2"/>
  <c r="S2180" i="2"/>
  <c r="E2181" i="2"/>
  <c r="F2181" i="2"/>
  <c r="G2181" i="2"/>
  <c r="H2181" i="2"/>
  <c r="I2181" i="2"/>
  <c r="J2181" i="2"/>
  <c r="K2181" i="2"/>
  <c r="L2181" i="2"/>
  <c r="N2181" i="2"/>
  <c r="O2181" i="2"/>
  <c r="Q2181" i="2"/>
  <c r="R2181" i="2"/>
  <c r="S2181" i="2"/>
  <c r="E2182" i="2"/>
  <c r="F2182" i="2"/>
  <c r="G2182" i="2"/>
  <c r="H2182" i="2"/>
  <c r="I2182" i="2"/>
  <c r="J2182" i="2"/>
  <c r="K2182" i="2"/>
  <c r="L2182" i="2"/>
  <c r="M2182" i="2"/>
  <c r="N2182" i="2"/>
  <c r="O2182" i="2"/>
  <c r="Q2182" i="2"/>
  <c r="R2182" i="2"/>
  <c r="S2182" i="2"/>
  <c r="E2183" i="2"/>
  <c r="F2183" i="2"/>
  <c r="G2183" i="2"/>
  <c r="H2183" i="2"/>
  <c r="I2183" i="2"/>
  <c r="J2183" i="2"/>
  <c r="K2183" i="2"/>
  <c r="L2183" i="2"/>
  <c r="N2183" i="2"/>
  <c r="P2183" i="2" s="1"/>
  <c r="O2183" i="2"/>
  <c r="Q2183" i="2"/>
  <c r="R2183" i="2"/>
  <c r="S2183" i="2"/>
  <c r="E2184" i="2"/>
  <c r="F2184" i="2"/>
  <c r="G2184" i="2"/>
  <c r="H2184" i="2"/>
  <c r="I2184" i="2"/>
  <c r="J2184" i="2"/>
  <c r="K2184" i="2"/>
  <c r="L2184" i="2"/>
  <c r="N2184" i="2"/>
  <c r="O2184" i="2"/>
  <c r="P2184" i="2" s="1"/>
  <c r="Q2184" i="2"/>
  <c r="R2184" i="2"/>
  <c r="S2184" i="2"/>
  <c r="E2185" i="2"/>
  <c r="F2185" i="2"/>
  <c r="G2185" i="2"/>
  <c r="H2185" i="2"/>
  <c r="M2185" i="2" s="1"/>
  <c r="I2185" i="2"/>
  <c r="J2185" i="2"/>
  <c r="K2185" i="2"/>
  <c r="L2185" i="2"/>
  <c r="N2185" i="2"/>
  <c r="O2185" i="2"/>
  <c r="Q2185" i="2"/>
  <c r="R2185" i="2"/>
  <c r="S2185" i="2"/>
  <c r="E2186" i="2"/>
  <c r="F2186" i="2"/>
  <c r="G2186" i="2"/>
  <c r="H2186" i="2"/>
  <c r="I2186" i="2"/>
  <c r="J2186" i="2"/>
  <c r="K2186" i="2"/>
  <c r="L2186" i="2"/>
  <c r="M2186" i="2"/>
  <c r="N2186" i="2"/>
  <c r="O2186" i="2"/>
  <c r="Q2186" i="2"/>
  <c r="R2186" i="2"/>
  <c r="S2186" i="2"/>
  <c r="E2187" i="2"/>
  <c r="F2187" i="2"/>
  <c r="G2187" i="2"/>
  <c r="H2187" i="2"/>
  <c r="M2187" i="2" s="1"/>
  <c r="I2187" i="2"/>
  <c r="J2187" i="2"/>
  <c r="K2187" i="2"/>
  <c r="L2187" i="2"/>
  <c r="N2187" i="2"/>
  <c r="P2187" i="2" s="1"/>
  <c r="O2187" i="2"/>
  <c r="Q2187" i="2"/>
  <c r="R2187" i="2"/>
  <c r="S2187" i="2"/>
  <c r="E2188" i="2"/>
  <c r="F2188" i="2"/>
  <c r="G2188" i="2"/>
  <c r="H2188" i="2"/>
  <c r="I2188" i="2"/>
  <c r="J2188" i="2"/>
  <c r="K2188" i="2"/>
  <c r="L2188" i="2"/>
  <c r="N2188" i="2"/>
  <c r="O2188" i="2"/>
  <c r="P2188" i="2" s="1"/>
  <c r="Q2188" i="2"/>
  <c r="R2188" i="2"/>
  <c r="S2188" i="2"/>
  <c r="E2189" i="2"/>
  <c r="F2189" i="2"/>
  <c r="G2189" i="2"/>
  <c r="H2189" i="2"/>
  <c r="I2189" i="2"/>
  <c r="J2189" i="2"/>
  <c r="K2189" i="2"/>
  <c r="L2189" i="2"/>
  <c r="N2189" i="2"/>
  <c r="O2189" i="2"/>
  <c r="Q2189" i="2"/>
  <c r="R2189" i="2"/>
  <c r="S2189" i="2"/>
  <c r="E2190" i="2"/>
  <c r="F2190" i="2"/>
  <c r="G2190" i="2"/>
  <c r="H2190" i="2"/>
  <c r="I2190" i="2"/>
  <c r="J2190" i="2"/>
  <c r="K2190" i="2"/>
  <c r="L2190" i="2"/>
  <c r="M2190" i="2"/>
  <c r="N2190" i="2"/>
  <c r="O2190" i="2"/>
  <c r="Q2190" i="2"/>
  <c r="R2190" i="2"/>
  <c r="S2190" i="2"/>
  <c r="E2191" i="2"/>
  <c r="F2191" i="2"/>
  <c r="G2191" i="2"/>
  <c r="H2191" i="2"/>
  <c r="I2191" i="2"/>
  <c r="J2191" i="2"/>
  <c r="K2191" i="2"/>
  <c r="L2191" i="2"/>
  <c r="N2191" i="2"/>
  <c r="P2191" i="2" s="1"/>
  <c r="O2191" i="2"/>
  <c r="Q2191" i="2"/>
  <c r="R2191" i="2"/>
  <c r="S2191" i="2"/>
  <c r="E2192" i="2"/>
  <c r="F2192" i="2"/>
  <c r="G2192" i="2"/>
  <c r="H2192" i="2"/>
  <c r="I2192" i="2"/>
  <c r="J2192" i="2"/>
  <c r="K2192" i="2"/>
  <c r="L2192" i="2"/>
  <c r="N2192" i="2"/>
  <c r="O2192" i="2"/>
  <c r="P2192" i="2" s="1"/>
  <c r="Q2192" i="2"/>
  <c r="R2192" i="2"/>
  <c r="S2192" i="2"/>
  <c r="E2193" i="2"/>
  <c r="F2193" i="2"/>
  <c r="G2193" i="2"/>
  <c r="H2193" i="2"/>
  <c r="M2193" i="2" s="1"/>
  <c r="I2193" i="2"/>
  <c r="J2193" i="2"/>
  <c r="K2193" i="2"/>
  <c r="L2193" i="2"/>
  <c r="N2193" i="2"/>
  <c r="O2193" i="2"/>
  <c r="Q2193" i="2"/>
  <c r="R2193" i="2"/>
  <c r="S2193" i="2"/>
  <c r="E2194" i="2"/>
  <c r="F2194" i="2"/>
  <c r="G2194" i="2"/>
  <c r="H2194" i="2"/>
  <c r="I2194" i="2"/>
  <c r="J2194" i="2"/>
  <c r="K2194" i="2"/>
  <c r="L2194" i="2"/>
  <c r="M2194" i="2"/>
  <c r="N2194" i="2"/>
  <c r="O2194" i="2"/>
  <c r="Q2194" i="2"/>
  <c r="R2194" i="2"/>
  <c r="S2194" i="2"/>
  <c r="E2195" i="2"/>
  <c r="F2195" i="2"/>
  <c r="G2195" i="2"/>
  <c r="H2195" i="2"/>
  <c r="M2195" i="2" s="1"/>
  <c r="I2195" i="2"/>
  <c r="J2195" i="2"/>
  <c r="K2195" i="2"/>
  <c r="L2195" i="2"/>
  <c r="N2195" i="2"/>
  <c r="P2195" i="2" s="1"/>
  <c r="O2195" i="2"/>
  <c r="Q2195" i="2"/>
  <c r="R2195" i="2"/>
  <c r="S2195" i="2"/>
  <c r="E2196" i="2"/>
  <c r="F2196" i="2"/>
  <c r="G2196" i="2"/>
  <c r="H2196" i="2"/>
  <c r="I2196" i="2"/>
  <c r="J2196" i="2"/>
  <c r="K2196" i="2"/>
  <c r="L2196" i="2"/>
  <c r="N2196" i="2"/>
  <c r="O2196" i="2"/>
  <c r="P2196" i="2" s="1"/>
  <c r="Q2196" i="2"/>
  <c r="R2196" i="2"/>
  <c r="S2196" i="2"/>
  <c r="E2197" i="2"/>
  <c r="F2197" i="2"/>
  <c r="G2197" i="2"/>
  <c r="H2197" i="2"/>
  <c r="I2197" i="2"/>
  <c r="J2197" i="2"/>
  <c r="K2197" i="2"/>
  <c r="L2197" i="2"/>
  <c r="N2197" i="2"/>
  <c r="O2197" i="2"/>
  <c r="Q2197" i="2"/>
  <c r="R2197" i="2"/>
  <c r="S2197" i="2"/>
  <c r="E2198" i="2"/>
  <c r="F2198" i="2"/>
  <c r="G2198" i="2"/>
  <c r="H2198" i="2"/>
  <c r="I2198" i="2"/>
  <c r="J2198" i="2"/>
  <c r="K2198" i="2"/>
  <c r="L2198" i="2"/>
  <c r="M2198" i="2"/>
  <c r="N2198" i="2"/>
  <c r="O2198" i="2"/>
  <c r="Q2198" i="2"/>
  <c r="R2198" i="2"/>
  <c r="S2198" i="2"/>
  <c r="E2199" i="2"/>
  <c r="F2199" i="2"/>
  <c r="G2199" i="2"/>
  <c r="H2199" i="2"/>
  <c r="I2199" i="2"/>
  <c r="J2199" i="2"/>
  <c r="K2199" i="2"/>
  <c r="L2199" i="2"/>
  <c r="N2199" i="2"/>
  <c r="P2199" i="2" s="1"/>
  <c r="O2199" i="2"/>
  <c r="Q2199" i="2"/>
  <c r="R2199" i="2"/>
  <c r="S2199" i="2"/>
  <c r="E2200" i="2"/>
  <c r="F2200" i="2"/>
  <c r="G2200" i="2"/>
  <c r="H2200" i="2"/>
  <c r="I2200" i="2"/>
  <c r="J2200" i="2"/>
  <c r="K2200" i="2"/>
  <c r="L2200" i="2"/>
  <c r="N2200" i="2"/>
  <c r="O2200" i="2"/>
  <c r="P2200" i="2" s="1"/>
  <c r="Q2200" i="2"/>
  <c r="R2200" i="2"/>
  <c r="S2200" i="2"/>
  <c r="E2201" i="2"/>
  <c r="F2201" i="2"/>
  <c r="G2201" i="2"/>
  <c r="H2201" i="2"/>
  <c r="I2201" i="2"/>
  <c r="J2201" i="2"/>
  <c r="K2201" i="2"/>
  <c r="L2201" i="2"/>
  <c r="N2201" i="2"/>
  <c r="O2201" i="2"/>
  <c r="Q2201" i="2"/>
  <c r="R2201" i="2"/>
  <c r="S2201" i="2"/>
  <c r="E2202" i="2"/>
  <c r="F2202" i="2"/>
  <c r="G2202" i="2"/>
  <c r="H2202" i="2"/>
  <c r="I2202" i="2"/>
  <c r="J2202" i="2"/>
  <c r="K2202" i="2"/>
  <c r="L2202" i="2"/>
  <c r="M2202" i="2"/>
  <c r="N2202" i="2"/>
  <c r="O2202" i="2"/>
  <c r="Q2202" i="2"/>
  <c r="R2202" i="2"/>
  <c r="S2202" i="2"/>
  <c r="E2203" i="2"/>
  <c r="F2203" i="2"/>
  <c r="G2203" i="2"/>
  <c r="H2203" i="2"/>
  <c r="M2203" i="2" s="1"/>
  <c r="I2203" i="2"/>
  <c r="J2203" i="2"/>
  <c r="K2203" i="2"/>
  <c r="L2203" i="2"/>
  <c r="N2203" i="2"/>
  <c r="P2203" i="2" s="1"/>
  <c r="O2203" i="2"/>
  <c r="Q2203" i="2"/>
  <c r="R2203" i="2"/>
  <c r="S2203" i="2"/>
  <c r="E2204" i="2"/>
  <c r="F2204" i="2"/>
  <c r="G2204" i="2"/>
  <c r="H2204" i="2"/>
  <c r="I2204" i="2"/>
  <c r="J2204" i="2"/>
  <c r="K2204" i="2"/>
  <c r="L2204" i="2"/>
  <c r="N2204" i="2"/>
  <c r="O2204" i="2"/>
  <c r="P2204" i="2" s="1"/>
  <c r="Q2204" i="2"/>
  <c r="R2204" i="2"/>
  <c r="S2204" i="2"/>
  <c r="E2205" i="2"/>
  <c r="F2205" i="2"/>
  <c r="G2205" i="2"/>
  <c r="H2205" i="2"/>
  <c r="I2205" i="2"/>
  <c r="J2205" i="2"/>
  <c r="K2205" i="2"/>
  <c r="L2205" i="2"/>
  <c r="N2205" i="2"/>
  <c r="O2205" i="2"/>
  <c r="Q2205" i="2"/>
  <c r="R2205" i="2"/>
  <c r="S2205" i="2"/>
  <c r="E2206" i="2"/>
  <c r="F2206" i="2"/>
  <c r="G2206" i="2"/>
  <c r="H2206" i="2"/>
  <c r="I2206" i="2"/>
  <c r="J2206" i="2"/>
  <c r="K2206" i="2"/>
  <c r="L2206" i="2"/>
  <c r="M2206" i="2"/>
  <c r="N2206" i="2"/>
  <c r="O2206" i="2"/>
  <c r="Q2206" i="2"/>
  <c r="R2206" i="2"/>
  <c r="S2206" i="2"/>
  <c r="E2207" i="2"/>
  <c r="F2207" i="2"/>
  <c r="G2207" i="2"/>
  <c r="H2207" i="2"/>
  <c r="I2207" i="2"/>
  <c r="J2207" i="2"/>
  <c r="K2207" i="2"/>
  <c r="L2207" i="2"/>
  <c r="N2207" i="2"/>
  <c r="P2207" i="2" s="1"/>
  <c r="O2207" i="2"/>
  <c r="Q2207" i="2"/>
  <c r="R2207" i="2"/>
  <c r="S2207" i="2"/>
  <c r="E2208" i="2"/>
  <c r="F2208" i="2"/>
  <c r="G2208" i="2"/>
  <c r="H2208" i="2"/>
  <c r="I2208" i="2"/>
  <c r="J2208" i="2"/>
  <c r="K2208" i="2"/>
  <c r="L2208" i="2"/>
  <c r="N2208" i="2"/>
  <c r="O2208" i="2"/>
  <c r="P2208" i="2" s="1"/>
  <c r="Q2208" i="2"/>
  <c r="R2208" i="2"/>
  <c r="S2208" i="2"/>
  <c r="E2209" i="2"/>
  <c r="F2209" i="2"/>
  <c r="G2209" i="2"/>
  <c r="H2209" i="2"/>
  <c r="I2209" i="2"/>
  <c r="J2209" i="2"/>
  <c r="K2209" i="2"/>
  <c r="L2209" i="2"/>
  <c r="N2209" i="2"/>
  <c r="O2209" i="2"/>
  <c r="Q2209" i="2"/>
  <c r="R2209" i="2"/>
  <c r="S2209" i="2"/>
  <c r="E2210" i="2"/>
  <c r="F2210" i="2"/>
  <c r="G2210" i="2"/>
  <c r="H2210" i="2"/>
  <c r="I2210" i="2"/>
  <c r="J2210" i="2"/>
  <c r="K2210" i="2"/>
  <c r="L2210" i="2"/>
  <c r="M2210" i="2"/>
  <c r="N2210" i="2"/>
  <c r="O2210" i="2"/>
  <c r="Q2210" i="2"/>
  <c r="R2210" i="2"/>
  <c r="S2210" i="2"/>
  <c r="E2211" i="2"/>
  <c r="F2211" i="2"/>
  <c r="G2211" i="2"/>
  <c r="H2211" i="2"/>
  <c r="M2211" i="2" s="1"/>
  <c r="I2211" i="2"/>
  <c r="J2211" i="2"/>
  <c r="K2211" i="2"/>
  <c r="L2211" i="2"/>
  <c r="N2211" i="2"/>
  <c r="P2211" i="2" s="1"/>
  <c r="O2211" i="2"/>
  <c r="Q2211" i="2"/>
  <c r="R2211" i="2"/>
  <c r="S2211" i="2"/>
  <c r="E2212" i="2"/>
  <c r="F2212" i="2"/>
  <c r="G2212" i="2"/>
  <c r="H2212" i="2"/>
  <c r="I2212" i="2"/>
  <c r="J2212" i="2"/>
  <c r="K2212" i="2"/>
  <c r="L2212" i="2"/>
  <c r="N2212" i="2"/>
  <c r="O2212" i="2"/>
  <c r="P2212" i="2" s="1"/>
  <c r="Q2212" i="2"/>
  <c r="R2212" i="2"/>
  <c r="S2212" i="2"/>
  <c r="E2213" i="2"/>
  <c r="F2213" i="2"/>
  <c r="G2213" i="2"/>
  <c r="H2213" i="2"/>
  <c r="I2213" i="2"/>
  <c r="J2213" i="2"/>
  <c r="K2213" i="2"/>
  <c r="L2213" i="2"/>
  <c r="N2213" i="2"/>
  <c r="O2213" i="2"/>
  <c r="Q2213" i="2"/>
  <c r="R2213" i="2"/>
  <c r="S2213" i="2"/>
  <c r="E2214" i="2"/>
  <c r="F2214" i="2"/>
  <c r="G2214" i="2"/>
  <c r="H2214" i="2"/>
  <c r="I2214" i="2"/>
  <c r="J2214" i="2"/>
  <c r="K2214" i="2"/>
  <c r="L2214" i="2"/>
  <c r="M2214" i="2"/>
  <c r="N2214" i="2"/>
  <c r="O2214" i="2"/>
  <c r="Q2214" i="2"/>
  <c r="R2214" i="2"/>
  <c r="S2214" i="2"/>
  <c r="E2215" i="2"/>
  <c r="F2215" i="2"/>
  <c r="G2215" i="2"/>
  <c r="H2215" i="2"/>
  <c r="I2215" i="2"/>
  <c r="J2215" i="2"/>
  <c r="M2215" i="2" s="1"/>
  <c r="K2215" i="2"/>
  <c r="L2215" i="2"/>
  <c r="N2215" i="2"/>
  <c r="O2215" i="2"/>
  <c r="Q2215" i="2"/>
  <c r="R2215" i="2"/>
  <c r="S2215" i="2"/>
  <c r="E2216" i="2"/>
  <c r="F2216" i="2"/>
  <c r="G2216" i="2"/>
  <c r="H2216" i="2"/>
  <c r="I2216" i="2"/>
  <c r="J2216" i="2"/>
  <c r="K2216" i="2"/>
  <c r="L2216" i="2"/>
  <c r="N2216" i="2"/>
  <c r="O2216" i="2"/>
  <c r="P2216" i="2" s="1"/>
  <c r="Q2216" i="2"/>
  <c r="R2216" i="2"/>
  <c r="S2216" i="2"/>
  <c r="E2217" i="2"/>
  <c r="F2217" i="2"/>
  <c r="G2217" i="2"/>
  <c r="H2217" i="2"/>
  <c r="P2217" i="2" s="1"/>
  <c r="I2217" i="2"/>
  <c r="J2217" i="2"/>
  <c r="K2217" i="2"/>
  <c r="L2217" i="2"/>
  <c r="N2217" i="2"/>
  <c r="O2217" i="2"/>
  <c r="Q2217" i="2"/>
  <c r="R2217" i="2"/>
  <c r="S2217" i="2"/>
  <c r="E2218" i="2"/>
  <c r="F2218" i="2"/>
  <c r="G2218" i="2"/>
  <c r="H2218" i="2"/>
  <c r="I2218" i="2"/>
  <c r="J2218" i="2"/>
  <c r="K2218" i="2"/>
  <c r="L2218" i="2"/>
  <c r="M2218" i="2"/>
  <c r="N2218" i="2"/>
  <c r="O2218" i="2"/>
  <c r="Q2218" i="2"/>
  <c r="R2218" i="2"/>
  <c r="S2218" i="2"/>
  <c r="E2219" i="2"/>
  <c r="F2219" i="2"/>
  <c r="G2219" i="2"/>
  <c r="H2219" i="2"/>
  <c r="I2219" i="2"/>
  <c r="J2219" i="2"/>
  <c r="M2219" i="2" s="1"/>
  <c r="K2219" i="2"/>
  <c r="L2219" i="2"/>
  <c r="N2219" i="2"/>
  <c r="O2219" i="2"/>
  <c r="Q2219" i="2"/>
  <c r="R2219" i="2"/>
  <c r="S2219" i="2"/>
  <c r="E2220" i="2"/>
  <c r="F2220" i="2"/>
  <c r="G2220" i="2"/>
  <c r="H2220" i="2"/>
  <c r="I2220" i="2"/>
  <c r="J2220" i="2"/>
  <c r="K2220" i="2"/>
  <c r="L2220" i="2"/>
  <c r="N2220" i="2"/>
  <c r="O2220" i="2"/>
  <c r="P2220" i="2" s="1"/>
  <c r="Q2220" i="2"/>
  <c r="R2220" i="2"/>
  <c r="S2220" i="2"/>
  <c r="E2221" i="2"/>
  <c r="F2221" i="2"/>
  <c r="G2221" i="2"/>
  <c r="H2221" i="2"/>
  <c r="I2221" i="2"/>
  <c r="J2221" i="2"/>
  <c r="K2221" i="2"/>
  <c r="L2221" i="2"/>
  <c r="N2221" i="2"/>
  <c r="O2221" i="2"/>
  <c r="Q2221" i="2"/>
  <c r="R2221" i="2"/>
  <c r="S2221" i="2"/>
  <c r="E2222" i="2"/>
  <c r="F2222" i="2"/>
  <c r="G2222" i="2"/>
  <c r="H2222" i="2"/>
  <c r="I2222" i="2"/>
  <c r="J2222" i="2"/>
  <c r="K2222" i="2"/>
  <c r="L2222" i="2"/>
  <c r="M2222" i="2"/>
  <c r="N2222" i="2"/>
  <c r="O2222" i="2"/>
  <c r="Q2222" i="2"/>
  <c r="R2222" i="2"/>
  <c r="S2222" i="2"/>
  <c r="E2223" i="2"/>
  <c r="F2223" i="2"/>
  <c r="G2223" i="2"/>
  <c r="H2223" i="2"/>
  <c r="I2223" i="2"/>
  <c r="J2223" i="2"/>
  <c r="M2223" i="2" s="1"/>
  <c r="K2223" i="2"/>
  <c r="L2223" i="2"/>
  <c r="N2223" i="2"/>
  <c r="O2223" i="2"/>
  <c r="Q2223" i="2"/>
  <c r="R2223" i="2"/>
  <c r="S2223" i="2"/>
  <c r="E2224" i="2"/>
  <c r="F2224" i="2"/>
  <c r="G2224" i="2"/>
  <c r="H2224" i="2"/>
  <c r="I2224" i="2"/>
  <c r="J2224" i="2"/>
  <c r="K2224" i="2"/>
  <c r="L2224" i="2"/>
  <c r="N2224" i="2"/>
  <c r="O2224" i="2"/>
  <c r="P2224" i="2" s="1"/>
  <c r="Q2224" i="2"/>
  <c r="R2224" i="2"/>
  <c r="S2224" i="2"/>
  <c r="E2225" i="2"/>
  <c r="F2225" i="2"/>
  <c r="G2225" i="2"/>
  <c r="H2225" i="2"/>
  <c r="M2225" i="2" s="1"/>
  <c r="I2225" i="2"/>
  <c r="J2225" i="2"/>
  <c r="K2225" i="2"/>
  <c r="L2225" i="2"/>
  <c r="N2225" i="2"/>
  <c r="O2225" i="2"/>
  <c r="Q2225" i="2"/>
  <c r="R2225" i="2"/>
  <c r="S2225" i="2"/>
  <c r="E2226" i="2"/>
  <c r="F2226" i="2"/>
  <c r="G2226" i="2"/>
  <c r="H2226" i="2"/>
  <c r="I2226" i="2"/>
  <c r="J2226" i="2"/>
  <c r="K2226" i="2"/>
  <c r="L2226" i="2"/>
  <c r="M2226" i="2"/>
  <c r="N2226" i="2"/>
  <c r="O2226" i="2"/>
  <c r="Q2226" i="2"/>
  <c r="R2226" i="2"/>
  <c r="S2226" i="2"/>
  <c r="E2227" i="2"/>
  <c r="F2227" i="2"/>
  <c r="G2227" i="2"/>
  <c r="H2227" i="2"/>
  <c r="I2227" i="2"/>
  <c r="J2227" i="2"/>
  <c r="M2227" i="2" s="1"/>
  <c r="K2227" i="2"/>
  <c r="L2227" i="2"/>
  <c r="N2227" i="2"/>
  <c r="O2227" i="2"/>
  <c r="Q2227" i="2"/>
  <c r="R2227" i="2"/>
  <c r="S2227" i="2"/>
  <c r="E2228" i="2"/>
  <c r="F2228" i="2"/>
  <c r="G2228" i="2"/>
  <c r="H2228" i="2"/>
  <c r="I2228" i="2"/>
  <c r="J2228" i="2"/>
  <c r="K2228" i="2"/>
  <c r="L2228" i="2"/>
  <c r="N2228" i="2"/>
  <c r="O2228" i="2"/>
  <c r="P2228" i="2" s="1"/>
  <c r="Q2228" i="2"/>
  <c r="R2228" i="2"/>
  <c r="S2228" i="2"/>
  <c r="E2229" i="2"/>
  <c r="F2229" i="2"/>
  <c r="G2229" i="2"/>
  <c r="H2229" i="2"/>
  <c r="I2229" i="2"/>
  <c r="J2229" i="2"/>
  <c r="K2229" i="2"/>
  <c r="L2229" i="2"/>
  <c r="N2229" i="2"/>
  <c r="O2229" i="2"/>
  <c r="Q2229" i="2"/>
  <c r="R2229" i="2"/>
  <c r="S2229" i="2"/>
  <c r="E2230" i="2"/>
  <c r="F2230" i="2"/>
  <c r="G2230" i="2"/>
  <c r="H2230" i="2"/>
  <c r="I2230" i="2"/>
  <c r="J2230" i="2"/>
  <c r="K2230" i="2"/>
  <c r="L2230" i="2"/>
  <c r="M2230" i="2"/>
  <c r="N2230" i="2"/>
  <c r="O2230" i="2"/>
  <c r="Q2230" i="2"/>
  <c r="R2230" i="2"/>
  <c r="S2230" i="2"/>
  <c r="E2231" i="2"/>
  <c r="F2231" i="2"/>
  <c r="G2231" i="2"/>
  <c r="H2231" i="2"/>
  <c r="I2231" i="2"/>
  <c r="J2231" i="2"/>
  <c r="M2231" i="2" s="1"/>
  <c r="K2231" i="2"/>
  <c r="L2231" i="2"/>
  <c r="N2231" i="2"/>
  <c r="O2231" i="2"/>
  <c r="Q2231" i="2"/>
  <c r="R2231" i="2"/>
  <c r="S2231" i="2"/>
  <c r="E2232" i="2"/>
  <c r="F2232" i="2"/>
  <c r="G2232" i="2"/>
  <c r="H2232" i="2"/>
  <c r="I2232" i="2"/>
  <c r="J2232" i="2"/>
  <c r="K2232" i="2"/>
  <c r="L2232" i="2"/>
  <c r="N2232" i="2"/>
  <c r="O2232" i="2"/>
  <c r="P2232" i="2" s="1"/>
  <c r="Q2232" i="2"/>
  <c r="R2232" i="2"/>
  <c r="S2232" i="2"/>
  <c r="E2233" i="2"/>
  <c r="F2233" i="2"/>
  <c r="G2233" i="2"/>
  <c r="H2233" i="2"/>
  <c r="M2233" i="2" s="1"/>
  <c r="I2233" i="2"/>
  <c r="J2233" i="2"/>
  <c r="K2233" i="2"/>
  <c r="L2233" i="2"/>
  <c r="N2233" i="2"/>
  <c r="O2233" i="2"/>
  <c r="Q2233" i="2"/>
  <c r="R2233" i="2"/>
  <c r="S2233" i="2"/>
  <c r="E2234" i="2"/>
  <c r="F2234" i="2"/>
  <c r="G2234" i="2"/>
  <c r="H2234" i="2"/>
  <c r="I2234" i="2"/>
  <c r="J2234" i="2"/>
  <c r="K2234" i="2"/>
  <c r="L2234" i="2"/>
  <c r="M2234" i="2"/>
  <c r="N2234" i="2"/>
  <c r="O2234" i="2"/>
  <c r="Q2234" i="2"/>
  <c r="R2234" i="2"/>
  <c r="S2234" i="2"/>
  <c r="E2235" i="2"/>
  <c r="F2235" i="2"/>
  <c r="G2235" i="2"/>
  <c r="H2235" i="2"/>
  <c r="I2235" i="2"/>
  <c r="J2235" i="2"/>
  <c r="M2235" i="2" s="1"/>
  <c r="K2235" i="2"/>
  <c r="L2235" i="2"/>
  <c r="N2235" i="2"/>
  <c r="O2235" i="2"/>
  <c r="Q2235" i="2"/>
  <c r="R2235" i="2"/>
  <c r="S2235" i="2"/>
  <c r="E2236" i="2"/>
  <c r="F2236" i="2"/>
  <c r="G2236" i="2"/>
  <c r="H2236" i="2"/>
  <c r="I2236" i="2"/>
  <c r="J2236" i="2"/>
  <c r="K2236" i="2"/>
  <c r="L2236" i="2"/>
  <c r="N2236" i="2"/>
  <c r="O2236" i="2"/>
  <c r="P2236" i="2" s="1"/>
  <c r="Q2236" i="2"/>
  <c r="R2236" i="2"/>
  <c r="S2236" i="2"/>
  <c r="E2237" i="2"/>
  <c r="F2237" i="2"/>
  <c r="G2237" i="2"/>
  <c r="H2237" i="2"/>
  <c r="I2237" i="2"/>
  <c r="J2237" i="2"/>
  <c r="K2237" i="2"/>
  <c r="L2237" i="2"/>
  <c r="N2237" i="2"/>
  <c r="O2237" i="2"/>
  <c r="Q2237" i="2"/>
  <c r="R2237" i="2"/>
  <c r="S2237" i="2"/>
  <c r="E2238" i="2"/>
  <c r="F2238" i="2"/>
  <c r="G2238" i="2"/>
  <c r="H2238" i="2"/>
  <c r="I2238" i="2"/>
  <c r="J2238" i="2"/>
  <c r="K2238" i="2"/>
  <c r="L2238" i="2"/>
  <c r="M2238" i="2"/>
  <c r="N2238" i="2"/>
  <c r="O2238" i="2"/>
  <c r="Q2238" i="2"/>
  <c r="R2238" i="2"/>
  <c r="S2238" i="2"/>
  <c r="E2239" i="2"/>
  <c r="F2239" i="2"/>
  <c r="G2239" i="2"/>
  <c r="H2239" i="2"/>
  <c r="I2239" i="2"/>
  <c r="J2239" i="2"/>
  <c r="M2239" i="2" s="1"/>
  <c r="K2239" i="2"/>
  <c r="L2239" i="2"/>
  <c r="N2239" i="2"/>
  <c r="O2239" i="2"/>
  <c r="Q2239" i="2"/>
  <c r="R2239" i="2"/>
  <c r="S2239" i="2"/>
  <c r="E2240" i="2"/>
  <c r="F2240" i="2"/>
  <c r="G2240" i="2"/>
  <c r="H2240" i="2"/>
  <c r="I2240" i="2"/>
  <c r="J2240" i="2"/>
  <c r="K2240" i="2"/>
  <c r="L2240" i="2"/>
  <c r="N2240" i="2"/>
  <c r="O2240" i="2"/>
  <c r="P2240" i="2" s="1"/>
  <c r="Q2240" i="2"/>
  <c r="R2240" i="2"/>
  <c r="S2240" i="2"/>
  <c r="E2241" i="2"/>
  <c r="F2241" i="2"/>
  <c r="G2241" i="2"/>
  <c r="H2241" i="2"/>
  <c r="M2241" i="2" s="1"/>
  <c r="I2241" i="2"/>
  <c r="J2241" i="2"/>
  <c r="K2241" i="2"/>
  <c r="L2241" i="2"/>
  <c r="N2241" i="2"/>
  <c r="O2241" i="2"/>
  <c r="Q2241" i="2"/>
  <c r="R2241" i="2"/>
  <c r="S2241" i="2"/>
  <c r="E2242" i="2"/>
  <c r="F2242" i="2"/>
  <c r="G2242" i="2"/>
  <c r="H2242" i="2"/>
  <c r="I2242" i="2"/>
  <c r="J2242" i="2"/>
  <c r="K2242" i="2"/>
  <c r="L2242" i="2"/>
  <c r="M2242" i="2"/>
  <c r="N2242" i="2"/>
  <c r="O2242" i="2"/>
  <c r="Q2242" i="2"/>
  <c r="R2242" i="2"/>
  <c r="S2242" i="2"/>
  <c r="E2243" i="2"/>
  <c r="F2243" i="2"/>
  <c r="G2243" i="2"/>
  <c r="H2243" i="2"/>
  <c r="I2243" i="2"/>
  <c r="J2243" i="2"/>
  <c r="M2243" i="2" s="1"/>
  <c r="K2243" i="2"/>
  <c r="L2243" i="2"/>
  <c r="N2243" i="2"/>
  <c r="O2243" i="2"/>
  <c r="Q2243" i="2"/>
  <c r="R2243" i="2"/>
  <c r="S2243" i="2"/>
  <c r="E2244" i="2"/>
  <c r="F2244" i="2"/>
  <c r="G2244" i="2"/>
  <c r="H2244" i="2"/>
  <c r="I2244" i="2"/>
  <c r="J2244" i="2"/>
  <c r="K2244" i="2"/>
  <c r="L2244" i="2"/>
  <c r="N2244" i="2"/>
  <c r="O2244" i="2"/>
  <c r="P2244" i="2" s="1"/>
  <c r="Q2244" i="2"/>
  <c r="R2244" i="2"/>
  <c r="S2244" i="2"/>
  <c r="E2245" i="2"/>
  <c r="F2245" i="2"/>
  <c r="G2245" i="2"/>
  <c r="H2245" i="2"/>
  <c r="I2245" i="2"/>
  <c r="J2245" i="2"/>
  <c r="K2245" i="2"/>
  <c r="L2245" i="2"/>
  <c r="N2245" i="2"/>
  <c r="O2245" i="2"/>
  <c r="Q2245" i="2"/>
  <c r="R2245" i="2"/>
  <c r="S2245" i="2"/>
  <c r="E2246" i="2"/>
  <c r="F2246" i="2"/>
  <c r="G2246" i="2"/>
  <c r="H2246" i="2"/>
  <c r="I2246" i="2"/>
  <c r="J2246" i="2"/>
  <c r="K2246" i="2"/>
  <c r="L2246" i="2"/>
  <c r="M2246" i="2"/>
  <c r="N2246" i="2"/>
  <c r="O2246" i="2"/>
  <c r="Q2246" i="2"/>
  <c r="R2246" i="2"/>
  <c r="S2246" i="2"/>
  <c r="E2247" i="2"/>
  <c r="F2247" i="2"/>
  <c r="G2247" i="2"/>
  <c r="H2247" i="2"/>
  <c r="I2247" i="2"/>
  <c r="J2247" i="2"/>
  <c r="M2247" i="2" s="1"/>
  <c r="K2247" i="2"/>
  <c r="L2247" i="2"/>
  <c r="N2247" i="2"/>
  <c r="O2247" i="2"/>
  <c r="Q2247" i="2"/>
  <c r="R2247" i="2"/>
  <c r="S2247" i="2"/>
  <c r="E2248" i="2"/>
  <c r="F2248" i="2"/>
  <c r="G2248" i="2"/>
  <c r="H2248" i="2"/>
  <c r="I2248" i="2"/>
  <c r="J2248" i="2"/>
  <c r="K2248" i="2"/>
  <c r="L2248" i="2"/>
  <c r="N2248" i="2"/>
  <c r="O2248" i="2"/>
  <c r="P2248" i="2" s="1"/>
  <c r="Q2248" i="2"/>
  <c r="R2248" i="2"/>
  <c r="S2248" i="2"/>
  <c r="E2249" i="2"/>
  <c r="F2249" i="2"/>
  <c r="G2249" i="2"/>
  <c r="H2249" i="2"/>
  <c r="I2249" i="2"/>
  <c r="J2249" i="2"/>
  <c r="K2249" i="2"/>
  <c r="L2249" i="2"/>
  <c r="N2249" i="2"/>
  <c r="O2249" i="2"/>
  <c r="Q2249" i="2"/>
  <c r="R2249" i="2"/>
  <c r="S2249" i="2"/>
  <c r="E2250" i="2"/>
  <c r="F2250" i="2"/>
  <c r="G2250" i="2"/>
  <c r="H2250" i="2"/>
  <c r="I2250" i="2"/>
  <c r="J2250" i="2"/>
  <c r="K2250" i="2"/>
  <c r="L2250" i="2"/>
  <c r="M2250" i="2"/>
  <c r="N2250" i="2"/>
  <c r="O2250" i="2"/>
  <c r="Q2250" i="2"/>
  <c r="R2250" i="2"/>
  <c r="S2250" i="2"/>
  <c r="E2251" i="2"/>
  <c r="F2251" i="2"/>
  <c r="G2251" i="2"/>
  <c r="H2251" i="2"/>
  <c r="I2251" i="2"/>
  <c r="J2251" i="2"/>
  <c r="M2251" i="2" s="1"/>
  <c r="K2251" i="2"/>
  <c r="L2251" i="2"/>
  <c r="N2251" i="2"/>
  <c r="O2251" i="2"/>
  <c r="Q2251" i="2"/>
  <c r="R2251" i="2"/>
  <c r="S2251" i="2"/>
  <c r="E2252" i="2"/>
  <c r="F2252" i="2"/>
  <c r="G2252" i="2"/>
  <c r="H2252" i="2"/>
  <c r="I2252" i="2"/>
  <c r="J2252" i="2"/>
  <c r="K2252" i="2"/>
  <c r="L2252" i="2"/>
  <c r="N2252" i="2"/>
  <c r="O2252" i="2"/>
  <c r="P2252" i="2" s="1"/>
  <c r="Q2252" i="2"/>
  <c r="R2252" i="2"/>
  <c r="S2252" i="2"/>
  <c r="E2253" i="2"/>
  <c r="F2253" i="2"/>
  <c r="G2253" i="2"/>
  <c r="H2253" i="2"/>
  <c r="I2253" i="2"/>
  <c r="J2253" i="2"/>
  <c r="K2253" i="2"/>
  <c r="L2253" i="2"/>
  <c r="N2253" i="2"/>
  <c r="O2253" i="2"/>
  <c r="Q2253" i="2"/>
  <c r="R2253" i="2"/>
  <c r="S2253" i="2"/>
  <c r="E2254" i="2"/>
  <c r="F2254" i="2"/>
  <c r="G2254" i="2"/>
  <c r="H2254" i="2"/>
  <c r="I2254" i="2"/>
  <c r="J2254" i="2"/>
  <c r="K2254" i="2"/>
  <c r="L2254" i="2"/>
  <c r="M2254" i="2"/>
  <c r="N2254" i="2"/>
  <c r="O2254" i="2"/>
  <c r="Q2254" i="2"/>
  <c r="R2254" i="2"/>
  <c r="S2254" i="2"/>
  <c r="E2255" i="2"/>
  <c r="F2255" i="2"/>
  <c r="G2255" i="2"/>
  <c r="H2255" i="2"/>
  <c r="I2255" i="2"/>
  <c r="J2255" i="2"/>
  <c r="M2255" i="2" s="1"/>
  <c r="K2255" i="2"/>
  <c r="L2255" i="2"/>
  <c r="N2255" i="2"/>
  <c r="O2255" i="2"/>
  <c r="Q2255" i="2"/>
  <c r="R2255" i="2"/>
  <c r="S2255" i="2"/>
  <c r="E2256" i="2"/>
  <c r="F2256" i="2"/>
  <c r="G2256" i="2"/>
  <c r="H2256" i="2"/>
  <c r="I2256" i="2"/>
  <c r="J2256" i="2"/>
  <c r="K2256" i="2"/>
  <c r="L2256" i="2"/>
  <c r="N2256" i="2"/>
  <c r="O2256" i="2"/>
  <c r="P2256" i="2" s="1"/>
  <c r="Q2256" i="2"/>
  <c r="R2256" i="2"/>
  <c r="S2256" i="2"/>
  <c r="E2257" i="2"/>
  <c r="F2257" i="2"/>
  <c r="G2257" i="2"/>
  <c r="H2257" i="2"/>
  <c r="M2257" i="2" s="1"/>
  <c r="I2257" i="2"/>
  <c r="J2257" i="2"/>
  <c r="K2257" i="2"/>
  <c r="L2257" i="2"/>
  <c r="N2257" i="2"/>
  <c r="O2257" i="2"/>
  <c r="Q2257" i="2"/>
  <c r="R2257" i="2"/>
  <c r="S2257" i="2"/>
  <c r="E2258" i="2"/>
  <c r="F2258" i="2"/>
  <c r="G2258" i="2"/>
  <c r="H2258" i="2"/>
  <c r="I2258" i="2"/>
  <c r="J2258" i="2"/>
  <c r="K2258" i="2"/>
  <c r="L2258" i="2"/>
  <c r="M2258" i="2"/>
  <c r="N2258" i="2"/>
  <c r="O2258" i="2"/>
  <c r="Q2258" i="2"/>
  <c r="R2258" i="2"/>
  <c r="S2258" i="2"/>
  <c r="E2259" i="2"/>
  <c r="F2259" i="2"/>
  <c r="G2259" i="2"/>
  <c r="H2259" i="2"/>
  <c r="I2259" i="2"/>
  <c r="J2259" i="2"/>
  <c r="M2259" i="2" s="1"/>
  <c r="K2259" i="2"/>
  <c r="L2259" i="2"/>
  <c r="N2259" i="2"/>
  <c r="O2259" i="2"/>
  <c r="Q2259" i="2"/>
  <c r="R2259" i="2"/>
  <c r="S2259" i="2"/>
  <c r="E2260" i="2"/>
  <c r="F2260" i="2"/>
  <c r="G2260" i="2"/>
  <c r="H2260" i="2"/>
  <c r="I2260" i="2"/>
  <c r="J2260" i="2"/>
  <c r="K2260" i="2"/>
  <c r="L2260" i="2"/>
  <c r="N2260" i="2"/>
  <c r="O2260" i="2"/>
  <c r="P2260" i="2" s="1"/>
  <c r="Q2260" i="2"/>
  <c r="R2260" i="2"/>
  <c r="S2260" i="2"/>
  <c r="E2261" i="2"/>
  <c r="F2261" i="2"/>
  <c r="G2261" i="2"/>
  <c r="H2261" i="2"/>
  <c r="I2261" i="2"/>
  <c r="J2261" i="2"/>
  <c r="K2261" i="2"/>
  <c r="L2261" i="2"/>
  <c r="N2261" i="2"/>
  <c r="O2261" i="2"/>
  <c r="Q2261" i="2"/>
  <c r="R2261" i="2"/>
  <c r="S2261" i="2"/>
  <c r="E2262" i="2"/>
  <c r="F2262" i="2"/>
  <c r="G2262" i="2"/>
  <c r="H2262" i="2"/>
  <c r="I2262" i="2"/>
  <c r="J2262" i="2"/>
  <c r="K2262" i="2"/>
  <c r="L2262" i="2"/>
  <c r="M2262" i="2"/>
  <c r="N2262" i="2"/>
  <c r="O2262" i="2"/>
  <c r="Q2262" i="2"/>
  <c r="R2262" i="2"/>
  <c r="S2262" i="2"/>
  <c r="E2263" i="2"/>
  <c r="F2263" i="2"/>
  <c r="G2263" i="2"/>
  <c r="H2263" i="2"/>
  <c r="I2263" i="2"/>
  <c r="J2263" i="2"/>
  <c r="M2263" i="2" s="1"/>
  <c r="K2263" i="2"/>
  <c r="L2263" i="2"/>
  <c r="N2263" i="2"/>
  <c r="O2263" i="2"/>
  <c r="Q2263" i="2"/>
  <c r="R2263" i="2"/>
  <c r="S2263" i="2"/>
  <c r="E2264" i="2"/>
  <c r="F2264" i="2"/>
  <c r="G2264" i="2"/>
  <c r="H2264" i="2"/>
  <c r="I2264" i="2"/>
  <c r="J2264" i="2"/>
  <c r="K2264" i="2"/>
  <c r="L2264" i="2"/>
  <c r="N2264" i="2"/>
  <c r="O2264" i="2"/>
  <c r="P2264" i="2" s="1"/>
  <c r="Q2264" i="2"/>
  <c r="R2264" i="2"/>
  <c r="S2264" i="2"/>
  <c r="E2265" i="2"/>
  <c r="F2265" i="2"/>
  <c r="G2265" i="2"/>
  <c r="H2265" i="2"/>
  <c r="M2265" i="2" s="1"/>
  <c r="I2265" i="2"/>
  <c r="J2265" i="2"/>
  <c r="K2265" i="2"/>
  <c r="L2265" i="2"/>
  <c r="N2265" i="2"/>
  <c r="O2265" i="2"/>
  <c r="Q2265" i="2"/>
  <c r="R2265" i="2"/>
  <c r="S2265" i="2"/>
  <c r="E2266" i="2"/>
  <c r="F2266" i="2"/>
  <c r="G2266" i="2"/>
  <c r="H2266" i="2"/>
  <c r="I2266" i="2"/>
  <c r="J2266" i="2"/>
  <c r="K2266" i="2"/>
  <c r="L2266" i="2"/>
  <c r="M2266" i="2"/>
  <c r="N2266" i="2"/>
  <c r="O2266" i="2"/>
  <c r="Q2266" i="2"/>
  <c r="R2266" i="2"/>
  <c r="S2266" i="2"/>
  <c r="E2267" i="2"/>
  <c r="F2267" i="2"/>
  <c r="G2267" i="2"/>
  <c r="H2267" i="2"/>
  <c r="I2267" i="2"/>
  <c r="J2267" i="2"/>
  <c r="M2267" i="2" s="1"/>
  <c r="K2267" i="2"/>
  <c r="L2267" i="2"/>
  <c r="N2267" i="2"/>
  <c r="O2267" i="2"/>
  <c r="Q2267" i="2"/>
  <c r="R2267" i="2"/>
  <c r="S2267" i="2"/>
  <c r="E2268" i="2"/>
  <c r="F2268" i="2"/>
  <c r="G2268" i="2"/>
  <c r="H2268" i="2"/>
  <c r="I2268" i="2"/>
  <c r="J2268" i="2"/>
  <c r="K2268" i="2"/>
  <c r="L2268" i="2"/>
  <c r="N2268" i="2"/>
  <c r="O2268" i="2"/>
  <c r="P2268" i="2" s="1"/>
  <c r="Q2268" i="2"/>
  <c r="R2268" i="2"/>
  <c r="S2268" i="2"/>
  <c r="E2269" i="2"/>
  <c r="F2269" i="2"/>
  <c r="G2269" i="2"/>
  <c r="H2269" i="2"/>
  <c r="I2269" i="2"/>
  <c r="J2269" i="2"/>
  <c r="K2269" i="2"/>
  <c r="L2269" i="2"/>
  <c r="N2269" i="2"/>
  <c r="O2269" i="2"/>
  <c r="Q2269" i="2"/>
  <c r="R2269" i="2"/>
  <c r="S2269" i="2"/>
  <c r="E2270" i="2"/>
  <c r="F2270" i="2"/>
  <c r="G2270" i="2"/>
  <c r="H2270" i="2"/>
  <c r="I2270" i="2"/>
  <c r="J2270" i="2"/>
  <c r="K2270" i="2"/>
  <c r="L2270" i="2"/>
  <c r="M2270" i="2"/>
  <c r="N2270" i="2"/>
  <c r="O2270" i="2"/>
  <c r="Q2270" i="2"/>
  <c r="R2270" i="2"/>
  <c r="S2270" i="2"/>
  <c r="E2271" i="2"/>
  <c r="F2271" i="2"/>
  <c r="G2271" i="2"/>
  <c r="H2271" i="2"/>
  <c r="I2271" i="2"/>
  <c r="J2271" i="2"/>
  <c r="M2271" i="2" s="1"/>
  <c r="K2271" i="2"/>
  <c r="L2271" i="2"/>
  <c r="N2271" i="2"/>
  <c r="O2271" i="2"/>
  <c r="Q2271" i="2"/>
  <c r="R2271" i="2"/>
  <c r="S2271" i="2"/>
  <c r="E2272" i="2"/>
  <c r="F2272" i="2"/>
  <c r="G2272" i="2"/>
  <c r="H2272" i="2"/>
  <c r="I2272" i="2"/>
  <c r="J2272" i="2"/>
  <c r="K2272" i="2"/>
  <c r="L2272" i="2"/>
  <c r="N2272" i="2"/>
  <c r="O2272" i="2"/>
  <c r="P2272" i="2" s="1"/>
  <c r="Q2272" i="2"/>
  <c r="R2272" i="2"/>
  <c r="S2272" i="2"/>
  <c r="E2273" i="2"/>
  <c r="F2273" i="2"/>
  <c r="G2273" i="2"/>
  <c r="H2273" i="2"/>
  <c r="M2273" i="2" s="1"/>
  <c r="I2273" i="2"/>
  <c r="J2273" i="2"/>
  <c r="K2273" i="2"/>
  <c r="L2273" i="2"/>
  <c r="N2273" i="2"/>
  <c r="O2273" i="2"/>
  <c r="Q2273" i="2"/>
  <c r="R2273" i="2"/>
  <c r="S2273" i="2"/>
  <c r="E2274" i="2"/>
  <c r="F2274" i="2"/>
  <c r="G2274" i="2"/>
  <c r="H2274" i="2"/>
  <c r="I2274" i="2"/>
  <c r="J2274" i="2"/>
  <c r="K2274" i="2"/>
  <c r="L2274" i="2"/>
  <c r="M2274" i="2"/>
  <c r="N2274" i="2"/>
  <c r="O2274" i="2"/>
  <c r="Q2274" i="2"/>
  <c r="R2274" i="2"/>
  <c r="S2274" i="2"/>
  <c r="E2275" i="2"/>
  <c r="F2275" i="2"/>
  <c r="G2275" i="2"/>
  <c r="H2275" i="2"/>
  <c r="I2275" i="2"/>
  <c r="J2275" i="2"/>
  <c r="M2275" i="2" s="1"/>
  <c r="K2275" i="2"/>
  <c r="L2275" i="2"/>
  <c r="N2275" i="2"/>
  <c r="O2275" i="2"/>
  <c r="Q2275" i="2"/>
  <c r="R2275" i="2"/>
  <c r="S2275" i="2"/>
  <c r="E2276" i="2"/>
  <c r="F2276" i="2"/>
  <c r="G2276" i="2"/>
  <c r="H2276" i="2"/>
  <c r="I2276" i="2"/>
  <c r="J2276" i="2"/>
  <c r="K2276" i="2"/>
  <c r="L2276" i="2"/>
  <c r="N2276" i="2"/>
  <c r="O2276" i="2"/>
  <c r="P2276" i="2" s="1"/>
  <c r="Q2276" i="2"/>
  <c r="R2276" i="2"/>
  <c r="S2276" i="2"/>
  <c r="E2277" i="2"/>
  <c r="F2277" i="2"/>
  <c r="G2277" i="2"/>
  <c r="H2277" i="2"/>
  <c r="I2277" i="2"/>
  <c r="J2277" i="2"/>
  <c r="K2277" i="2"/>
  <c r="L2277" i="2"/>
  <c r="N2277" i="2"/>
  <c r="O2277" i="2"/>
  <c r="Q2277" i="2"/>
  <c r="R2277" i="2"/>
  <c r="S2277" i="2"/>
  <c r="E2278" i="2"/>
  <c r="F2278" i="2"/>
  <c r="G2278" i="2"/>
  <c r="H2278" i="2"/>
  <c r="I2278" i="2"/>
  <c r="J2278" i="2"/>
  <c r="K2278" i="2"/>
  <c r="L2278" i="2"/>
  <c r="M2278" i="2"/>
  <c r="N2278" i="2"/>
  <c r="O2278" i="2"/>
  <c r="Q2278" i="2"/>
  <c r="R2278" i="2"/>
  <c r="S2278" i="2"/>
  <c r="E2279" i="2"/>
  <c r="F2279" i="2"/>
  <c r="G2279" i="2"/>
  <c r="H2279" i="2"/>
  <c r="I2279" i="2"/>
  <c r="J2279" i="2"/>
  <c r="M2279" i="2" s="1"/>
  <c r="K2279" i="2"/>
  <c r="L2279" i="2"/>
  <c r="N2279" i="2"/>
  <c r="O2279" i="2"/>
  <c r="Q2279" i="2"/>
  <c r="R2279" i="2"/>
  <c r="S2279" i="2"/>
  <c r="E2280" i="2"/>
  <c r="F2280" i="2"/>
  <c r="G2280" i="2"/>
  <c r="H2280" i="2"/>
  <c r="I2280" i="2"/>
  <c r="J2280" i="2"/>
  <c r="K2280" i="2"/>
  <c r="L2280" i="2"/>
  <c r="N2280" i="2"/>
  <c r="O2280" i="2"/>
  <c r="P2280" i="2" s="1"/>
  <c r="Q2280" i="2"/>
  <c r="R2280" i="2"/>
  <c r="S2280" i="2"/>
  <c r="E2281" i="2"/>
  <c r="F2281" i="2"/>
  <c r="G2281" i="2"/>
  <c r="H2281" i="2"/>
  <c r="P2281" i="2" s="1"/>
  <c r="I2281" i="2"/>
  <c r="J2281" i="2"/>
  <c r="K2281" i="2"/>
  <c r="L2281" i="2"/>
  <c r="N2281" i="2"/>
  <c r="O2281" i="2"/>
  <c r="Q2281" i="2"/>
  <c r="R2281" i="2"/>
  <c r="S2281" i="2"/>
  <c r="E2282" i="2"/>
  <c r="F2282" i="2"/>
  <c r="G2282" i="2"/>
  <c r="H2282" i="2"/>
  <c r="I2282" i="2"/>
  <c r="J2282" i="2"/>
  <c r="K2282" i="2"/>
  <c r="L2282" i="2"/>
  <c r="M2282" i="2"/>
  <c r="N2282" i="2"/>
  <c r="O2282" i="2"/>
  <c r="Q2282" i="2"/>
  <c r="R2282" i="2"/>
  <c r="S2282" i="2"/>
  <c r="E2283" i="2"/>
  <c r="F2283" i="2"/>
  <c r="G2283" i="2"/>
  <c r="H2283" i="2"/>
  <c r="I2283" i="2"/>
  <c r="J2283" i="2"/>
  <c r="M2283" i="2" s="1"/>
  <c r="K2283" i="2"/>
  <c r="L2283" i="2"/>
  <c r="N2283" i="2"/>
  <c r="O2283" i="2"/>
  <c r="Q2283" i="2"/>
  <c r="R2283" i="2"/>
  <c r="S2283" i="2"/>
  <c r="E2284" i="2"/>
  <c r="F2284" i="2"/>
  <c r="G2284" i="2"/>
  <c r="H2284" i="2"/>
  <c r="I2284" i="2"/>
  <c r="J2284" i="2"/>
  <c r="K2284" i="2"/>
  <c r="L2284" i="2"/>
  <c r="N2284" i="2"/>
  <c r="O2284" i="2"/>
  <c r="P2284" i="2" s="1"/>
  <c r="Q2284" i="2"/>
  <c r="R2284" i="2"/>
  <c r="S2284" i="2"/>
  <c r="E2285" i="2"/>
  <c r="F2285" i="2"/>
  <c r="G2285" i="2"/>
  <c r="H2285" i="2"/>
  <c r="I2285" i="2"/>
  <c r="J2285" i="2"/>
  <c r="K2285" i="2"/>
  <c r="L2285" i="2"/>
  <c r="N2285" i="2"/>
  <c r="O2285" i="2"/>
  <c r="Q2285" i="2"/>
  <c r="R2285" i="2"/>
  <c r="S2285" i="2"/>
  <c r="E2286" i="2"/>
  <c r="F2286" i="2"/>
  <c r="G2286" i="2"/>
  <c r="H2286" i="2"/>
  <c r="I2286" i="2"/>
  <c r="J2286" i="2"/>
  <c r="K2286" i="2"/>
  <c r="L2286" i="2"/>
  <c r="M2286" i="2"/>
  <c r="N2286" i="2"/>
  <c r="O2286" i="2"/>
  <c r="Q2286" i="2"/>
  <c r="R2286" i="2"/>
  <c r="S2286" i="2"/>
  <c r="E2287" i="2"/>
  <c r="F2287" i="2"/>
  <c r="G2287" i="2"/>
  <c r="H2287" i="2"/>
  <c r="I2287" i="2"/>
  <c r="J2287" i="2"/>
  <c r="M2287" i="2" s="1"/>
  <c r="K2287" i="2"/>
  <c r="L2287" i="2"/>
  <c r="N2287" i="2"/>
  <c r="O2287" i="2"/>
  <c r="Q2287" i="2"/>
  <c r="R2287" i="2"/>
  <c r="S2287" i="2"/>
  <c r="E2288" i="2"/>
  <c r="F2288" i="2"/>
  <c r="G2288" i="2"/>
  <c r="H2288" i="2"/>
  <c r="I2288" i="2"/>
  <c r="J2288" i="2"/>
  <c r="K2288" i="2"/>
  <c r="L2288" i="2"/>
  <c r="N2288" i="2"/>
  <c r="O2288" i="2"/>
  <c r="P2288" i="2" s="1"/>
  <c r="Q2288" i="2"/>
  <c r="R2288" i="2"/>
  <c r="S2288" i="2"/>
  <c r="E2289" i="2"/>
  <c r="F2289" i="2"/>
  <c r="G2289" i="2"/>
  <c r="H2289" i="2"/>
  <c r="M2289" i="2" s="1"/>
  <c r="I2289" i="2"/>
  <c r="J2289" i="2"/>
  <c r="K2289" i="2"/>
  <c r="L2289" i="2"/>
  <c r="N2289" i="2"/>
  <c r="O2289" i="2"/>
  <c r="Q2289" i="2"/>
  <c r="R2289" i="2"/>
  <c r="S2289" i="2"/>
  <c r="E2290" i="2"/>
  <c r="F2290" i="2"/>
  <c r="G2290" i="2"/>
  <c r="H2290" i="2"/>
  <c r="I2290" i="2"/>
  <c r="J2290" i="2"/>
  <c r="K2290" i="2"/>
  <c r="L2290" i="2"/>
  <c r="M2290" i="2"/>
  <c r="N2290" i="2"/>
  <c r="O2290" i="2"/>
  <c r="Q2290" i="2"/>
  <c r="R2290" i="2"/>
  <c r="S2290" i="2"/>
  <c r="E2291" i="2"/>
  <c r="F2291" i="2"/>
  <c r="G2291" i="2"/>
  <c r="H2291" i="2"/>
  <c r="I2291" i="2"/>
  <c r="J2291" i="2"/>
  <c r="M2291" i="2" s="1"/>
  <c r="K2291" i="2"/>
  <c r="L2291" i="2"/>
  <c r="N2291" i="2"/>
  <c r="O2291" i="2"/>
  <c r="Q2291" i="2"/>
  <c r="R2291" i="2"/>
  <c r="S2291" i="2"/>
  <c r="E2292" i="2"/>
  <c r="F2292" i="2"/>
  <c r="G2292" i="2"/>
  <c r="H2292" i="2"/>
  <c r="I2292" i="2"/>
  <c r="J2292" i="2"/>
  <c r="K2292" i="2"/>
  <c r="L2292" i="2"/>
  <c r="N2292" i="2"/>
  <c r="O2292" i="2"/>
  <c r="P2292" i="2" s="1"/>
  <c r="Q2292" i="2"/>
  <c r="R2292" i="2"/>
  <c r="S2292" i="2"/>
  <c r="E2293" i="2"/>
  <c r="F2293" i="2"/>
  <c r="G2293" i="2"/>
  <c r="H2293" i="2"/>
  <c r="I2293" i="2"/>
  <c r="J2293" i="2"/>
  <c r="K2293" i="2"/>
  <c r="L2293" i="2"/>
  <c r="N2293" i="2"/>
  <c r="O2293" i="2"/>
  <c r="Q2293" i="2"/>
  <c r="R2293" i="2"/>
  <c r="S2293" i="2"/>
  <c r="E2294" i="2"/>
  <c r="F2294" i="2"/>
  <c r="G2294" i="2"/>
  <c r="H2294" i="2"/>
  <c r="I2294" i="2"/>
  <c r="J2294" i="2"/>
  <c r="K2294" i="2"/>
  <c r="L2294" i="2"/>
  <c r="M2294" i="2"/>
  <c r="N2294" i="2"/>
  <c r="O2294" i="2"/>
  <c r="Q2294" i="2"/>
  <c r="R2294" i="2"/>
  <c r="S2294" i="2"/>
  <c r="E2295" i="2"/>
  <c r="F2295" i="2"/>
  <c r="G2295" i="2"/>
  <c r="H2295" i="2"/>
  <c r="I2295" i="2"/>
  <c r="J2295" i="2"/>
  <c r="M2295" i="2" s="1"/>
  <c r="K2295" i="2"/>
  <c r="L2295" i="2"/>
  <c r="N2295" i="2"/>
  <c r="O2295" i="2"/>
  <c r="Q2295" i="2"/>
  <c r="R2295" i="2"/>
  <c r="S2295" i="2"/>
  <c r="E2296" i="2"/>
  <c r="F2296" i="2"/>
  <c r="G2296" i="2"/>
  <c r="H2296" i="2"/>
  <c r="I2296" i="2"/>
  <c r="J2296" i="2"/>
  <c r="K2296" i="2"/>
  <c r="L2296" i="2"/>
  <c r="N2296" i="2"/>
  <c r="O2296" i="2"/>
  <c r="P2296" i="2" s="1"/>
  <c r="Q2296" i="2"/>
  <c r="R2296" i="2"/>
  <c r="S2296" i="2"/>
  <c r="E2297" i="2"/>
  <c r="F2297" i="2"/>
  <c r="G2297" i="2"/>
  <c r="H2297" i="2"/>
  <c r="M2297" i="2" s="1"/>
  <c r="I2297" i="2"/>
  <c r="J2297" i="2"/>
  <c r="K2297" i="2"/>
  <c r="L2297" i="2"/>
  <c r="N2297" i="2"/>
  <c r="O2297" i="2"/>
  <c r="Q2297" i="2"/>
  <c r="R2297" i="2"/>
  <c r="S2297" i="2"/>
  <c r="E2298" i="2"/>
  <c r="F2298" i="2"/>
  <c r="G2298" i="2"/>
  <c r="H2298" i="2"/>
  <c r="I2298" i="2"/>
  <c r="J2298" i="2"/>
  <c r="K2298" i="2"/>
  <c r="L2298" i="2"/>
  <c r="M2298" i="2"/>
  <c r="N2298" i="2"/>
  <c r="O2298" i="2"/>
  <c r="Q2298" i="2"/>
  <c r="R2298" i="2"/>
  <c r="S2298" i="2"/>
  <c r="E2299" i="2"/>
  <c r="F2299" i="2"/>
  <c r="G2299" i="2"/>
  <c r="H2299" i="2"/>
  <c r="I2299" i="2"/>
  <c r="J2299" i="2"/>
  <c r="M2299" i="2" s="1"/>
  <c r="K2299" i="2"/>
  <c r="L2299" i="2"/>
  <c r="N2299" i="2"/>
  <c r="O2299" i="2"/>
  <c r="Q2299" i="2"/>
  <c r="R2299" i="2"/>
  <c r="S2299" i="2"/>
  <c r="E2300" i="2"/>
  <c r="F2300" i="2"/>
  <c r="G2300" i="2"/>
  <c r="H2300" i="2"/>
  <c r="I2300" i="2"/>
  <c r="J2300" i="2"/>
  <c r="K2300" i="2"/>
  <c r="L2300" i="2"/>
  <c r="N2300" i="2"/>
  <c r="O2300" i="2"/>
  <c r="P2300" i="2" s="1"/>
  <c r="Q2300" i="2"/>
  <c r="R2300" i="2"/>
  <c r="S2300" i="2"/>
  <c r="E2301" i="2"/>
  <c r="F2301" i="2"/>
  <c r="G2301" i="2"/>
  <c r="H2301" i="2"/>
  <c r="I2301" i="2"/>
  <c r="J2301" i="2"/>
  <c r="K2301" i="2"/>
  <c r="L2301" i="2"/>
  <c r="N2301" i="2"/>
  <c r="O2301" i="2"/>
  <c r="Q2301" i="2"/>
  <c r="R2301" i="2"/>
  <c r="S2301" i="2"/>
  <c r="E2302" i="2"/>
  <c r="F2302" i="2"/>
  <c r="G2302" i="2"/>
  <c r="H2302" i="2"/>
  <c r="I2302" i="2"/>
  <c r="J2302" i="2"/>
  <c r="K2302" i="2"/>
  <c r="L2302" i="2"/>
  <c r="M2302" i="2"/>
  <c r="N2302" i="2"/>
  <c r="O2302" i="2"/>
  <c r="Q2302" i="2"/>
  <c r="R2302" i="2"/>
  <c r="S2302" i="2"/>
  <c r="E2303" i="2"/>
  <c r="F2303" i="2"/>
  <c r="G2303" i="2"/>
  <c r="H2303" i="2"/>
  <c r="I2303" i="2"/>
  <c r="J2303" i="2"/>
  <c r="M2303" i="2" s="1"/>
  <c r="K2303" i="2"/>
  <c r="L2303" i="2"/>
  <c r="N2303" i="2"/>
  <c r="O2303" i="2"/>
  <c r="Q2303" i="2"/>
  <c r="R2303" i="2"/>
  <c r="S2303" i="2"/>
  <c r="E2304" i="2"/>
  <c r="F2304" i="2"/>
  <c r="G2304" i="2"/>
  <c r="H2304" i="2"/>
  <c r="I2304" i="2"/>
  <c r="J2304" i="2"/>
  <c r="K2304" i="2"/>
  <c r="L2304" i="2"/>
  <c r="N2304" i="2"/>
  <c r="O2304" i="2"/>
  <c r="P2304" i="2" s="1"/>
  <c r="Q2304" i="2"/>
  <c r="R2304" i="2"/>
  <c r="S2304" i="2"/>
  <c r="E2305" i="2"/>
  <c r="F2305" i="2"/>
  <c r="G2305" i="2"/>
  <c r="H2305" i="2"/>
  <c r="M2305" i="2" s="1"/>
  <c r="I2305" i="2"/>
  <c r="J2305" i="2"/>
  <c r="K2305" i="2"/>
  <c r="L2305" i="2"/>
  <c r="N2305" i="2"/>
  <c r="O2305" i="2"/>
  <c r="Q2305" i="2"/>
  <c r="R2305" i="2"/>
  <c r="S2305" i="2"/>
  <c r="E2306" i="2"/>
  <c r="F2306" i="2"/>
  <c r="G2306" i="2"/>
  <c r="H2306" i="2"/>
  <c r="I2306" i="2"/>
  <c r="J2306" i="2"/>
  <c r="K2306" i="2"/>
  <c r="L2306" i="2"/>
  <c r="M2306" i="2"/>
  <c r="N2306" i="2"/>
  <c r="O2306" i="2"/>
  <c r="Q2306" i="2"/>
  <c r="R2306" i="2"/>
  <c r="S2306" i="2"/>
  <c r="E2307" i="2"/>
  <c r="F2307" i="2"/>
  <c r="G2307" i="2"/>
  <c r="H2307" i="2"/>
  <c r="I2307" i="2"/>
  <c r="J2307" i="2"/>
  <c r="M2307" i="2" s="1"/>
  <c r="K2307" i="2"/>
  <c r="L2307" i="2"/>
  <c r="N2307" i="2"/>
  <c r="O2307" i="2"/>
  <c r="Q2307" i="2"/>
  <c r="R2307" i="2"/>
  <c r="S2307" i="2"/>
  <c r="E2308" i="2"/>
  <c r="F2308" i="2"/>
  <c r="G2308" i="2"/>
  <c r="H2308" i="2"/>
  <c r="I2308" i="2"/>
  <c r="J2308" i="2"/>
  <c r="K2308" i="2"/>
  <c r="L2308" i="2"/>
  <c r="N2308" i="2"/>
  <c r="O2308" i="2"/>
  <c r="P2308" i="2" s="1"/>
  <c r="Q2308" i="2"/>
  <c r="R2308" i="2"/>
  <c r="S2308" i="2"/>
  <c r="E2309" i="2"/>
  <c r="F2309" i="2"/>
  <c r="G2309" i="2"/>
  <c r="H2309" i="2"/>
  <c r="I2309" i="2"/>
  <c r="J2309" i="2"/>
  <c r="K2309" i="2"/>
  <c r="L2309" i="2"/>
  <c r="N2309" i="2"/>
  <c r="O2309" i="2"/>
  <c r="Q2309" i="2"/>
  <c r="R2309" i="2"/>
  <c r="S2309" i="2"/>
  <c r="E2310" i="2"/>
  <c r="F2310" i="2"/>
  <c r="G2310" i="2"/>
  <c r="H2310" i="2"/>
  <c r="I2310" i="2"/>
  <c r="J2310" i="2"/>
  <c r="K2310" i="2"/>
  <c r="L2310" i="2"/>
  <c r="M2310" i="2"/>
  <c r="N2310" i="2"/>
  <c r="O2310" i="2"/>
  <c r="Q2310" i="2"/>
  <c r="R2310" i="2"/>
  <c r="S2310" i="2"/>
  <c r="E2311" i="2"/>
  <c r="F2311" i="2"/>
  <c r="G2311" i="2"/>
  <c r="H2311" i="2"/>
  <c r="I2311" i="2"/>
  <c r="J2311" i="2"/>
  <c r="M2311" i="2" s="1"/>
  <c r="K2311" i="2"/>
  <c r="L2311" i="2"/>
  <c r="N2311" i="2"/>
  <c r="O2311" i="2"/>
  <c r="Q2311" i="2"/>
  <c r="R2311" i="2"/>
  <c r="S2311" i="2"/>
  <c r="E2312" i="2"/>
  <c r="F2312" i="2"/>
  <c r="G2312" i="2"/>
  <c r="H2312" i="2"/>
  <c r="I2312" i="2"/>
  <c r="J2312" i="2"/>
  <c r="K2312" i="2"/>
  <c r="L2312" i="2"/>
  <c r="N2312" i="2"/>
  <c r="O2312" i="2"/>
  <c r="P2312" i="2" s="1"/>
  <c r="Q2312" i="2"/>
  <c r="R2312" i="2"/>
  <c r="S2312" i="2"/>
  <c r="E2313" i="2"/>
  <c r="F2313" i="2"/>
  <c r="G2313" i="2"/>
  <c r="H2313" i="2"/>
  <c r="P2313" i="2" s="1"/>
  <c r="I2313" i="2"/>
  <c r="J2313" i="2"/>
  <c r="K2313" i="2"/>
  <c r="L2313" i="2"/>
  <c r="N2313" i="2"/>
  <c r="O2313" i="2"/>
  <c r="Q2313" i="2"/>
  <c r="R2313" i="2"/>
  <c r="S2313" i="2"/>
  <c r="E2314" i="2"/>
  <c r="F2314" i="2"/>
  <c r="G2314" i="2"/>
  <c r="H2314" i="2"/>
  <c r="I2314" i="2"/>
  <c r="J2314" i="2"/>
  <c r="K2314" i="2"/>
  <c r="L2314" i="2"/>
  <c r="M2314" i="2"/>
  <c r="N2314" i="2"/>
  <c r="O2314" i="2"/>
  <c r="Q2314" i="2"/>
  <c r="R2314" i="2"/>
  <c r="S2314" i="2"/>
  <c r="E2315" i="2"/>
  <c r="F2315" i="2"/>
  <c r="G2315" i="2"/>
  <c r="H2315" i="2"/>
  <c r="I2315" i="2"/>
  <c r="J2315" i="2"/>
  <c r="M2315" i="2" s="1"/>
  <c r="K2315" i="2"/>
  <c r="L2315" i="2"/>
  <c r="N2315" i="2"/>
  <c r="O2315" i="2"/>
  <c r="Q2315" i="2"/>
  <c r="R2315" i="2"/>
  <c r="S2315" i="2"/>
  <c r="E2316" i="2"/>
  <c r="F2316" i="2"/>
  <c r="G2316" i="2"/>
  <c r="H2316" i="2"/>
  <c r="I2316" i="2"/>
  <c r="J2316" i="2"/>
  <c r="K2316" i="2"/>
  <c r="L2316" i="2"/>
  <c r="N2316" i="2"/>
  <c r="O2316" i="2"/>
  <c r="P2316" i="2" s="1"/>
  <c r="Q2316" i="2"/>
  <c r="R2316" i="2"/>
  <c r="S2316" i="2"/>
  <c r="E2317" i="2"/>
  <c r="F2317" i="2"/>
  <c r="G2317" i="2"/>
  <c r="H2317" i="2"/>
  <c r="I2317" i="2"/>
  <c r="J2317" i="2"/>
  <c r="K2317" i="2"/>
  <c r="L2317" i="2"/>
  <c r="N2317" i="2"/>
  <c r="O2317" i="2"/>
  <c r="Q2317" i="2"/>
  <c r="R2317" i="2"/>
  <c r="S2317" i="2"/>
  <c r="E2318" i="2"/>
  <c r="F2318" i="2"/>
  <c r="G2318" i="2"/>
  <c r="H2318" i="2"/>
  <c r="I2318" i="2"/>
  <c r="J2318" i="2"/>
  <c r="K2318" i="2"/>
  <c r="L2318" i="2"/>
  <c r="M2318" i="2"/>
  <c r="N2318" i="2"/>
  <c r="O2318" i="2"/>
  <c r="Q2318" i="2"/>
  <c r="R2318" i="2"/>
  <c r="S2318" i="2"/>
  <c r="E2319" i="2"/>
  <c r="F2319" i="2"/>
  <c r="G2319" i="2"/>
  <c r="H2319" i="2"/>
  <c r="I2319" i="2"/>
  <c r="J2319" i="2"/>
  <c r="M2319" i="2" s="1"/>
  <c r="K2319" i="2"/>
  <c r="L2319" i="2"/>
  <c r="N2319" i="2"/>
  <c r="O2319" i="2"/>
  <c r="Q2319" i="2"/>
  <c r="R2319" i="2"/>
  <c r="S2319" i="2"/>
  <c r="E2320" i="2"/>
  <c r="F2320" i="2"/>
  <c r="G2320" i="2"/>
  <c r="H2320" i="2"/>
  <c r="I2320" i="2"/>
  <c r="J2320" i="2"/>
  <c r="K2320" i="2"/>
  <c r="L2320" i="2"/>
  <c r="N2320" i="2"/>
  <c r="O2320" i="2"/>
  <c r="P2320" i="2" s="1"/>
  <c r="Q2320" i="2"/>
  <c r="R2320" i="2"/>
  <c r="S2320" i="2"/>
  <c r="E2321" i="2"/>
  <c r="F2321" i="2"/>
  <c r="G2321" i="2"/>
  <c r="H2321" i="2"/>
  <c r="M2321" i="2" s="1"/>
  <c r="I2321" i="2"/>
  <c r="J2321" i="2"/>
  <c r="K2321" i="2"/>
  <c r="L2321" i="2"/>
  <c r="N2321" i="2"/>
  <c r="O2321" i="2"/>
  <c r="Q2321" i="2"/>
  <c r="R2321" i="2"/>
  <c r="S2321" i="2"/>
  <c r="E2322" i="2"/>
  <c r="F2322" i="2"/>
  <c r="G2322" i="2"/>
  <c r="H2322" i="2"/>
  <c r="I2322" i="2"/>
  <c r="J2322" i="2"/>
  <c r="K2322" i="2"/>
  <c r="L2322" i="2"/>
  <c r="M2322" i="2"/>
  <c r="N2322" i="2"/>
  <c r="O2322" i="2"/>
  <c r="Q2322" i="2"/>
  <c r="R2322" i="2"/>
  <c r="S2322" i="2"/>
  <c r="E2323" i="2"/>
  <c r="F2323" i="2"/>
  <c r="G2323" i="2"/>
  <c r="H2323" i="2"/>
  <c r="I2323" i="2"/>
  <c r="J2323" i="2"/>
  <c r="M2323" i="2" s="1"/>
  <c r="K2323" i="2"/>
  <c r="L2323" i="2"/>
  <c r="N2323" i="2"/>
  <c r="O2323" i="2"/>
  <c r="Q2323" i="2"/>
  <c r="R2323" i="2"/>
  <c r="S2323" i="2"/>
  <c r="E2324" i="2"/>
  <c r="F2324" i="2"/>
  <c r="G2324" i="2"/>
  <c r="H2324" i="2"/>
  <c r="I2324" i="2"/>
  <c r="J2324" i="2"/>
  <c r="K2324" i="2"/>
  <c r="L2324" i="2"/>
  <c r="N2324" i="2"/>
  <c r="O2324" i="2"/>
  <c r="P2324" i="2" s="1"/>
  <c r="Q2324" i="2"/>
  <c r="R2324" i="2"/>
  <c r="S2324" i="2"/>
  <c r="E2325" i="2"/>
  <c r="F2325" i="2"/>
  <c r="G2325" i="2"/>
  <c r="H2325" i="2"/>
  <c r="I2325" i="2"/>
  <c r="J2325" i="2"/>
  <c r="K2325" i="2"/>
  <c r="L2325" i="2"/>
  <c r="N2325" i="2"/>
  <c r="O2325" i="2"/>
  <c r="Q2325" i="2"/>
  <c r="R2325" i="2"/>
  <c r="S2325" i="2"/>
  <c r="E2326" i="2"/>
  <c r="F2326" i="2"/>
  <c r="G2326" i="2"/>
  <c r="H2326" i="2"/>
  <c r="I2326" i="2"/>
  <c r="J2326" i="2"/>
  <c r="K2326" i="2"/>
  <c r="L2326" i="2"/>
  <c r="M2326" i="2"/>
  <c r="N2326" i="2"/>
  <c r="O2326" i="2"/>
  <c r="Q2326" i="2"/>
  <c r="R2326" i="2"/>
  <c r="S2326" i="2"/>
  <c r="E2327" i="2"/>
  <c r="F2327" i="2"/>
  <c r="G2327" i="2"/>
  <c r="H2327" i="2"/>
  <c r="I2327" i="2"/>
  <c r="J2327" i="2"/>
  <c r="M2327" i="2" s="1"/>
  <c r="K2327" i="2"/>
  <c r="L2327" i="2"/>
  <c r="N2327" i="2"/>
  <c r="O2327" i="2"/>
  <c r="Q2327" i="2"/>
  <c r="R2327" i="2"/>
  <c r="S2327" i="2"/>
  <c r="E2328" i="2"/>
  <c r="F2328" i="2"/>
  <c r="G2328" i="2"/>
  <c r="H2328" i="2"/>
  <c r="I2328" i="2"/>
  <c r="J2328" i="2"/>
  <c r="K2328" i="2"/>
  <c r="L2328" i="2"/>
  <c r="N2328" i="2"/>
  <c r="O2328" i="2"/>
  <c r="P2328" i="2" s="1"/>
  <c r="Q2328" i="2"/>
  <c r="R2328" i="2"/>
  <c r="S2328" i="2"/>
  <c r="E2329" i="2"/>
  <c r="F2329" i="2"/>
  <c r="G2329" i="2"/>
  <c r="H2329" i="2"/>
  <c r="M2329" i="2" s="1"/>
  <c r="I2329" i="2"/>
  <c r="J2329" i="2"/>
  <c r="K2329" i="2"/>
  <c r="L2329" i="2"/>
  <c r="N2329" i="2"/>
  <c r="O2329" i="2"/>
  <c r="Q2329" i="2"/>
  <c r="R2329" i="2"/>
  <c r="S2329" i="2"/>
  <c r="E2330" i="2"/>
  <c r="F2330" i="2"/>
  <c r="G2330" i="2"/>
  <c r="H2330" i="2"/>
  <c r="I2330" i="2"/>
  <c r="J2330" i="2"/>
  <c r="K2330" i="2"/>
  <c r="L2330" i="2"/>
  <c r="M2330" i="2"/>
  <c r="N2330" i="2"/>
  <c r="O2330" i="2"/>
  <c r="Q2330" i="2"/>
  <c r="R2330" i="2"/>
  <c r="S2330" i="2"/>
  <c r="E2331" i="2"/>
  <c r="F2331" i="2"/>
  <c r="G2331" i="2"/>
  <c r="H2331" i="2"/>
  <c r="I2331" i="2"/>
  <c r="J2331" i="2"/>
  <c r="M2331" i="2" s="1"/>
  <c r="K2331" i="2"/>
  <c r="L2331" i="2"/>
  <c r="N2331" i="2"/>
  <c r="O2331" i="2"/>
  <c r="Q2331" i="2"/>
  <c r="R2331" i="2"/>
  <c r="S2331" i="2"/>
  <c r="E2332" i="2"/>
  <c r="F2332" i="2"/>
  <c r="G2332" i="2"/>
  <c r="H2332" i="2"/>
  <c r="I2332" i="2"/>
  <c r="J2332" i="2"/>
  <c r="K2332" i="2"/>
  <c r="L2332" i="2"/>
  <c r="N2332" i="2"/>
  <c r="O2332" i="2"/>
  <c r="P2332" i="2" s="1"/>
  <c r="Q2332" i="2"/>
  <c r="R2332" i="2"/>
  <c r="S2332" i="2"/>
  <c r="E2333" i="2"/>
  <c r="F2333" i="2"/>
  <c r="G2333" i="2"/>
  <c r="H2333" i="2"/>
  <c r="I2333" i="2"/>
  <c r="J2333" i="2"/>
  <c r="K2333" i="2"/>
  <c r="L2333" i="2"/>
  <c r="N2333" i="2"/>
  <c r="O2333" i="2"/>
  <c r="Q2333" i="2"/>
  <c r="R2333" i="2"/>
  <c r="S2333" i="2"/>
  <c r="E2334" i="2"/>
  <c r="F2334" i="2"/>
  <c r="G2334" i="2"/>
  <c r="H2334" i="2"/>
  <c r="I2334" i="2"/>
  <c r="J2334" i="2"/>
  <c r="K2334" i="2"/>
  <c r="L2334" i="2"/>
  <c r="M2334" i="2"/>
  <c r="N2334" i="2"/>
  <c r="O2334" i="2"/>
  <c r="Q2334" i="2"/>
  <c r="R2334" i="2"/>
  <c r="S2334" i="2"/>
  <c r="E2335" i="2"/>
  <c r="F2335" i="2"/>
  <c r="G2335" i="2"/>
  <c r="H2335" i="2"/>
  <c r="I2335" i="2"/>
  <c r="J2335" i="2"/>
  <c r="M2335" i="2" s="1"/>
  <c r="K2335" i="2"/>
  <c r="L2335" i="2"/>
  <c r="N2335" i="2"/>
  <c r="O2335" i="2"/>
  <c r="Q2335" i="2"/>
  <c r="R2335" i="2"/>
  <c r="S2335" i="2"/>
  <c r="E2336" i="2"/>
  <c r="F2336" i="2"/>
  <c r="G2336" i="2"/>
  <c r="H2336" i="2"/>
  <c r="I2336" i="2"/>
  <c r="J2336" i="2"/>
  <c r="K2336" i="2"/>
  <c r="L2336" i="2"/>
  <c r="N2336" i="2"/>
  <c r="O2336" i="2"/>
  <c r="P2336" i="2" s="1"/>
  <c r="Q2336" i="2"/>
  <c r="R2336" i="2"/>
  <c r="S2336" i="2"/>
  <c r="E2337" i="2"/>
  <c r="F2337" i="2"/>
  <c r="G2337" i="2"/>
  <c r="H2337" i="2"/>
  <c r="M2337" i="2" s="1"/>
  <c r="I2337" i="2"/>
  <c r="J2337" i="2"/>
  <c r="K2337" i="2"/>
  <c r="L2337" i="2"/>
  <c r="N2337" i="2"/>
  <c r="O2337" i="2"/>
  <c r="Q2337" i="2"/>
  <c r="R2337" i="2"/>
  <c r="S2337" i="2"/>
  <c r="E2338" i="2"/>
  <c r="F2338" i="2"/>
  <c r="G2338" i="2"/>
  <c r="H2338" i="2"/>
  <c r="I2338" i="2"/>
  <c r="J2338" i="2"/>
  <c r="K2338" i="2"/>
  <c r="L2338" i="2"/>
  <c r="M2338" i="2"/>
  <c r="N2338" i="2"/>
  <c r="O2338" i="2"/>
  <c r="Q2338" i="2"/>
  <c r="R2338" i="2"/>
  <c r="S2338" i="2"/>
  <c r="E2339" i="2"/>
  <c r="F2339" i="2"/>
  <c r="G2339" i="2"/>
  <c r="H2339" i="2"/>
  <c r="I2339" i="2"/>
  <c r="J2339" i="2"/>
  <c r="M2339" i="2" s="1"/>
  <c r="K2339" i="2"/>
  <c r="L2339" i="2"/>
  <c r="N2339" i="2"/>
  <c r="O2339" i="2"/>
  <c r="Q2339" i="2"/>
  <c r="R2339" i="2"/>
  <c r="S2339" i="2"/>
  <c r="E2340" i="2"/>
  <c r="F2340" i="2"/>
  <c r="G2340" i="2"/>
  <c r="H2340" i="2"/>
  <c r="I2340" i="2"/>
  <c r="J2340" i="2"/>
  <c r="K2340" i="2"/>
  <c r="L2340" i="2"/>
  <c r="N2340" i="2"/>
  <c r="O2340" i="2"/>
  <c r="P2340" i="2" s="1"/>
  <c r="Q2340" i="2"/>
  <c r="R2340" i="2"/>
  <c r="S2340" i="2"/>
  <c r="E2341" i="2"/>
  <c r="F2341" i="2"/>
  <c r="G2341" i="2"/>
  <c r="H2341" i="2"/>
  <c r="I2341" i="2"/>
  <c r="J2341" i="2"/>
  <c r="K2341" i="2"/>
  <c r="L2341" i="2"/>
  <c r="N2341" i="2"/>
  <c r="O2341" i="2"/>
  <c r="Q2341" i="2"/>
  <c r="R2341" i="2"/>
  <c r="S2341" i="2"/>
  <c r="E2342" i="2"/>
  <c r="F2342" i="2"/>
  <c r="G2342" i="2"/>
  <c r="H2342" i="2"/>
  <c r="I2342" i="2"/>
  <c r="J2342" i="2"/>
  <c r="K2342" i="2"/>
  <c r="L2342" i="2"/>
  <c r="M2342" i="2"/>
  <c r="N2342" i="2"/>
  <c r="O2342" i="2"/>
  <c r="Q2342" i="2"/>
  <c r="R2342" i="2"/>
  <c r="S2342" i="2"/>
  <c r="E2343" i="2"/>
  <c r="F2343" i="2"/>
  <c r="G2343" i="2"/>
  <c r="H2343" i="2"/>
  <c r="I2343" i="2"/>
  <c r="J2343" i="2"/>
  <c r="M2343" i="2" s="1"/>
  <c r="K2343" i="2"/>
  <c r="L2343" i="2"/>
  <c r="N2343" i="2"/>
  <c r="O2343" i="2"/>
  <c r="Q2343" i="2"/>
  <c r="R2343" i="2"/>
  <c r="S2343" i="2"/>
  <c r="E2344" i="2"/>
  <c r="F2344" i="2"/>
  <c r="G2344" i="2"/>
  <c r="H2344" i="2"/>
  <c r="I2344" i="2"/>
  <c r="J2344" i="2"/>
  <c r="K2344" i="2"/>
  <c r="L2344" i="2"/>
  <c r="N2344" i="2"/>
  <c r="O2344" i="2"/>
  <c r="P2344" i="2" s="1"/>
  <c r="Q2344" i="2"/>
  <c r="R2344" i="2"/>
  <c r="S2344" i="2"/>
  <c r="E2345" i="2"/>
  <c r="F2345" i="2"/>
  <c r="G2345" i="2"/>
  <c r="H2345" i="2"/>
  <c r="I2345" i="2"/>
  <c r="J2345" i="2"/>
  <c r="K2345" i="2"/>
  <c r="L2345" i="2"/>
  <c r="N2345" i="2"/>
  <c r="O2345" i="2"/>
  <c r="Q2345" i="2"/>
  <c r="R2345" i="2"/>
  <c r="S2345" i="2"/>
  <c r="E2346" i="2"/>
  <c r="F2346" i="2"/>
  <c r="G2346" i="2"/>
  <c r="H2346" i="2"/>
  <c r="I2346" i="2"/>
  <c r="J2346" i="2"/>
  <c r="K2346" i="2"/>
  <c r="L2346" i="2"/>
  <c r="M2346" i="2"/>
  <c r="N2346" i="2"/>
  <c r="O2346" i="2"/>
  <c r="Q2346" i="2"/>
  <c r="R2346" i="2"/>
  <c r="S2346" i="2"/>
  <c r="E2347" i="2"/>
  <c r="F2347" i="2"/>
  <c r="G2347" i="2"/>
  <c r="H2347" i="2"/>
  <c r="I2347" i="2"/>
  <c r="J2347" i="2"/>
  <c r="M2347" i="2" s="1"/>
  <c r="K2347" i="2"/>
  <c r="L2347" i="2"/>
  <c r="N2347" i="2"/>
  <c r="O2347" i="2"/>
  <c r="Q2347" i="2"/>
  <c r="R2347" i="2"/>
  <c r="S2347" i="2"/>
  <c r="E2348" i="2"/>
  <c r="F2348" i="2"/>
  <c r="G2348" i="2"/>
  <c r="H2348" i="2"/>
  <c r="I2348" i="2"/>
  <c r="J2348" i="2"/>
  <c r="K2348" i="2"/>
  <c r="L2348" i="2"/>
  <c r="N2348" i="2"/>
  <c r="O2348" i="2"/>
  <c r="P2348" i="2" s="1"/>
  <c r="Q2348" i="2"/>
  <c r="R2348" i="2"/>
  <c r="S2348" i="2"/>
  <c r="E2349" i="2"/>
  <c r="F2349" i="2"/>
  <c r="G2349" i="2"/>
  <c r="H2349" i="2"/>
  <c r="I2349" i="2"/>
  <c r="J2349" i="2"/>
  <c r="K2349" i="2"/>
  <c r="L2349" i="2"/>
  <c r="N2349" i="2"/>
  <c r="O2349" i="2"/>
  <c r="Q2349" i="2"/>
  <c r="R2349" i="2"/>
  <c r="S2349" i="2"/>
  <c r="E2350" i="2"/>
  <c r="F2350" i="2"/>
  <c r="G2350" i="2"/>
  <c r="H2350" i="2"/>
  <c r="I2350" i="2"/>
  <c r="J2350" i="2"/>
  <c r="K2350" i="2"/>
  <c r="L2350" i="2"/>
  <c r="M2350" i="2"/>
  <c r="N2350" i="2"/>
  <c r="O2350" i="2"/>
  <c r="Q2350" i="2"/>
  <c r="R2350" i="2"/>
  <c r="S2350" i="2"/>
  <c r="E2351" i="2"/>
  <c r="F2351" i="2"/>
  <c r="G2351" i="2"/>
  <c r="H2351" i="2"/>
  <c r="I2351" i="2"/>
  <c r="J2351" i="2"/>
  <c r="M2351" i="2" s="1"/>
  <c r="K2351" i="2"/>
  <c r="L2351" i="2"/>
  <c r="N2351" i="2"/>
  <c r="O2351" i="2"/>
  <c r="Q2351" i="2"/>
  <c r="R2351" i="2"/>
  <c r="S2351" i="2"/>
  <c r="E2352" i="2"/>
  <c r="F2352" i="2"/>
  <c r="G2352" i="2"/>
  <c r="H2352" i="2"/>
  <c r="I2352" i="2"/>
  <c r="J2352" i="2"/>
  <c r="K2352" i="2"/>
  <c r="L2352" i="2"/>
  <c r="N2352" i="2"/>
  <c r="O2352" i="2"/>
  <c r="P2352" i="2" s="1"/>
  <c r="Q2352" i="2"/>
  <c r="R2352" i="2"/>
  <c r="S2352" i="2"/>
  <c r="E2353" i="2"/>
  <c r="F2353" i="2"/>
  <c r="G2353" i="2"/>
  <c r="H2353" i="2"/>
  <c r="I2353" i="2"/>
  <c r="J2353" i="2"/>
  <c r="K2353" i="2"/>
  <c r="L2353" i="2"/>
  <c r="N2353" i="2"/>
  <c r="O2353" i="2"/>
  <c r="Q2353" i="2"/>
  <c r="R2353" i="2"/>
  <c r="S2353" i="2"/>
  <c r="E2354" i="2"/>
  <c r="F2354" i="2"/>
  <c r="G2354" i="2"/>
  <c r="H2354" i="2"/>
  <c r="I2354" i="2"/>
  <c r="J2354" i="2"/>
  <c r="K2354" i="2"/>
  <c r="L2354" i="2"/>
  <c r="M2354" i="2"/>
  <c r="N2354" i="2"/>
  <c r="O2354" i="2"/>
  <c r="Q2354" i="2"/>
  <c r="R2354" i="2"/>
  <c r="S2354" i="2"/>
  <c r="E2355" i="2"/>
  <c r="F2355" i="2"/>
  <c r="G2355" i="2"/>
  <c r="H2355" i="2"/>
  <c r="I2355" i="2"/>
  <c r="J2355" i="2"/>
  <c r="M2355" i="2" s="1"/>
  <c r="K2355" i="2"/>
  <c r="L2355" i="2"/>
  <c r="N2355" i="2"/>
  <c r="O2355" i="2"/>
  <c r="Q2355" i="2"/>
  <c r="R2355" i="2"/>
  <c r="S2355" i="2"/>
  <c r="E2356" i="2"/>
  <c r="F2356" i="2"/>
  <c r="G2356" i="2"/>
  <c r="H2356" i="2"/>
  <c r="I2356" i="2"/>
  <c r="J2356" i="2"/>
  <c r="K2356" i="2"/>
  <c r="L2356" i="2"/>
  <c r="N2356" i="2"/>
  <c r="O2356" i="2"/>
  <c r="P2356" i="2" s="1"/>
  <c r="Q2356" i="2"/>
  <c r="R2356" i="2"/>
  <c r="S2356" i="2"/>
  <c r="E2357" i="2"/>
  <c r="F2357" i="2"/>
  <c r="G2357" i="2"/>
  <c r="H2357" i="2"/>
  <c r="I2357" i="2"/>
  <c r="J2357" i="2"/>
  <c r="K2357" i="2"/>
  <c r="L2357" i="2"/>
  <c r="N2357" i="2"/>
  <c r="O2357" i="2"/>
  <c r="Q2357" i="2"/>
  <c r="R2357" i="2"/>
  <c r="S2357" i="2"/>
  <c r="E2358" i="2"/>
  <c r="F2358" i="2"/>
  <c r="G2358" i="2"/>
  <c r="H2358" i="2"/>
  <c r="I2358" i="2"/>
  <c r="J2358" i="2"/>
  <c r="K2358" i="2"/>
  <c r="L2358" i="2"/>
  <c r="M2358" i="2"/>
  <c r="N2358" i="2"/>
  <c r="O2358" i="2"/>
  <c r="Q2358" i="2"/>
  <c r="R2358" i="2"/>
  <c r="S2358" i="2"/>
  <c r="E2359" i="2"/>
  <c r="F2359" i="2"/>
  <c r="G2359" i="2"/>
  <c r="H2359" i="2"/>
  <c r="I2359" i="2"/>
  <c r="J2359" i="2"/>
  <c r="M2359" i="2" s="1"/>
  <c r="K2359" i="2"/>
  <c r="L2359" i="2"/>
  <c r="N2359" i="2"/>
  <c r="O2359" i="2"/>
  <c r="Q2359" i="2"/>
  <c r="R2359" i="2"/>
  <c r="S2359" i="2"/>
  <c r="E2360" i="2"/>
  <c r="F2360" i="2"/>
  <c r="G2360" i="2"/>
  <c r="H2360" i="2"/>
  <c r="I2360" i="2"/>
  <c r="J2360" i="2"/>
  <c r="K2360" i="2"/>
  <c r="L2360" i="2"/>
  <c r="N2360" i="2"/>
  <c r="O2360" i="2"/>
  <c r="P2360" i="2" s="1"/>
  <c r="Q2360" i="2"/>
  <c r="R2360" i="2"/>
  <c r="S2360" i="2"/>
  <c r="E2361" i="2"/>
  <c r="F2361" i="2"/>
  <c r="G2361" i="2"/>
  <c r="H2361" i="2"/>
  <c r="I2361" i="2"/>
  <c r="J2361" i="2"/>
  <c r="K2361" i="2"/>
  <c r="L2361" i="2"/>
  <c r="N2361" i="2"/>
  <c r="O2361" i="2"/>
  <c r="Q2361" i="2"/>
  <c r="R2361" i="2"/>
  <c r="S2361" i="2"/>
  <c r="E2362" i="2"/>
  <c r="F2362" i="2"/>
  <c r="G2362" i="2"/>
  <c r="H2362" i="2"/>
  <c r="I2362" i="2"/>
  <c r="J2362" i="2"/>
  <c r="K2362" i="2"/>
  <c r="L2362" i="2"/>
  <c r="M2362" i="2"/>
  <c r="N2362" i="2"/>
  <c r="O2362" i="2"/>
  <c r="Q2362" i="2"/>
  <c r="R2362" i="2"/>
  <c r="S2362" i="2"/>
  <c r="E2363" i="2"/>
  <c r="F2363" i="2"/>
  <c r="G2363" i="2"/>
  <c r="H2363" i="2"/>
  <c r="I2363" i="2"/>
  <c r="J2363" i="2"/>
  <c r="M2363" i="2" s="1"/>
  <c r="K2363" i="2"/>
  <c r="L2363" i="2"/>
  <c r="N2363" i="2"/>
  <c r="O2363" i="2"/>
  <c r="Q2363" i="2"/>
  <c r="R2363" i="2"/>
  <c r="S2363" i="2"/>
  <c r="E2364" i="2"/>
  <c r="F2364" i="2"/>
  <c r="G2364" i="2"/>
  <c r="H2364" i="2"/>
  <c r="I2364" i="2"/>
  <c r="J2364" i="2"/>
  <c r="K2364" i="2"/>
  <c r="L2364" i="2"/>
  <c r="N2364" i="2"/>
  <c r="O2364" i="2"/>
  <c r="P2364" i="2" s="1"/>
  <c r="Q2364" i="2"/>
  <c r="R2364" i="2"/>
  <c r="S2364" i="2"/>
  <c r="E2365" i="2"/>
  <c r="F2365" i="2"/>
  <c r="G2365" i="2"/>
  <c r="H2365" i="2"/>
  <c r="I2365" i="2"/>
  <c r="J2365" i="2"/>
  <c r="K2365" i="2"/>
  <c r="L2365" i="2"/>
  <c r="N2365" i="2"/>
  <c r="O2365" i="2"/>
  <c r="Q2365" i="2"/>
  <c r="R2365" i="2"/>
  <c r="S2365" i="2"/>
  <c r="E2366" i="2"/>
  <c r="F2366" i="2"/>
  <c r="G2366" i="2"/>
  <c r="H2366" i="2"/>
  <c r="I2366" i="2"/>
  <c r="J2366" i="2"/>
  <c r="K2366" i="2"/>
  <c r="L2366" i="2"/>
  <c r="M2366" i="2"/>
  <c r="N2366" i="2"/>
  <c r="O2366" i="2"/>
  <c r="Q2366" i="2"/>
  <c r="R2366" i="2"/>
  <c r="S2366" i="2"/>
  <c r="E2367" i="2"/>
  <c r="F2367" i="2"/>
  <c r="G2367" i="2"/>
  <c r="H2367" i="2"/>
  <c r="I2367" i="2"/>
  <c r="J2367" i="2"/>
  <c r="M2367" i="2" s="1"/>
  <c r="K2367" i="2"/>
  <c r="L2367" i="2"/>
  <c r="N2367" i="2"/>
  <c r="O2367" i="2"/>
  <c r="Q2367" i="2"/>
  <c r="R2367" i="2"/>
  <c r="S2367" i="2"/>
  <c r="E2368" i="2"/>
  <c r="F2368" i="2"/>
  <c r="G2368" i="2"/>
  <c r="H2368" i="2"/>
  <c r="I2368" i="2"/>
  <c r="J2368" i="2"/>
  <c r="K2368" i="2"/>
  <c r="L2368" i="2"/>
  <c r="N2368" i="2"/>
  <c r="O2368" i="2"/>
  <c r="P2368" i="2" s="1"/>
  <c r="Q2368" i="2"/>
  <c r="R2368" i="2"/>
  <c r="S2368" i="2"/>
  <c r="E2369" i="2"/>
  <c r="F2369" i="2"/>
  <c r="G2369" i="2"/>
  <c r="H2369" i="2"/>
  <c r="I2369" i="2"/>
  <c r="J2369" i="2"/>
  <c r="K2369" i="2"/>
  <c r="L2369" i="2"/>
  <c r="N2369" i="2"/>
  <c r="O2369" i="2"/>
  <c r="Q2369" i="2"/>
  <c r="R2369" i="2"/>
  <c r="S2369" i="2"/>
  <c r="E2370" i="2"/>
  <c r="F2370" i="2"/>
  <c r="G2370" i="2"/>
  <c r="H2370" i="2"/>
  <c r="I2370" i="2"/>
  <c r="J2370" i="2"/>
  <c r="K2370" i="2"/>
  <c r="L2370" i="2"/>
  <c r="M2370" i="2"/>
  <c r="N2370" i="2"/>
  <c r="O2370" i="2"/>
  <c r="Q2370" i="2"/>
  <c r="R2370" i="2"/>
  <c r="S2370" i="2"/>
  <c r="E2371" i="2"/>
  <c r="F2371" i="2"/>
  <c r="G2371" i="2"/>
  <c r="H2371" i="2"/>
  <c r="I2371" i="2"/>
  <c r="J2371" i="2"/>
  <c r="M2371" i="2" s="1"/>
  <c r="K2371" i="2"/>
  <c r="L2371" i="2"/>
  <c r="N2371" i="2"/>
  <c r="O2371" i="2"/>
  <c r="Q2371" i="2"/>
  <c r="R2371" i="2"/>
  <c r="S2371" i="2"/>
  <c r="E2372" i="2"/>
  <c r="F2372" i="2"/>
  <c r="G2372" i="2"/>
  <c r="H2372" i="2"/>
  <c r="I2372" i="2"/>
  <c r="J2372" i="2"/>
  <c r="K2372" i="2"/>
  <c r="L2372" i="2"/>
  <c r="N2372" i="2"/>
  <c r="O2372" i="2"/>
  <c r="P2372" i="2" s="1"/>
  <c r="Q2372" i="2"/>
  <c r="R2372" i="2"/>
  <c r="S2372" i="2"/>
  <c r="E2373" i="2"/>
  <c r="F2373" i="2"/>
  <c r="G2373" i="2"/>
  <c r="H2373" i="2"/>
  <c r="I2373" i="2"/>
  <c r="J2373" i="2"/>
  <c r="K2373" i="2"/>
  <c r="L2373" i="2"/>
  <c r="N2373" i="2"/>
  <c r="O2373" i="2"/>
  <c r="Q2373" i="2"/>
  <c r="R2373" i="2"/>
  <c r="S2373" i="2"/>
  <c r="E2374" i="2"/>
  <c r="F2374" i="2"/>
  <c r="G2374" i="2"/>
  <c r="H2374" i="2"/>
  <c r="I2374" i="2"/>
  <c r="J2374" i="2"/>
  <c r="K2374" i="2"/>
  <c r="L2374" i="2"/>
  <c r="M2374" i="2"/>
  <c r="N2374" i="2"/>
  <c r="O2374" i="2"/>
  <c r="Q2374" i="2"/>
  <c r="R2374" i="2"/>
  <c r="S2374" i="2"/>
  <c r="E2375" i="2"/>
  <c r="F2375" i="2"/>
  <c r="G2375" i="2"/>
  <c r="H2375" i="2"/>
  <c r="I2375" i="2"/>
  <c r="J2375" i="2"/>
  <c r="M2375" i="2" s="1"/>
  <c r="K2375" i="2"/>
  <c r="L2375" i="2"/>
  <c r="N2375" i="2"/>
  <c r="O2375" i="2"/>
  <c r="Q2375" i="2"/>
  <c r="R2375" i="2"/>
  <c r="S2375" i="2"/>
  <c r="E2376" i="2"/>
  <c r="F2376" i="2"/>
  <c r="G2376" i="2"/>
  <c r="H2376" i="2"/>
  <c r="I2376" i="2"/>
  <c r="J2376" i="2"/>
  <c r="K2376" i="2"/>
  <c r="L2376" i="2"/>
  <c r="N2376" i="2"/>
  <c r="O2376" i="2"/>
  <c r="P2376" i="2" s="1"/>
  <c r="Q2376" i="2"/>
  <c r="R2376" i="2"/>
  <c r="S2376" i="2"/>
  <c r="E2377" i="2"/>
  <c r="F2377" i="2"/>
  <c r="G2377" i="2"/>
  <c r="H2377" i="2"/>
  <c r="P2377" i="2" s="1"/>
  <c r="I2377" i="2"/>
  <c r="J2377" i="2"/>
  <c r="K2377" i="2"/>
  <c r="L2377" i="2"/>
  <c r="N2377" i="2"/>
  <c r="O2377" i="2"/>
  <c r="Q2377" i="2"/>
  <c r="R2377" i="2"/>
  <c r="S2377" i="2"/>
  <c r="E2378" i="2"/>
  <c r="F2378" i="2"/>
  <c r="G2378" i="2"/>
  <c r="H2378" i="2"/>
  <c r="I2378" i="2"/>
  <c r="J2378" i="2"/>
  <c r="K2378" i="2"/>
  <c r="L2378" i="2"/>
  <c r="M2378" i="2"/>
  <c r="N2378" i="2"/>
  <c r="O2378" i="2"/>
  <c r="Q2378" i="2"/>
  <c r="R2378" i="2"/>
  <c r="S2378" i="2"/>
  <c r="E2379" i="2"/>
  <c r="F2379" i="2"/>
  <c r="G2379" i="2"/>
  <c r="H2379" i="2"/>
  <c r="I2379" i="2"/>
  <c r="J2379" i="2"/>
  <c r="M2379" i="2" s="1"/>
  <c r="K2379" i="2"/>
  <c r="L2379" i="2"/>
  <c r="N2379" i="2"/>
  <c r="O2379" i="2"/>
  <c r="Q2379" i="2"/>
  <c r="R2379" i="2"/>
  <c r="S2379" i="2"/>
  <c r="E2380" i="2"/>
  <c r="F2380" i="2"/>
  <c r="G2380" i="2"/>
  <c r="H2380" i="2"/>
  <c r="I2380" i="2"/>
  <c r="J2380" i="2"/>
  <c r="K2380" i="2"/>
  <c r="L2380" i="2"/>
  <c r="N2380" i="2"/>
  <c r="O2380" i="2"/>
  <c r="P2380" i="2" s="1"/>
  <c r="Q2380" i="2"/>
  <c r="R2380" i="2"/>
  <c r="S2380" i="2"/>
  <c r="E2381" i="2"/>
  <c r="F2381" i="2"/>
  <c r="G2381" i="2"/>
  <c r="H2381" i="2"/>
  <c r="I2381" i="2"/>
  <c r="J2381" i="2"/>
  <c r="K2381" i="2"/>
  <c r="L2381" i="2"/>
  <c r="N2381" i="2"/>
  <c r="O2381" i="2"/>
  <c r="Q2381" i="2"/>
  <c r="R2381" i="2"/>
  <c r="S2381" i="2"/>
  <c r="E2382" i="2"/>
  <c r="F2382" i="2"/>
  <c r="G2382" i="2"/>
  <c r="H2382" i="2"/>
  <c r="I2382" i="2"/>
  <c r="J2382" i="2"/>
  <c r="K2382" i="2"/>
  <c r="L2382" i="2"/>
  <c r="M2382" i="2"/>
  <c r="N2382" i="2"/>
  <c r="O2382" i="2"/>
  <c r="Q2382" i="2"/>
  <c r="R2382" i="2"/>
  <c r="S2382" i="2"/>
  <c r="E2383" i="2"/>
  <c r="F2383" i="2"/>
  <c r="G2383" i="2"/>
  <c r="H2383" i="2"/>
  <c r="I2383" i="2"/>
  <c r="J2383" i="2"/>
  <c r="M2383" i="2" s="1"/>
  <c r="K2383" i="2"/>
  <c r="L2383" i="2"/>
  <c r="N2383" i="2"/>
  <c r="O2383" i="2"/>
  <c r="Q2383" i="2"/>
  <c r="R2383" i="2"/>
  <c r="S2383" i="2"/>
  <c r="E2384" i="2"/>
  <c r="F2384" i="2"/>
  <c r="G2384" i="2"/>
  <c r="H2384" i="2"/>
  <c r="I2384" i="2"/>
  <c r="J2384" i="2"/>
  <c r="K2384" i="2"/>
  <c r="L2384" i="2"/>
  <c r="N2384" i="2"/>
  <c r="O2384" i="2"/>
  <c r="P2384" i="2" s="1"/>
  <c r="Q2384" i="2"/>
  <c r="R2384" i="2"/>
  <c r="S2384" i="2"/>
  <c r="E2385" i="2"/>
  <c r="F2385" i="2"/>
  <c r="G2385" i="2"/>
  <c r="H2385" i="2"/>
  <c r="I2385" i="2"/>
  <c r="J2385" i="2"/>
  <c r="K2385" i="2"/>
  <c r="L2385" i="2"/>
  <c r="N2385" i="2"/>
  <c r="O2385" i="2"/>
  <c r="Q2385" i="2"/>
  <c r="R2385" i="2"/>
  <c r="S2385" i="2"/>
  <c r="E2386" i="2"/>
  <c r="F2386" i="2"/>
  <c r="G2386" i="2"/>
  <c r="H2386" i="2"/>
  <c r="I2386" i="2"/>
  <c r="J2386" i="2"/>
  <c r="K2386" i="2"/>
  <c r="L2386" i="2"/>
  <c r="M2386" i="2"/>
  <c r="N2386" i="2"/>
  <c r="O2386" i="2"/>
  <c r="Q2386" i="2"/>
  <c r="R2386" i="2"/>
  <c r="S2386" i="2"/>
  <c r="E2387" i="2"/>
  <c r="F2387" i="2"/>
  <c r="G2387" i="2"/>
  <c r="H2387" i="2"/>
  <c r="I2387" i="2"/>
  <c r="J2387" i="2"/>
  <c r="M2387" i="2" s="1"/>
  <c r="K2387" i="2"/>
  <c r="L2387" i="2"/>
  <c r="N2387" i="2"/>
  <c r="O2387" i="2"/>
  <c r="Q2387" i="2"/>
  <c r="R2387" i="2"/>
  <c r="S2387" i="2"/>
  <c r="E2388" i="2"/>
  <c r="F2388" i="2"/>
  <c r="G2388" i="2"/>
  <c r="H2388" i="2"/>
  <c r="I2388" i="2"/>
  <c r="J2388" i="2"/>
  <c r="K2388" i="2"/>
  <c r="L2388" i="2"/>
  <c r="N2388" i="2"/>
  <c r="O2388" i="2"/>
  <c r="P2388" i="2" s="1"/>
  <c r="Q2388" i="2"/>
  <c r="R2388" i="2"/>
  <c r="S2388" i="2"/>
  <c r="E2389" i="2"/>
  <c r="F2389" i="2"/>
  <c r="G2389" i="2"/>
  <c r="H2389" i="2"/>
  <c r="I2389" i="2"/>
  <c r="J2389" i="2"/>
  <c r="K2389" i="2"/>
  <c r="L2389" i="2"/>
  <c r="N2389" i="2"/>
  <c r="O2389" i="2"/>
  <c r="Q2389" i="2"/>
  <c r="R2389" i="2"/>
  <c r="S2389" i="2"/>
  <c r="E2390" i="2"/>
  <c r="F2390" i="2"/>
  <c r="G2390" i="2"/>
  <c r="H2390" i="2"/>
  <c r="I2390" i="2"/>
  <c r="J2390" i="2"/>
  <c r="K2390" i="2"/>
  <c r="L2390" i="2"/>
  <c r="M2390" i="2"/>
  <c r="N2390" i="2"/>
  <c r="O2390" i="2"/>
  <c r="Q2390" i="2"/>
  <c r="R2390" i="2"/>
  <c r="S2390" i="2"/>
  <c r="E2391" i="2"/>
  <c r="F2391" i="2"/>
  <c r="G2391" i="2"/>
  <c r="H2391" i="2"/>
  <c r="I2391" i="2"/>
  <c r="J2391" i="2"/>
  <c r="M2391" i="2" s="1"/>
  <c r="K2391" i="2"/>
  <c r="L2391" i="2"/>
  <c r="N2391" i="2"/>
  <c r="O2391" i="2"/>
  <c r="Q2391" i="2"/>
  <c r="R2391" i="2"/>
  <c r="S2391" i="2"/>
  <c r="E2392" i="2"/>
  <c r="F2392" i="2"/>
  <c r="G2392" i="2"/>
  <c r="H2392" i="2"/>
  <c r="I2392" i="2"/>
  <c r="J2392" i="2"/>
  <c r="K2392" i="2"/>
  <c r="L2392" i="2"/>
  <c r="N2392" i="2"/>
  <c r="O2392" i="2"/>
  <c r="P2392" i="2" s="1"/>
  <c r="Q2392" i="2"/>
  <c r="R2392" i="2"/>
  <c r="S2392" i="2"/>
  <c r="E2393" i="2"/>
  <c r="F2393" i="2"/>
  <c r="G2393" i="2"/>
  <c r="H2393" i="2"/>
  <c r="I2393" i="2"/>
  <c r="J2393" i="2"/>
  <c r="K2393" i="2"/>
  <c r="L2393" i="2"/>
  <c r="N2393" i="2"/>
  <c r="O2393" i="2"/>
  <c r="Q2393" i="2"/>
  <c r="R2393" i="2"/>
  <c r="S2393" i="2"/>
  <c r="E2394" i="2"/>
  <c r="F2394" i="2"/>
  <c r="G2394" i="2"/>
  <c r="H2394" i="2"/>
  <c r="I2394" i="2"/>
  <c r="J2394" i="2"/>
  <c r="K2394" i="2"/>
  <c r="L2394" i="2"/>
  <c r="M2394" i="2"/>
  <c r="N2394" i="2"/>
  <c r="O2394" i="2"/>
  <c r="Q2394" i="2"/>
  <c r="R2394" i="2"/>
  <c r="S2394" i="2"/>
  <c r="E2395" i="2"/>
  <c r="F2395" i="2"/>
  <c r="G2395" i="2"/>
  <c r="H2395" i="2"/>
  <c r="I2395" i="2"/>
  <c r="J2395" i="2"/>
  <c r="M2395" i="2" s="1"/>
  <c r="K2395" i="2"/>
  <c r="L2395" i="2"/>
  <c r="N2395" i="2"/>
  <c r="O2395" i="2"/>
  <c r="Q2395" i="2"/>
  <c r="R2395" i="2"/>
  <c r="S2395" i="2"/>
  <c r="E2396" i="2"/>
  <c r="F2396" i="2"/>
  <c r="G2396" i="2"/>
  <c r="H2396" i="2"/>
  <c r="I2396" i="2"/>
  <c r="J2396" i="2"/>
  <c r="K2396" i="2"/>
  <c r="L2396" i="2"/>
  <c r="N2396" i="2"/>
  <c r="O2396" i="2"/>
  <c r="P2396" i="2" s="1"/>
  <c r="Q2396" i="2"/>
  <c r="R2396" i="2"/>
  <c r="S2396" i="2"/>
  <c r="E2397" i="2"/>
  <c r="F2397" i="2"/>
  <c r="G2397" i="2"/>
  <c r="H2397" i="2"/>
  <c r="I2397" i="2"/>
  <c r="J2397" i="2"/>
  <c r="K2397" i="2"/>
  <c r="L2397" i="2"/>
  <c r="N2397" i="2"/>
  <c r="O2397" i="2"/>
  <c r="Q2397" i="2"/>
  <c r="R2397" i="2"/>
  <c r="S2397" i="2"/>
  <c r="E2398" i="2"/>
  <c r="F2398" i="2"/>
  <c r="G2398" i="2"/>
  <c r="H2398" i="2"/>
  <c r="I2398" i="2"/>
  <c r="J2398" i="2"/>
  <c r="K2398" i="2"/>
  <c r="L2398" i="2"/>
  <c r="M2398" i="2"/>
  <c r="N2398" i="2"/>
  <c r="O2398" i="2"/>
  <c r="Q2398" i="2"/>
  <c r="R2398" i="2"/>
  <c r="S2398" i="2"/>
  <c r="E2399" i="2"/>
  <c r="F2399" i="2"/>
  <c r="G2399" i="2"/>
  <c r="H2399" i="2"/>
  <c r="I2399" i="2"/>
  <c r="J2399" i="2"/>
  <c r="M2399" i="2" s="1"/>
  <c r="K2399" i="2"/>
  <c r="L2399" i="2"/>
  <c r="N2399" i="2"/>
  <c r="O2399" i="2"/>
  <c r="Q2399" i="2"/>
  <c r="R2399" i="2"/>
  <c r="S2399" i="2"/>
  <c r="E2400" i="2"/>
  <c r="F2400" i="2"/>
  <c r="G2400" i="2"/>
  <c r="H2400" i="2"/>
  <c r="I2400" i="2"/>
  <c r="J2400" i="2"/>
  <c r="K2400" i="2"/>
  <c r="L2400" i="2"/>
  <c r="N2400" i="2"/>
  <c r="O2400" i="2"/>
  <c r="P2400" i="2" s="1"/>
  <c r="Q2400" i="2"/>
  <c r="R2400" i="2"/>
  <c r="S2400" i="2"/>
  <c r="E2401" i="2"/>
  <c r="F2401" i="2"/>
  <c r="G2401" i="2"/>
  <c r="H2401" i="2"/>
  <c r="P2401" i="2" s="1"/>
  <c r="I2401" i="2"/>
  <c r="J2401" i="2"/>
  <c r="K2401" i="2"/>
  <c r="L2401" i="2"/>
  <c r="N2401" i="2"/>
  <c r="O2401" i="2"/>
  <c r="Q2401" i="2"/>
  <c r="R2401" i="2"/>
  <c r="S2401" i="2"/>
  <c r="E2402" i="2"/>
  <c r="F2402" i="2"/>
  <c r="G2402" i="2"/>
  <c r="H2402" i="2"/>
  <c r="I2402" i="2"/>
  <c r="J2402" i="2"/>
  <c r="K2402" i="2"/>
  <c r="L2402" i="2"/>
  <c r="M2402" i="2"/>
  <c r="N2402" i="2"/>
  <c r="O2402" i="2"/>
  <c r="Q2402" i="2"/>
  <c r="R2402" i="2"/>
  <c r="S2402" i="2"/>
  <c r="E2403" i="2"/>
  <c r="F2403" i="2"/>
  <c r="G2403" i="2"/>
  <c r="H2403" i="2"/>
  <c r="I2403" i="2"/>
  <c r="J2403" i="2"/>
  <c r="M2403" i="2" s="1"/>
  <c r="K2403" i="2"/>
  <c r="L2403" i="2"/>
  <c r="N2403" i="2"/>
  <c r="O2403" i="2"/>
  <c r="Q2403" i="2"/>
  <c r="R2403" i="2"/>
  <c r="S2403" i="2"/>
  <c r="E2404" i="2"/>
  <c r="F2404" i="2"/>
  <c r="G2404" i="2"/>
  <c r="H2404" i="2"/>
  <c r="I2404" i="2"/>
  <c r="J2404" i="2"/>
  <c r="K2404" i="2"/>
  <c r="L2404" i="2"/>
  <c r="N2404" i="2"/>
  <c r="O2404" i="2"/>
  <c r="P2404" i="2" s="1"/>
  <c r="Q2404" i="2"/>
  <c r="R2404" i="2"/>
  <c r="S2404" i="2"/>
  <c r="E2405" i="2"/>
  <c r="F2405" i="2"/>
  <c r="G2405" i="2"/>
  <c r="H2405" i="2"/>
  <c r="I2405" i="2"/>
  <c r="J2405" i="2"/>
  <c r="K2405" i="2"/>
  <c r="L2405" i="2"/>
  <c r="N2405" i="2"/>
  <c r="O2405" i="2"/>
  <c r="Q2405" i="2"/>
  <c r="R2405" i="2"/>
  <c r="S2405" i="2"/>
  <c r="E2406" i="2"/>
  <c r="F2406" i="2"/>
  <c r="G2406" i="2"/>
  <c r="H2406" i="2"/>
  <c r="I2406" i="2"/>
  <c r="J2406" i="2"/>
  <c r="K2406" i="2"/>
  <c r="L2406" i="2"/>
  <c r="M2406" i="2"/>
  <c r="N2406" i="2"/>
  <c r="O2406" i="2"/>
  <c r="Q2406" i="2"/>
  <c r="R2406" i="2"/>
  <c r="S2406" i="2"/>
  <c r="E2407" i="2"/>
  <c r="F2407" i="2"/>
  <c r="G2407" i="2"/>
  <c r="H2407" i="2"/>
  <c r="I2407" i="2"/>
  <c r="J2407" i="2"/>
  <c r="M2407" i="2" s="1"/>
  <c r="K2407" i="2"/>
  <c r="L2407" i="2"/>
  <c r="N2407" i="2"/>
  <c r="O2407" i="2"/>
  <c r="Q2407" i="2"/>
  <c r="R2407" i="2"/>
  <c r="S2407" i="2"/>
  <c r="E2408" i="2"/>
  <c r="F2408" i="2"/>
  <c r="G2408" i="2"/>
  <c r="H2408" i="2"/>
  <c r="I2408" i="2"/>
  <c r="J2408" i="2"/>
  <c r="K2408" i="2"/>
  <c r="L2408" i="2"/>
  <c r="N2408" i="2"/>
  <c r="O2408" i="2"/>
  <c r="P2408" i="2" s="1"/>
  <c r="Q2408" i="2"/>
  <c r="R2408" i="2"/>
  <c r="S2408" i="2"/>
  <c r="E2409" i="2"/>
  <c r="F2409" i="2"/>
  <c r="G2409" i="2"/>
  <c r="H2409" i="2"/>
  <c r="I2409" i="2"/>
  <c r="J2409" i="2"/>
  <c r="K2409" i="2"/>
  <c r="L2409" i="2"/>
  <c r="N2409" i="2"/>
  <c r="O2409" i="2"/>
  <c r="Q2409" i="2"/>
  <c r="R2409" i="2"/>
  <c r="S2409" i="2"/>
  <c r="E2410" i="2"/>
  <c r="F2410" i="2"/>
  <c r="G2410" i="2"/>
  <c r="H2410" i="2"/>
  <c r="I2410" i="2"/>
  <c r="J2410" i="2"/>
  <c r="K2410" i="2"/>
  <c r="L2410" i="2"/>
  <c r="M2410" i="2"/>
  <c r="N2410" i="2"/>
  <c r="O2410" i="2"/>
  <c r="Q2410" i="2"/>
  <c r="R2410" i="2"/>
  <c r="S2410" i="2"/>
  <c r="E2411" i="2"/>
  <c r="F2411" i="2"/>
  <c r="G2411" i="2"/>
  <c r="H2411" i="2"/>
  <c r="I2411" i="2"/>
  <c r="J2411" i="2"/>
  <c r="M2411" i="2" s="1"/>
  <c r="K2411" i="2"/>
  <c r="L2411" i="2"/>
  <c r="N2411" i="2"/>
  <c r="O2411" i="2"/>
  <c r="Q2411" i="2"/>
  <c r="R2411" i="2"/>
  <c r="S2411" i="2"/>
  <c r="E2412" i="2"/>
  <c r="F2412" i="2"/>
  <c r="G2412" i="2"/>
  <c r="H2412" i="2"/>
  <c r="I2412" i="2"/>
  <c r="J2412" i="2"/>
  <c r="K2412" i="2"/>
  <c r="L2412" i="2"/>
  <c r="N2412" i="2"/>
  <c r="O2412" i="2"/>
  <c r="P2412" i="2" s="1"/>
  <c r="Q2412" i="2"/>
  <c r="R2412" i="2"/>
  <c r="S2412" i="2"/>
  <c r="E2413" i="2"/>
  <c r="F2413" i="2"/>
  <c r="G2413" i="2"/>
  <c r="H2413" i="2"/>
  <c r="I2413" i="2"/>
  <c r="J2413" i="2"/>
  <c r="K2413" i="2"/>
  <c r="L2413" i="2"/>
  <c r="N2413" i="2"/>
  <c r="O2413" i="2"/>
  <c r="Q2413" i="2"/>
  <c r="R2413" i="2"/>
  <c r="S2413" i="2"/>
  <c r="E2414" i="2"/>
  <c r="F2414" i="2"/>
  <c r="G2414" i="2"/>
  <c r="H2414" i="2"/>
  <c r="I2414" i="2"/>
  <c r="J2414" i="2"/>
  <c r="K2414" i="2"/>
  <c r="L2414" i="2"/>
  <c r="M2414" i="2"/>
  <c r="N2414" i="2"/>
  <c r="O2414" i="2"/>
  <c r="Q2414" i="2"/>
  <c r="R2414" i="2"/>
  <c r="S2414" i="2"/>
  <c r="E2415" i="2"/>
  <c r="F2415" i="2"/>
  <c r="G2415" i="2"/>
  <c r="H2415" i="2"/>
  <c r="I2415" i="2"/>
  <c r="J2415" i="2"/>
  <c r="M2415" i="2" s="1"/>
  <c r="K2415" i="2"/>
  <c r="L2415" i="2"/>
  <c r="N2415" i="2"/>
  <c r="O2415" i="2"/>
  <c r="Q2415" i="2"/>
  <c r="R2415" i="2"/>
  <c r="S2415" i="2"/>
  <c r="E2416" i="2"/>
  <c r="F2416" i="2"/>
  <c r="G2416" i="2"/>
  <c r="H2416" i="2"/>
  <c r="I2416" i="2"/>
  <c r="J2416" i="2"/>
  <c r="K2416" i="2"/>
  <c r="L2416" i="2"/>
  <c r="N2416" i="2"/>
  <c r="O2416" i="2"/>
  <c r="P2416" i="2" s="1"/>
  <c r="Q2416" i="2"/>
  <c r="R2416" i="2"/>
  <c r="S2416" i="2"/>
  <c r="E2417" i="2"/>
  <c r="F2417" i="2"/>
  <c r="G2417" i="2"/>
  <c r="H2417" i="2"/>
  <c r="I2417" i="2"/>
  <c r="J2417" i="2"/>
  <c r="K2417" i="2"/>
  <c r="L2417" i="2"/>
  <c r="N2417" i="2"/>
  <c r="O2417" i="2"/>
  <c r="Q2417" i="2"/>
  <c r="R2417" i="2"/>
  <c r="S2417" i="2"/>
  <c r="E2418" i="2"/>
  <c r="F2418" i="2"/>
  <c r="G2418" i="2"/>
  <c r="H2418" i="2"/>
  <c r="I2418" i="2"/>
  <c r="J2418" i="2"/>
  <c r="K2418" i="2"/>
  <c r="L2418" i="2"/>
  <c r="M2418" i="2"/>
  <c r="N2418" i="2"/>
  <c r="O2418" i="2"/>
  <c r="Q2418" i="2"/>
  <c r="R2418" i="2"/>
  <c r="S2418" i="2"/>
  <c r="E2419" i="2"/>
  <c r="F2419" i="2"/>
  <c r="G2419" i="2"/>
  <c r="H2419" i="2"/>
  <c r="I2419" i="2"/>
  <c r="J2419" i="2"/>
  <c r="M2419" i="2" s="1"/>
  <c r="K2419" i="2"/>
  <c r="L2419" i="2"/>
  <c r="N2419" i="2"/>
  <c r="O2419" i="2"/>
  <c r="Q2419" i="2"/>
  <c r="R2419" i="2"/>
  <c r="S2419" i="2"/>
  <c r="E2420" i="2"/>
  <c r="F2420" i="2"/>
  <c r="G2420" i="2"/>
  <c r="H2420" i="2"/>
  <c r="I2420" i="2"/>
  <c r="J2420" i="2"/>
  <c r="K2420" i="2"/>
  <c r="L2420" i="2"/>
  <c r="N2420" i="2"/>
  <c r="O2420" i="2"/>
  <c r="P2420" i="2" s="1"/>
  <c r="Q2420" i="2"/>
  <c r="R2420" i="2"/>
  <c r="S2420" i="2"/>
  <c r="E2421" i="2"/>
  <c r="F2421" i="2"/>
  <c r="G2421" i="2"/>
  <c r="H2421" i="2"/>
  <c r="I2421" i="2"/>
  <c r="J2421" i="2"/>
  <c r="K2421" i="2"/>
  <c r="L2421" i="2"/>
  <c r="N2421" i="2"/>
  <c r="O2421" i="2"/>
  <c r="Q2421" i="2"/>
  <c r="R2421" i="2"/>
  <c r="S2421" i="2"/>
  <c r="E2422" i="2"/>
  <c r="F2422" i="2"/>
  <c r="G2422" i="2"/>
  <c r="H2422" i="2"/>
  <c r="I2422" i="2"/>
  <c r="J2422" i="2"/>
  <c r="K2422" i="2"/>
  <c r="L2422" i="2"/>
  <c r="M2422" i="2"/>
  <c r="N2422" i="2"/>
  <c r="O2422" i="2"/>
  <c r="Q2422" i="2"/>
  <c r="R2422" i="2"/>
  <c r="S2422" i="2"/>
  <c r="E2423" i="2"/>
  <c r="F2423" i="2"/>
  <c r="G2423" i="2"/>
  <c r="H2423" i="2"/>
  <c r="I2423" i="2"/>
  <c r="J2423" i="2"/>
  <c r="M2423" i="2" s="1"/>
  <c r="K2423" i="2"/>
  <c r="L2423" i="2"/>
  <c r="N2423" i="2"/>
  <c r="O2423" i="2"/>
  <c r="Q2423" i="2"/>
  <c r="R2423" i="2"/>
  <c r="S2423" i="2"/>
  <c r="E2424" i="2"/>
  <c r="F2424" i="2"/>
  <c r="G2424" i="2"/>
  <c r="H2424" i="2"/>
  <c r="I2424" i="2"/>
  <c r="J2424" i="2"/>
  <c r="K2424" i="2"/>
  <c r="L2424" i="2"/>
  <c r="N2424" i="2"/>
  <c r="O2424" i="2"/>
  <c r="P2424" i="2" s="1"/>
  <c r="Q2424" i="2"/>
  <c r="R2424" i="2"/>
  <c r="S2424" i="2"/>
  <c r="E2425" i="2"/>
  <c r="F2425" i="2"/>
  <c r="G2425" i="2"/>
  <c r="H2425" i="2"/>
  <c r="I2425" i="2"/>
  <c r="J2425" i="2"/>
  <c r="K2425" i="2"/>
  <c r="L2425" i="2"/>
  <c r="N2425" i="2"/>
  <c r="O2425" i="2"/>
  <c r="Q2425" i="2"/>
  <c r="R2425" i="2"/>
  <c r="S2425" i="2"/>
  <c r="E2426" i="2"/>
  <c r="F2426" i="2"/>
  <c r="G2426" i="2"/>
  <c r="H2426" i="2"/>
  <c r="I2426" i="2"/>
  <c r="J2426" i="2"/>
  <c r="K2426" i="2"/>
  <c r="L2426" i="2"/>
  <c r="M2426" i="2"/>
  <c r="N2426" i="2"/>
  <c r="O2426" i="2"/>
  <c r="Q2426" i="2"/>
  <c r="R2426" i="2"/>
  <c r="S2426" i="2"/>
  <c r="E2427" i="2"/>
  <c r="F2427" i="2"/>
  <c r="G2427" i="2"/>
  <c r="H2427" i="2"/>
  <c r="I2427" i="2"/>
  <c r="J2427" i="2"/>
  <c r="M2427" i="2" s="1"/>
  <c r="K2427" i="2"/>
  <c r="L2427" i="2"/>
  <c r="N2427" i="2"/>
  <c r="O2427" i="2"/>
  <c r="Q2427" i="2"/>
  <c r="R2427" i="2"/>
  <c r="S2427" i="2"/>
  <c r="E2428" i="2"/>
  <c r="F2428" i="2"/>
  <c r="G2428" i="2"/>
  <c r="H2428" i="2"/>
  <c r="I2428" i="2"/>
  <c r="J2428" i="2"/>
  <c r="K2428" i="2"/>
  <c r="L2428" i="2"/>
  <c r="N2428" i="2"/>
  <c r="O2428" i="2"/>
  <c r="P2428" i="2" s="1"/>
  <c r="Q2428" i="2"/>
  <c r="R2428" i="2"/>
  <c r="S2428" i="2"/>
  <c r="E2429" i="2"/>
  <c r="F2429" i="2"/>
  <c r="G2429" i="2"/>
  <c r="H2429" i="2"/>
  <c r="I2429" i="2"/>
  <c r="J2429" i="2"/>
  <c r="K2429" i="2"/>
  <c r="L2429" i="2"/>
  <c r="N2429" i="2"/>
  <c r="O2429" i="2"/>
  <c r="Q2429" i="2"/>
  <c r="R2429" i="2"/>
  <c r="S2429" i="2"/>
  <c r="E2430" i="2"/>
  <c r="F2430" i="2"/>
  <c r="G2430" i="2"/>
  <c r="H2430" i="2"/>
  <c r="I2430" i="2"/>
  <c r="J2430" i="2"/>
  <c r="K2430" i="2"/>
  <c r="L2430" i="2"/>
  <c r="M2430" i="2"/>
  <c r="N2430" i="2"/>
  <c r="O2430" i="2"/>
  <c r="Q2430" i="2"/>
  <c r="R2430" i="2"/>
  <c r="S2430" i="2"/>
  <c r="E2431" i="2"/>
  <c r="F2431" i="2"/>
  <c r="G2431" i="2"/>
  <c r="H2431" i="2"/>
  <c r="I2431" i="2"/>
  <c r="J2431" i="2"/>
  <c r="M2431" i="2" s="1"/>
  <c r="K2431" i="2"/>
  <c r="L2431" i="2"/>
  <c r="N2431" i="2"/>
  <c r="O2431" i="2"/>
  <c r="Q2431" i="2"/>
  <c r="R2431" i="2"/>
  <c r="S2431" i="2"/>
  <c r="E2432" i="2"/>
  <c r="F2432" i="2"/>
  <c r="G2432" i="2"/>
  <c r="H2432" i="2"/>
  <c r="I2432" i="2"/>
  <c r="J2432" i="2"/>
  <c r="K2432" i="2"/>
  <c r="L2432" i="2"/>
  <c r="N2432" i="2"/>
  <c r="O2432" i="2"/>
  <c r="P2432" i="2" s="1"/>
  <c r="Q2432" i="2"/>
  <c r="R2432" i="2"/>
  <c r="S2432" i="2"/>
  <c r="E2433" i="2"/>
  <c r="F2433" i="2"/>
  <c r="G2433" i="2"/>
  <c r="H2433" i="2"/>
  <c r="I2433" i="2"/>
  <c r="J2433" i="2"/>
  <c r="K2433" i="2"/>
  <c r="L2433" i="2"/>
  <c r="N2433" i="2"/>
  <c r="O2433" i="2"/>
  <c r="Q2433" i="2"/>
  <c r="R2433" i="2"/>
  <c r="S2433" i="2"/>
  <c r="E2434" i="2"/>
  <c r="F2434" i="2"/>
  <c r="G2434" i="2"/>
  <c r="H2434" i="2"/>
  <c r="I2434" i="2"/>
  <c r="J2434" i="2"/>
  <c r="K2434" i="2"/>
  <c r="L2434" i="2"/>
  <c r="M2434" i="2"/>
  <c r="N2434" i="2"/>
  <c r="O2434" i="2"/>
  <c r="Q2434" i="2"/>
  <c r="R2434" i="2"/>
  <c r="S2434" i="2"/>
  <c r="E2435" i="2"/>
  <c r="F2435" i="2"/>
  <c r="G2435" i="2"/>
  <c r="H2435" i="2"/>
  <c r="I2435" i="2"/>
  <c r="J2435" i="2"/>
  <c r="M2435" i="2" s="1"/>
  <c r="K2435" i="2"/>
  <c r="L2435" i="2"/>
  <c r="N2435" i="2"/>
  <c r="O2435" i="2"/>
  <c r="Q2435" i="2"/>
  <c r="R2435" i="2"/>
  <c r="S2435" i="2"/>
  <c r="E2436" i="2"/>
  <c r="F2436" i="2"/>
  <c r="G2436" i="2"/>
  <c r="H2436" i="2"/>
  <c r="I2436" i="2"/>
  <c r="J2436" i="2"/>
  <c r="K2436" i="2"/>
  <c r="L2436" i="2"/>
  <c r="N2436" i="2"/>
  <c r="O2436" i="2"/>
  <c r="P2436" i="2" s="1"/>
  <c r="Q2436" i="2"/>
  <c r="R2436" i="2"/>
  <c r="S2436" i="2"/>
  <c r="E2437" i="2"/>
  <c r="F2437" i="2"/>
  <c r="G2437" i="2"/>
  <c r="H2437" i="2"/>
  <c r="I2437" i="2"/>
  <c r="J2437" i="2"/>
  <c r="K2437" i="2"/>
  <c r="L2437" i="2"/>
  <c r="N2437" i="2"/>
  <c r="O2437" i="2"/>
  <c r="Q2437" i="2"/>
  <c r="R2437" i="2"/>
  <c r="S2437" i="2"/>
  <c r="E2438" i="2"/>
  <c r="F2438" i="2"/>
  <c r="G2438" i="2"/>
  <c r="H2438" i="2"/>
  <c r="I2438" i="2"/>
  <c r="J2438" i="2"/>
  <c r="K2438" i="2"/>
  <c r="L2438" i="2"/>
  <c r="M2438" i="2"/>
  <c r="N2438" i="2"/>
  <c r="O2438" i="2"/>
  <c r="Q2438" i="2"/>
  <c r="R2438" i="2"/>
  <c r="S2438" i="2"/>
  <c r="E2439" i="2"/>
  <c r="F2439" i="2"/>
  <c r="G2439" i="2"/>
  <c r="H2439" i="2"/>
  <c r="I2439" i="2"/>
  <c r="J2439" i="2"/>
  <c r="M2439" i="2" s="1"/>
  <c r="K2439" i="2"/>
  <c r="L2439" i="2"/>
  <c r="N2439" i="2"/>
  <c r="O2439" i="2"/>
  <c r="Q2439" i="2"/>
  <c r="R2439" i="2"/>
  <c r="S2439" i="2"/>
  <c r="E2440" i="2"/>
  <c r="F2440" i="2"/>
  <c r="G2440" i="2"/>
  <c r="H2440" i="2"/>
  <c r="I2440" i="2"/>
  <c r="J2440" i="2"/>
  <c r="K2440" i="2"/>
  <c r="L2440" i="2"/>
  <c r="N2440" i="2"/>
  <c r="O2440" i="2"/>
  <c r="P2440" i="2" s="1"/>
  <c r="Q2440" i="2"/>
  <c r="R2440" i="2"/>
  <c r="S2440" i="2"/>
  <c r="E2441" i="2"/>
  <c r="F2441" i="2"/>
  <c r="G2441" i="2"/>
  <c r="H2441" i="2"/>
  <c r="M2441" i="2" s="1"/>
  <c r="I2441" i="2"/>
  <c r="J2441" i="2"/>
  <c r="K2441" i="2"/>
  <c r="L2441" i="2"/>
  <c r="N2441" i="2"/>
  <c r="O2441" i="2"/>
  <c r="Q2441" i="2"/>
  <c r="R2441" i="2"/>
  <c r="S2441" i="2"/>
  <c r="E2442" i="2"/>
  <c r="F2442" i="2"/>
  <c r="G2442" i="2"/>
  <c r="H2442" i="2"/>
  <c r="I2442" i="2"/>
  <c r="J2442" i="2"/>
  <c r="K2442" i="2"/>
  <c r="L2442" i="2"/>
  <c r="M2442" i="2"/>
  <c r="N2442" i="2"/>
  <c r="O2442" i="2"/>
  <c r="Q2442" i="2"/>
  <c r="R2442" i="2"/>
  <c r="S2442" i="2"/>
  <c r="E2443" i="2"/>
  <c r="F2443" i="2"/>
  <c r="G2443" i="2"/>
  <c r="H2443" i="2"/>
  <c r="I2443" i="2"/>
  <c r="J2443" i="2"/>
  <c r="M2443" i="2" s="1"/>
  <c r="K2443" i="2"/>
  <c r="L2443" i="2"/>
  <c r="N2443" i="2"/>
  <c r="O2443" i="2"/>
  <c r="Q2443" i="2"/>
  <c r="R2443" i="2"/>
  <c r="S2443" i="2"/>
  <c r="E2444" i="2"/>
  <c r="F2444" i="2"/>
  <c r="G2444" i="2"/>
  <c r="H2444" i="2"/>
  <c r="I2444" i="2"/>
  <c r="J2444" i="2"/>
  <c r="K2444" i="2"/>
  <c r="L2444" i="2"/>
  <c r="N2444" i="2"/>
  <c r="O2444" i="2"/>
  <c r="P2444" i="2" s="1"/>
  <c r="Q2444" i="2"/>
  <c r="R2444" i="2"/>
  <c r="S2444" i="2"/>
  <c r="E2445" i="2"/>
  <c r="F2445" i="2"/>
  <c r="G2445" i="2"/>
  <c r="H2445" i="2"/>
  <c r="I2445" i="2"/>
  <c r="J2445" i="2"/>
  <c r="K2445" i="2"/>
  <c r="L2445" i="2"/>
  <c r="N2445" i="2"/>
  <c r="O2445" i="2"/>
  <c r="Q2445" i="2"/>
  <c r="R2445" i="2"/>
  <c r="S2445" i="2"/>
  <c r="E2446" i="2"/>
  <c r="F2446" i="2"/>
  <c r="G2446" i="2"/>
  <c r="H2446" i="2"/>
  <c r="I2446" i="2"/>
  <c r="J2446" i="2"/>
  <c r="K2446" i="2"/>
  <c r="L2446" i="2"/>
  <c r="M2446" i="2"/>
  <c r="N2446" i="2"/>
  <c r="O2446" i="2"/>
  <c r="Q2446" i="2"/>
  <c r="R2446" i="2"/>
  <c r="S2446" i="2"/>
  <c r="E2447" i="2"/>
  <c r="F2447" i="2"/>
  <c r="G2447" i="2"/>
  <c r="H2447" i="2"/>
  <c r="I2447" i="2"/>
  <c r="J2447" i="2"/>
  <c r="M2447" i="2" s="1"/>
  <c r="K2447" i="2"/>
  <c r="L2447" i="2"/>
  <c r="N2447" i="2"/>
  <c r="O2447" i="2"/>
  <c r="Q2447" i="2"/>
  <c r="R2447" i="2"/>
  <c r="S2447" i="2"/>
  <c r="E2448" i="2"/>
  <c r="F2448" i="2"/>
  <c r="G2448" i="2"/>
  <c r="H2448" i="2"/>
  <c r="I2448" i="2"/>
  <c r="J2448" i="2"/>
  <c r="K2448" i="2"/>
  <c r="L2448" i="2"/>
  <c r="N2448" i="2"/>
  <c r="O2448" i="2"/>
  <c r="P2448" i="2" s="1"/>
  <c r="Q2448" i="2"/>
  <c r="R2448" i="2"/>
  <c r="S2448" i="2"/>
  <c r="E2449" i="2"/>
  <c r="F2449" i="2"/>
  <c r="G2449" i="2"/>
  <c r="H2449" i="2"/>
  <c r="I2449" i="2"/>
  <c r="J2449" i="2"/>
  <c r="K2449" i="2"/>
  <c r="L2449" i="2"/>
  <c r="N2449" i="2"/>
  <c r="O2449" i="2"/>
  <c r="Q2449" i="2"/>
  <c r="R2449" i="2"/>
  <c r="S2449" i="2"/>
  <c r="E2450" i="2"/>
  <c r="F2450" i="2"/>
  <c r="G2450" i="2"/>
  <c r="H2450" i="2"/>
  <c r="I2450" i="2"/>
  <c r="J2450" i="2"/>
  <c r="K2450" i="2"/>
  <c r="L2450" i="2"/>
  <c r="M2450" i="2"/>
  <c r="N2450" i="2"/>
  <c r="O2450" i="2"/>
  <c r="Q2450" i="2"/>
  <c r="R2450" i="2"/>
  <c r="S2450" i="2"/>
  <c r="E2451" i="2"/>
  <c r="F2451" i="2"/>
  <c r="G2451" i="2"/>
  <c r="H2451" i="2"/>
  <c r="I2451" i="2"/>
  <c r="J2451" i="2"/>
  <c r="M2451" i="2" s="1"/>
  <c r="K2451" i="2"/>
  <c r="L2451" i="2"/>
  <c r="N2451" i="2"/>
  <c r="O2451" i="2"/>
  <c r="Q2451" i="2"/>
  <c r="R2451" i="2"/>
  <c r="S2451" i="2"/>
  <c r="E2452" i="2"/>
  <c r="F2452" i="2"/>
  <c r="G2452" i="2"/>
  <c r="H2452" i="2"/>
  <c r="I2452" i="2"/>
  <c r="J2452" i="2"/>
  <c r="K2452" i="2"/>
  <c r="L2452" i="2"/>
  <c r="N2452" i="2"/>
  <c r="O2452" i="2"/>
  <c r="P2452" i="2" s="1"/>
  <c r="Q2452" i="2"/>
  <c r="R2452" i="2"/>
  <c r="S2452" i="2"/>
  <c r="E2453" i="2"/>
  <c r="F2453" i="2"/>
  <c r="G2453" i="2"/>
  <c r="H2453" i="2"/>
  <c r="I2453" i="2"/>
  <c r="J2453" i="2"/>
  <c r="K2453" i="2"/>
  <c r="L2453" i="2"/>
  <c r="N2453" i="2"/>
  <c r="O2453" i="2"/>
  <c r="Q2453" i="2"/>
  <c r="R2453" i="2"/>
  <c r="S2453" i="2"/>
  <c r="E2454" i="2"/>
  <c r="F2454" i="2"/>
  <c r="G2454" i="2"/>
  <c r="H2454" i="2"/>
  <c r="I2454" i="2"/>
  <c r="J2454" i="2"/>
  <c r="K2454" i="2"/>
  <c r="L2454" i="2"/>
  <c r="M2454" i="2"/>
  <c r="N2454" i="2"/>
  <c r="O2454" i="2"/>
  <c r="Q2454" i="2"/>
  <c r="R2454" i="2"/>
  <c r="S2454" i="2"/>
  <c r="E2455" i="2"/>
  <c r="F2455" i="2"/>
  <c r="G2455" i="2"/>
  <c r="H2455" i="2"/>
  <c r="I2455" i="2"/>
  <c r="J2455" i="2"/>
  <c r="M2455" i="2" s="1"/>
  <c r="K2455" i="2"/>
  <c r="L2455" i="2"/>
  <c r="N2455" i="2"/>
  <c r="O2455" i="2"/>
  <c r="Q2455" i="2"/>
  <c r="R2455" i="2"/>
  <c r="S2455" i="2"/>
  <c r="E2456" i="2"/>
  <c r="F2456" i="2"/>
  <c r="G2456" i="2"/>
  <c r="H2456" i="2"/>
  <c r="I2456" i="2"/>
  <c r="J2456" i="2"/>
  <c r="K2456" i="2"/>
  <c r="L2456" i="2"/>
  <c r="N2456" i="2"/>
  <c r="O2456" i="2"/>
  <c r="P2456" i="2" s="1"/>
  <c r="Q2456" i="2"/>
  <c r="R2456" i="2"/>
  <c r="S2456" i="2"/>
  <c r="E2457" i="2"/>
  <c r="F2457" i="2"/>
  <c r="G2457" i="2"/>
  <c r="H2457" i="2"/>
  <c r="I2457" i="2"/>
  <c r="J2457" i="2"/>
  <c r="K2457" i="2"/>
  <c r="L2457" i="2"/>
  <c r="N2457" i="2"/>
  <c r="O2457" i="2"/>
  <c r="Q2457" i="2"/>
  <c r="R2457" i="2"/>
  <c r="S2457" i="2"/>
  <c r="E2458" i="2"/>
  <c r="F2458" i="2"/>
  <c r="G2458" i="2"/>
  <c r="H2458" i="2"/>
  <c r="I2458" i="2"/>
  <c r="J2458" i="2"/>
  <c r="K2458" i="2"/>
  <c r="L2458" i="2"/>
  <c r="M2458" i="2"/>
  <c r="N2458" i="2"/>
  <c r="O2458" i="2"/>
  <c r="Q2458" i="2"/>
  <c r="R2458" i="2"/>
  <c r="S2458" i="2"/>
  <c r="E2459" i="2"/>
  <c r="F2459" i="2"/>
  <c r="G2459" i="2"/>
  <c r="H2459" i="2"/>
  <c r="I2459" i="2"/>
  <c r="J2459" i="2"/>
  <c r="M2459" i="2" s="1"/>
  <c r="K2459" i="2"/>
  <c r="L2459" i="2"/>
  <c r="N2459" i="2"/>
  <c r="O2459" i="2"/>
  <c r="Q2459" i="2"/>
  <c r="R2459" i="2"/>
  <c r="S2459" i="2"/>
  <c r="E2460" i="2"/>
  <c r="F2460" i="2"/>
  <c r="G2460" i="2"/>
  <c r="H2460" i="2"/>
  <c r="I2460" i="2"/>
  <c r="J2460" i="2"/>
  <c r="K2460" i="2"/>
  <c r="L2460" i="2"/>
  <c r="N2460" i="2"/>
  <c r="O2460" i="2"/>
  <c r="P2460" i="2" s="1"/>
  <c r="Q2460" i="2"/>
  <c r="R2460" i="2"/>
  <c r="S2460" i="2"/>
  <c r="E2461" i="2"/>
  <c r="F2461" i="2"/>
  <c r="G2461" i="2"/>
  <c r="H2461" i="2"/>
  <c r="I2461" i="2"/>
  <c r="J2461" i="2"/>
  <c r="K2461" i="2"/>
  <c r="L2461" i="2"/>
  <c r="N2461" i="2"/>
  <c r="O2461" i="2"/>
  <c r="Q2461" i="2"/>
  <c r="R2461" i="2"/>
  <c r="S2461" i="2"/>
  <c r="E2462" i="2"/>
  <c r="F2462" i="2"/>
  <c r="G2462" i="2"/>
  <c r="H2462" i="2"/>
  <c r="I2462" i="2"/>
  <c r="J2462" i="2"/>
  <c r="K2462" i="2"/>
  <c r="L2462" i="2"/>
  <c r="M2462" i="2"/>
  <c r="N2462" i="2"/>
  <c r="O2462" i="2"/>
  <c r="Q2462" i="2"/>
  <c r="R2462" i="2"/>
  <c r="S2462" i="2"/>
  <c r="E2463" i="2"/>
  <c r="F2463" i="2"/>
  <c r="G2463" i="2"/>
  <c r="H2463" i="2"/>
  <c r="I2463" i="2"/>
  <c r="J2463" i="2"/>
  <c r="M2463" i="2" s="1"/>
  <c r="K2463" i="2"/>
  <c r="L2463" i="2"/>
  <c r="N2463" i="2"/>
  <c r="O2463" i="2"/>
  <c r="Q2463" i="2"/>
  <c r="R2463" i="2"/>
  <c r="S2463" i="2"/>
  <c r="E2464" i="2"/>
  <c r="F2464" i="2"/>
  <c r="G2464" i="2"/>
  <c r="H2464" i="2"/>
  <c r="I2464" i="2"/>
  <c r="J2464" i="2"/>
  <c r="K2464" i="2"/>
  <c r="L2464" i="2"/>
  <c r="N2464" i="2"/>
  <c r="O2464" i="2"/>
  <c r="P2464" i="2" s="1"/>
  <c r="Q2464" i="2"/>
  <c r="R2464" i="2"/>
  <c r="S2464" i="2"/>
  <c r="E2465" i="2"/>
  <c r="F2465" i="2"/>
  <c r="G2465" i="2"/>
  <c r="H2465" i="2"/>
  <c r="P2465" i="2" s="1"/>
  <c r="I2465" i="2"/>
  <c r="J2465" i="2"/>
  <c r="K2465" i="2"/>
  <c r="L2465" i="2"/>
  <c r="N2465" i="2"/>
  <c r="O2465" i="2"/>
  <c r="Q2465" i="2"/>
  <c r="R2465" i="2"/>
  <c r="S2465" i="2"/>
  <c r="E2466" i="2"/>
  <c r="F2466" i="2"/>
  <c r="G2466" i="2"/>
  <c r="H2466" i="2"/>
  <c r="I2466" i="2"/>
  <c r="J2466" i="2"/>
  <c r="K2466" i="2"/>
  <c r="L2466" i="2"/>
  <c r="M2466" i="2"/>
  <c r="N2466" i="2"/>
  <c r="O2466" i="2"/>
  <c r="Q2466" i="2"/>
  <c r="R2466" i="2"/>
  <c r="S2466" i="2"/>
  <c r="E2467" i="2"/>
  <c r="F2467" i="2"/>
  <c r="G2467" i="2"/>
  <c r="H2467" i="2"/>
  <c r="I2467" i="2"/>
  <c r="J2467" i="2"/>
  <c r="M2467" i="2" s="1"/>
  <c r="K2467" i="2"/>
  <c r="L2467" i="2"/>
  <c r="N2467" i="2"/>
  <c r="O2467" i="2"/>
  <c r="Q2467" i="2"/>
  <c r="R2467" i="2"/>
  <c r="S2467" i="2"/>
  <c r="E2468" i="2"/>
  <c r="F2468" i="2"/>
  <c r="G2468" i="2"/>
  <c r="H2468" i="2"/>
  <c r="I2468" i="2"/>
  <c r="J2468" i="2"/>
  <c r="K2468" i="2"/>
  <c r="L2468" i="2"/>
  <c r="N2468" i="2"/>
  <c r="O2468" i="2"/>
  <c r="P2468" i="2" s="1"/>
  <c r="Q2468" i="2"/>
  <c r="R2468" i="2"/>
  <c r="S2468" i="2"/>
  <c r="E2469" i="2"/>
  <c r="F2469" i="2"/>
  <c r="G2469" i="2"/>
  <c r="H2469" i="2"/>
  <c r="I2469" i="2"/>
  <c r="J2469" i="2"/>
  <c r="K2469" i="2"/>
  <c r="L2469" i="2"/>
  <c r="N2469" i="2"/>
  <c r="O2469" i="2"/>
  <c r="Q2469" i="2"/>
  <c r="R2469" i="2"/>
  <c r="S2469" i="2"/>
  <c r="E2470" i="2"/>
  <c r="F2470" i="2"/>
  <c r="G2470" i="2"/>
  <c r="H2470" i="2"/>
  <c r="I2470" i="2"/>
  <c r="J2470" i="2"/>
  <c r="K2470" i="2"/>
  <c r="L2470" i="2"/>
  <c r="M2470" i="2"/>
  <c r="N2470" i="2"/>
  <c r="O2470" i="2"/>
  <c r="Q2470" i="2"/>
  <c r="R2470" i="2"/>
  <c r="S2470" i="2"/>
  <c r="E2471" i="2"/>
  <c r="F2471" i="2"/>
  <c r="G2471" i="2"/>
  <c r="H2471" i="2"/>
  <c r="I2471" i="2"/>
  <c r="J2471" i="2"/>
  <c r="M2471" i="2" s="1"/>
  <c r="K2471" i="2"/>
  <c r="L2471" i="2"/>
  <c r="N2471" i="2"/>
  <c r="O2471" i="2"/>
  <c r="Q2471" i="2"/>
  <c r="R2471" i="2"/>
  <c r="S2471" i="2"/>
  <c r="E2472" i="2"/>
  <c r="F2472" i="2"/>
  <c r="G2472" i="2"/>
  <c r="H2472" i="2"/>
  <c r="I2472" i="2"/>
  <c r="J2472" i="2"/>
  <c r="K2472" i="2"/>
  <c r="L2472" i="2"/>
  <c r="N2472" i="2"/>
  <c r="O2472" i="2"/>
  <c r="P2472" i="2" s="1"/>
  <c r="Q2472" i="2"/>
  <c r="R2472" i="2"/>
  <c r="S2472" i="2"/>
  <c r="E2473" i="2"/>
  <c r="F2473" i="2"/>
  <c r="G2473" i="2"/>
  <c r="H2473" i="2"/>
  <c r="P2473" i="2" s="1"/>
  <c r="I2473" i="2"/>
  <c r="J2473" i="2"/>
  <c r="K2473" i="2"/>
  <c r="L2473" i="2"/>
  <c r="N2473" i="2"/>
  <c r="O2473" i="2"/>
  <c r="Q2473" i="2"/>
  <c r="R2473" i="2"/>
  <c r="S2473" i="2"/>
  <c r="E2474" i="2"/>
  <c r="F2474" i="2"/>
  <c r="G2474" i="2"/>
  <c r="H2474" i="2"/>
  <c r="I2474" i="2"/>
  <c r="J2474" i="2"/>
  <c r="K2474" i="2"/>
  <c r="L2474" i="2"/>
  <c r="M2474" i="2"/>
  <c r="N2474" i="2"/>
  <c r="O2474" i="2"/>
  <c r="Q2474" i="2"/>
  <c r="R2474" i="2"/>
  <c r="S2474" i="2"/>
  <c r="E2475" i="2"/>
  <c r="F2475" i="2"/>
  <c r="G2475" i="2"/>
  <c r="H2475" i="2"/>
  <c r="I2475" i="2"/>
  <c r="J2475" i="2"/>
  <c r="M2475" i="2" s="1"/>
  <c r="K2475" i="2"/>
  <c r="L2475" i="2"/>
  <c r="N2475" i="2"/>
  <c r="O2475" i="2"/>
  <c r="Q2475" i="2"/>
  <c r="R2475" i="2"/>
  <c r="S2475" i="2"/>
  <c r="E2476" i="2"/>
  <c r="F2476" i="2"/>
  <c r="G2476" i="2"/>
  <c r="H2476" i="2"/>
  <c r="I2476" i="2"/>
  <c r="J2476" i="2"/>
  <c r="K2476" i="2"/>
  <c r="L2476" i="2"/>
  <c r="N2476" i="2"/>
  <c r="O2476" i="2"/>
  <c r="P2476" i="2" s="1"/>
  <c r="Q2476" i="2"/>
  <c r="R2476" i="2"/>
  <c r="S2476" i="2"/>
  <c r="E2477" i="2"/>
  <c r="F2477" i="2"/>
  <c r="G2477" i="2"/>
  <c r="H2477" i="2"/>
  <c r="I2477" i="2"/>
  <c r="J2477" i="2"/>
  <c r="K2477" i="2"/>
  <c r="L2477" i="2"/>
  <c r="N2477" i="2"/>
  <c r="O2477" i="2"/>
  <c r="Q2477" i="2"/>
  <c r="R2477" i="2"/>
  <c r="S2477" i="2"/>
  <c r="E2478" i="2"/>
  <c r="F2478" i="2"/>
  <c r="G2478" i="2"/>
  <c r="H2478" i="2"/>
  <c r="I2478" i="2"/>
  <c r="J2478" i="2"/>
  <c r="K2478" i="2"/>
  <c r="L2478" i="2"/>
  <c r="M2478" i="2"/>
  <c r="N2478" i="2"/>
  <c r="O2478" i="2"/>
  <c r="Q2478" i="2"/>
  <c r="R2478" i="2"/>
  <c r="S2478" i="2"/>
  <c r="E2479" i="2"/>
  <c r="F2479" i="2"/>
  <c r="G2479" i="2"/>
  <c r="H2479" i="2"/>
  <c r="I2479" i="2"/>
  <c r="J2479" i="2"/>
  <c r="M2479" i="2" s="1"/>
  <c r="K2479" i="2"/>
  <c r="L2479" i="2"/>
  <c r="N2479" i="2"/>
  <c r="O2479" i="2"/>
  <c r="Q2479" i="2"/>
  <c r="R2479" i="2"/>
  <c r="S2479" i="2"/>
  <c r="E2480" i="2"/>
  <c r="F2480" i="2"/>
  <c r="G2480" i="2"/>
  <c r="H2480" i="2"/>
  <c r="I2480" i="2"/>
  <c r="J2480" i="2"/>
  <c r="K2480" i="2"/>
  <c r="L2480" i="2"/>
  <c r="N2480" i="2"/>
  <c r="O2480" i="2"/>
  <c r="P2480" i="2" s="1"/>
  <c r="Q2480" i="2"/>
  <c r="R2480" i="2"/>
  <c r="S2480" i="2"/>
  <c r="E2481" i="2"/>
  <c r="F2481" i="2"/>
  <c r="G2481" i="2"/>
  <c r="H2481" i="2"/>
  <c r="P2481" i="2" s="1"/>
  <c r="I2481" i="2"/>
  <c r="J2481" i="2"/>
  <c r="K2481" i="2"/>
  <c r="L2481" i="2"/>
  <c r="N2481" i="2"/>
  <c r="O2481" i="2"/>
  <c r="Q2481" i="2"/>
  <c r="R2481" i="2"/>
  <c r="S2481" i="2"/>
  <c r="E2482" i="2"/>
  <c r="F2482" i="2"/>
  <c r="G2482" i="2"/>
  <c r="H2482" i="2"/>
  <c r="I2482" i="2"/>
  <c r="J2482" i="2"/>
  <c r="K2482" i="2"/>
  <c r="L2482" i="2"/>
  <c r="M2482" i="2"/>
  <c r="N2482" i="2"/>
  <c r="O2482" i="2"/>
  <c r="Q2482" i="2"/>
  <c r="R2482" i="2"/>
  <c r="S2482" i="2"/>
  <c r="E2483" i="2"/>
  <c r="F2483" i="2"/>
  <c r="G2483" i="2"/>
  <c r="H2483" i="2"/>
  <c r="I2483" i="2"/>
  <c r="J2483" i="2"/>
  <c r="M2483" i="2" s="1"/>
  <c r="K2483" i="2"/>
  <c r="L2483" i="2"/>
  <c r="N2483" i="2"/>
  <c r="O2483" i="2"/>
  <c r="Q2483" i="2"/>
  <c r="R2483" i="2"/>
  <c r="S2483" i="2"/>
  <c r="E2484" i="2"/>
  <c r="F2484" i="2"/>
  <c r="G2484" i="2"/>
  <c r="H2484" i="2"/>
  <c r="I2484" i="2"/>
  <c r="J2484" i="2"/>
  <c r="K2484" i="2"/>
  <c r="L2484" i="2"/>
  <c r="N2484" i="2"/>
  <c r="O2484" i="2"/>
  <c r="P2484" i="2" s="1"/>
  <c r="Q2484" i="2"/>
  <c r="R2484" i="2"/>
  <c r="S2484" i="2"/>
  <c r="E2485" i="2"/>
  <c r="F2485" i="2"/>
  <c r="G2485" i="2"/>
  <c r="H2485" i="2"/>
  <c r="I2485" i="2"/>
  <c r="J2485" i="2"/>
  <c r="K2485" i="2"/>
  <c r="L2485" i="2"/>
  <c r="N2485" i="2"/>
  <c r="O2485" i="2"/>
  <c r="Q2485" i="2"/>
  <c r="R2485" i="2"/>
  <c r="S2485" i="2"/>
  <c r="E2486" i="2"/>
  <c r="F2486" i="2"/>
  <c r="G2486" i="2"/>
  <c r="H2486" i="2"/>
  <c r="I2486" i="2"/>
  <c r="J2486" i="2"/>
  <c r="K2486" i="2"/>
  <c r="L2486" i="2"/>
  <c r="M2486" i="2"/>
  <c r="N2486" i="2"/>
  <c r="O2486" i="2"/>
  <c r="Q2486" i="2"/>
  <c r="R2486" i="2"/>
  <c r="S2486" i="2"/>
  <c r="E2487" i="2"/>
  <c r="F2487" i="2"/>
  <c r="G2487" i="2"/>
  <c r="H2487" i="2"/>
  <c r="I2487" i="2"/>
  <c r="J2487" i="2"/>
  <c r="M2487" i="2" s="1"/>
  <c r="K2487" i="2"/>
  <c r="L2487" i="2"/>
  <c r="N2487" i="2"/>
  <c r="O2487" i="2"/>
  <c r="Q2487" i="2"/>
  <c r="R2487" i="2"/>
  <c r="S2487" i="2"/>
  <c r="E2488" i="2"/>
  <c r="F2488" i="2"/>
  <c r="G2488" i="2"/>
  <c r="H2488" i="2"/>
  <c r="I2488" i="2"/>
  <c r="J2488" i="2"/>
  <c r="K2488" i="2"/>
  <c r="L2488" i="2"/>
  <c r="N2488" i="2"/>
  <c r="O2488" i="2"/>
  <c r="P2488" i="2" s="1"/>
  <c r="Q2488" i="2"/>
  <c r="R2488" i="2"/>
  <c r="S2488" i="2"/>
  <c r="E2489" i="2"/>
  <c r="F2489" i="2"/>
  <c r="G2489" i="2"/>
  <c r="H2489" i="2"/>
  <c r="M2489" i="2" s="1"/>
  <c r="I2489" i="2"/>
  <c r="J2489" i="2"/>
  <c r="K2489" i="2"/>
  <c r="L2489" i="2"/>
  <c r="N2489" i="2"/>
  <c r="O2489" i="2"/>
  <c r="Q2489" i="2"/>
  <c r="R2489" i="2"/>
  <c r="S2489" i="2"/>
  <c r="E2490" i="2"/>
  <c r="F2490" i="2"/>
  <c r="G2490" i="2"/>
  <c r="H2490" i="2"/>
  <c r="I2490" i="2"/>
  <c r="J2490" i="2"/>
  <c r="K2490" i="2"/>
  <c r="L2490" i="2"/>
  <c r="M2490" i="2"/>
  <c r="N2490" i="2"/>
  <c r="O2490" i="2"/>
  <c r="Q2490" i="2"/>
  <c r="R2490" i="2"/>
  <c r="S2490" i="2"/>
  <c r="E2491" i="2"/>
  <c r="F2491" i="2"/>
  <c r="G2491" i="2"/>
  <c r="H2491" i="2"/>
  <c r="I2491" i="2"/>
  <c r="J2491" i="2"/>
  <c r="M2491" i="2" s="1"/>
  <c r="K2491" i="2"/>
  <c r="L2491" i="2"/>
  <c r="N2491" i="2"/>
  <c r="O2491" i="2"/>
  <c r="Q2491" i="2"/>
  <c r="R2491" i="2"/>
  <c r="S2491" i="2"/>
  <c r="E2492" i="2"/>
  <c r="F2492" i="2"/>
  <c r="G2492" i="2"/>
  <c r="H2492" i="2"/>
  <c r="I2492" i="2"/>
  <c r="J2492" i="2"/>
  <c r="K2492" i="2"/>
  <c r="L2492" i="2"/>
  <c r="N2492" i="2"/>
  <c r="O2492" i="2"/>
  <c r="P2492" i="2" s="1"/>
  <c r="Q2492" i="2"/>
  <c r="R2492" i="2"/>
  <c r="S2492" i="2"/>
  <c r="E2493" i="2"/>
  <c r="F2493" i="2"/>
  <c r="G2493" i="2"/>
  <c r="H2493" i="2"/>
  <c r="I2493" i="2"/>
  <c r="J2493" i="2"/>
  <c r="K2493" i="2"/>
  <c r="L2493" i="2"/>
  <c r="N2493" i="2"/>
  <c r="O2493" i="2"/>
  <c r="Q2493" i="2"/>
  <c r="R2493" i="2"/>
  <c r="S2493" i="2"/>
  <c r="E2494" i="2"/>
  <c r="F2494" i="2"/>
  <c r="G2494" i="2"/>
  <c r="H2494" i="2"/>
  <c r="I2494" i="2"/>
  <c r="J2494" i="2"/>
  <c r="K2494" i="2"/>
  <c r="L2494" i="2"/>
  <c r="M2494" i="2"/>
  <c r="N2494" i="2"/>
  <c r="O2494" i="2"/>
  <c r="Q2494" i="2"/>
  <c r="R2494" i="2"/>
  <c r="S2494" i="2"/>
  <c r="E2495" i="2"/>
  <c r="F2495" i="2"/>
  <c r="G2495" i="2"/>
  <c r="H2495" i="2"/>
  <c r="I2495" i="2"/>
  <c r="J2495" i="2"/>
  <c r="M2495" i="2" s="1"/>
  <c r="K2495" i="2"/>
  <c r="L2495" i="2"/>
  <c r="N2495" i="2"/>
  <c r="O2495" i="2"/>
  <c r="Q2495" i="2"/>
  <c r="R2495" i="2"/>
  <c r="S2495" i="2"/>
  <c r="E2496" i="2"/>
  <c r="F2496" i="2"/>
  <c r="G2496" i="2"/>
  <c r="H2496" i="2"/>
  <c r="I2496" i="2"/>
  <c r="J2496" i="2"/>
  <c r="K2496" i="2"/>
  <c r="L2496" i="2"/>
  <c r="N2496" i="2"/>
  <c r="O2496" i="2"/>
  <c r="P2496" i="2" s="1"/>
  <c r="Q2496" i="2"/>
  <c r="R2496" i="2"/>
  <c r="S2496" i="2"/>
  <c r="E2497" i="2"/>
  <c r="F2497" i="2"/>
  <c r="G2497" i="2"/>
  <c r="H2497" i="2"/>
  <c r="I2497" i="2"/>
  <c r="J2497" i="2"/>
  <c r="K2497" i="2"/>
  <c r="L2497" i="2"/>
  <c r="N2497" i="2"/>
  <c r="O2497" i="2"/>
  <c r="Q2497" i="2"/>
  <c r="R2497" i="2"/>
  <c r="S2497" i="2"/>
  <c r="E2498" i="2"/>
  <c r="F2498" i="2"/>
  <c r="G2498" i="2"/>
  <c r="H2498" i="2"/>
  <c r="I2498" i="2"/>
  <c r="J2498" i="2"/>
  <c r="K2498" i="2"/>
  <c r="L2498" i="2"/>
  <c r="M2498" i="2"/>
  <c r="N2498" i="2"/>
  <c r="O2498" i="2"/>
  <c r="Q2498" i="2"/>
  <c r="R2498" i="2"/>
  <c r="S2498" i="2"/>
  <c r="E2499" i="2"/>
  <c r="F2499" i="2"/>
  <c r="G2499" i="2"/>
  <c r="H2499" i="2"/>
  <c r="I2499" i="2"/>
  <c r="J2499" i="2"/>
  <c r="M2499" i="2" s="1"/>
  <c r="K2499" i="2"/>
  <c r="L2499" i="2"/>
  <c r="N2499" i="2"/>
  <c r="O2499" i="2"/>
  <c r="Q2499" i="2"/>
  <c r="R2499" i="2"/>
  <c r="S2499" i="2"/>
  <c r="E2500" i="2"/>
  <c r="F2500" i="2"/>
  <c r="G2500" i="2"/>
  <c r="H2500" i="2"/>
  <c r="I2500" i="2"/>
  <c r="J2500" i="2"/>
  <c r="K2500" i="2"/>
  <c r="L2500" i="2"/>
  <c r="N2500" i="2"/>
  <c r="O2500" i="2"/>
  <c r="P2500" i="2" s="1"/>
  <c r="Q2500" i="2"/>
  <c r="R2500" i="2"/>
  <c r="S2500" i="2"/>
  <c r="E2501" i="2"/>
  <c r="F2501" i="2"/>
  <c r="G2501" i="2"/>
  <c r="H2501" i="2"/>
  <c r="I2501" i="2"/>
  <c r="J2501" i="2"/>
  <c r="K2501" i="2"/>
  <c r="L2501" i="2"/>
  <c r="N2501" i="2"/>
  <c r="O2501" i="2"/>
  <c r="Q2501" i="2"/>
  <c r="R2501" i="2"/>
  <c r="S2501" i="2"/>
  <c r="E2502" i="2"/>
  <c r="F2502" i="2"/>
  <c r="G2502" i="2"/>
  <c r="H2502" i="2"/>
  <c r="I2502" i="2"/>
  <c r="J2502" i="2"/>
  <c r="K2502" i="2"/>
  <c r="L2502" i="2"/>
  <c r="M2502" i="2"/>
  <c r="N2502" i="2"/>
  <c r="O2502" i="2"/>
  <c r="Q2502" i="2"/>
  <c r="R2502" i="2"/>
  <c r="S2502" i="2"/>
  <c r="E2503" i="2"/>
  <c r="F2503" i="2"/>
  <c r="G2503" i="2"/>
  <c r="H2503" i="2"/>
  <c r="I2503" i="2"/>
  <c r="J2503" i="2"/>
  <c r="M2503" i="2" s="1"/>
  <c r="K2503" i="2"/>
  <c r="L2503" i="2"/>
  <c r="N2503" i="2"/>
  <c r="O2503" i="2"/>
  <c r="Q2503" i="2"/>
  <c r="R2503" i="2"/>
  <c r="S2503" i="2"/>
  <c r="E2504" i="2"/>
  <c r="F2504" i="2"/>
  <c r="G2504" i="2"/>
  <c r="H2504" i="2"/>
  <c r="I2504" i="2"/>
  <c r="J2504" i="2"/>
  <c r="K2504" i="2"/>
  <c r="L2504" i="2"/>
  <c r="N2504" i="2"/>
  <c r="O2504" i="2"/>
  <c r="P2504" i="2" s="1"/>
  <c r="Q2504" i="2"/>
  <c r="R2504" i="2"/>
  <c r="S2504" i="2"/>
  <c r="E2505" i="2"/>
  <c r="F2505" i="2"/>
  <c r="G2505" i="2"/>
  <c r="H2505" i="2"/>
  <c r="M2505" i="2" s="1"/>
  <c r="I2505" i="2"/>
  <c r="J2505" i="2"/>
  <c r="K2505" i="2"/>
  <c r="L2505" i="2"/>
  <c r="N2505" i="2"/>
  <c r="O2505" i="2"/>
  <c r="Q2505" i="2"/>
  <c r="R2505" i="2"/>
  <c r="S2505" i="2"/>
  <c r="E2506" i="2"/>
  <c r="F2506" i="2"/>
  <c r="G2506" i="2"/>
  <c r="H2506" i="2"/>
  <c r="I2506" i="2"/>
  <c r="J2506" i="2"/>
  <c r="K2506" i="2"/>
  <c r="L2506" i="2"/>
  <c r="M2506" i="2"/>
  <c r="N2506" i="2"/>
  <c r="O2506" i="2"/>
  <c r="Q2506" i="2"/>
  <c r="R2506" i="2"/>
  <c r="S2506" i="2"/>
  <c r="E2507" i="2"/>
  <c r="F2507" i="2"/>
  <c r="G2507" i="2"/>
  <c r="H2507" i="2"/>
  <c r="I2507" i="2"/>
  <c r="J2507" i="2"/>
  <c r="M2507" i="2" s="1"/>
  <c r="K2507" i="2"/>
  <c r="L2507" i="2"/>
  <c r="N2507" i="2"/>
  <c r="O2507" i="2"/>
  <c r="Q2507" i="2"/>
  <c r="R2507" i="2"/>
  <c r="S2507" i="2"/>
  <c r="E2508" i="2"/>
  <c r="F2508" i="2"/>
  <c r="G2508" i="2"/>
  <c r="H2508" i="2"/>
  <c r="I2508" i="2"/>
  <c r="J2508" i="2"/>
  <c r="K2508" i="2"/>
  <c r="L2508" i="2"/>
  <c r="N2508" i="2"/>
  <c r="O2508" i="2"/>
  <c r="P2508" i="2" s="1"/>
  <c r="Q2508" i="2"/>
  <c r="R2508" i="2"/>
  <c r="S2508" i="2"/>
  <c r="E2509" i="2"/>
  <c r="F2509" i="2"/>
  <c r="G2509" i="2"/>
  <c r="H2509" i="2"/>
  <c r="I2509" i="2"/>
  <c r="J2509" i="2"/>
  <c r="K2509" i="2"/>
  <c r="L2509" i="2"/>
  <c r="N2509" i="2"/>
  <c r="O2509" i="2"/>
  <c r="Q2509" i="2"/>
  <c r="R2509" i="2"/>
  <c r="S2509" i="2"/>
  <c r="E2510" i="2"/>
  <c r="F2510" i="2"/>
  <c r="G2510" i="2"/>
  <c r="H2510" i="2"/>
  <c r="I2510" i="2"/>
  <c r="J2510" i="2"/>
  <c r="K2510" i="2"/>
  <c r="L2510" i="2"/>
  <c r="M2510" i="2"/>
  <c r="N2510" i="2"/>
  <c r="O2510" i="2"/>
  <c r="Q2510" i="2"/>
  <c r="R2510" i="2"/>
  <c r="S2510" i="2"/>
  <c r="E2511" i="2"/>
  <c r="F2511" i="2"/>
  <c r="G2511" i="2"/>
  <c r="H2511" i="2"/>
  <c r="I2511" i="2"/>
  <c r="J2511" i="2"/>
  <c r="M2511" i="2" s="1"/>
  <c r="K2511" i="2"/>
  <c r="L2511" i="2"/>
  <c r="N2511" i="2"/>
  <c r="O2511" i="2"/>
  <c r="Q2511" i="2"/>
  <c r="R2511" i="2"/>
  <c r="S2511" i="2"/>
  <c r="E2512" i="2"/>
  <c r="F2512" i="2"/>
  <c r="G2512" i="2"/>
  <c r="H2512" i="2"/>
  <c r="I2512" i="2"/>
  <c r="J2512" i="2"/>
  <c r="K2512" i="2"/>
  <c r="L2512" i="2"/>
  <c r="N2512" i="2"/>
  <c r="P2512" i="2" s="1"/>
  <c r="O2512" i="2"/>
  <c r="Q2512" i="2"/>
  <c r="R2512" i="2"/>
  <c r="S2512" i="2"/>
  <c r="E2513" i="2"/>
  <c r="F2513" i="2"/>
  <c r="G2513" i="2"/>
  <c r="H2513" i="2"/>
  <c r="P2513" i="2" s="1"/>
  <c r="I2513" i="2"/>
  <c r="J2513" i="2"/>
  <c r="K2513" i="2"/>
  <c r="L2513" i="2"/>
  <c r="N2513" i="2"/>
  <c r="O2513" i="2"/>
  <c r="Q2513" i="2"/>
  <c r="R2513" i="2"/>
  <c r="S2513" i="2"/>
  <c r="E2514" i="2"/>
  <c r="F2514" i="2"/>
  <c r="G2514" i="2"/>
  <c r="H2514" i="2"/>
  <c r="I2514" i="2"/>
  <c r="J2514" i="2"/>
  <c r="K2514" i="2"/>
  <c r="L2514" i="2"/>
  <c r="M2514" i="2"/>
  <c r="N2514" i="2"/>
  <c r="O2514" i="2"/>
  <c r="Q2514" i="2"/>
  <c r="R2514" i="2"/>
  <c r="S2514" i="2"/>
  <c r="E2515" i="2"/>
  <c r="F2515" i="2"/>
  <c r="G2515" i="2"/>
  <c r="H2515" i="2"/>
  <c r="I2515" i="2"/>
  <c r="J2515" i="2"/>
  <c r="M2515" i="2" s="1"/>
  <c r="K2515" i="2"/>
  <c r="L2515" i="2"/>
  <c r="N2515" i="2"/>
  <c r="O2515" i="2"/>
  <c r="Q2515" i="2"/>
  <c r="R2515" i="2"/>
  <c r="S2515" i="2"/>
  <c r="E2516" i="2"/>
  <c r="F2516" i="2"/>
  <c r="G2516" i="2"/>
  <c r="H2516" i="2"/>
  <c r="I2516" i="2"/>
  <c r="J2516" i="2"/>
  <c r="K2516" i="2"/>
  <c r="L2516" i="2"/>
  <c r="N2516" i="2"/>
  <c r="P2516" i="2" s="1"/>
  <c r="O2516" i="2"/>
  <c r="Q2516" i="2"/>
  <c r="R2516" i="2"/>
  <c r="S2516" i="2"/>
  <c r="E2517" i="2"/>
  <c r="F2517" i="2"/>
  <c r="G2517" i="2"/>
  <c r="H2517" i="2"/>
  <c r="I2517" i="2"/>
  <c r="J2517" i="2"/>
  <c r="K2517" i="2"/>
  <c r="L2517" i="2"/>
  <c r="N2517" i="2"/>
  <c r="O2517" i="2"/>
  <c r="Q2517" i="2"/>
  <c r="R2517" i="2"/>
  <c r="S2517" i="2"/>
  <c r="E2518" i="2"/>
  <c r="F2518" i="2"/>
  <c r="G2518" i="2"/>
  <c r="H2518" i="2"/>
  <c r="I2518" i="2"/>
  <c r="J2518" i="2"/>
  <c r="K2518" i="2"/>
  <c r="L2518" i="2"/>
  <c r="M2518" i="2"/>
  <c r="N2518" i="2"/>
  <c r="O2518" i="2"/>
  <c r="Q2518" i="2"/>
  <c r="R2518" i="2"/>
  <c r="S2518" i="2"/>
  <c r="E2519" i="2"/>
  <c r="F2519" i="2"/>
  <c r="G2519" i="2"/>
  <c r="H2519" i="2"/>
  <c r="I2519" i="2"/>
  <c r="J2519" i="2"/>
  <c r="M2519" i="2" s="1"/>
  <c r="K2519" i="2"/>
  <c r="L2519" i="2"/>
  <c r="N2519" i="2"/>
  <c r="O2519" i="2"/>
  <c r="Q2519" i="2"/>
  <c r="R2519" i="2"/>
  <c r="S2519" i="2"/>
  <c r="E2520" i="2"/>
  <c r="F2520" i="2"/>
  <c r="G2520" i="2"/>
  <c r="H2520" i="2"/>
  <c r="I2520" i="2"/>
  <c r="J2520" i="2"/>
  <c r="K2520" i="2"/>
  <c r="L2520" i="2"/>
  <c r="N2520" i="2"/>
  <c r="P2520" i="2" s="1"/>
  <c r="O2520" i="2"/>
  <c r="Q2520" i="2"/>
  <c r="R2520" i="2"/>
  <c r="S2520" i="2"/>
  <c r="E2521" i="2"/>
  <c r="F2521" i="2"/>
  <c r="G2521" i="2"/>
  <c r="H2521" i="2"/>
  <c r="P2521" i="2" s="1"/>
  <c r="I2521" i="2"/>
  <c r="J2521" i="2"/>
  <c r="K2521" i="2"/>
  <c r="L2521" i="2"/>
  <c r="N2521" i="2"/>
  <c r="O2521" i="2"/>
  <c r="Q2521" i="2"/>
  <c r="R2521" i="2"/>
  <c r="S2521" i="2"/>
  <c r="E2522" i="2"/>
  <c r="F2522" i="2"/>
  <c r="G2522" i="2"/>
  <c r="H2522" i="2"/>
  <c r="I2522" i="2"/>
  <c r="J2522" i="2"/>
  <c r="K2522" i="2"/>
  <c r="L2522" i="2"/>
  <c r="M2522" i="2"/>
  <c r="N2522" i="2"/>
  <c r="O2522" i="2"/>
  <c r="Q2522" i="2"/>
  <c r="R2522" i="2"/>
  <c r="S2522" i="2"/>
  <c r="E2523" i="2"/>
  <c r="F2523" i="2"/>
  <c r="G2523" i="2"/>
  <c r="H2523" i="2"/>
  <c r="I2523" i="2"/>
  <c r="J2523" i="2"/>
  <c r="M2523" i="2" s="1"/>
  <c r="K2523" i="2"/>
  <c r="L2523" i="2"/>
  <c r="N2523" i="2"/>
  <c r="O2523" i="2"/>
  <c r="Q2523" i="2"/>
  <c r="R2523" i="2"/>
  <c r="S2523" i="2"/>
  <c r="E2524" i="2"/>
  <c r="F2524" i="2"/>
  <c r="G2524" i="2"/>
  <c r="H2524" i="2"/>
  <c r="I2524" i="2"/>
  <c r="J2524" i="2"/>
  <c r="K2524" i="2"/>
  <c r="L2524" i="2"/>
  <c r="N2524" i="2"/>
  <c r="P2524" i="2" s="1"/>
  <c r="O2524" i="2"/>
  <c r="Q2524" i="2"/>
  <c r="R2524" i="2"/>
  <c r="S2524" i="2"/>
  <c r="E2525" i="2"/>
  <c r="F2525" i="2"/>
  <c r="G2525" i="2"/>
  <c r="H2525" i="2"/>
  <c r="I2525" i="2"/>
  <c r="J2525" i="2"/>
  <c r="K2525" i="2"/>
  <c r="L2525" i="2"/>
  <c r="N2525" i="2"/>
  <c r="O2525" i="2"/>
  <c r="Q2525" i="2"/>
  <c r="R2525" i="2"/>
  <c r="S2525" i="2"/>
  <c r="E2526" i="2"/>
  <c r="F2526" i="2"/>
  <c r="G2526" i="2"/>
  <c r="H2526" i="2"/>
  <c r="I2526" i="2"/>
  <c r="J2526" i="2"/>
  <c r="K2526" i="2"/>
  <c r="L2526" i="2"/>
  <c r="M2526" i="2"/>
  <c r="N2526" i="2"/>
  <c r="O2526" i="2"/>
  <c r="Q2526" i="2"/>
  <c r="R2526" i="2"/>
  <c r="S2526" i="2"/>
  <c r="E2527" i="2"/>
  <c r="F2527" i="2"/>
  <c r="G2527" i="2"/>
  <c r="H2527" i="2"/>
  <c r="I2527" i="2"/>
  <c r="J2527" i="2"/>
  <c r="M2527" i="2" s="1"/>
  <c r="K2527" i="2"/>
  <c r="L2527" i="2"/>
  <c r="N2527" i="2"/>
  <c r="O2527" i="2"/>
  <c r="Q2527" i="2"/>
  <c r="R2527" i="2"/>
  <c r="S2527" i="2"/>
  <c r="E2528" i="2"/>
  <c r="F2528" i="2"/>
  <c r="G2528" i="2"/>
  <c r="H2528" i="2"/>
  <c r="I2528" i="2"/>
  <c r="J2528" i="2"/>
  <c r="K2528" i="2"/>
  <c r="L2528" i="2"/>
  <c r="N2528" i="2"/>
  <c r="P2528" i="2" s="1"/>
  <c r="O2528" i="2"/>
  <c r="Q2528" i="2"/>
  <c r="R2528" i="2"/>
  <c r="S2528" i="2"/>
  <c r="E2529" i="2"/>
  <c r="F2529" i="2"/>
  <c r="G2529" i="2"/>
  <c r="H2529" i="2"/>
  <c r="P2529" i="2" s="1"/>
  <c r="I2529" i="2"/>
  <c r="J2529" i="2"/>
  <c r="K2529" i="2"/>
  <c r="L2529" i="2"/>
  <c r="N2529" i="2"/>
  <c r="O2529" i="2"/>
  <c r="Q2529" i="2"/>
  <c r="R2529" i="2"/>
  <c r="S2529" i="2"/>
  <c r="E2530" i="2"/>
  <c r="F2530" i="2"/>
  <c r="G2530" i="2"/>
  <c r="H2530" i="2"/>
  <c r="I2530" i="2"/>
  <c r="J2530" i="2"/>
  <c r="K2530" i="2"/>
  <c r="L2530" i="2"/>
  <c r="M2530" i="2"/>
  <c r="N2530" i="2"/>
  <c r="O2530" i="2"/>
  <c r="Q2530" i="2"/>
  <c r="R2530" i="2"/>
  <c r="S2530" i="2"/>
  <c r="E2531" i="2"/>
  <c r="F2531" i="2"/>
  <c r="G2531" i="2"/>
  <c r="H2531" i="2"/>
  <c r="I2531" i="2"/>
  <c r="J2531" i="2"/>
  <c r="M2531" i="2" s="1"/>
  <c r="K2531" i="2"/>
  <c r="L2531" i="2"/>
  <c r="N2531" i="2"/>
  <c r="O2531" i="2"/>
  <c r="Q2531" i="2"/>
  <c r="R2531" i="2"/>
  <c r="S2531" i="2"/>
  <c r="E2532" i="2"/>
  <c r="F2532" i="2"/>
  <c r="G2532" i="2"/>
  <c r="H2532" i="2"/>
  <c r="I2532" i="2"/>
  <c r="J2532" i="2"/>
  <c r="K2532" i="2"/>
  <c r="L2532" i="2"/>
  <c r="N2532" i="2"/>
  <c r="P2532" i="2" s="1"/>
  <c r="O2532" i="2"/>
  <c r="Q2532" i="2"/>
  <c r="R2532" i="2"/>
  <c r="S2532" i="2"/>
  <c r="E2533" i="2"/>
  <c r="F2533" i="2"/>
  <c r="G2533" i="2"/>
  <c r="H2533" i="2"/>
  <c r="I2533" i="2"/>
  <c r="J2533" i="2"/>
  <c r="K2533" i="2"/>
  <c r="L2533" i="2"/>
  <c r="N2533" i="2"/>
  <c r="O2533" i="2"/>
  <c r="Q2533" i="2"/>
  <c r="R2533" i="2"/>
  <c r="S2533" i="2"/>
  <c r="E2534" i="2"/>
  <c r="F2534" i="2"/>
  <c r="G2534" i="2"/>
  <c r="H2534" i="2"/>
  <c r="I2534" i="2"/>
  <c r="J2534" i="2"/>
  <c r="K2534" i="2"/>
  <c r="L2534" i="2"/>
  <c r="M2534" i="2"/>
  <c r="N2534" i="2"/>
  <c r="O2534" i="2"/>
  <c r="Q2534" i="2"/>
  <c r="R2534" i="2"/>
  <c r="S2534" i="2"/>
  <c r="E2535" i="2"/>
  <c r="F2535" i="2"/>
  <c r="G2535" i="2"/>
  <c r="H2535" i="2"/>
  <c r="I2535" i="2"/>
  <c r="J2535" i="2"/>
  <c r="M2535" i="2" s="1"/>
  <c r="K2535" i="2"/>
  <c r="L2535" i="2"/>
  <c r="N2535" i="2"/>
  <c r="O2535" i="2"/>
  <c r="Q2535" i="2"/>
  <c r="R2535" i="2"/>
  <c r="S2535" i="2"/>
  <c r="E2536" i="2"/>
  <c r="F2536" i="2"/>
  <c r="G2536" i="2"/>
  <c r="H2536" i="2"/>
  <c r="I2536" i="2"/>
  <c r="J2536" i="2"/>
  <c r="K2536" i="2"/>
  <c r="L2536" i="2"/>
  <c r="N2536" i="2"/>
  <c r="P2536" i="2" s="1"/>
  <c r="O2536" i="2"/>
  <c r="Q2536" i="2"/>
  <c r="R2536" i="2"/>
  <c r="S2536" i="2"/>
  <c r="E2537" i="2"/>
  <c r="F2537" i="2"/>
  <c r="G2537" i="2"/>
  <c r="H2537" i="2"/>
  <c r="I2537" i="2"/>
  <c r="J2537" i="2"/>
  <c r="K2537" i="2"/>
  <c r="L2537" i="2"/>
  <c r="N2537" i="2"/>
  <c r="O2537" i="2"/>
  <c r="Q2537" i="2"/>
  <c r="R2537" i="2"/>
  <c r="S2537" i="2"/>
  <c r="E2538" i="2"/>
  <c r="F2538" i="2"/>
  <c r="G2538" i="2"/>
  <c r="H2538" i="2"/>
  <c r="I2538" i="2"/>
  <c r="J2538" i="2"/>
  <c r="K2538" i="2"/>
  <c r="L2538" i="2"/>
  <c r="M2538" i="2"/>
  <c r="N2538" i="2"/>
  <c r="O2538" i="2"/>
  <c r="Q2538" i="2"/>
  <c r="R2538" i="2"/>
  <c r="S2538" i="2"/>
  <c r="E2539" i="2"/>
  <c r="F2539" i="2"/>
  <c r="G2539" i="2"/>
  <c r="H2539" i="2"/>
  <c r="I2539" i="2"/>
  <c r="J2539" i="2"/>
  <c r="M2539" i="2" s="1"/>
  <c r="K2539" i="2"/>
  <c r="L2539" i="2"/>
  <c r="N2539" i="2"/>
  <c r="O2539" i="2"/>
  <c r="Q2539" i="2"/>
  <c r="R2539" i="2"/>
  <c r="S2539" i="2"/>
  <c r="E2540" i="2"/>
  <c r="F2540" i="2"/>
  <c r="G2540" i="2"/>
  <c r="H2540" i="2"/>
  <c r="I2540" i="2"/>
  <c r="J2540" i="2"/>
  <c r="K2540" i="2"/>
  <c r="L2540" i="2"/>
  <c r="N2540" i="2"/>
  <c r="P2540" i="2" s="1"/>
  <c r="O2540" i="2"/>
  <c r="Q2540" i="2"/>
  <c r="R2540" i="2"/>
  <c r="S2540" i="2"/>
  <c r="E2541" i="2"/>
  <c r="F2541" i="2"/>
  <c r="G2541" i="2"/>
  <c r="H2541" i="2"/>
  <c r="I2541" i="2"/>
  <c r="J2541" i="2"/>
  <c r="K2541" i="2"/>
  <c r="L2541" i="2"/>
  <c r="N2541" i="2"/>
  <c r="O2541" i="2"/>
  <c r="Q2541" i="2"/>
  <c r="R2541" i="2"/>
  <c r="S2541" i="2"/>
  <c r="E2542" i="2"/>
  <c r="F2542" i="2"/>
  <c r="G2542" i="2"/>
  <c r="H2542" i="2"/>
  <c r="I2542" i="2"/>
  <c r="J2542" i="2"/>
  <c r="K2542" i="2"/>
  <c r="L2542" i="2"/>
  <c r="M2542" i="2"/>
  <c r="N2542" i="2"/>
  <c r="O2542" i="2"/>
  <c r="Q2542" i="2"/>
  <c r="R2542" i="2"/>
  <c r="S2542" i="2"/>
  <c r="E2543" i="2"/>
  <c r="F2543" i="2"/>
  <c r="G2543" i="2"/>
  <c r="H2543" i="2"/>
  <c r="I2543" i="2"/>
  <c r="J2543" i="2"/>
  <c r="M2543" i="2" s="1"/>
  <c r="K2543" i="2"/>
  <c r="L2543" i="2"/>
  <c r="N2543" i="2"/>
  <c r="O2543" i="2"/>
  <c r="Q2543" i="2"/>
  <c r="R2543" i="2"/>
  <c r="S2543" i="2"/>
  <c r="E2544" i="2"/>
  <c r="F2544" i="2"/>
  <c r="G2544" i="2"/>
  <c r="H2544" i="2"/>
  <c r="I2544" i="2"/>
  <c r="J2544" i="2"/>
  <c r="K2544" i="2"/>
  <c r="L2544" i="2"/>
  <c r="N2544" i="2"/>
  <c r="P2544" i="2" s="1"/>
  <c r="O2544" i="2"/>
  <c r="Q2544" i="2"/>
  <c r="R2544" i="2"/>
  <c r="S2544" i="2"/>
  <c r="E2545" i="2"/>
  <c r="F2545" i="2"/>
  <c r="G2545" i="2"/>
  <c r="H2545" i="2"/>
  <c r="I2545" i="2"/>
  <c r="J2545" i="2"/>
  <c r="K2545" i="2"/>
  <c r="L2545" i="2"/>
  <c r="N2545" i="2"/>
  <c r="O2545" i="2"/>
  <c r="Q2545" i="2"/>
  <c r="R2545" i="2"/>
  <c r="S2545" i="2"/>
  <c r="E2546" i="2"/>
  <c r="F2546" i="2"/>
  <c r="G2546" i="2"/>
  <c r="H2546" i="2"/>
  <c r="I2546" i="2"/>
  <c r="J2546" i="2"/>
  <c r="K2546" i="2"/>
  <c r="L2546" i="2"/>
  <c r="M2546" i="2"/>
  <c r="N2546" i="2"/>
  <c r="O2546" i="2"/>
  <c r="Q2546" i="2"/>
  <c r="R2546" i="2"/>
  <c r="S2546" i="2"/>
  <c r="E2547" i="2"/>
  <c r="F2547" i="2"/>
  <c r="G2547" i="2"/>
  <c r="H2547" i="2"/>
  <c r="I2547" i="2"/>
  <c r="J2547" i="2"/>
  <c r="M2547" i="2" s="1"/>
  <c r="K2547" i="2"/>
  <c r="L2547" i="2"/>
  <c r="N2547" i="2"/>
  <c r="O2547" i="2"/>
  <c r="Q2547" i="2"/>
  <c r="R2547" i="2"/>
  <c r="S2547" i="2"/>
  <c r="E2548" i="2"/>
  <c r="F2548" i="2"/>
  <c r="G2548" i="2"/>
  <c r="H2548" i="2"/>
  <c r="I2548" i="2"/>
  <c r="J2548" i="2"/>
  <c r="K2548" i="2"/>
  <c r="L2548" i="2"/>
  <c r="N2548" i="2"/>
  <c r="P2548" i="2" s="1"/>
  <c r="O2548" i="2"/>
  <c r="Q2548" i="2"/>
  <c r="R2548" i="2"/>
  <c r="S2548" i="2"/>
  <c r="E2549" i="2"/>
  <c r="F2549" i="2"/>
  <c r="G2549" i="2"/>
  <c r="H2549" i="2"/>
  <c r="I2549" i="2"/>
  <c r="J2549" i="2"/>
  <c r="K2549" i="2"/>
  <c r="L2549" i="2"/>
  <c r="N2549" i="2"/>
  <c r="O2549" i="2"/>
  <c r="Q2549" i="2"/>
  <c r="R2549" i="2"/>
  <c r="S2549" i="2"/>
  <c r="E2550" i="2"/>
  <c r="F2550" i="2"/>
  <c r="G2550" i="2"/>
  <c r="H2550" i="2"/>
  <c r="I2550" i="2"/>
  <c r="J2550" i="2"/>
  <c r="K2550" i="2"/>
  <c r="L2550" i="2"/>
  <c r="M2550" i="2"/>
  <c r="N2550" i="2"/>
  <c r="O2550" i="2"/>
  <c r="Q2550" i="2"/>
  <c r="R2550" i="2"/>
  <c r="S2550" i="2"/>
  <c r="E2551" i="2"/>
  <c r="F2551" i="2"/>
  <c r="G2551" i="2"/>
  <c r="H2551" i="2"/>
  <c r="I2551" i="2"/>
  <c r="J2551" i="2"/>
  <c r="M2551" i="2" s="1"/>
  <c r="K2551" i="2"/>
  <c r="L2551" i="2"/>
  <c r="N2551" i="2"/>
  <c r="O2551" i="2"/>
  <c r="Q2551" i="2"/>
  <c r="R2551" i="2"/>
  <c r="S2551" i="2"/>
  <c r="E2552" i="2"/>
  <c r="F2552" i="2"/>
  <c r="G2552" i="2"/>
  <c r="H2552" i="2"/>
  <c r="I2552" i="2"/>
  <c r="J2552" i="2"/>
  <c r="K2552" i="2"/>
  <c r="L2552" i="2"/>
  <c r="N2552" i="2"/>
  <c r="P2552" i="2" s="1"/>
  <c r="O2552" i="2"/>
  <c r="Q2552" i="2"/>
  <c r="R2552" i="2"/>
  <c r="S2552" i="2"/>
  <c r="E2553" i="2"/>
  <c r="F2553" i="2"/>
  <c r="G2553" i="2"/>
  <c r="H2553" i="2"/>
  <c r="I2553" i="2"/>
  <c r="J2553" i="2"/>
  <c r="K2553" i="2"/>
  <c r="L2553" i="2"/>
  <c r="N2553" i="2"/>
  <c r="O2553" i="2"/>
  <c r="Q2553" i="2"/>
  <c r="R2553" i="2"/>
  <c r="S2553" i="2"/>
  <c r="E2554" i="2"/>
  <c r="F2554" i="2"/>
  <c r="G2554" i="2"/>
  <c r="H2554" i="2"/>
  <c r="I2554" i="2"/>
  <c r="J2554" i="2"/>
  <c r="K2554" i="2"/>
  <c r="L2554" i="2"/>
  <c r="M2554" i="2"/>
  <c r="N2554" i="2"/>
  <c r="O2554" i="2"/>
  <c r="Q2554" i="2"/>
  <c r="R2554" i="2"/>
  <c r="S2554" i="2"/>
  <c r="E2555" i="2"/>
  <c r="F2555" i="2"/>
  <c r="G2555" i="2"/>
  <c r="H2555" i="2"/>
  <c r="I2555" i="2"/>
  <c r="J2555" i="2"/>
  <c r="M2555" i="2" s="1"/>
  <c r="K2555" i="2"/>
  <c r="L2555" i="2"/>
  <c r="N2555" i="2"/>
  <c r="O2555" i="2"/>
  <c r="Q2555" i="2"/>
  <c r="R2555" i="2"/>
  <c r="S2555" i="2"/>
  <c r="E2556" i="2"/>
  <c r="F2556" i="2"/>
  <c r="G2556" i="2"/>
  <c r="H2556" i="2"/>
  <c r="I2556" i="2"/>
  <c r="J2556" i="2"/>
  <c r="K2556" i="2"/>
  <c r="L2556" i="2"/>
  <c r="N2556" i="2"/>
  <c r="O2556" i="2"/>
  <c r="P2556" i="2" s="1"/>
  <c r="Q2556" i="2"/>
  <c r="R2556" i="2"/>
  <c r="S2556" i="2"/>
  <c r="E2557" i="2"/>
  <c r="F2557" i="2"/>
  <c r="G2557" i="2"/>
  <c r="H2557" i="2"/>
  <c r="I2557" i="2"/>
  <c r="J2557" i="2"/>
  <c r="K2557" i="2"/>
  <c r="L2557" i="2"/>
  <c r="N2557" i="2"/>
  <c r="O2557" i="2"/>
  <c r="Q2557" i="2"/>
  <c r="R2557" i="2"/>
  <c r="S2557" i="2"/>
  <c r="E2558" i="2"/>
  <c r="F2558" i="2"/>
  <c r="G2558" i="2"/>
  <c r="H2558" i="2"/>
  <c r="I2558" i="2"/>
  <c r="J2558" i="2"/>
  <c r="K2558" i="2"/>
  <c r="L2558" i="2"/>
  <c r="M2558" i="2"/>
  <c r="N2558" i="2"/>
  <c r="O2558" i="2"/>
  <c r="Q2558" i="2"/>
  <c r="R2558" i="2"/>
  <c r="S2558" i="2"/>
  <c r="E2559" i="2"/>
  <c r="F2559" i="2"/>
  <c r="G2559" i="2"/>
  <c r="H2559" i="2"/>
  <c r="I2559" i="2"/>
  <c r="J2559" i="2"/>
  <c r="M2559" i="2" s="1"/>
  <c r="K2559" i="2"/>
  <c r="L2559" i="2"/>
  <c r="N2559" i="2"/>
  <c r="O2559" i="2"/>
  <c r="Q2559" i="2"/>
  <c r="R2559" i="2"/>
  <c r="S2559" i="2"/>
  <c r="E2560" i="2"/>
  <c r="F2560" i="2"/>
  <c r="G2560" i="2"/>
  <c r="H2560" i="2"/>
  <c r="I2560" i="2"/>
  <c r="J2560" i="2"/>
  <c r="K2560" i="2"/>
  <c r="L2560" i="2"/>
  <c r="N2560" i="2"/>
  <c r="O2560" i="2"/>
  <c r="P2560" i="2" s="1"/>
  <c r="Q2560" i="2"/>
  <c r="R2560" i="2"/>
  <c r="S2560" i="2"/>
  <c r="E2561" i="2"/>
  <c r="F2561" i="2"/>
  <c r="G2561" i="2"/>
  <c r="H2561" i="2"/>
  <c r="M2561" i="2" s="1"/>
  <c r="I2561" i="2"/>
  <c r="J2561" i="2"/>
  <c r="K2561" i="2"/>
  <c r="L2561" i="2"/>
  <c r="N2561" i="2"/>
  <c r="O2561" i="2"/>
  <c r="Q2561" i="2"/>
  <c r="R2561" i="2"/>
  <c r="S2561" i="2"/>
  <c r="E2562" i="2"/>
  <c r="F2562" i="2"/>
  <c r="G2562" i="2"/>
  <c r="H2562" i="2"/>
  <c r="I2562" i="2"/>
  <c r="J2562" i="2"/>
  <c r="K2562" i="2"/>
  <c r="L2562" i="2"/>
  <c r="M2562" i="2"/>
  <c r="N2562" i="2"/>
  <c r="O2562" i="2"/>
  <c r="Q2562" i="2"/>
  <c r="R2562" i="2"/>
  <c r="S2562" i="2"/>
  <c r="E2563" i="2"/>
  <c r="F2563" i="2"/>
  <c r="G2563" i="2"/>
  <c r="H2563" i="2"/>
  <c r="I2563" i="2"/>
  <c r="J2563" i="2"/>
  <c r="M2563" i="2" s="1"/>
  <c r="K2563" i="2"/>
  <c r="L2563" i="2"/>
  <c r="N2563" i="2"/>
  <c r="O2563" i="2"/>
  <c r="Q2563" i="2"/>
  <c r="R2563" i="2"/>
  <c r="S2563" i="2"/>
  <c r="E2564" i="2"/>
  <c r="F2564" i="2"/>
  <c r="G2564" i="2"/>
  <c r="H2564" i="2"/>
  <c r="I2564" i="2"/>
  <c r="J2564" i="2"/>
  <c r="K2564" i="2"/>
  <c r="L2564" i="2"/>
  <c r="N2564" i="2"/>
  <c r="O2564" i="2"/>
  <c r="P2564" i="2" s="1"/>
  <c r="Q2564" i="2"/>
  <c r="R2564" i="2"/>
  <c r="S2564" i="2"/>
  <c r="E2565" i="2"/>
  <c r="F2565" i="2"/>
  <c r="G2565" i="2"/>
  <c r="H2565" i="2"/>
  <c r="I2565" i="2"/>
  <c r="J2565" i="2"/>
  <c r="K2565" i="2"/>
  <c r="L2565" i="2"/>
  <c r="N2565" i="2"/>
  <c r="O2565" i="2"/>
  <c r="Q2565" i="2"/>
  <c r="R2565" i="2"/>
  <c r="S2565" i="2"/>
  <c r="E2566" i="2"/>
  <c r="F2566" i="2"/>
  <c r="G2566" i="2"/>
  <c r="H2566" i="2"/>
  <c r="I2566" i="2"/>
  <c r="J2566" i="2"/>
  <c r="K2566" i="2"/>
  <c r="L2566" i="2"/>
  <c r="M2566" i="2"/>
  <c r="N2566" i="2"/>
  <c r="O2566" i="2"/>
  <c r="Q2566" i="2"/>
  <c r="R2566" i="2"/>
  <c r="S2566" i="2"/>
  <c r="E2567" i="2"/>
  <c r="F2567" i="2"/>
  <c r="G2567" i="2"/>
  <c r="H2567" i="2"/>
  <c r="I2567" i="2"/>
  <c r="J2567" i="2"/>
  <c r="M2567" i="2" s="1"/>
  <c r="K2567" i="2"/>
  <c r="L2567" i="2"/>
  <c r="N2567" i="2"/>
  <c r="O2567" i="2"/>
  <c r="Q2567" i="2"/>
  <c r="R2567" i="2"/>
  <c r="S2567" i="2"/>
  <c r="E2568" i="2"/>
  <c r="F2568" i="2"/>
  <c r="G2568" i="2"/>
  <c r="H2568" i="2"/>
  <c r="I2568" i="2"/>
  <c r="J2568" i="2"/>
  <c r="K2568" i="2"/>
  <c r="L2568" i="2"/>
  <c r="N2568" i="2"/>
  <c r="O2568" i="2"/>
  <c r="P2568" i="2" s="1"/>
  <c r="Q2568" i="2"/>
  <c r="R2568" i="2"/>
  <c r="S2568" i="2"/>
  <c r="E2569" i="2"/>
  <c r="F2569" i="2"/>
  <c r="G2569" i="2"/>
  <c r="H2569" i="2"/>
  <c r="M2569" i="2" s="1"/>
  <c r="I2569" i="2"/>
  <c r="J2569" i="2"/>
  <c r="K2569" i="2"/>
  <c r="L2569" i="2"/>
  <c r="N2569" i="2"/>
  <c r="O2569" i="2"/>
  <c r="Q2569" i="2"/>
  <c r="R2569" i="2"/>
  <c r="S2569" i="2"/>
  <c r="E2570" i="2"/>
  <c r="F2570" i="2"/>
  <c r="G2570" i="2"/>
  <c r="H2570" i="2"/>
  <c r="I2570" i="2"/>
  <c r="J2570" i="2"/>
  <c r="K2570" i="2"/>
  <c r="L2570" i="2"/>
  <c r="M2570" i="2"/>
  <c r="N2570" i="2"/>
  <c r="O2570" i="2"/>
  <c r="Q2570" i="2"/>
  <c r="R2570" i="2"/>
  <c r="S2570" i="2"/>
  <c r="E2571" i="2"/>
  <c r="F2571" i="2"/>
  <c r="G2571" i="2"/>
  <c r="H2571" i="2"/>
  <c r="I2571" i="2"/>
  <c r="J2571" i="2"/>
  <c r="M2571" i="2" s="1"/>
  <c r="K2571" i="2"/>
  <c r="L2571" i="2"/>
  <c r="N2571" i="2"/>
  <c r="O2571" i="2"/>
  <c r="Q2571" i="2"/>
  <c r="R2571" i="2"/>
  <c r="S2571" i="2"/>
  <c r="E2572" i="2"/>
  <c r="F2572" i="2"/>
  <c r="G2572" i="2"/>
  <c r="H2572" i="2"/>
  <c r="I2572" i="2"/>
  <c r="J2572" i="2"/>
  <c r="K2572" i="2"/>
  <c r="L2572" i="2"/>
  <c r="N2572" i="2"/>
  <c r="O2572" i="2"/>
  <c r="P2572" i="2" s="1"/>
  <c r="Q2572" i="2"/>
  <c r="R2572" i="2"/>
  <c r="S2572" i="2"/>
  <c r="E2573" i="2"/>
  <c r="F2573" i="2"/>
  <c r="G2573" i="2"/>
  <c r="H2573" i="2"/>
  <c r="I2573" i="2"/>
  <c r="J2573" i="2"/>
  <c r="K2573" i="2"/>
  <c r="L2573" i="2"/>
  <c r="N2573" i="2"/>
  <c r="O2573" i="2"/>
  <c r="Q2573" i="2"/>
  <c r="R2573" i="2"/>
  <c r="S2573" i="2"/>
  <c r="E2574" i="2"/>
  <c r="F2574" i="2"/>
  <c r="G2574" i="2"/>
  <c r="H2574" i="2"/>
  <c r="I2574" i="2"/>
  <c r="J2574" i="2"/>
  <c r="K2574" i="2"/>
  <c r="L2574" i="2"/>
  <c r="M2574" i="2"/>
  <c r="N2574" i="2"/>
  <c r="O2574" i="2"/>
  <c r="Q2574" i="2"/>
  <c r="R2574" i="2"/>
  <c r="S2574" i="2"/>
  <c r="E2575" i="2"/>
  <c r="F2575" i="2"/>
  <c r="G2575" i="2"/>
  <c r="H2575" i="2"/>
  <c r="I2575" i="2"/>
  <c r="J2575" i="2"/>
  <c r="M2575" i="2" s="1"/>
  <c r="K2575" i="2"/>
  <c r="L2575" i="2"/>
  <c r="N2575" i="2"/>
  <c r="O2575" i="2"/>
  <c r="Q2575" i="2"/>
  <c r="R2575" i="2"/>
  <c r="S2575" i="2"/>
  <c r="E2576" i="2"/>
  <c r="F2576" i="2"/>
  <c r="G2576" i="2"/>
  <c r="H2576" i="2"/>
  <c r="I2576" i="2"/>
  <c r="J2576" i="2"/>
  <c r="K2576" i="2"/>
  <c r="L2576" i="2"/>
  <c r="N2576" i="2"/>
  <c r="O2576" i="2"/>
  <c r="P2576" i="2" s="1"/>
  <c r="Q2576" i="2"/>
  <c r="R2576" i="2"/>
  <c r="S2576" i="2"/>
  <c r="E2577" i="2"/>
  <c r="F2577" i="2"/>
  <c r="G2577" i="2"/>
  <c r="H2577" i="2"/>
  <c r="P2577" i="2" s="1"/>
  <c r="I2577" i="2"/>
  <c r="J2577" i="2"/>
  <c r="K2577" i="2"/>
  <c r="L2577" i="2"/>
  <c r="N2577" i="2"/>
  <c r="O2577" i="2"/>
  <c r="Q2577" i="2"/>
  <c r="R2577" i="2"/>
  <c r="S2577" i="2"/>
  <c r="E2578" i="2"/>
  <c r="F2578" i="2"/>
  <c r="G2578" i="2"/>
  <c r="H2578" i="2"/>
  <c r="I2578" i="2"/>
  <c r="J2578" i="2"/>
  <c r="K2578" i="2"/>
  <c r="L2578" i="2"/>
  <c r="M2578" i="2"/>
  <c r="N2578" i="2"/>
  <c r="O2578" i="2"/>
  <c r="Q2578" i="2"/>
  <c r="R2578" i="2"/>
  <c r="S2578" i="2"/>
  <c r="E2579" i="2"/>
  <c r="F2579" i="2"/>
  <c r="G2579" i="2"/>
  <c r="H2579" i="2"/>
  <c r="I2579" i="2"/>
  <c r="J2579" i="2"/>
  <c r="M2579" i="2" s="1"/>
  <c r="K2579" i="2"/>
  <c r="L2579" i="2"/>
  <c r="N2579" i="2"/>
  <c r="O2579" i="2"/>
  <c r="Q2579" i="2"/>
  <c r="R2579" i="2"/>
  <c r="S2579" i="2"/>
  <c r="E2580" i="2"/>
  <c r="F2580" i="2"/>
  <c r="G2580" i="2"/>
  <c r="H2580" i="2"/>
  <c r="I2580" i="2"/>
  <c r="J2580" i="2"/>
  <c r="K2580" i="2"/>
  <c r="L2580" i="2"/>
  <c r="N2580" i="2"/>
  <c r="O2580" i="2"/>
  <c r="P2580" i="2" s="1"/>
  <c r="Q2580" i="2"/>
  <c r="R2580" i="2"/>
  <c r="S2580" i="2"/>
  <c r="E2581" i="2"/>
  <c r="F2581" i="2"/>
  <c r="G2581" i="2"/>
  <c r="H2581" i="2"/>
  <c r="I2581" i="2"/>
  <c r="J2581" i="2"/>
  <c r="K2581" i="2"/>
  <c r="L2581" i="2"/>
  <c r="N2581" i="2"/>
  <c r="O2581" i="2"/>
  <c r="Q2581" i="2"/>
  <c r="R2581" i="2"/>
  <c r="S2581" i="2"/>
  <c r="E2582" i="2"/>
  <c r="F2582" i="2"/>
  <c r="G2582" i="2"/>
  <c r="H2582" i="2"/>
  <c r="I2582" i="2"/>
  <c r="J2582" i="2"/>
  <c r="K2582" i="2"/>
  <c r="L2582" i="2"/>
  <c r="M2582" i="2"/>
  <c r="N2582" i="2"/>
  <c r="O2582" i="2"/>
  <c r="Q2582" i="2"/>
  <c r="R2582" i="2"/>
  <c r="S2582" i="2"/>
  <c r="E2583" i="2"/>
  <c r="F2583" i="2"/>
  <c r="G2583" i="2"/>
  <c r="H2583" i="2"/>
  <c r="I2583" i="2"/>
  <c r="J2583" i="2"/>
  <c r="M2583" i="2" s="1"/>
  <c r="K2583" i="2"/>
  <c r="L2583" i="2"/>
  <c r="N2583" i="2"/>
  <c r="O2583" i="2"/>
  <c r="Q2583" i="2"/>
  <c r="R2583" i="2"/>
  <c r="S2583" i="2"/>
  <c r="E2584" i="2"/>
  <c r="F2584" i="2"/>
  <c r="G2584" i="2"/>
  <c r="H2584" i="2"/>
  <c r="I2584" i="2"/>
  <c r="J2584" i="2"/>
  <c r="K2584" i="2"/>
  <c r="L2584" i="2"/>
  <c r="N2584" i="2"/>
  <c r="O2584" i="2"/>
  <c r="P2584" i="2" s="1"/>
  <c r="Q2584" i="2"/>
  <c r="R2584" i="2"/>
  <c r="S2584" i="2"/>
  <c r="E2585" i="2"/>
  <c r="F2585" i="2"/>
  <c r="G2585" i="2"/>
  <c r="H2585" i="2"/>
  <c r="I2585" i="2"/>
  <c r="J2585" i="2"/>
  <c r="K2585" i="2"/>
  <c r="L2585" i="2"/>
  <c r="N2585" i="2"/>
  <c r="O2585" i="2"/>
  <c r="Q2585" i="2"/>
  <c r="R2585" i="2"/>
  <c r="S2585" i="2"/>
  <c r="E2586" i="2"/>
  <c r="F2586" i="2"/>
  <c r="G2586" i="2"/>
  <c r="H2586" i="2"/>
  <c r="I2586" i="2"/>
  <c r="J2586" i="2"/>
  <c r="K2586" i="2"/>
  <c r="L2586" i="2"/>
  <c r="M2586" i="2"/>
  <c r="N2586" i="2"/>
  <c r="O2586" i="2"/>
  <c r="Q2586" i="2"/>
  <c r="R2586" i="2"/>
  <c r="S2586" i="2"/>
  <c r="E2587" i="2"/>
  <c r="F2587" i="2"/>
  <c r="G2587" i="2"/>
  <c r="H2587" i="2"/>
  <c r="I2587" i="2"/>
  <c r="J2587" i="2"/>
  <c r="M2587" i="2" s="1"/>
  <c r="K2587" i="2"/>
  <c r="L2587" i="2"/>
  <c r="N2587" i="2"/>
  <c r="O2587" i="2"/>
  <c r="Q2587" i="2"/>
  <c r="R2587" i="2"/>
  <c r="S2587" i="2"/>
  <c r="E2588" i="2"/>
  <c r="F2588" i="2"/>
  <c r="G2588" i="2"/>
  <c r="H2588" i="2"/>
  <c r="I2588" i="2"/>
  <c r="J2588" i="2"/>
  <c r="K2588" i="2"/>
  <c r="L2588" i="2"/>
  <c r="N2588" i="2"/>
  <c r="O2588" i="2"/>
  <c r="P2588" i="2" s="1"/>
  <c r="Q2588" i="2"/>
  <c r="R2588" i="2"/>
  <c r="S2588" i="2"/>
  <c r="E2589" i="2"/>
  <c r="F2589" i="2"/>
  <c r="G2589" i="2"/>
  <c r="H2589" i="2"/>
  <c r="I2589" i="2"/>
  <c r="J2589" i="2"/>
  <c r="K2589" i="2"/>
  <c r="L2589" i="2"/>
  <c r="N2589" i="2"/>
  <c r="O2589" i="2"/>
  <c r="Q2589" i="2"/>
  <c r="R2589" i="2"/>
  <c r="S2589" i="2"/>
  <c r="E2590" i="2"/>
  <c r="F2590" i="2"/>
  <c r="G2590" i="2"/>
  <c r="H2590" i="2"/>
  <c r="I2590" i="2"/>
  <c r="J2590" i="2"/>
  <c r="K2590" i="2"/>
  <c r="L2590" i="2"/>
  <c r="M2590" i="2"/>
  <c r="N2590" i="2"/>
  <c r="O2590" i="2"/>
  <c r="Q2590" i="2"/>
  <c r="R2590" i="2"/>
  <c r="S2590" i="2"/>
  <c r="E2591" i="2"/>
  <c r="F2591" i="2"/>
  <c r="G2591" i="2"/>
  <c r="H2591" i="2"/>
  <c r="I2591" i="2"/>
  <c r="J2591" i="2"/>
  <c r="M2591" i="2" s="1"/>
  <c r="K2591" i="2"/>
  <c r="L2591" i="2"/>
  <c r="N2591" i="2"/>
  <c r="O2591" i="2"/>
  <c r="Q2591" i="2"/>
  <c r="R2591" i="2"/>
  <c r="S2591" i="2"/>
  <c r="E2592" i="2"/>
  <c r="F2592" i="2"/>
  <c r="G2592" i="2"/>
  <c r="H2592" i="2"/>
  <c r="I2592" i="2"/>
  <c r="J2592" i="2"/>
  <c r="K2592" i="2"/>
  <c r="L2592" i="2"/>
  <c r="N2592" i="2"/>
  <c r="O2592" i="2"/>
  <c r="P2592" i="2" s="1"/>
  <c r="Q2592" i="2"/>
  <c r="R2592" i="2"/>
  <c r="S2592" i="2"/>
  <c r="E2593" i="2"/>
  <c r="F2593" i="2"/>
  <c r="G2593" i="2"/>
  <c r="H2593" i="2"/>
  <c r="M2593" i="2" s="1"/>
  <c r="I2593" i="2"/>
  <c r="J2593" i="2"/>
  <c r="K2593" i="2"/>
  <c r="L2593" i="2"/>
  <c r="N2593" i="2"/>
  <c r="O2593" i="2"/>
  <c r="Q2593" i="2"/>
  <c r="R2593" i="2"/>
  <c r="S2593" i="2"/>
  <c r="E2594" i="2"/>
  <c r="F2594" i="2"/>
  <c r="G2594" i="2"/>
  <c r="H2594" i="2"/>
  <c r="I2594" i="2"/>
  <c r="J2594" i="2"/>
  <c r="K2594" i="2"/>
  <c r="L2594" i="2"/>
  <c r="M2594" i="2"/>
  <c r="N2594" i="2"/>
  <c r="O2594" i="2"/>
  <c r="Q2594" i="2"/>
  <c r="R2594" i="2"/>
  <c r="S2594" i="2"/>
  <c r="E2595" i="2"/>
  <c r="F2595" i="2"/>
  <c r="G2595" i="2"/>
  <c r="H2595" i="2"/>
  <c r="I2595" i="2"/>
  <c r="J2595" i="2"/>
  <c r="M2595" i="2" s="1"/>
  <c r="K2595" i="2"/>
  <c r="L2595" i="2"/>
  <c r="N2595" i="2"/>
  <c r="O2595" i="2"/>
  <c r="Q2595" i="2"/>
  <c r="R2595" i="2"/>
  <c r="S2595" i="2"/>
  <c r="E2596" i="2"/>
  <c r="F2596" i="2"/>
  <c r="G2596" i="2"/>
  <c r="H2596" i="2"/>
  <c r="I2596" i="2"/>
  <c r="J2596" i="2"/>
  <c r="K2596" i="2"/>
  <c r="L2596" i="2"/>
  <c r="N2596" i="2"/>
  <c r="O2596" i="2"/>
  <c r="P2596" i="2" s="1"/>
  <c r="Q2596" i="2"/>
  <c r="R2596" i="2"/>
  <c r="S2596" i="2"/>
  <c r="E2597" i="2"/>
  <c r="F2597" i="2"/>
  <c r="G2597" i="2"/>
  <c r="H2597" i="2"/>
  <c r="I2597" i="2"/>
  <c r="J2597" i="2"/>
  <c r="K2597" i="2"/>
  <c r="L2597" i="2"/>
  <c r="N2597" i="2"/>
  <c r="O2597" i="2"/>
  <c r="Q2597" i="2"/>
  <c r="R2597" i="2"/>
  <c r="S2597" i="2"/>
  <c r="E2598" i="2"/>
  <c r="F2598" i="2"/>
  <c r="G2598" i="2"/>
  <c r="H2598" i="2"/>
  <c r="I2598" i="2"/>
  <c r="J2598" i="2"/>
  <c r="K2598" i="2"/>
  <c r="L2598" i="2"/>
  <c r="M2598" i="2"/>
  <c r="N2598" i="2"/>
  <c r="O2598" i="2"/>
  <c r="Q2598" i="2"/>
  <c r="R2598" i="2"/>
  <c r="S2598" i="2"/>
  <c r="E2599" i="2"/>
  <c r="F2599" i="2"/>
  <c r="G2599" i="2"/>
  <c r="H2599" i="2"/>
  <c r="I2599" i="2"/>
  <c r="J2599" i="2"/>
  <c r="M2599" i="2" s="1"/>
  <c r="K2599" i="2"/>
  <c r="L2599" i="2"/>
  <c r="N2599" i="2"/>
  <c r="O2599" i="2"/>
  <c r="Q2599" i="2"/>
  <c r="R2599" i="2"/>
  <c r="S2599" i="2"/>
  <c r="E2600" i="2"/>
  <c r="F2600" i="2"/>
  <c r="G2600" i="2"/>
  <c r="H2600" i="2"/>
  <c r="I2600" i="2"/>
  <c r="J2600" i="2"/>
  <c r="K2600" i="2"/>
  <c r="L2600" i="2"/>
  <c r="N2600" i="2"/>
  <c r="O2600" i="2"/>
  <c r="P2600" i="2" s="1"/>
  <c r="Q2600" i="2"/>
  <c r="R2600" i="2"/>
  <c r="S2600" i="2"/>
  <c r="E2601" i="2"/>
  <c r="F2601" i="2"/>
  <c r="G2601" i="2"/>
  <c r="H2601" i="2"/>
  <c r="I2601" i="2"/>
  <c r="J2601" i="2"/>
  <c r="K2601" i="2"/>
  <c r="L2601" i="2"/>
  <c r="N2601" i="2"/>
  <c r="O2601" i="2"/>
  <c r="Q2601" i="2"/>
  <c r="R2601" i="2"/>
  <c r="S2601" i="2"/>
  <c r="E2602" i="2"/>
  <c r="F2602" i="2"/>
  <c r="G2602" i="2"/>
  <c r="H2602" i="2"/>
  <c r="I2602" i="2"/>
  <c r="J2602" i="2"/>
  <c r="K2602" i="2"/>
  <c r="L2602" i="2"/>
  <c r="M2602" i="2"/>
  <c r="N2602" i="2"/>
  <c r="O2602" i="2"/>
  <c r="Q2602" i="2"/>
  <c r="R2602" i="2"/>
  <c r="S2602" i="2"/>
  <c r="E2603" i="2"/>
  <c r="F2603" i="2"/>
  <c r="G2603" i="2"/>
  <c r="H2603" i="2"/>
  <c r="I2603" i="2"/>
  <c r="J2603" i="2"/>
  <c r="M2603" i="2" s="1"/>
  <c r="K2603" i="2"/>
  <c r="L2603" i="2"/>
  <c r="N2603" i="2"/>
  <c r="O2603" i="2"/>
  <c r="Q2603" i="2"/>
  <c r="R2603" i="2"/>
  <c r="S2603" i="2"/>
  <c r="E2604" i="2"/>
  <c r="F2604" i="2"/>
  <c r="G2604" i="2"/>
  <c r="H2604" i="2"/>
  <c r="I2604" i="2"/>
  <c r="J2604" i="2"/>
  <c r="K2604" i="2"/>
  <c r="L2604" i="2"/>
  <c r="N2604" i="2"/>
  <c r="O2604" i="2"/>
  <c r="P2604" i="2" s="1"/>
  <c r="Q2604" i="2"/>
  <c r="R2604" i="2"/>
  <c r="S2604" i="2"/>
  <c r="E2605" i="2"/>
  <c r="F2605" i="2"/>
  <c r="G2605" i="2"/>
  <c r="H2605" i="2"/>
  <c r="I2605" i="2"/>
  <c r="J2605" i="2"/>
  <c r="K2605" i="2"/>
  <c r="L2605" i="2"/>
  <c r="N2605" i="2"/>
  <c r="O2605" i="2"/>
  <c r="Q2605" i="2"/>
  <c r="R2605" i="2"/>
  <c r="S2605" i="2"/>
  <c r="E2606" i="2"/>
  <c r="F2606" i="2"/>
  <c r="G2606" i="2"/>
  <c r="H2606" i="2"/>
  <c r="I2606" i="2"/>
  <c r="J2606" i="2"/>
  <c r="K2606" i="2"/>
  <c r="L2606" i="2"/>
  <c r="M2606" i="2"/>
  <c r="N2606" i="2"/>
  <c r="O2606" i="2"/>
  <c r="Q2606" i="2"/>
  <c r="R2606" i="2"/>
  <c r="S2606" i="2"/>
  <c r="E2607" i="2"/>
  <c r="F2607" i="2"/>
  <c r="G2607" i="2"/>
  <c r="H2607" i="2"/>
  <c r="I2607" i="2"/>
  <c r="J2607" i="2"/>
  <c r="M2607" i="2" s="1"/>
  <c r="K2607" i="2"/>
  <c r="L2607" i="2"/>
  <c r="N2607" i="2"/>
  <c r="O2607" i="2"/>
  <c r="Q2607" i="2"/>
  <c r="R2607" i="2"/>
  <c r="S2607" i="2"/>
  <c r="E2608" i="2"/>
  <c r="F2608" i="2"/>
  <c r="G2608" i="2"/>
  <c r="H2608" i="2"/>
  <c r="I2608" i="2"/>
  <c r="J2608" i="2"/>
  <c r="K2608" i="2"/>
  <c r="L2608" i="2"/>
  <c r="N2608" i="2"/>
  <c r="O2608" i="2"/>
  <c r="P2608" i="2" s="1"/>
  <c r="Q2608" i="2"/>
  <c r="R2608" i="2"/>
  <c r="S2608" i="2"/>
  <c r="E2609" i="2"/>
  <c r="F2609" i="2"/>
  <c r="G2609" i="2"/>
  <c r="H2609" i="2"/>
  <c r="P2609" i="2" s="1"/>
  <c r="I2609" i="2"/>
  <c r="J2609" i="2"/>
  <c r="K2609" i="2"/>
  <c r="L2609" i="2"/>
  <c r="N2609" i="2"/>
  <c r="O2609" i="2"/>
  <c r="Q2609" i="2"/>
  <c r="R2609" i="2"/>
  <c r="S2609" i="2"/>
  <c r="E2610" i="2"/>
  <c r="F2610" i="2"/>
  <c r="G2610" i="2"/>
  <c r="H2610" i="2"/>
  <c r="I2610" i="2"/>
  <c r="J2610" i="2"/>
  <c r="K2610" i="2"/>
  <c r="L2610" i="2"/>
  <c r="M2610" i="2"/>
  <c r="N2610" i="2"/>
  <c r="O2610" i="2"/>
  <c r="Q2610" i="2"/>
  <c r="R2610" i="2"/>
  <c r="S2610" i="2"/>
  <c r="E2611" i="2"/>
  <c r="F2611" i="2"/>
  <c r="G2611" i="2"/>
  <c r="H2611" i="2"/>
  <c r="I2611" i="2"/>
  <c r="J2611" i="2"/>
  <c r="M2611" i="2" s="1"/>
  <c r="K2611" i="2"/>
  <c r="L2611" i="2"/>
  <c r="N2611" i="2"/>
  <c r="O2611" i="2"/>
  <c r="Q2611" i="2"/>
  <c r="R2611" i="2"/>
  <c r="S2611" i="2"/>
  <c r="E2612" i="2"/>
  <c r="F2612" i="2"/>
  <c r="G2612" i="2"/>
  <c r="H2612" i="2"/>
  <c r="I2612" i="2"/>
  <c r="J2612" i="2"/>
  <c r="K2612" i="2"/>
  <c r="L2612" i="2"/>
  <c r="N2612" i="2"/>
  <c r="O2612" i="2"/>
  <c r="P2612" i="2" s="1"/>
  <c r="Q2612" i="2"/>
  <c r="R2612" i="2"/>
  <c r="S2612" i="2"/>
  <c r="E2613" i="2"/>
  <c r="F2613" i="2"/>
  <c r="G2613" i="2"/>
  <c r="H2613" i="2"/>
  <c r="I2613" i="2"/>
  <c r="J2613" i="2"/>
  <c r="K2613" i="2"/>
  <c r="L2613" i="2"/>
  <c r="N2613" i="2"/>
  <c r="O2613" i="2"/>
  <c r="Q2613" i="2"/>
  <c r="R2613" i="2"/>
  <c r="S2613" i="2"/>
  <c r="E2614" i="2"/>
  <c r="F2614" i="2"/>
  <c r="G2614" i="2"/>
  <c r="H2614" i="2"/>
  <c r="I2614" i="2"/>
  <c r="J2614" i="2"/>
  <c r="K2614" i="2"/>
  <c r="L2614" i="2"/>
  <c r="M2614" i="2"/>
  <c r="N2614" i="2"/>
  <c r="O2614" i="2"/>
  <c r="Q2614" i="2"/>
  <c r="R2614" i="2"/>
  <c r="S2614" i="2"/>
  <c r="E2615" i="2"/>
  <c r="F2615" i="2"/>
  <c r="G2615" i="2"/>
  <c r="H2615" i="2"/>
  <c r="I2615" i="2"/>
  <c r="J2615" i="2"/>
  <c r="M2615" i="2" s="1"/>
  <c r="K2615" i="2"/>
  <c r="L2615" i="2"/>
  <c r="N2615" i="2"/>
  <c r="O2615" i="2"/>
  <c r="Q2615" i="2"/>
  <c r="R2615" i="2"/>
  <c r="S2615" i="2"/>
  <c r="E2616" i="2"/>
  <c r="F2616" i="2"/>
  <c r="G2616" i="2"/>
  <c r="H2616" i="2"/>
  <c r="I2616" i="2"/>
  <c r="J2616" i="2"/>
  <c r="K2616" i="2"/>
  <c r="L2616" i="2"/>
  <c r="N2616" i="2"/>
  <c r="O2616" i="2"/>
  <c r="P2616" i="2" s="1"/>
  <c r="Q2616" i="2"/>
  <c r="R2616" i="2"/>
  <c r="S2616" i="2"/>
  <c r="E2617" i="2"/>
  <c r="F2617" i="2"/>
  <c r="G2617" i="2"/>
  <c r="H2617" i="2"/>
  <c r="P2617" i="2" s="1"/>
  <c r="I2617" i="2"/>
  <c r="J2617" i="2"/>
  <c r="K2617" i="2"/>
  <c r="L2617" i="2"/>
  <c r="N2617" i="2"/>
  <c r="O2617" i="2"/>
  <c r="Q2617" i="2"/>
  <c r="R2617" i="2"/>
  <c r="S2617" i="2"/>
  <c r="E2618" i="2"/>
  <c r="F2618" i="2"/>
  <c r="G2618" i="2"/>
  <c r="H2618" i="2"/>
  <c r="I2618" i="2"/>
  <c r="J2618" i="2"/>
  <c r="K2618" i="2"/>
  <c r="L2618" i="2"/>
  <c r="M2618" i="2"/>
  <c r="N2618" i="2"/>
  <c r="O2618" i="2"/>
  <c r="Q2618" i="2"/>
  <c r="R2618" i="2"/>
  <c r="S2618" i="2"/>
  <c r="E2619" i="2"/>
  <c r="F2619" i="2"/>
  <c r="G2619" i="2"/>
  <c r="H2619" i="2"/>
  <c r="I2619" i="2"/>
  <c r="J2619" i="2"/>
  <c r="M2619" i="2" s="1"/>
  <c r="K2619" i="2"/>
  <c r="L2619" i="2"/>
  <c r="N2619" i="2"/>
  <c r="O2619" i="2"/>
  <c r="Q2619" i="2"/>
  <c r="R2619" i="2"/>
  <c r="S2619" i="2"/>
  <c r="E2620" i="2"/>
  <c r="F2620" i="2"/>
  <c r="G2620" i="2"/>
  <c r="H2620" i="2"/>
  <c r="I2620" i="2"/>
  <c r="J2620" i="2"/>
  <c r="K2620" i="2"/>
  <c r="L2620" i="2"/>
  <c r="N2620" i="2"/>
  <c r="O2620" i="2"/>
  <c r="P2620" i="2" s="1"/>
  <c r="Q2620" i="2"/>
  <c r="R2620" i="2"/>
  <c r="S2620" i="2"/>
  <c r="E2621" i="2"/>
  <c r="F2621" i="2"/>
  <c r="G2621" i="2"/>
  <c r="H2621" i="2"/>
  <c r="I2621" i="2"/>
  <c r="J2621" i="2"/>
  <c r="K2621" i="2"/>
  <c r="L2621" i="2"/>
  <c r="N2621" i="2"/>
  <c r="O2621" i="2"/>
  <c r="Q2621" i="2"/>
  <c r="R2621" i="2"/>
  <c r="S2621" i="2"/>
  <c r="E2622" i="2"/>
  <c r="F2622" i="2"/>
  <c r="G2622" i="2"/>
  <c r="H2622" i="2"/>
  <c r="I2622" i="2"/>
  <c r="J2622" i="2"/>
  <c r="K2622" i="2"/>
  <c r="L2622" i="2"/>
  <c r="M2622" i="2"/>
  <c r="N2622" i="2"/>
  <c r="O2622" i="2"/>
  <c r="Q2622" i="2"/>
  <c r="R2622" i="2"/>
  <c r="S2622" i="2"/>
  <c r="E2623" i="2"/>
  <c r="F2623" i="2"/>
  <c r="G2623" i="2"/>
  <c r="H2623" i="2"/>
  <c r="I2623" i="2"/>
  <c r="J2623" i="2"/>
  <c r="M2623" i="2" s="1"/>
  <c r="K2623" i="2"/>
  <c r="L2623" i="2"/>
  <c r="N2623" i="2"/>
  <c r="O2623" i="2"/>
  <c r="Q2623" i="2"/>
  <c r="R2623" i="2"/>
  <c r="S2623" i="2"/>
  <c r="E2624" i="2"/>
  <c r="F2624" i="2"/>
  <c r="G2624" i="2"/>
  <c r="H2624" i="2"/>
  <c r="I2624" i="2"/>
  <c r="J2624" i="2"/>
  <c r="K2624" i="2"/>
  <c r="L2624" i="2"/>
  <c r="N2624" i="2"/>
  <c r="O2624" i="2"/>
  <c r="P2624" i="2" s="1"/>
  <c r="Q2624" i="2"/>
  <c r="R2624" i="2"/>
  <c r="S2624" i="2"/>
  <c r="E2625" i="2"/>
  <c r="F2625" i="2"/>
  <c r="G2625" i="2"/>
  <c r="H2625" i="2"/>
  <c r="I2625" i="2"/>
  <c r="J2625" i="2"/>
  <c r="K2625" i="2"/>
  <c r="L2625" i="2"/>
  <c r="N2625" i="2"/>
  <c r="O2625" i="2"/>
  <c r="Q2625" i="2"/>
  <c r="R2625" i="2"/>
  <c r="S2625" i="2"/>
  <c r="E2626" i="2"/>
  <c r="F2626" i="2"/>
  <c r="G2626" i="2"/>
  <c r="H2626" i="2"/>
  <c r="I2626" i="2"/>
  <c r="J2626" i="2"/>
  <c r="K2626" i="2"/>
  <c r="L2626" i="2"/>
  <c r="M2626" i="2"/>
  <c r="N2626" i="2"/>
  <c r="O2626" i="2"/>
  <c r="Q2626" i="2"/>
  <c r="R2626" i="2"/>
  <c r="S2626" i="2"/>
  <c r="E2627" i="2"/>
  <c r="F2627" i="2"/>
  <c r="G2627" i="2"/>
  <c r="H2627" i="2"/>
  <c r="I2627" i="2"/>
  <c r="J2627" i="2"/>
  <c r="M2627" i="2" s="1"/>
  <c r="K2627" i="2"/>
  <c r="L2627" i="2"/>
  <c r="N2627" i="2"/>
  <c r="O2627" i="2"/>
  <c r="Q2627" i="2"/>
  <c r="R2627" i="2"/>
  <c r="S2627" i="2"/>
  <c r="E2628" i="2"/>
  <c r="F2628" i="2"/>
  <c r="G2628" i="2"/>
  <c r="H2628" i="2"/>
  <c r="I2628" i="2"/>
  <c r="J2628" i="2"/>
  <c r="K2628" i="2"/>
  <c r="L2628" i="2"/>
  <c r="N2628" i="2"/>
  <c r="O2628" i="2"/>
  <c r="P2628" i="2" s="1"/>
  <c r="Q2628" i="2"/>
  <c r="R2628" i="2"/>
  <c r="S2628" i="2"/>
  <c r="E2629" i="2"/>
  <c r="F2629" i="2"/>
  <c r="G2629" i="2"/>
  <c r="H2629" i="2"/>
  <c r="I2629" i="2"/>
  <c r="J2629" i="2"/>
  <c r="K2629" i="2"/>
  <c r="L2629" i="2"/>
  <c r="N2629" i="2"/>
  <c r="O2629" i="2"/>
  <c r="Q2629" i="2"/>
  <c r="R2629" i="2"/>
  <c r="S2629" i="2"/>
  <c r="E2630" i="2"/>
  <c r="F2630" i="2"/>
  <c r="G2630" i="2"/>
  <c r="H2630" i="2"/>
  <c r="I2630" i="2"/>
  <c r="J2630" i="2"/>
  <c r="K2630" i="2"/>
  <c r="L2630" i="2"/>
  <c r="M2630" i="2"/>
  <c r="N2630" i="2"/>
  <c r="O2630" i="2"/>
  <c r="Q2630" i="2"/>
  <c r="R2630" i="2"/>
  <c r="S2630" i="2"/>
  <c r="E2631" i="2"/>
  <c r="F2631" i="2"/>
  <c r="G2631" i="2"/>
  <c r="H2631" i="2"/>
  <c r="I2631" i="2"/>
  <c r="J2631" i="2"/>
  <c r="M2631" i="2" s="1"/>
  <c r="K2631" i="2"/>
  <c r="L2631" i="2"/>
  <c r="N2631" i="2"/>
  <c r="O2631" i="2"/>
  <c r="Q2631" i="2"/>
  <c r="R2631" i="2"/>
  <c r="S2631" i="2"/>
  <c r="E2632" i="2"/>
  <c r="F2632" i="2"/>
  <c r="G2632" i="2"/>
  <c r="H2632" i="2"/>
  <c r="I2632" i="2"/>
  <c r="J2632" i="2"/>
  <c r="K2632" i="2"/>
  <c r="L2632" i="2"/>
  <c r="N2632" i="2"/>
  <c r="O2632" i="2"/>
  <c r="P2632" i="2" s="1"/>
  <c r="Q2632" i="2"/>
  <c r="R2632" i="2"/>
  <c r="S2632" i="2"/>
  <c r="E2633" i="2"/>
  <c r="F2633" i="2"/>
  <c r="G2633" i="2"/>
  <c r="H2633" i="2"/>
  <c r="M2633" i="2" s="1"/>
  <c r="I2633" i="2"/>
  <c r="J2633" i="2"/>
  <c r="K2633" i="2"/>
  <c r="L2633" i="2"/>
  <c r="N2633" i="2"/>
  <c r="O2633" i="2"/>
  <c r="Q2633" i="2"/>
  <c r="R2633" i="2"/>
  <c r="S2633" i="2"/>
  <c r="E2634" i="2"/>
  <c r="F2634" i="2"/>
  <c r="G2634" i="2"/>
  <c r="H2634" i="2"/>
  <c r="I2634" i="2"/>
  <c r="J2634" i="2"/>
  <c r="K2634" i="2"/>
  <c r="L2634" i="2"/>
  <c r="M2634" i="2"/>
  <c r="N2634" i="2"/>
  <c r="O2634" i="2"/>
  <c r="Q2634" i="2"/>
  <c r="R2634" i="2"/>
  <c r="S2634" i="2"/>
  <c r="E2635" i="2"/>
  <c r="F2635" i="2"/>
  <c r="G2635" i="2"/>
  <c r="H2635" i="2"/>
  <c r="I2635" i="2"/>
  <c r="J2635" i="2"/>
  <c r="M2635" i="2" s="1"/>
  <c r="K2635" i="2"/>
  <c r="L2635" i="2"/>
  <c r="N2635" i="2"/>
  <c r="O2635" i="2"/>
  <c r="Q2635" i="2"/>
  <c r="R2635" i="2"/>
  <c r="S2635" i="2"/>
  <c r="E2636" i="2"/>
  <c r="F2636" i="2"/>
  <c r="G2636" i="2"/>
  <c r="H2636" i="2"/>
  <c r="I2636" i="2"/>
  <c r="J2636" i="2"/>
  <c r="K2636" i="2"/>
  <c r="L2636" i="2"/>
  <c r="N2636" i="2"/>
  <c r="O2636" i="2"/>
  <c r="P2636" i="2" s="1"/>
  <c r="Q2636" i="2"/>
  <c r="R2636" i="2"/>
  <c r="S2636" i="2"/>
  <c r="E2637" i="2"/>
  <c r="F2637" i="2"/>
  <c r="G2637" i="2"/>
  <c r="H2637" i="2"/>
  <c r="I2637" i="2"/>
  <c r="J2637" i="2"/>
  <c r="K2637" i="2"/>
  <c r="L2637" i="2"/>
  <c r="N2637" i="2"/>
  <c r="O2637" i="2"/>
  <c r="Q2637" i="2"/>
  <c r="R2637" i="2"/>
  <c r="S2637" i="2"/>
  <c r="E2638" i="2"/>
  <c r="F2638" i="2"/>
  <c r="G2638" i="2"/>
  <c r="H2638" i="2"/>
  <c r="I2638" i="2"/>
  <c r="J2638" i="2"/>
  <c r="K2638" i="2"/>
  <c r="L2638" i="2"/>
  <c r="M2638" i="2"/>
  <c r="N2638" i="2"/>
  <c r="O2638" i="2"/>
  <c r="Q2638" i="2"/>
  <c r="R2638" i="2"/>
  <c r="S2638" i="2"/>
  <c r="E2639" i="2"/>
  <c r="F2639" i="2"/>
  <c r="G2639" i="2"/>
  <c r="H2639" i="2"/>
  <c r="I2639" i="2"/>
  <c r="J2639" i="2"/>
  <c r="M2639" i="2" s="1"/>
  <c r="K2639" i="2"/>
  <c r="L2639" i="2"/>
  <c r="N2639" i="2"/>
  <c r="O2639" i="2"/>
  <c r="Q2639" i="2"/>
  <c r="R2639" i="2"/>
  <c r="S2639" i="2"/>
  <c r="E2640" i="2"/>
  <c r="F2640" i="2"/>
  <c r="G2640" i="2"/>
  <c r="H2640" i="2"/>
  <c r="I2640" i="2"/>
  <c r="J2640" i="2"/>
  <c r="K2640" i="2"/>
  <c r="L2640" i="2"/>
  <c r="N2640" i="2"/>
  <c r="O2640" i="2"/>
  <c r="P2640" i="2" s="1"/>
  <c r="Q2640" i="2"/>
  <c r="R2640" i="2"/>
  <c r="S2640" i="2"/>
  <c r="E2641" i="2"/>
  <c r="F2641" i="2"/>
  <c r="G2641" i="2"/>
  <c r="H2641" i="2"/>
  <c r="M2641" i="2" s="1"/>
  <c r="I2641" i="2"/>
  <c r="J2641" i="2"/>
  <c r="K2641" i="2"/>
  <c r="L2641" i="2"/>
  <c r="N2641" i="2"/>
  <c r="O2641" i="2"/>
  <c r="Q2641" i="2"/>
  <c r="R2641" i="2"/>
  <c r="S2641" i="2"/>
  <c r="E2642" i="2"/>
  <c r="F2642" i="2"/>
  <c r="G2642" i="2"/>
  <c r="H2642" i="2"/>
  <c r="I2642" i="2"/>
  <c r="J2642" i="2"/>
  <c r="K2642" i="2"/>
  <c r="L2642" i="2"/>
  <c r="M2642" i="2"/>
  <c r="N2642" i="2"/>
  <c r="O2642" i="2"/>
  <c r="Q2642" i="2"/>
  <c r="R2642" i="2"/>
  <c r="S2642" i="2"/>
  <c r="E2643" i="2"/>
  <c r="F2643" i="2"/>
  <c r="G2643" i="2"/>
  <c r="H2643" i="2"/>
  <c r="I2643" i="2"/>
  <c r="J2643" i="2"/>
  <c r="M2643" i="2" s="1"/>
  <c r="K2643" i="2"/>
  <c r="L2643" i="2"/>
  <c r="N2643" i="2"/>
  <c r="O2643" i="2"/>
  <c r="Q2643" i="2"/>
  <c r="R2643" i="2"/>
  <c r="S2643" i="2"/>
  <c r="E2644" i="2"/>
  <c r="F2644" i="2"/>
  <c r="G2644" i="2"/>
  <c r="H2644" i="2"/>
  <c r="I2644" i="2"/>
  <c r="J2644" i="2"/>
  <c r="K2644" i="2"/>
  <c r="L2644" i="2"/>
  <c r="N2644" i="2"/>
  <c r="O2644" i="2"/>
  <c r="P2644" i="2" s="1"/>
  <c r="Q2644" i="2"/>
  <c r="R2644" i="2"/>
  <c r="S2644" i="2"/>
  <c r="E2645" i="2"/>
  <c r="F2645" i="2"/>
  <c r="G2645" i="2"/>
  <c r="H2645" i="2"/>
  <c r="I2645" i="2"/>
  <c r="J2645" i="2"/>
  <c r="K2645" i="2"/>
  <c r="L2645" i="2"/>
  <c r="N2645" i="2"/>
  <c r="O2645" i="2"/>
  <c r="Q2645" i="2"/>
  <c r="R2645" i="2"/>
  <c r="S2645" i="2"/>
  <c r="E2646" i="2"/>
  <c r="F2646" i="2"/>
  <c r="G2646" i="2"/>
  <c r="H2646" i="2"/>
  <c r="I2646" i="2"/>
  <c r="J2646" i="2"/>
  <c r="K2646" i="2"/>
  <c r="L2646" i="2"/>
  <c r="M2646" i="2"/>
  <c r="N2646" i="2"/>
  <c r="O2646" i="2"/>
  <c r="Q2646" i="2"/>
  <c r="R2646" i="2"/>
  <c r="S2646" i="2"/>
  <c r="E2647" i="2"/>
  <c r="F2647" i="2"/>
  <c r="G2647" i="2"/>
  <c r="H2647" i="2"/>
  <c r="I2647" i="2"/>
  <c r="J2647" i="2"/>
  <c r="M2647" i="2" s="1"/>
  <c r="K2647" i="2"/>
  <c r="L2647" i="2"/>
  <c r="N2647" i="2"/>
  <c r="O2647" i="2"/>
  <c r="Q2647" i="2"/>
  <c r="R2647" i="2"/>
  <c r="S2647" i="2"/>
  <c r="E2648" i="2"/>
  <c r="F2648" i="2"/>
  <c r="G2648" i="2"/>
  <c r="H2648" i="2"/>
  <c r="I2648" i="2"/>
  <c r="J2648" i="2"/>
  <c r="K2648" i="2"/>
  <c r="L2648" i="2"/>
  <c r="N2648" i="2"/>
  <c r="O2648" i="2"/>
  <c r="P2648" i="2" s="1"/>
  <c r="Q2648" i="2"/>
  <c r="R2648" i="2"/>
  <c r="S2648" i="2"/>
  <c r="E2649" i="2"/>
  <c r="F2649" i="2"/>
  <c r="G2649" i="2"/>
  <c r="H2649" i="2"/>
  <c r="I2649" i="2"/>
  <c r="J2649" i="2"/>
  <c r="K2649" i="2"/>
  <c r="L2649" i="2"/>
  <c r="N2649" i="2"/>
  <c r="O2649" i="2"/>
  <c r="Q2649" i="2"/>
  <c r="R2649" i="2"/>
  <c r="S2649" i="2"/>
  <c r="E2650" i="2"/>
  <c r="F2650" i="2"/>
  <c r="G2650" i="2"/>
  <c r="H2650" i="2"/>
  <c r="I2650" i="2"/>
  <c r="J2650" i="2"/>
  <c r="K2650" i="2"/>
  <c r="L2650" i="2"/>
  <c r="M2650" i="2"/>
  <c r="N2650" i="2"/>
  <c r="O2650" i="2"/>
  <c r="Q2650" i="2"/>
  <c r="R2650" i="2"/>
  <c r="S2650" i="2"/>
  <c r="E2651" i="2"/>
  <c r="F2651" i="2"/>
  <c r="G2651" i="2"/>
  <c r="H2651" i="2"/>
  <c r="I2651" i="2"/>
  <c r="J2651" i="2"/>
  <c r="M2651" i="2" s="1"/>
  <c r="K2651" i="2"/>
  <c r="L2651" i="2"/>
  <c r="N2651" i="2"/>
  <c r="O2651" i="2"/>
  <c r="Q2651" i="2"/>
  <c r="R2651" i="2"/>
  <c r="S2651" i="2"/>
  <c r="E2652" i="2"/>
  <c r="F2652" i="2"/>
  <c r="G2652" i="2"/>
  <c r="H2652" i="2"/>
  <c r="I2652" i="2"/>
  <c r="J2652" i="2"/>
  <c r="K2652" i="2"/>
  <c r="L2652" i="2"/>
  <c r="N2652" i="2"/>
  <c r="O2652" i="2"/>
  <c r="P2652" i="2" s="1"/>
  <c r="Q2652" i="2"/>
  <c r="R2652" i="2"/>
  <c r="S2652" i="2"/>
  <c r="E2653" i="2"/>
  <c r="F2653" i="2"/>
  <c r="G2653" i="2"/>
  <c r="H2653" i="2"/>
  <c r="I2653" i="2"/>
  <c r="J2653" i="2"/>
  <c r="K2653" i="2"/>
  <c r="L2653" i="2"/>
  <c r="N2653" i="2"/>
  <c r="O2653" i="2"/>
  <c r="Q2653" i="2"/>
  <c r="R2653" i="2"/>
  <c r="S2653" i="2"/>
  <c r="E2654" i="2"/>
  <c r="F2654" i="2"/>
  <c r="G2654" i="2"/>
  <c r="H2654" i="2"/>
  <c r="I2654" i="2"/>
  <c r="J2654" i="2"/>
  <c r="K2654" i="2"/>
  <c r="L2654" i="2"/>
  <c r="M2654" i="2"/>
  <c r="N2654" i="2"/>
  <c r="O2654" i="2"/>
  <c r="Q2654" i="2"/>
  <c r="R2654" i="2"/>
  <c r="S2654" i="2"/>
  <c r="E2655" i="2"/>
  <c r="F2655" i="2"/>
  <c r="G2655" i="2"/>
  <c r="H2655" i="2"/>
  <c r="I2655" i="2"/>
  <c r="J2655" i="2"/>
  <c r="M2655" i="2" s="1"/>
  <c r="K2655" i="2"/>
  <c r="L2655" i="2"/>
  <c r="N2655" i="2"/>
  <c r="O2655" i="2"/>
  <c r="Q2655" i="2"/>
  <c r="R2655" i="2"/>
  <c r="S2655" i="2"/>
  <c r="E2656" i="2"/>
  <c r="F2656" i="2"/>
  <c r="G2656" i="2"/>
  <c r="H2656" i="2"/>
  <c r="I2656" i="2"/>
  <c r="J2656" i="2"/>
  <c r="K2656" i="2"/>
  <c r="L2656" i="2"/>
  <c r="N2656" i="2"/>
  <c r="O2656" i="2"/>
  <c r="P2656" i="2" s="1"/>
  <c r="Q2656" i="2"/>
  <c r="R2656" i="2"/>
  <c r="S2656" i="2"/>
  <c r="E2657" i="2"/>
  <c r="F2657" i="2"/>
  <c r="G2657" i="2"/>
  <c r="H2657" i="2"/>
  <c r="M2657" i="2" s="1"/>
  <c r="I2657" i="2"/>
  <c r="J2657" i="2"/>
  <c r="K2657" i="2"/>
  <c r="L2657" i="2"/>
  <c r="N2657" i="2"/>
  <c r="O2657" i="2"/>
  <c r="Q2657" i="2"/>
  <c r="R2657" i="2"/>
  <c r="S2657" i="2"/>
  <c r="E2658" i="2"/>
  <c r="F2658" i="2"/>
  <c r="G2658" i="2"/>
  <c r="H2658" i="2"/>
  <c r="I2658" i="2"/>
  <c r="J2658" i="2"/>
  <c r="K2658" i="2"/>
  <c r="L2658" i="2"/>
  <c r="M2658" i="2"/>
  <c r="N2658" i="2"/>
  <c r="O2658" i="2"/>
  <c r="Q2658" i="2"/>
  <c r="R2658" i="2"/>
  <c r="S2658" i="2"/>
  <c r="E2659" i="2"/>
  <c r="F2659" i="2"/>
  <c r="G2659" i="2"/>
  <c r="H2659" i="2"/>
  <c r="I2659" i="2"/>
  <c r="J2659" i="2"/>
  <c r="M2659" i="2" s="1"/>
  <c r="K2659" i="2"/>
  <c r="L2659" i="2"/>
  <c r="N2659" i="2"/>
  <c r="O2659" i="2"/>
  <c r="Q2659" i="2"/>
  <c r="R2659" i="2"/>
  <c r="S2659" i="2"/>
  <c r="E2660" i="2"/>
  <c r="F2660" i="2"/>
  <c r="G2660" i="2"/>
  <c r="H2660" i="2"/>
  <c r="I2660" i="2"/>
  <c r="J2660" i="2"/>
  <c r="K2660" i="2"/>
  <c r="L2660" i="2"/>
  <c r="N2660" i="2"/>
  <c r="O2660" i="2"/>
  <c r="P2660" i="2" s="1"/>
  <c r="Q2660" i="2"/>
  <c r="R2660" i="2"/>
  <c r="S2660" i="2"/>
  <c r="E2661" i="2"/>
  <c r="F2661" i="2"/>
  <c r="G2661" i="2"/>
  <c r="H2661" i="2"/>
  <c r="I2661" i="2"/>
  <c r="J2661" i="2"/>
  <c r="K2661" i="2"/>
  <c r="L2661" i="2"/>
  <c r="N2661" i="2"/>
  <c r="O2661" i="2"/>
  <c r="Q2661" i="2"/>
  <c r="R2661" i="2"/>
  <c r="S2661" i="2"/>
  <c r="E2662" i="2"/>
  <c r="F2662" i="2"/>
  <c r="G2662" i="2"/>
  <c r="H2662" i="2"/>
  <c r="I2662" i="2"/>
  <c r="J2662" i="2"/>
  <c r="K2662" i="2"/>
  <c r="L2662" i="2"/>
  <c r="M2662" i="2"/>
  <c r="N2662" i="2"/>
  <c r="O2662" i="2"/>
  <c r="Q2662" i="2"/>
  <c r="R2662" i="2"/>
  <c r="S2662" i="2"/>
  <c r="E2663" i="2"/>
  <c r="F2663" i="2"/>
  <c r="G2663" i="2"/>
  <c r="H2663" i="2"/>
  <c r="I2663" i="2"/>
  <c r="J2663" i="2"/>
  <c r="M2663" i="2" s="1"/>
  <c r="K2663" i="2"/>
  <c r="L2663" i="2"/>
  <c r="N2663" i="2"/>
  <c r="O2663" i="2"/>
  <c r="Q2663" i="2"/>
  <c r="R2663" i="2"/>
  <c r="S2663" i="2"/>
  <c r="E2664" i="2"/>
  <c r="F2664" i="2"/>
  <c r="G2664" i="2"/>
  <c r="H2664" i="2"/>
  <c r="I2664" i="2"/>
  <c r="J2664" i="2"/>
  <c r="K2664" i="2"/>
  <c r="L2664" i="2"/>
  <c r="N2664" i="2"/>
  <c r="O2664" i="2"/>
  <c r="P2664" i="2" s="1"/>
  <c r="Q2664" i="2"/>
  <c r="R2664" i="2"/>
  <c r="S2664" i="2"/>
  <c r="E2665" i="2"/>
  <c r="F2665" i="2"/>
  <c r="G2665" i="2"/>
  <c r="H2665" i="2"/>
  <c r="M2665" i="2" s="1"/>
  <c r="I2665" i="2"/>
  <c r="J2665" i="2"/>
  <c r="K2665" i="2"/>
  <c r="L2665" i="2"/>
  <c r="N2665" i="2"/>
  <c r="O2665" i="2"/>
  <c r="Q2665" i="2"/>
  <c r="R2665" i="2"/>
  <c r="S2665" i="2"/>
  <c r="E2666" i="2"/>
  <c r="F2666" i="2"/>
  <c r="G2666" i="2"/>
  <c r="H2666" i="2"/>
  <c r="I2666" i="2"/>
  <c r="J2666" i="2"/>
  <c r="K2666" i="2"/>
  <c r="L2666" i="2"/>
  <c r="M2666" i="2"/>
  <c r="N2666" i="2"/>
  <c r="O2666" i="2"/>
  <c r="Q2666" i="2"/>
  <c r="R2666" i="2"/>
  <c r="S2666" i="2"/>
  <c r="E2667" i="2"/>
  <c r="F2667" i="2"/>
  <c r="G2667" i="2"/>
  <c r="H2667" i="2"/>
  <c r="I2667" i="2"/>
  <c r="J2667" i="2"/>
  <c r="M2667" i="2" s="1"/>
  <c r="K2667" i="2"/>
  <c r="L2667" i="2"/>
  <c r="N2667" i="2"/>
  <c r="O2667" i="2"/>
  <c r="Q2667" i="2"/>
  <c r="R2667" i="2"/>
  <c r="S2667" i="2"/>
  <c r="E2668" i="2"/>
  <c r="F2668" i="2"/>
  <c r="G2668" i="2"/>
  <c r="H2668" i="2"/>
  <c r="I2668" i="2"/>
  <c r="J2668" i="2"/>
  <c r="K2668" i="2"/>
  <c r="L2668" i="2"/>
  <c r="N2668" i="2"/>
  <c r="O2668" i="2"/>
  <c r="P2668" i="2" s="1"/>
  <c r="Q2668" i="2"/>
  <c r="R2668" i="2"/>
  <c r="S2668" i="2"/>
  <c r="E2669" i="2"/>
  <c r="F2669" i="2"/>
  <c r="G2669" i="2"/>
  <c r="H2669" i="2"/>
  <c r="I2669" i="2"/>
  <c r="J2669" i="2"/>
  <c r="K2669" i="2"/>
  <c r="L2669" i="2"/>
  <c r="N2669" i="2"/>
  <c r="O2669" i="2"/>
  <c r="Q2669" i="2"/>
  <c r="R2669" i="2"/>
  <c r="S2669" i="2"/>
  <c r="E2670" i="2"/>
  <c r="F2670" i="2"/>
  <c r="G2670" i="2"/>
  <c r="H2670" i="2"/>
  <c r="I2670" i="2"/>
  <c r="J2670" i="2"/>
  <c r="K2670" i="2"/>
  <c r="L2670" i="2"/>
  <c r="M2670" i="2"/>
  <c r="N2670" i="2"/>
  <c r="O2670" i="2"/>
  <c r="Q2670" i="2"/>
  <c r="R2670" i="2"/>
  <c r="S2670" i="2"/>
  <c r="E2671" i="2"/>
  <c r="F2671" i="2"/>
  <c r="G2671" i="2"/>
  <c r="H2671" i="2"/>
  <c r="I2671" i="2"/>
  <c r="J2671" i="2"/>
  <c r="M2671" i="2" s="1"/>
  <c r="K2671" i="2"/>
  <c r="L2671" i="2"/>
  <c r="N2671" i="2"/>
  <c r="O2671" i="2"/>
  <c r="Q2671" i="2"/>
  <c r="R2671" i="2"/>
  <c r="S2671" i="2"/>
  <c r="E2672" i="2"/>
  <c r="F2672" i="2"/>
  <c r="G2672" i="2"/>
  <c r="H2672" i="2"/>
  <c r="I2672" i="2"/>
  <c r="J2672" i="2"/>
  <c r="K2672" i="2"/>
  <c r="L2672" i="2"/>
  <c r="N2672" i="2"/>
  <c r="O2672" i="2"/>
  <c r="P2672" i="2" s="1"/>
  <c r="Q2672" i="2"/>
  <c r="R2672" i="2"/>
  <c r="S2672" i="2"/>
  <c r="E2673" i="2"/>
  <c r="F2673" i="2"/>
  <c r="G2673" i="2"/>
  <c r="H2673" i="2"/>
  <c r="M2673" i="2" s="1"/>
  <c r="I2673" i="2"/>
  <c r="J2673" i="2"/>
  <c r="K2673" i="2"/>
  <c r="L2673" i="2"/>
  <c r="N2673" i="2"/>
  <c r="O2673" i="2"/>
  <c r="Q2673" i="2"/>
  <c r="R2673" i="2"/>
  <c r="S2673" i="2"/>
  <c r="E2674" i="2"/>
  <c r="F2674" i="2"/>
  <c r="G2674" i="2"/>
  <c r="H2674" i="2"/>
  <c r="I2674" i="2"/>
  <c r="J2674" i="2"/>
  <c r="K2674" i="2"/>
  <c r="L2674" i="2"/>
  <c r="M2674" i="2"/>
  <c r="N2674" i="2"/>
  <c r="O2674" i="2"/>
  <c r="Q2674" i="2"/>
  <c r="R2674" i="2"/>
  <c r="S2674" i="2"/>
  <c r="E2675" i="2"/>
  <c r="F2675" i="2"/>
  <c r="G2675" i="2"/>
  <c r="H2675" i="2"/>
  <c r="I2675" i="2"/>
  <c r="J2675" i="2"/>
  <c r="M2675" i="2" s="1"/>
  <c r="K2675" i="2"/>
  <c r="L2675" i="2"/>
  <c r="N2675" i="2"/>
  <c r="O2675" i="2"/>
  <c r="Q2675" i="2"/>
  <c r="R2675" i="2"/>
  <c r="S2675" i="2"/>
  <c r="E2676" i="2"/>
  <c r="F2676" i="2"/>
  <c r="G2676" i="2"/>
  <c r="H2676" i="2"/>
  <c r="I2676" i="2"/>
  <c r="J2676" i="2"/>
  <c r="K2676" i="2"/>
  <c r="L2676" i="2"/>
  <c r="N2676" i="2"/>
  <c r="O2676" i="2"/>
  <c r="P2676" i="2" s="1"/>
  <c r="Q2676" i="2"/>
  <c r="R2676" i="2"/>
  <c r="S2676" i="2"/>
  <c r="E2677" i="2"/>
  <c r="F2677" i="2"/>
  <c r="G2677" i="2"/>
  <c r="H2677" i="2"/>
  <c r="I2677" i="2"/>
  <c r="J2677" i="2"/>
  <c r="K2677" i="2"/>
  <c r="L2677" i="2"/>
  <c r="N2677" i="2"/>
  <c r="O2677" i="2"/>
  <c r="Q2677" i="2"/>
  <c r="R2677" i="2"/>
  <c r="S2677" i="2"/>
  <c r="E2678" i="2"/>
  <c r="F2678" i="2"/>
  <c r="G2678" i="2"/>
  <c r="H2678" i="2"/>
  <c r="I2678" i="2"/>
  <c r="J2678" i="2"/>
  <c r="K2678" i="2"/>
  <c r="L2678" i="2"/>
  <c r="M2678" i="2"/>
  <c r="N2678" i="2"/>
  <c r="O2678" i="2"/>
  <c r="Q2678" i="2"/>
  <c r="R2678" i="2"/>
  <c r="S2678" i="2"/>
  <c r="E2679" i="2"/>
  <c r="F2679" i="2"/>
  <c r="G2679" i="2"/>
  <c r="H2679" i="2"/>
  <c r="I2679" i="2"/>
  <c r="J2679" i="2"/>
  <c r="M2679" i="2" s="1"/>
  <c r="K2679" i="2"/>
  <c r="L2679" i="2"/>
  <c r="N2679" i="2"/>
  <c r="O2679" i="2"/>
  <c r="Q2679" i="2"/>
  <c r="R2679" i="2"/>
  <c r="S2679" i="2"/>
  <c r="E2680" i="2"/>
  <c r="F2680" i="2"/>
  <c r="G2680" i="2"/>
  <c r="H2680" i="2"/>
  <c r="I2680" i="2"/>
  <c r="J2680" i="2"/>
  <c r="K2680" i="2"/>
  <c r="L2680" i="2"/>
  <c r="N2680" i="2"/>
  <c r="O2680" i="2"/>
  <c r="P2680" i="2" s="1"/>
  <c r="Q2680" i="2"/>
  <c r="R2680" i="2"/>
  <c r="S2680" i="2"/>
  <c r="E2681" i="2"/>
  <c r="F2681" i="2"/>
  <c r="G2681" i="2"/>
  <c r="H2681" i="2"/>
  <c r="P2681" i="2" s="1"/>
  <c r="I2681" i="2"/>
  <c r="J2681" i="2"/>
  <c r="K2681" i="2"/>
  <c r="L2681" i="2"/>
  <c r="N2681" i="2"/>
  <c r="O2681" i="2"/>
  <c r="Q2681" i="2"/>
  <c r="R2681" i="2"/>
  <c r="S2681" i="2"/>
  <c r="E2682" i="2"/>
  <c r="F2682" i="2"/>
  <c r="G2682" i="2"/>
  <c r="H2682" i="2"/>
  <c r="I2682" i="2"/>
  <c r="J2682" i="2"/>
  <c r="K2682" i="2"/>
  <c r="L2682" i="2"/>
  <c r="M2682" i="2"/>
  <c r="N2682" i="2"/>
  <c r="O2682" i="2"/>
  <c r="Q2682" i="2"/>
  <c r="R2682" i="2"/>
  <c r="S2682" i="2"/>
  <c r="E2683" i="2"/>
  <c r="F2683" i="2"/>
  <c r="G2683" i="2"/>
  <c r="H2683" i="2"/>
  <c r="I2683" i="2"/>
  <c r="J2683" i="2"/>
  <c r="M2683" i="2" s="1"/>
  <c r="K2683" i="2"/>
  <c r="L2683" i="2"/>
  <c r="N2683" i="2"/>
  <c r="O2683" i="2"/>
  <c r="Q2683" i="2"/>
  <c r="R2683" i="2"/>
  <c r="S2683" i="2"/>
  <c r="E2684" i="2"/>
  <c r="F2684" i="2"/>
  <c r="G2684" i="2"/>
  <c r="H2684" i="2"/>
  <c r="I2684" i="2"/>
  <c r="J2684" i="2"/>
  <c r="K2684" i="2"/>
  <c r="L2684" i="2"/>
  <c r="N2684" i="2"/>
  <c r="O2684" i="2"/>
  <c r="P2684" i="2" s="1"/>
  <c r="Q2684" i="2"/>
  <c r="R2684" i="2"/>
  <c r="S2684" i="2"/>
  <c r="E2685" i="2"/>
  <c r="F2685" i="2"/>
  <c r="G2685" i="2"/>
  <c r="H2685" i="2"/>
  <c r="I2685" i="2"/>
  <c r="J2685" i="2"/>
  <c r="K2685" i="2"/>
  <c r="L2685" i="2"/>
  <c r="N2685" i="2"/>
  <c r="O2685" i="2"/>
  <c r="Q2685" i="2"/>
  <c r="R2685" i="2"/>
  <c r="S2685" i="2"/>
  <c r="E2686" i="2"/>
  <c r="F2686" i="2"/>
  <c r="G2686" i="2"/>
  <c r="H2686" i="2"/>
  <c r="I2686" i="2"/>
  <c r="J2686" i="2"/>
  <c r="K2686" i="2"/>
  <c r="L2686" i="2"/>
  <c r="M2686" i="2"/>
  <c r="N2686" i="2"/>
  <c r="O2686" i="2"/>
  <c r="Q2686" i="2"/>
  <c r="R2686" i="2"/>
  <c r="S2686" i="2"/>
  <c r="E2687" i="2"/>
  <c r="F2687" i="2"/>
  <c r="G2687" i="2"/>
  <c r="H2687" i="2"/>
  <c r="I2687" i="2"/>
  <c r="J2687" i="2"/>
  <c r="M2687" i="2" s="1"/>
  <c r="K2687" i="2"/>
  <c r="L2687" i="2"/>
  <c r="N2687" i="2"/>
  <c r="O2687" i="2"/>
  <c r="Q2687" i="2"/>
  <c r="R2687" i="2"/>
  <c r="S2687" i="2"/>
  <c r="E2688" i="2"/>
  <c r="F2688" i="2"/>
  <c r="G2688" i="2"/>
  <c r="H2688" i="2"/>
  <c r="I2688" i="2"/>
  <c r="J2688" i="2"/>
  <c r="K2688" i="2"/>
  <c r="L2688" i="2"/>
  <c r="N2688" i="2"/>
  <c r="O2688" i="2"/>
  <c r="P2688" i="2" s="1"/>
  <c r="Q2688" i="2"/>
  <c r="R2688" i="2"/>
  <c r="S2688" i="2"/>
  <c r="E2689" i="2"/>
  <c r="F2689" i="2"/>
  <c r="G2689" i="2"/>
  <c r="H2689" i="2"/>
  <c r="I2689" i="2"/>
  <c r="J2689" i="2"/>
  <c r="K2689" i="2"/>
  <c r="L2689" i="2"/>
  <c r="N2689" i="2"/>
  <c r="O2689" i="2"/>
  <c r="Q2689" i="2"/>
  <c r="R2689" i="2"/>
  <c r="S2689" i="2"/>
  <c r="E2690" i="2"/>
  <c r="F2690" i="2"/>
  <c r="G2690" i="2"/>
  <c r="H2690" i="2"/>
  <c r="I2690" i="2"/>
  <c r="J2690" i="2"/>
  <c r="K2690" i="2"/>
  <c r="L2690" i="2"/>
  <c r="M2690" i="2"/>
  <c r="N2690" i="2"/>
  <c r="O2690" i="2"/>
  <c r="Q2690" i="2"/>
  <c r="R2690" i="2"/>
  <c r="S2690" i="2"/>
  <c r="E2691" i="2"/>
  <c r="F2691" i="2"/>
  <c r="G2691" i="2"/>
  <c r="H2691" i="2"/>
  <c r="I2691" i="2"/>
  <c r="J2691" i="2"/>
  <c r="M2691" i="2" s="1"/>
  <c r="K2691" i="2"/>
  <c r="L2691" i="2"/>
  <c r="N2691" i="2"/>
  <c r="O2691" i="2"/>
  <c r="Q2691" i="2"/>
  <c r="R2691" i="2"/>
  <c r="S2691" i="2"/>
  <c r="E2692" i="2"/>
  <c r="F2692" i="2"/>
  <c r="G2692" i="2"/>
  <c r="H2692" i="2"/>
  <c r="I2692" i="2"/>
  <c r="J2692" i="2"/>
  <c r="K2692" i="2"/>
  <c r="L2692" i="2"/>
  <c r="N2692" i="2"/>
  <c r="O2692" i="2"/>
  <c r="P2692" i="2" s="1"/>
  <c r="Q2692" i="2"/>
  <c r="R2692" i="2"/>
  <c r="S2692" i="2"/>
  <c r="E2693" i="2"/>
  <c r="F2693" i="2"/>
  <c r="G2693" i="2"/>
  <c r="H2693" i="2"/>
  <c r="I2693" i="2"/>
  <c r="J2693" i="2"/>
  <c r="K2693" i="2"/>
  <c r="L2693" i="2"/>
  <c r="N2693" i="2"/>
  <c r="O2693" i="2"/>
  <c r="Q2693" i="2"/>
  <c r="R2693" i="2"/>
  <c r="S2693" i="2"/>
  <c r="E2694" i="2"/>
  <c r="F2694" i="2"/>
  <c r="G2694" i="2"/>
  <c r="H2694" i="2"/>
  <c r="I2694" i="2"/>
  <c r="J2694" i="2"/>
  <c r="K2694" i="2"/>
  <c r="L2694" i="2"/>
  <c r="M2694" i="2"/>
  <c r="N2694" i="2"/>
  <c r="O2694" i="2"/>
  <c r="Q2694" i="2"/>
  <c r="R2694" i="2"/>
  <c r="S2694" i="2"/>
  <c r="E2695" i="2"/>
  <c r="F2695" i="2"/>
  <c r="G2695" i="2"/>
  <c r="H2695" i="2"/>
  <c r="I2695" i="2"/>
  <c r="J2695" i="2"/>
  <c r="M2695" i="2" s="1"/>
  <c r="K2695" i="2"/>
  <c r="L2695" i="2"/>
  <c r="N2695" i="2"/>
  <c r="O2695" i="2"/>
  <c r="Q2695" i="2"/>
  <c r="R2695" i="2"/>
  <c r="S2695" i="2"/>
  <c r="E2696" i="2"/>
  <c r="F2696" i="2"/>
  <c r="G2696" i="2"/>
  <c r="H2696" i="2"/>
  <c r="I2696" i="2"/>
  <c r="J2696" i="2"/>
  <c r="K2696" i="2"/>
  <c r="L2696" i="2"/>
  <c r="N2696" i="2"/>
  <c r="O2696" i="2"/>
  <c r="P2696" i="2" s="1"/>
  <c r="Q2696" i="2"/>
  <c r="R2696" i="2"/>
  <c r="S2696" i="2"/>
  <c r="E2697" i="2"/>
  <c r="F2697" i="2"/>
  <c r="G2697" i="2"/>
  <c r="H2697" i="2"/>
  <c r="M2697" i="2" s="1"/>
  <c r="I2697" i="2"/>
  <c r="J2697" i="2"/>
  <c r="K2697" i="2"/>
  <c r="L2697" i="2"/>
  <c r="N2697" i="2"/>
  <c r="O2697" i="2"/>
  <c r="Q2697" i="2"/>
  <c r="R2697" i="2"/>
  <c r="S2697" i="2"/>
  <c r="E2698" i="2"/>
  <c r="F2698" i="2"/>
  <c r="G2698" i="2"/>
  <c r="H2698" i="2"/>
  <c r="I2698" i="2"/>
  <c r="J2698" i="2"/>
  <c r="K2698" i="2"/>
  <c r="L2698" i="2"/>
  <c r="M2698" i="2"/>
  <c r="N2698" i="2"/>
  <c r="O2698" i="2"/>
  <c r="Q2698" i="2"/>
  <c r="R2698" i="2"/>
  <c r="S2698" i="2"/>
  <c r="E2699" i="2"/>
  <c r="F2699" i="2"/>
  <c r="G2699" i="2"/>
  <c r="H2699" i="2"/>
  <c r="I2699" i="2"/>
  <c r="J2699" i="2"/>
  <c r="M2699" i="2" s="1"/>
  <c r="K2699" i="2"/>
  <c r="L2699" i="2"/>
  <c r="N2699" i="2"/>
  <c r="O2699" i="2"/>
  <c r="Q2699" i="2"/>
  <c r="R2699" i="2"/>
  <c r="S2699" i="2"/>
  <c r="E2700" i="2"/>
  <c r="F2700" i="2"/>
  <c r="G2700" i="2"/>
  <c r="H2700" i="2"/>
  <c r="I2700" i="2"/>
  <c r="J2700" i="2"/>
  <c r="K2700" i="2"/>
  <c r="L2700" i="2"/>
  <c r="N2700" i="2"/>
  <c r="O2700" i="2"/>
  <c r="P2700" i="2" s="1"/>
  <c r="Q2700" i="2"/>
  <c r="R2700" i="2"/>
  <c r="S2700" i="2"/>
  <c r="E2701" i="2"/>
  <c r="F2701" i="2"/>
  <c r="G2701" i="2"/>
  <c r="H2701" i="2"/>
  <c r="I2701" i="2"/>
  <c r="J2701" i="2"/>
  <c r="K2701" i="2"/>
  <c r="L2701" i="2"/>
  <c r="N2701" i="2"/>
  <c r="O2701" i="2"/>
  <c r="Q2701" i="2"/>
  <c r="R2701" i="2"/>
  <c r="S2701" i="2"/>
  <c r="E2702" i="2"/>
  <c r="F2702" i="2"/>
  <c r="G2702" i="2"/>
  <c r="H2702" i="2"/>
  <c r="I2702" i="2"/>
  <c r="J2702" i="2"/>
  <c r="K2702" i="2"/>
  <c r="L2702" i="2"/>
  <c r="M2702" i="2"/>
  <c r="N2702" i="2"/>
  <c r="O2702" i="2"/>
  <c r="Q2702" i="2"/>
  <c r="R2702" i="2"/>
  <c r="S2702" i="2"/>
  <c r="E2703" i="2"/>
  <c r="F2703" i="2"/>
  <c r="G2703" i="2"/>
  <c r="H2703" i="2"/>
  <c r="I2703" i="2"/>
  <c r="J2703" i="2"/>
  <c r="M2703" i="2" s="1"/>
  <c r="K2703" i="2"/>
  <c r="L2703" i="2"/>
  <c r="N2703" i="2"/>
  <c r="O2703" i="2"/>
  <c r="Q2703" i="2"/>
  <c r="R2703" i="2"/>
  <c r="S2703" i="2"/>
  <c r="E2704" i="2"/>
  <c r="F2704" i="2"/>
  <c r="G2704" i="2"/>
  <c r="H2704" i="2"/>
  <c r="I2704" i="2"/>
  <c r="J2704" i="2"/>
  <c r="K2704" i="2"/>
  <c r="L2704" i="2"/>
  <c r="N2704" i="2"/>
  <c r="O2704" i="2"/>
  <c r="P2704" i="2" s="1"/>
  <c r="Q2704" i="2"/>
  <c r="R2704" i="2"/>
  <c r="S2704" i="2"/>
  <c r="E2705" i="2"/>
  <c r="F2705" i="2"/>
  <c r="G2705" i="2"/>
  <c r="H2705" i="2"/>
  <c r="M2705" i="2" s="1"/>
  <c r="I2705" i="2"/>
  <c r="J2705" i="2"/>
  <c r="K2705" i="2"/>
  <c r="L2705" i="2"/>
  <c r="N2705" i="2"/>
  <c r="O2705" i="2"/>
  <c r="Q2705" i="2"/>
  <c r="R2705" i="2"/>
  <c r="S2705" i="2"/>
  <c r="E2706" i="2"/>
  <c r="F2706" i="2"/>
  <c r="G2706" i="2"/>
  <c r="H2706" i="2"/>
  <c r="I2706" i="2"/>
  <c r="J2706" i="2"/>
  <c r="K2706" i="2"/>
  <c r="L2706" i="2"/>
  <c r="M2706" i="2"/>
  <c r="N2706" i="2"/>
  <c r="O2706" i="2"/>
  <c r="Q2706" i="2"/>
  <c r="R2706" i="2"/>
  <c r="S2706" i="2"/>
  <c r="E2707" i="2"/>
  <c r="F2707" i="2"/>
  <c r="G2707" i="2"/>
  <c r="H2707" i="2"/>
  <c r="I2707" i="2"/>
  <c r="J2707" i="2"/>
  <c r="M2707" i="2" s="1"/>
  <c r="K2707" i="2"/>
  <c r="L2707" i="2"/>
  <c r="N2707" i="2"/>
  <c r="O2707" i="2"/>
  <c r="Q2707" i="2"/>
  <c r="R2707" i="2"/>
  <c r="S2707" i="2"/>
  <c r="E2708" i="2"/>
  <c r="F2708" i="2"/>
  <c r="G2708" i="2"/>
  <c r="H2708" i="2"/>
  <c r="I2708" i="2"/>
  <c r="J2708" i="2"/>
  <c r="K2708" i="2"/>
  <c r="L2708" i="2"/>
  <c r="N2708" i="2"/>
  <c r="O2708" i="2"/>
  <c r="P2708" i="2" s="1"/>
  <c r="Q2708" i="2"/>
  <c r="R2708" i="2"/>
  <c r="S2708" i="2"/>
  <c r="E2709" i="2"/>
  <c r="F2709" i="2"/>
  <c r="G2709" i="2"/>
  <c r="H2709" i="2"/>
  <c r="I2709" i="2"/>
  <c r="J2709" i="2"/>
  <c r="K2709" i="2"/>
  <c r="L2709" i="2"/>
  <c r="N2709" i="2"/>
  <c r="O2709" i="2"/>
  <c r="Q2709" i="2"/>
  <c r="R2709" i="2"/>
  <c r="S2709" i="2"/>
  <c r="E2710" i="2"/>
  <c r="F2710" i="2"/>
  <c r="G2710" i="2"/>
  <c r="H2710" i="2"/>
  <c r="I2710" i="2"/>
  <c r="J2710" i="2"/>
  <c r="K2710" i="2"/>
  <c r="L2710" i="2"/>
  <c r="M2710" i="2"/>
  <c r="N2710" i="2"/>
  <c r="O2710" i="2"/>
  <c r="Q2710" i="2"/>
  <c r="R2710" i="2"/>
  <c r="S2710" i="2"/>
  <c r="E2711" i="2"/>
  <c r="F2711" i="2"/>
  <c r="G2711" i="2"/>
  <c r="H2711" i="2"/>
  <c r="I2711" i="2"/>
  <c r="J2711" i="2"/>
  <c r="M2711" i="2" s="1"/>
  <c r="K2711" i="2"/>
  <c r="L2711" i="2"/>
  <c r="N2711" i="2"/>
  <c r="O2711" i="2"/>
  <c r="Q2711" i="2"/>
  <c r="R2711" i="2"/>
  <c r="S2711" i="2"/>
  <c r="E2712" i="2"/>
  <c r="F2712" i="2"/>
  <c r="G2712" i="2"/>
  <c r="H2712" i="2"/>
  <c r="I2712" i="2"/>
  <c r="J2712" i="2"/>
  <c r="K2712" i="2"/>
  <c r="L2712" i="2"/>
  <c r="N2712" i="2"/>
  <c r="O2712" i="2"/>
  <c r="P2712" i="2" s="1"/>
  <c r="Q2712" i="2"/>
  <c r="R2712" i="2"/>
  <c r="S2712" i="2"/>
  <c r="E2713" i="2"/>
  <c r="F2713" i="2"/>
  <c r="G2713" i="2"/>
  <c r="H2713" i="2"/>
  <c r="M2713" i="2" s="1"/>
  <c r="I2713" i="2"/>
  <c r="J2713" i="2"/>
  <c r="K2713" i="2"/>
  <c r="L2713" i="2"/>
  <c r="N2713" i="2"/>
  <c r="O2713" i="2"/>
  <c r="Q2713" i="2"/>
  <c r="R2713" i="2"/>
  <c r="S2713" i="2"/>
  <c r="E2714" i="2"/>
  <c r="F2714" i="2"/>
  <c r="G2714" i="2"/>
  <c r="H2714" i="2"/>
  <c r="I2714" i="2"/>
  <c r="J2714" i="2"/>
  <c r="K2714" i="2"/>
  <c r="L2714" i="2"/>
  <c r="M2714" i="2"/>
  <c r="N2714" i="2"/>
  <c r="O2714" i="2"/>
  <c r="Q2714" i="2"/>
  <c r="R2714" i="2"/>
  <c r="S2714" i="2"/>
  <c r="E2715" i="2"/>
  <c r="F2715" i="2"/>
  <c r="G2715" i="2"/>
  <c r="H2715" i="2"/>
  <c r="I2715" i="2"/>
  <c r="J2715" i="2"/>
  <c r="M2715" i="2" s="1"/>
  <c r="K2715" i="2"/>
  <c r="L2715" i="2"/>
  <c r="N2715" i="2"/>
  <c r="O2715" i="2"/>
  <c r="Q2715" i="2"/>
  <c r="R2715" i="2"/>
  <c r="S2715" i="2"/>
  <c r="E2716" i="2"/>
  <c r="F2716" i="2"/>
  <c r="G2716" i="2"/>
  <c r="H2716" i="2"/>
  <c r="I2716" i="2"/>
  <c r="J2716" i="2"/>
  <c r="K2716" i="2"/>
  <c r="L2716" i="2"/>
  <c r="N2716" i="2"/>
  <c r="O2716" i="2"/>
  <c r="P2716" i="2" s="1"/>
  <c r="Q2716" i="2"/>
  <c r="R2716" i="2"/>
  <c r="S2716" i="2"/>
  <c r="E2717" i="2"/>
  <c r="F2717" i="2"/>
  <c r="G2717" i="2"/>
  <c r="H2717" i="2"/>
  <c r="M2717" i="2" s="1"/>
  <c r="I2717" i="2"/>
  <c r="J2717" i="2"/>
  <c r="K2717" i="2"/>
  <c r="L2717" i="2"/>
  <c r="N2717" i="2"/>
  <c r="O2717" i="2"/>
  <c r="P2717" i="2"/>
  <c r="Q2717" i="2"/>
  <c r="R2717" i="2"/>
  <c r="S2717" i="2"/>
  <c r="E2718" i="2"/>
  <c r="F2718" i="2"/>
  <c r="G2718" i="2"/>
  <c r="H2718" i="2"/>
  <c r="I2718" i="2"/>
  <c r="J2718" i="2"/>
  <c r="K2718" i="2"/>
  <c r="L2718" i="2"/>
  <c r="M2718" i="2"/>
  <c r="N2718" i="2"/>
  <c r="O2718" i="2"/>
  <c r="Q2718" i="2"/>
  <c r="R2718" i="2"/>
  <c r="S2718" i="2"/>
  <c r="E2719" i="2"/>
  <c r="F2719" i="2"/>
  <c r="G2719" i="2"/>
  <c r="H2719" i="2"/>
  <c r="I2719" i="2"/>
  <c r="J2719" i="2"/>
  <c r="K2719" i="2"/>
  <c r="L2719" i="2"/>
  <c r="N2719" i="2"/>
  <c r="O2719" i="2"/>
  <c r="Q2719" i="2"/>
  <c r="R2719" i="2"/>
  <c r="S2719" i="2"/>
  <c r="E2720" i="2"/>
  <c r="F2720" i="2"/>
  <c r="G2720" i="2"/>
  <c r="H2720" i="2"/>
  <c r="P2720" i="2" s="1"/>
  <c r="I2720" i="2"/>
  <c r="J2720" i="2"/>
  <c r="K2720" i="2"/>
  <c r="L2720" i="2"/>
  <c r="N2720" i="2"/>
  <c r="O2720" i="2"/>
  <c r="Q2720" i="2"/>
  <c r="R2720" i="2"/>
  <c r="S2720" i="2"/>
  <c r="E2721" i="2"/>
  <c r="F2721" i="2"/>
  <c r="G2721" i="2"/>
  <c r="H2721" i="2"/>
  <c r="M2721" i="2" s="1"/>
  <c r="I2721" i="2"/>
  <c r="J2721" i="2"/>
  <c r="K2721" i="2"/>
  <c r="L2721" i="2"/>
  <c r="N2721" i="2"/>
  <c r="O2721" i="2"/>
  <c r="P2721" i="2"/>
  <c r="Q2721" i="2"/>
  <c r="R2721" i="2"/>
  <c r="S2721" i="2"/>
  <c r="E2722" i="2"/>
  <c r="F2722" i="2"/>
  <c r="G2722" i="2"/>
  <c r="H2722" i="2"/>
  <c r="I2722" i="2"/>
  <c r="J2722" i="2"/>
  <c r="K2722" i="2"/>
  <c r="L2722" i="2"/>
  <c r="M2722" i="2"/>
  <c r="N2722" i="2"/>
  <c r="O2722" i="2"/>
  <c r="Q2722" i="2"/>
  <c r="R2722" i="2"/>
  <c r="S2722" i="2"/>
  <c r="E2723" i="2"/>
  <c r="F2723" i="2"/>
  <c r="G2723" i="2"/>
  <c r="H2723" i="2"/>
  <c r="I2723" i="2"/>
  <c r="J2723" i="2"/>
  <c r="K2723" i="2"/>
  <c r="L2723" i="2"/>
  <c r="N2723" i="2"/>
  <c r="O2723" i="2"/>
  <c r="Q2723" i="2"/>
  <c r="R2723" i="2"/>
  <c r="S2723" i="2"/>
  <c r="E2724" i="2"/>
  <c r="F2724" i="2"/>
  <c r="G2724" i="2"/>
  <c r="H2724" i="2"/>
  <c r="M2724" i="2" s="1"/>
  <c r="I2724" i="2"/>
  <c r="J2724" i="2"/>
  <c r="K2724" i="2"/>
  <c r="L2724" i="2"/>
  <c r="N2724" i="2"/>
  <c r="O2724" i="2"/>
  <c r="Q2724" i="2"/>
  <c r="R2724" i="2"/>
  <c r="S2724" i="2"/>
  <c r="E2725" i="2"/>
  <c r="F2725" i="2"/>
  <c r="G2725" i="2"/>
  <c r="H2725" i="2"/>
  <c r="M2725" i="2" s="1"/>
  <c r="I2725" i="2"/>
  <c r="J2725" i="2"/>
  <c r="K2725" i="2"/>
  <c r="L2725" i="2"/>
  <c r="N2725" i="2"/>
  <c r="O2725" i="2"/>
  <c r="P2725" i="2"/>
  <c r="Q2725" i="2"/>
  <c r="R2725" i="2"/>
  <c r="S2725" i="2"/>
  <c r="E2726" i="2"/>
  <c r="F2726" i="2"/>
  <c r="G2726" i="2"/>
  <c r="H2726" i="2"/>
  <c r="I2726" i="2"/>
  <c r="J2726" i="2"/>
  <c r="K2726" i="2"/>
  <c r="L2726" i="2"/>
  <c r="M2726" i="2"/>
  <c r="N2726" i="2"/>
  <c r="O2726" i="2"/>
  <c r="Q2726" i="2"/>
  <c r="R2726" i="2"/>
  <c r="S2726" i="2"/>
  <c r="E2727" i="2"/>
  <c r="F2727" i="2"/>
  <c r="G2727" i="2"/>
  <c r="H2727" i="2"/>
  <c r="I2727" i="2"/>
  <c r="J2727" i="2"/>
  <c r="K2727" i="2"/>
  <c r="L2727" i="2"/>
  <c r="N2727" i="2"/>
  <c r="O2727" i="2"/>
  <c r="Q2727" i="2"/>
  <c r="R2727" i="2"/>
  <c r="S2727" i="2"/>
  <c r="E2728" i="2"/>
  <c r="F2728" i="2"/>
  <c r="G2728" i="2"/>
  <c r="H2728" i="2"/>
  <c r="I2728" i="2"/>
  <c r="J2728" i="2"/>
  <c r="K2728" i="2"/>
  <c r="L2728" i="2"/>
  <c r="N2728" i="2"/>
  <c r="O2728" i="2"/>
  <c r="Q2728" i="2"/>
  <c r="R2728" i="2"/>
  <c r="S2728" i="2"/>
  <c r="E2729" i="2"/>
  <c r="F2729" i="2"/>
  <c r="G2729" i="2"/>
  <c r="H2729" i="2"/>
  <c r="M2729" i="2" s="1"/>
  <c r="I2729" i="2"/>
  <c r="J2729" i="2"/>
  <c r="K2729" i="2"/>
  <c r="L2729" i="2"/>
  <c r="N2729" i="2"/>
  <c r="O2729" i="2"/>
  <c r="P2729" i="2"/>
  <c r="Q2729" i="2"/>
  <c r="R2729" i="2"/>
  <c r="S2729" i="2"/>
  <c r="E2730" i="2"/>
  <c r="P2730" i="2" s="1"/>
  <c r="F2730" i="2"/>
  <c r="G2730" i="2"/>
  <c r="H2730" i="2"/>
  <c r="I2730" i="2"/>
  <c r="J2730" i="2"/>
  <c r="K2730" i="2"/>
  <c r="L2730" i="2"/>
  <c r="M2730" i="2"/>
  <c r="N2730" i="2"/>
  <c r="O2730" i="2"/>
  <c r="Q2730" i="2"/>
  <c r="R2730" i="2"/>
  <c r="S2730" i="2"/>
  <c r="E2731" i="2"/>
  <c r="F2731" i="2"/>
  <c r="G2731" i="2"/>
  <c r="H2731" i="2"/>
  <c r="I2731" i="2"/>
  <c r="J2731" i="2"/>
  <c r="M2731" i="2" s="1"/>
  <c r="K2731" i="2"/>
  <c r="L2731" i="2"/>
  <c r="N2731" i="2"/>
  <c r="O2731" i="2"/>
  <c r="Q2731" i="2"/>
  <c r="R2731" i="2"/>
  <c r="S2731" i="2"/>
  <c r="E2732" i="2"/>
  <c r="F2732" i="2"/>
  <c r="G2732" i="2"/>
  <c r="H2732" i="2"/>
  <c r="I2732" i="2"/>
  <c r="J2732" i="2"/>
  <c r="K2732" i="2"/>
  <c r="L2732" i="2"/>
  <c r="N2732" i="2"/>
  <c r="O2732" i="2"/>
  <c r="Q2732" i="2"/>
  <c r="R2732" i="2"/>
  <c r="S2732" i="2"/>
  <c r="E2733" i="2"/>
  <c r="F2733" i="2"/>
  <c r="G2733" i="2"/>
  <c r="H2733" i="2"/>
  <c r="M2733" i="2" s="1"/>
  <c r="I2733" i="2"/>
  <c r="J2733" i="2"/>
  <c r="K2733" i="2"/>
  <c r="L2733" i="2"/>
  <c r="N2733" i="2"/>
  <c r="O2733" i="2"/>
  <c r="Q2733" i="2"/>
  <c r="R2733" i="2"/>
  <c r="S2733" i="2"/>
  <c r="E2734" i="2"/>
  <c r="P2734" i="2" s="1"/>
  <c r="F2734" i="2"/>
  <c r="G2734" i="2"/>
  <c r="H2734" i="2"/>
  <c r="I2734" i="2"/>
  <c r="J2734" i="2"/>
  <c r="K2734" i="2"/>
  <c r="L2734" i="2"/>
  <c r="M2734" i="2"/>
  <c r="N2734" i="2"/>
  <c r="O2734" i="2"/>
  <c r="Q2734" i="2"/>
  <c r="R2734" i="2"/>
  <c r="S2734" i="2"/>
  <c r="E2735" i="2"/>
  <c r="F2735" i="2"/>
  <c r="G2735" i="2"/>
  <c r="H2735" i="2"/>
  <c r="I2735" i="2"/>
  <c r="J2735" i="2"/>
  <c r="M2735" i="2" s="1"/>
  <c r="K2735" i="2"/>
  <c r="L2735" i="2"/>
  <c r="N2735" i="2"/>
  <c r="O2735" i="2"/>
  <c r="Q2735" i="2"/>
  <c r="R2735" i="2"/>
  <c r="S2735" i="2"/>
  <c r="E2736" i="2"/>
  <c r="F2736" i="2"/>
  <c r="G2736" i="2"/>
  <c r="H2736" i="2"/>
  <c r="M2736" i="2" s="1"/>
  <c r="I2736" i="2"/>
  <c r="J2736" i="2"/>
  <c r="K2736" i="2"/>
  <c r="L2736" i="2"/>
  <c r="N2736" i="2"/>
  <c r="O2736" i="2"/>
  <c r="Q2736" i="2"/>
  <c r="R2736" i="2"/>
  <c r="S2736" i="2"/>
  <c r="E2737" i="2"/>
  <c r="F2737" i="2"/>
  <c r="G2737" i="2"/>
  <c r="H2737" i="2"/>
  <c r="M2737" i="2" s="1"/>
  <c r="I2737" i="2"/>
  <c r="J2737" i="2"/>
  <c r="K2737" i="2"/>
  <c r="L2737" i="2"/>
  <c r="N2737" i="2"/>
  <c r="O2737" i="2"/>
  <c r="P2737" i="2"/>
  <c r="Q2737" i="2"/>
  <c r="R2737" i="2"/>
  <c r="S2737" i="2"/>
  <c r="E2738" i="2"/>
  <c r="P2738" i="2" s="1"/>
  <c r="F2738" i="2"/>
  <c r="G2738" i="2"/>
  <c r="H2738" i="2"/>
  <c r="I2738" i="2"/>
  <c r="J2738" i="2"/>
  <c r="K2738" i="2"/>
  <c r="L2738" i="2"/>
  <c r="M2738" i="2"/>
  <c r="N2738" i="2"/>
  <c r="O2738" i="2"/>
  <c r="Q2738" i="2"/>
  <c r="R2738" i="2"/>
  <c r="S2738" i="2"/>
  <c r="E2739" i="2"/>
  <c r="F2739" i="2"/>
  <c r="G2739" i="2"/>
  <c r="H2739" i="2"/>
  <c r="I2739" i="2"/>
  <c r="J2739" i="2"/>
  <c r="M2739" i="2" s="1"/>
  <c r="K2739" i="2"/>
  <c r="L2739" i="2"/>
  <c r="N2739" i="2"/>
  <c r="O2739" i="2"/>
  <c r="Q2739" i="2"/>
  <c r="R2739" i="2"/>
  <c r="S2739" i="2"/>
  <c r="E2740" i="2"/>
  <c r="F2740" i="2"/>
  <c r="G2740" i="2"/>
  <c r="H2740" i="2"/>
  <c r="I2740" i="2"/>
  <c r="J2740" i="2"/>
  <c r="K2740" i="2"/>
  <c r="L2740" i="2"/>
  <c r="N2740" i="2"/>
  <c r="O2740" i="2"/>
  <c r="Q2740" i="2"/>
  <c r="R2740" i="2"/>
  <c r="S2740" i="2"/>
  <c r="E2741" i="2"/>
  <c r="F2741" i="2"/>
  <c r="G2741" i="2"/>
  <c r="H2741" i="2"/>
  <c r="M2741" i="2" s="1"/>
  <c r="I2741" i="2"/>
  <c r="J2741" i="2"/>
  <c r="K2741" i="2"/>
  <c r="L2741" i="2"/>
  <c r="N2741" i="2"/>
  <c r="O2741" i="2"/>
  <c r="Q2741" i="2"/>
  <c r="R2741" i="2"/>
  <c r="S2741" i="2"/>
  <c r="E2742" i="2"/>
  <c r="P2742" i="2" s="1"/>
  <c r="F2742" i="2"/>
  <c r="G2742" i="2"/>
  <c r="H2742" i="2"/>
  <c r="I2742" i="2"/>
  <c r="J2742" i="2"/>
  <c r="K2742" i="2"/>
  <c r="L2742" i="2"/>
  <c r="M2742" i="2"/>
  <c r="N2742" i="2"/>
  <c r="O2742" i="2"/>
  <c r="Q2742" i="2"/>
  <c r="R2742" i="2"/>
  <c r="S2742" i="2"/>
  <c r="E2743" i="2"/>
  <c r="F2743" i="2"/>
  <c r="G2743" i="2"/>
  <c r="H2743" i="2"/>
  <c r="I2743" i="2"/>
  <c r="J2743" i="2"/>
  <c r="M2743" i="2" s="1"/>
  <c r="K2743" i="2"/>
  <c r="L2743" i="2"/>
  <c r="N2743" i="2"/>
  <c r="O2743" i="2"/>
  <c r="Q2743" i="2"/>
  <c r="R2743" i="2"/>
  <c r="S2743" i="2"/>
  <c r="E2744" i="2"/>
  <c r="F2744" i="2"/>
  <c r="G2744" i="2"/>
  <c r="H2744" i="2"/>
  <c r="M2744" i="2" s="1"/>
  <c r="I2744" i="2"/>
  <c r="J2744" i="2"/>
  <c r="K2744" i="2"/>
  <c r="L2744" i="2"/>
  <c r="N2744" i="2"/>
  <c r="O2744" i="2"/>
  <c r="Q2744" i="2"/>
  <c r="R2744" i="2"/>
  <c r="S2744" i="2"/>
  <c r="E2745" i="2"/>
  <c r="F2745" i="2"/>
  <c r="G2745" i="2"/>
  <c r="H2745" i="2"/>
  <c r="M2745" i="2" s="1"/>
  <c r="I2745" i="2"/>
  <c r="J2745" i="2"/>
  <c r="K2745" i="2"/>
  <c r="L2745" i="2"/>
  <c r="N2745" i="2"/>
  <c r="O2745" i="2"/>
  <c r="P2745" i="2"/>
  <c r="Q2745" i="2"/>
  <c r="R2745" i="2"/>
  <c r="S2745" i="2"/>
  <c r="E2746" i="2"/>
  <c r="P2746" i="2" s="1"/>
  <c r="F2746" i="2"/>
  <c r="G2746" i="2"/>
  <c r="H2746" i="2"/>
  <c r="I2746" i="2"/>
  <c r="J2746" i="2"/>
  <c r="K2746" i="2"/>
  <c r="L2746" i="2"/>
  <c r="M2746" i="2"/>
  <c r="N2746" i="2"/>
  <c r="O2746" i="2"/>
  <c r="Q2746" i="2"/>
  <c r="R2746" i="2"/>
  <c r="S2746" i="2"/>
  <c r="E2747" i="2"/>
  <c r="F2747" i="2"/>
  <c r="G2747" i="2"/>
  <c r="H2747" i="2"/>
  <c r="I2747" i="2"/>
  <c r="J2747" i="2"/>
  <c r="M2747" i="2" s="1"/>
  <c r="K2747" i="2"/>
  <c r="L2747" i="2"/>
  <c r="N2747" i="2"/>
  <c r="O2747" i="2"/>
  <c r="Q2747" i="2"/>
  <c r="R2747" i="2"/>
  <c r="S2747" i="2"/>
  <c r="E2748" i="2"/>
  <c r="F2748" i="2"/>
  <c r="G2748" i="2"/>
  <c r="H2748" i="2"/>
  <c r="I2748" i="2"/>
  <c r="J2748" i="2"/>
  <c r="K2748" i="2"/>
  <c r="L2748" i="2"/>
  <c r="N2748" i="2"/>
  <c r="O2748" i="2"/>
  <c r="Q2748" i="2"/>
  <c r="R2748" i="2"/>
  <c r="S2748" i="2"/>
  <c r="E2749" i="2"/>
  <c r="F2749" i="2"/>
  <c r="G2749" i="2"/>
  <c r="H2749" i="2"/>
  <c r="M2749" i="2" s="1"/>
  <c r="I2749" i="2"/>
  <c r="J2749" i="2"/>
  <c r="K2749" i="2"/>
  <c r="L2749" i="2"/>
  <c r="N2749" i="2"/>
  <c r="O2749" i="2"/>
  <c r="P2749" i="2"/>
  <c r="Q2749" i="2"/>
  <c r="R2749" i="2"/>
  <c r="S2749" i="2"/>
  <c r="E2750" i="2"/>
  <c r="P2750" i="2" s="1"/>
  <c r="F2750" i="2"/>
  <c r="G2750" i="2"/>
  <c r="H2750" i="2"/>
  <c r="I2750" i="2"/>
  <c r="J2750" i="2"/>
  <c r="K2750" i="2"/>
  <c r="L2750" i="2"/>
  <c r="M2750" i="2"/>
  <c r="N2750" i="2"/>
  <c r="O2750" i="2"/>
  <c r="Q2750" i="2"/>
  <c r="R2750" i="2"/>
  <c r="S2750" i="2"/>
  <c r="E2751" i="2"/>
  <c r="F2751" i="2"/>
  <c r="G2751" i="2"/>
  <c r="H2751" i="2"/>
  <c r="I2751" i="2"/>
  <c r="J2751" i="2"/>
  <c r="M2751" i="2" s="1"/>
  <c r="K2751" i="2"/>
  <c r="L2751" i="2"/>
  <c r="N2751" i="2"/>
  <c r="O2751" i="2"/>
  <c r="Q2751" i="2"/>
  <c r="R2751" i="2"/>
  <c r="S2751" i="2"/>
  <c r="E2752" i="2"/>
  <c r="F2752" i="2"/>
  <c r="G2752" i="2"/>
  <c r="H2752" i="2"/>
  <c r="I2752" i="2"/>
  <c r="J2752" i="2"/>
  <c r="K2752" i="2"/>
  <c r="L2752" i="2"/>
  <c r="N2752" i="2"/>
  <c r="O2752" i="2"/>
  <c r="Q2752" i="2"/>
  <c r="R2752" i="2"/>
  <c r="S2752" i="2"/>
  <c r="E2753" i="2"/>
  <c r="F2753" i="2"/>
  <c r="G2753" i="2"/>
  <c r="H2753" i="2"/>
  <c r="M2753" i="2" s="1"/>
  <c r="I2753" i="2"/>
  <c r="J2753" i="2"/>
  <c r="K2753" i="2"/>
  <c r="L2753" i="2"/>
  <c r="N2753" i="2"/>
  <c r="O2753" i="2"/>
  <c r="P2753" i="2"/>
  <c r="Q2753" i="2"/>
  <c r="R2753" i="2"/>
  <c r="S2753" i="2"/>
  <c r="E2754" i="2"/>
  <c r="P2754" i="2" s="1"/>
  <c r="F2754" i="2"/>
  <c r="G2754" i="2"/>
  <c r="H2754" i="2"/>
  <c r="I2754" i="2"/>
  <c r="J2754" i="2"/>
  <c r="K2754" i="2"/>
  <c r="L2754" i="2"/>
  <c r="M2754" i="2"/>
  <c r="N2754" i="2"/>
  <c r="O2754" i="2"/>
  <c r="Q2754" i="2"/>
  <c r="R2754" i="2"/>
  <c r="S2754" i="2"/>
  <c r="E2755" i="2"/>
  <c r="F2755" i="2"/>
  <c r="G2755" i="2"/>
  <c r="H2755" i="2"/>
  <c r="I2755" i="2"/>
  <c r="J2755" i="2"/>
  <c r="M2755" i="2" s="1"/>
  <c r="K2755" i="2"/>
  <c r="L2755" i="2"/>
  <c r="N2755" i="2"/>
  <c r="O2755" i="2"/>
  <c r="Q2755" i="2"/>
  <c r="R2755" i="2"/>
  <c r="S2755" i="2"/>
  <c r="E2756" i="2"/>
  <c r="F2756" i="2"/>
  <c r="G2756" i="2"/>
  <c r="H2756" i="2"/>
  <c r="I2756" i="2"/>
  <c r="J2756" i="2"/>
  <c r="K2756" i="2"/>
  <c r="L2756" i="2"/>
  <c r="N2756" i="2"/>
  <c r="O2756" i="2"/>
  <c r="Q2756" i="2"/>
  <c r="R2756" i="2"/>
  <c r="S2756" i="2"/>
  <c r="E2757" i="2"/>
  <c r="F2757" i="2"/>
  <c r="G2757" i="2"/>
  <c r="H2757" i="2"/>
  <c r="M2757" i="2" s="1"/>
  <c r="I2757" i="2"/>
  <c r="J2757" i="2"/>
  <c r="K2757" i="2"/>
  <c r="L2757" i="2"/>
  <c r="N2757" i="2"/>
  <c r="O2757" i="2"/>
  <c r="Q2757" i="2"/>
  <c r="R2757" i="2"/>
  <c r="S2757" i="2"/>
  <c r="E2758" i="2"/>
  <c r="P2758" i="2" s="1"/>
  <c r="F2758" i="2"/>
  <c r="G2758" i="2"/>
  <c r="H2758" i="2"/>
  <c r="I2758" i="2"/>
  <c r="J2758" i="2"/>
  <c r="K2758" i="2"/>
  <c r="L2758" i="2"/>
  <c r="M2758" i="2"/>
  <c r="N2758" i="2"/>
  <c r="O2758" i="2"/>
  <c r="Q2758" i="2"/>
  <c r="R2758" i="2"/>
  <c r="S2758" i="2"/>
  <c r="E2759" i="2"/>
  <c r="F2759" i="2"/>
  <c r="G2759" i="2"/>
  <c r="H2759" i="2"/>
  <c r="I2759" i="2"/>
  <c r="J2759" i="2"/>
  <c r="M2759" i="2" s="1"/>
  <c r="K2759" i="2"/>
  <c r="L2759" i="2"/>
  <c r="N2759" i="2"/>
  <c r="O2759" i="2"/>
  <c r="Q2759" i="2"/>
  <c r="R2759" i="2"/>
  <c r="S2759" i="2"/>
  <c r="E2760" i="2"/>
  <c r="F2760" i="2"/>
  <c r="G2760" i="2"/>
  <c r="H2760" i="2"/>
  <c r="M2760" i="2" s="1"/>
  <c r="I2760" i="2"/>
  <c r="J2760" i="2"/>
  <c r="K2760" i="2"/>
  <c r="L2760" i="2"/>
  <c r="N2760" i="2"/>
  <c r="O2760" i="2"/>
  <c r="Q2760" i="2"/>
  <c r="R2760" i="2"/>
  <c r="S2760" i="2"/>
  <c r="E2761" i="2"/>
  <c r="F2761" i="2"/>
  <c r="G2761" i="2"/>
  <c r="H2761" i="2"/>
  <c r="M2761" i="2" s="1"/>
  <c r="I2761" i="2"/>
  <c r="J2761" i="2"/>
  <c r="K2761" i="2"/>
  <c r="L2761" i="2"/>
  <c r="N2761" i="2"/>
  <c r="O2761" i="2"/>
  <c r="P2761" i="2"/>
  <c r="Q2761" i="2"/>
  <c r="R2761" i="2"/>
  <c r="S2761" i="2"/>
  <c r="E2762" i="2"/>
  <c r="P2762" i="2" s="1"/>
  <c r="F2762" i="2"/>
  <c r="G2762" i="2"/>
  <c r="H2762" i="2"/>
  <c r="I2762" i="2"/>
  <c r="J2762" i="2"/>
  <c r="K2762" i="2"/>
  <c r="L2762" i="2"/>
  <c r="M2762" i="2"/>
  <c r="N2762" i="2"/>
  <c r="O2762" i="2"/>
  <c r="Q2762" i="2"/>
  <c r="R2762" i="2"/>
  <c r="S2762" i="2"/>
  <c r="E2763" i="2"/>
  <c r="F2763" i="2"/>
  <c r="G2763" i="2"/>
  <c r="H2763" i="2"/>
  <c r="I2763" i="2"/>
  <c r="J2763" i="2"/>
  <c r="M2763" i="2" s="1"/>
  <c r="K2763" i="2"/>
  <c r="L2763" i="2"/>
  <c r="N2763" i="2"/>
  <c r="O2763" i="2"/>
  <c r="Q2763" i="2"/>
  <c r="R2763" i="2"/>
  <c r="S2763" i="2"/>
  <c r="E2764" i="2"/>
  <c r="F2764" i="2"/>
  <c r="G2764" i="2"/>
  <c r="H2764" i="2"/>
  <c r="I2764" i="2"/>
  <c r="J2764" i="2"/>
  <c r="K2764" i="2"/>
  <c r="L2764" i="2"/>
  <c r="N2764" i="2"/>
  <c r="O2764" i="2"/>
  <c r="Q2764" i="2"/>
  <c r="R2764" i="2"/>
  <c r="S2764" i="2"/>
  <c r="E2765" i="2"/>
  <c r="F2765" i="2"/>
  <c r="G2765" i="2"/>
  <c r="H2765" i="2"/>
  <c r="M2765" i="2" s="1"/>
  <c r="I2765" i="2"/>
  <c r="J2765" i="2"/>
  <c r="K2765" i="2"/>
  <c r="L2765" i="2"/>
  <c r="N2765" i="2"/>
  <c r="O2765" i="2"/>
  <c r="Q2765" i="2"/>
  <c r="R2765" i="2"/>
  <c r="S2765" i="2"/>
  <c r="E2766" i="2"/>
  <c r="P2766" i="2" s="1"/>
  <c r="F2766" i="2"/>
  <c r="G2766" i="2"/>
  <c r="H2766" i="2"/>
  <c r="I2766" i="2"/>
  <c r="J2766" i="2"/>
  <c r="K2766" i="2"/>
  <c r="L2766" i="2"/>
  <c r="M2766" i="2"/>
  <c r="N2766" i="2"/>
  <c r="O2766" i="2"/>
  <c r="Q2766" i="2"/>
  <c r="R2766" i="2"/>
  <c r="S2766" i="2"/>
  <c r="E2767" i="2"/>
  <c r="F2767" i="2"/>
  <c r="G2767" i="2"/>
  <c r="H2767" i="2"/>
  <c r="I2767" i="2"/>
  <c r="J2767" i="2"/>
  <c r="M2767" i="2" s="1"/>
  <c r="K2767" i="2"/>
  <c r="L2767" i="2"/>
  <c r="N2767" i="2"/>
  <c r="O2767" i="2"/>
  <c r="Q2767" i="2"/>
  <c r="R2767" i="2"/>
  <c r="S2767" i="2"/>
  <c r="E2768" i="2"/>
  <c r="F2768" i="2"/>
  <c r="G2768" i="2"/>
  <c r="H2768" i="2"/>
  <c r="P2768" i="2" s="1"/>
  <c r="I2768" i="2"/>
  <c r="J2768" i="2"/>
  <c r="K2768" i="2"/>
  <c r="L2768" i="2"/>
  <c r="N2768" i="2"/>
  <c r="O2768" i="2"/>
  <c r="Q2768" i="2"/>
  <c r="R2768" i="2"/>
  <c r="S2768" i="2"/>
  <c r="E2769" i="2"/>
  <c r="F2769" i="2"/>
  <c r="G2769" i="2"/>
  <c r="H2769" i="2"/>
  <c r="M2769" i="2" s="1"/>
  <c r="I2769" i="2"/>
  <c r="J2769" i="2"/>
  <c r="K2769" i="2"/>
  <c r="L2769" i="2"/>
  <c r="N2769" i="2"/>
  <c r="O2769" i="2"/>
  <c r="P2769" i="2"/>
  <c r="Q2769" i="2"/>
  <c r="R2769" i="2"/>
  <c r="S2769" i="2"/>
  <c r="E2770" i="2"/>
  <c r="P2770" i="2" s="1"/>
  <c r="F2770" i="2"/>
  <c r="G2770" i="2"/>
  <c r="H2770" i="2"/>
  <c r="I2770" i="2"/>
  <c r="J2770" i="2"/>
  <c r="K2770" i="2"/>
  <c r="L2770" i="2"/>
  <c r="M2770" i="2"/>
  <c r="N2770" i="2"/>
  <c r="O2770" i="2"/>
  <c r="Q2770" i="2"/>
  <c r="R2770" i="2"/>
  <c r="S2770" i="2"/>
  <c r="E2771" i="2"/>
  <c r="F2771" i="2"/>
  <c r="G2771" i="2"/>
  <c r="H2771" i="2"/>
  <c r="I2771" i="2"/>
  <c r="J2771" i="2"/>
  <c r="M2771" i="2" s="1"/>
  <c r="K2771" i="2"/>
  <c r="L2771" i="2"/>
  <c r="N2771" i="2"/>
  <c r="O2771" i="2"/>
  <c r="Q2771" i="2"/>
  <c r="R2771" i="2"/>
  <c r="S2771" i="2"/>
  <c r="E2772" i="2"/>
  <c r="F2772" i="2"/>
  <c r="G2772" i="2"/>
  <c r="H2772" i="2"/>
  <c r="I2772" i="2"/>
  <c r="J2772" i="2"/>
  <c r="K2772" i="2"/>
  <c r="L2772" i="2"/>
  <c r="N2772" i="2"/>
  <c r="O2772" i="2"/>
  <c r="Q2772" i="2"/>
  <c r="R2772" i="2"/>
  <c r="S2772" i="2"/>
  <c r="E2773" i="2"/>
  <c r="F2773" i="2"/>
  <c r="G2773" i="2"/>
  <c r="H2773" i="2"/>
  <c r="M2773" i="2" s="1"/>
  <c r="I2773" i="2"/>
  <c r="J2773" i="2"/>
  <c r="K2773" i="2"/>
  <c r="L2773" i="2"/>
  <c r="N2773" i="2"/>
  <c r="O2773" i="2"/>
  <c r="Q2773" i="2"/>
  <c r="R2773" i="2"/>
  <c r="S2773" i="2"/>
  <c r="E2774" i="2"/>
  <c r="P2774" i="2" s="1"/>
  <c r="F2774" i="2"/>
  <c r="G2774" i="2"/>
  <c r="H2774" i="2"/>
  <c r="I2774" i="2"/>
  <c r="J2774" i="2"/>
  <c r="K2774" i="2"/>
  <c r="L2774" i="2"/>
  <c r="M2774" i="2"/>
  <c r="N2774" i="2"/>
  <c r="O2774" i="2"/>
  <c r="Q2774" i="2"/>
  <c r="R2774" i="2"/>
  <c r="S2774" i="2"/>
  <c r="E2775" i="2"/>
  <c r="F2775" i="2"/>
  <c r="G2775" i="2"/>
  <c r="H2775" i="2"/>
  <c r="I2775" i="2"/>
  <c r="J2775" i="2"/>
  <c r="M2775" i="2" s="1"/>
  <c r="K2775" i="2"/>
  <c r="L2775" i="2"/>
  <c r="N2775" i="2"/>
  <c r="O2775" i="2"/>
  <c r="Q2775" i="2"/>
  <c r="R2775" i="2"/>
  <c r="S2775" i="2"/>
  <c r="E2776" i="2"/>
  <c r="F2776" i="2"/>
  <c r="G2776" i="2"/>
  <c r="H2776" i="2"/>
  <c r="I2776" i="2"/>
  <c r="J2776" i="2"/>
  <c r="K2776" i="2"/>
  <c r="L2776" i="2"/>
  <c r="N2776" i="2"/>
  <c r="O2776" i="2"/>
  <c r="Q2776" i="2"/>
  <c r="R2776" i="2"/>
  <c r="S2776" i="2"/>
  <c r="E2777" i="2"/>
  <c r="F2777" i="2"/>
  <c r="G2777" i="2"/>
  <c r="H2777" i="2"/>
  <c r="M2777" i="2" s="1"/>
  <c r="I2777" i="2"/>
  <c r="J2777" i="2"/>
  <c r="K2777" i="2"/>
  <c r="L2777" i="2"/>
  <c r="N2777" i="2"/>
  <c r="O2777" i="2"/>
  <c r="P2777" i="2"/>
  <c r="Q2777" i="2"/>
  <c r="R2777" i="2"/>
  <c r="S2777" i="2"/>
  <c r="E2778" i="2"/>
  <c r="P2778" i="2" s="1"/>
  <c r="F2778" i="2"/>
  <c r="G2778" i="2"/>
  <c r="H2778" i="2"/>
  <c r="I2778" i="2"/>
  <c r="J2778" i="2"/>
  <c r="K2778" i="2"/>
  <c r="L2778" i="2"/>
  <c r="M2778" i="2"/>
  <c r="N2778" i="2"/>
  <c r="O2778" i="2"/>
  <c r="Q2778" i="2"/>
  <c r="R2778" i="2"/>
  <c r="S2778" i="2"/>
  <c r="E2779" i="2"/>
  <c r="F2779" i="2"/>
  <c r="G2779" i="2"/>
  <c r="H2779" i="2"/>
  <c r="I2779" i="2"/>
  <c r="J2779" i="2"/>
  <c r="M2779" i="2" s="1"/>
  <c r="K2779" i="2"/>
  <c r="L2779" i="2"/>
  <c r="N2779" i="2"/>
  <c r="O2779" i="2"/>
  <c r="Q2779" i="2"/>
  <c r="R2779" i="2"/>
  <c r="S2779" i="2"/>
  <c r="E2780" i="2"/>
  <c r="F2780" i="2"/>
  <c r="G2780" i="2"/>
  <c r="H2780" i="2"/>
  <c r="I2780" i="2"/>
  <c r="J2780" i="2"/>
  <c r="K2780" i="2"/>
  <c r="L2780" i="2"/>
  <c r="N2780" i="2"/>
  <c r="O2780" i="2"/>
  <c r="Q2780" i="2"/>
  <c r="R2780" i="2"/>
  <c r="S2780" i="2"/>
  <c r="E2781" i="2"/>
  <c r="F2781" i="2"/>
  <c r="G2781" i="2"/>
  <c r="H2781" i="2"/>
  <c r="M2781" i="2" s="1"/>
  <c r="I2781" i="2"/>
  <c r="J2781" i="2"/>
  <c r="K2781" i="2"/>
  <c r="L2781" i="2"/>
  <c r="N2781" i="2"/>
  <c r="O2781" i="2"/>
  <c r="Q2781" i="2"/>
  <c r="R2781" i="2"/>
  <c r="S2781" i="2"/>
  <c r="E2782" i="2"/>
  <c r="P2782" i="2" s="1"/>
  <c r="F2782" i="2"/>
  <c r="G2782" i="2"/>
  <c r="H2782" i="2"/>
  <c r="I2782" i="2"/>
  <c r="J2782" i="2"/>
  <c r="K2782" i="2"/>
  <c r="L2782" i="2"/>
  <c r="M2782" i="2"/>
  <c r="N2782" i="2"/>
  <c r="O2782" i="2"/>
  <c r="Q2782" i="2"/>
  <c r="R2782" i="2"/>
  <c r="S2782" i="2"/>
  <c r="E2783" i="2"/>
  <c r="F2783" i="2"/>
  <c r="G2783" i="2"/>
  <c r="H2783" i="2"/>
  <c r="I2783" i="2"/>
  <c r="J2783" i="2"/>
  <c r="M2783" i="2" s="1"/>
  <c r="K2783" i="2"/>
  <c r="L2783" i="2"/>
  <c r="N2783" i="2"/>
  <c r="O2783" i="2"/>
  <c r="Q2783" i="2"/>
  <c r="R2783" i="2"/>
  <c r="S2783" i="2"/>
  <c r="E2784" i="2"/>
  <c r="F2784" i="2"/>
  <c r="G2784" i="2"/>
  <c r="H2784" i="2"/>
  <c r="I2784" i="2"/>
  <c r="J2784" i="2"/>
  <c r="K2784" i="2"/>
  <c r="L2784" i="2"/>
  <c r="N2784" i="2"/>
  <c r="O2784" i="2"/>
  <c r="Q2784" i="2"/>
  <c r="R2784" i="2"/>
  <c r="S2784" i="2"/>
  <c r="E2785" i="2"/>
  <c r="F2785" i="2"/>
  <c r="G2785" i="2"/>
  <c r="H2785" i="2"/>
  <c r="M2785" i="2" s="1"/>
  <c r="I2785" i="2"/>
  <c r="J2785" i="2"/>
  <c r="K2785" i="2"/>
  <c r="L2785" i="2"/>
  <c r="N2785" i="2"/>
  <c r="O2785" i="2"/>
  <c r="P2785" i="2"/>
  <c r="Q2785" i="2"/>
  <c r="R2785" i="2"/>
  <c r="S2785" i="2"/>
  <c r="E2786" i="2"/>
  <c r="P2786" i="2" s="1"/>
  <c r="F2786" i="2"/>
  <c r="G2786" i="2"/>
  <c r="H2786" i="2"/>
  <c r="I2786" i="2"/>
  <c r="J2786" i="2"/>
  <c r="K2786" i="2"/>
  <c r="L2786" i="2"/>
  <c r="M2786" i="2"/>
  <c r="N2786" i="2"/>
  <c r="O2786" i="2"/>
  <c r="Q2786" i="2"/>
  <c r="R2786" i="2"/>
  <c r="S2786" i="2"/>
  <c r="E2787" i="2"/>
  <c r="F2787" i="2"/>
  <c r="G2787" i="2"/>
  <c r="H2787" i="2"/>
  <c r="I2787" i="2"/>
  <c r="J2787" i="2"/>
  <c r="M2787" i="2" s="1"/>
  <c r="K2787" i="2"/>
  <c r="L2787" i="2"/>
  <c r="N2787" i="2"/>
  <c r="O2787" i="2"/>
  <c r="Q2787" i="2"/>
  <c r="R2787" i="2"/>
  <c r="S2787" i="2"/>
  <c r="E2788" i="2"/>
  <c r="F2788" i="2"/>
  <c r="G2788" i="2"/>
  <c r="H2788" i="2"/>
  <c r="I2788" i="2"/>
  <c r="J2788" i="2"/>
  <c r="K2788" i="2"/>
  <c r="L2788" i="2"/>
  <c r="N2788" i="2"/>
  <c r="O2788" i="2"/>
  <c r="Q2788" i="2"/>
  <c r="R2788" i="2"/>
  <c r="S2788" i="2"/>
  <c r="E2789" i="2"/>
  <c r="F2789" i="2"/>
  <c r="G2789" i="2"/>
  <c r="H2789" i="2"/>
  <c r="M2789" i="2" s="1"/>
  <c r="I2789" i="2"/>
  <c r="J2789" i="2"/>
  <c r="K2789" i="2"/>
  <c r="L2789" i="2"/>
  <c r="N2789" i="2"/>
  <c r="O2789" i="2"/>
  <c r="Q2789" i="2"/>
  <c r="R2789" i="2"/>
  <c r="S2789" i="2"/>
  <c r="E2790" i="2"/>
  <c r="P2790" i="2" s="1"/>
  <c r="F2790" i="2"/>
  <c r="G2790" i="2"/>
  <c r="H2790" i="2"/>
  <c r="I2790" i="2"/>
  <c r="J2790" i="2"/>
  <c r="K2790" i="2"/>
  <c r="L2790" i="2"/>
  <c r="M2790" i="2"/>
  <c r="N2790" i="2"/>
  <c r="O2790" i="2"/>
  <c r="Q2790" i="2"/>
  <c r="R2790" i="2"/>
  <c r="S2790" i="2"/>
  <c r="E2791" i="2"/>
  <c r="F2791" i="2"/>
  <c r="G2791" i="2"/>
  <c r="H2791" i="2"/>
  <c r="I2791" i="2"/>
  <c r="J2791" i="2"/>
  <c r="M2791" i="2" s="1"/>
  <c r="K2791" i="2"/>
  <c r="L2791" i="2"/>
  <c r="N2791" i="2"/>
  <c r="O2791" i="2"/>
  <c r="Q2791" i="2"/>
  <c r="R2791" i="2"/>
  <c r="S2791" i="2"/>
  <c r="E2792" i="2"/>
  <c r="F2792" i="2"/>
  <c r="G2792" i="2"/>
  <c r="H2792" i="2"/>
  <c r="I2792" i="2"/>
  <c r="J2792" i="2"/>
  <c r="K2792" i="2"/>
  <c r="L2792" i="2"/>
  <c r="N2792" i="2"/>
  <c r="O2792" i="2"/>
  <c r="Q2792" i="2"/>
  <c r="R2792" i="2"/>
  <c r="S2792" i="2"/>
  <c r="E2793" i="2"/>
  <c r="F2793" i="2"/>
  <c r="G2793" i="2"/>
  <c r="H2793" i="2"/>
  <c r="M2793" i="2" s="1"/>
  <c r="I2793" i="2"/>
  <c r="J2793" i="2"/>
  <c r="K2793" i="2"/>
  <c r="L2793" i="2"/>
  <c r="N2793" i="2"/>
  <c r="O2793" i="2"/>
  <c r="P2793" i="2"/>
  <c r="Q2793" i="2"/>
  <c r="R2793" i="2"/>
  <c r="S2793" i="2"/>
  <c r="E2794" i="2"/>
  <c r="P2794" i="2" s="1"/>
  <c r="F2794" i="2"/>
  <c r="G2794" i="2"/>
  <c r="H2794" i="2"/>
  <c r="I2794" i="2"/>
  <c r="J2794" i="2"/>
  <c r="K2794" i="2"/>
  <c r="L2794" i="2"/>
  <c r="M2794" i="2"/>
  <c r="N2794" i="2"/>
  <c r="O2794" i="2"/>
  <c r="Q2794" i="2"/>
  <c r="R2794" i="2"/>
  <c r="S2794" i="2"/>
  <c r="E2795" i="2"/>
  <c r="F2795" i="2"/>
  <c r="G2795" i="2"/>
  <c r="H2795" i="2"/>
  <c r="I2795" i="2"/>
  <c r="J2795" i="2"/>
  <c r="M2795" i="2" s="1"/>
  <c r="K2795" i="2"/>
  <c r="L2795" i="2"/>
  <c r="N2795" i="2"/>
  <c r="O2795" i="2"/>
  <c r="Q2795" i="2"/>
  <c r="R2795" i="2"/>
  <c r="S2795" i="2"/>
  <c r="E2796" i="2"/>
  <c r="F2796" i="2"/>
  <c r="G2796" i="2"/>
  <c r="H2796" i="2"/>
  <c r="I2796" i="2"/>
  <c r="J2796" i="2"/>
  <c r="K2796" i="2"/>
  <c r="L2796" i="2"/>
  <c r="N2796" i="2"/>
  <c r="O2796" i="2"/>
  <c r="Q2796" i="2"/>
  <c r="R2796" i="2"/>
  <c r="S2796" i="2"/>
  <c r="E2797" i="2"/>
  <c r="F2797" i="2"/>
  <c r="G2797" i="2"/>
  <c r="H2797" i="2"/>
  <c r="M2797" i="2" s="1"/>
  <c r="I2797" i="2"/>
  <c r="J2797" i="2"/>
  <c r="K2797" i="2"/>
  <c r="L2797" i="2"/>
  <c r="N2797" i="2"/>
  <c r="O2797" i="2"/>
  <c r="Q2797" i="2"/>
  <c r="R2797" i="2"/>
  <c r="S2797" i="2"/>
  <c r="E2798" i="2"/>
  <c r="P2798" i="2" s="1"/>
  <c r="F2798" i="2"/>
  <c r="G2798" i="2"/>
  <c r="H2798" i="2"/>
  <c r="I2798" i="2"/>
  <c r="J2798" i="2"/>
  <c r="K2798" i="2"/>
  <c r="L2798" i="2"/>
  <c r="M2798" i="2"/>
  <c r="N2798" i="2"/>
  <c r="O2798" i="2"/>
  <c r="Q2798" i="2"/>
  <c r="R2798" i="2"/>
  <c r="S2798" i="2"/>
  <c r="E2799" i="2"/>
  <c r="F2799" i="2"/>
  <c r="G2799" i="2"/>
  <c r="H2799" i="2"/>
  <c r="I2799" i="2"/>
  <c r="J2799" i="2"/>
  <c r="M2799" i="2" s="1"/>
  <c r="K2799" i="2"/>
  <c r="L2799" i="2"/>
  <c r="N2799" i="2"/>
  <c r="O2799" i="2"/>
  <c r="Q2799" i="2"/>
  <c r="R2799" i="2"/>
  <c r="S2799" i="2"/>
  <c r="E2800" i="2"/>
  <c r="F2800" i="2"/>
  <c r="G2800" i="2"/>
  <c r="H2800" i="2"/>
  <c r="P2800" i="2" s="1"/>
  <c r="I2800" i="2"/>
  <c r="J2800" i="2"/>
  <c r="K2800" i="2"/>
  <c r="L2800" i="2"/>
  <c r="N2800" i="2"/>
  <c r="O2800" i="2"/>
  <c r="Q2800" i="2"/>
  <c r="R2800" i="2"/>
  <c r="S2800" i="2"/>
  <c r="E2801" i="2"/>
  <c r="F2801" i="2"/>
  <c r="G2801" i="2"/>
  <c r="H2801" i="2"/>
  <c r="M2801" i="2" s="1"/>
  <c r="I2801" i="2"/>
  <c r="J2801" i="2"/>
  <c r="K2801" i="2"/>
  <c r="L2801" i="2"/>
  <c r="N2801" i="2"/>
  <c r="O2801" i="2"/>
  <c r="P2801" i="2"/>
  <c r="Q2801" i="2"/>
  <c r="R2801" i="2"/>
  <c r="S2801" i="2"/>
  <c r="E2802" i="2"/>
  <c r="P2802" i="2" s="1"/>
  <c r="F2802" i="2"/>
  <c r="G2802" i="2"/>
  <c r="H2802" i="2"/>
  <c r="I2802" i="2"/>
  <c r="J2802" i="2"/>
  <c r="K2802" i="2"/>
  <c r="L2802" i="2"/>
  <c r="M2802" i="2"/>
  <c r="N2802" i="2"/>
  <c r="O2802" i="2"/>
  <c r="Q2802" i="2"/>
  <c r="R2802" i="2"/>
  <c r="S2802" i="2"/>
  <c r="E2803" i="2"/>
  <c r="F2803" i="2"/>
  <c r="G2803" i="2"/>
  <c r="H2803" i="2"/>
  <c r="I2803" i="2"/>
  <c r="J2803" i="2"/>
  <c r="M2803" i="2" s="1"/>
  <c r="K2803" i="2"/>
  <c r="L2803" i="2"/>
  <c r="N2803" i="2"/>
  <c r="O2803" i="2"/>
  <c r="Q2803" i="2"/>
  <c r="R2803" i="2"/>
  <c r="S2803" i="2"/>
  <c r="E2804" i="2"/>
  <c r="F2804" i="2"/>
  <c r="G2804" i="2"/>
  <c r="H2804" i="2"/>
  <c r="I2804" i="2"/>
  <c r="J2804" i="2"/>
  <c r="K2804" i="2"/>
  <c r="L2804" i="2"/>
  <c r="N2804" i="2"/>
  <c r="O2804" i="2"/>
  <c r="Q2804" i="2"/>
  <c r="R2804" i="2"/>
  <c r="S2804" i="2"/>
  <c r="E2805" i="2"/>
  <c r="F2805" i="2"/>
  <c r="G2805" i="2"/>
  <c r="H2805" i="2"/>
  <c r="M2805" i="2" s="1"/>
  <c r="I2805" i="2"/>
  <c r="J2805" i="2"/>
  <c r="K2805" i="2"/>
  <c r="L2805" i="2"/>
  <c r="N2805" i="2"/>
  <c r="O2805" i="2"/>
  <c r="P2805" i="2"/>
  <c r="Q2805" i="2"/>
  <c r="R2805" i="2"/>
  <c r="S2805" i="2"/>
  <c r="E2806" i="2"/>
  <c r="P2806" i="2" s="1"/>
  <c r="F2806" i="2"/>
  <c r="G2806" i="2"/>
  <c r="H2806" i="2"/>
  <c r="I2806" i="2"/>
  <c r="J2806" i="2"/>
  <c r="K2806" i="2"/>
  <c r="L2806" i="2"/>
  <c r="M2806" i="2"/>
  <c r="N2806" i="2"/>
  <c r="O2806" i="2"/>
  <c r="Q2806" i="2"/>
  <c r="R2806" i="2"/>
  <c r="S2806" i="2"/>
  <c r="E2807" i="2"/>
  <c r="F2807" i="2"/>
  <c r="G2807" i="2"/>
  <c r="H2807" i="2"/>
  <c r="I2807" i="2"/>
  <c r="J2807" i="2"/>
  <c r="M2807" i="2" s="1"/>
  <c r="K2807" i="2"/>
  <c r="L2807" i="2"/>
  <c r="N2807" i="2"/>
  <c r="O2807" i="2"/>
  <c r="Q2807" i="2"/>
  <c r="R2807" i="2"/>
  <c r="S2807" i="2"/>
  <c r="E2808" i="2"/>
  <c r="F2808" i="2"/>
  <c r="G2808" i="2"/>
  <c r="H2808" i="2"/>
  <c r="P2808" i="2" s="1"/>
  <c r="I2808" i="2"/>
  <c r="J2808" i="2"/>
  <c r="K2808" i="2"/>
  <c r="L2808" i="2"/>
  <c r="N2808" i="2"/>
  <c r="O2808" i="2"/>
  <c r="Q2808" i="2"/>
  <c r="R2808" i="2"/>
  <c r="S2808" i="2"/>
  <c r="E2809" i="2"/>
  <c r="F2809" i="2"/>
  <c r="G2809" i="2"/>
  <c r="H2809" i="2"/>
  <c r="M2809" i="2" s="1"/>
  <c r="I2809" i="2"/>
  <c r="J2809" i="2"/>
  <c r="K2809" i="2"/>
  <c r="L2809" i="2"/>
  <c r="N2809" i="2"/>
  <c r="O2809" i="2"/>
  <c r="P2809" i="2"/>
  <c r="Q2809" i="2"/>
  <c r="R2809" i="2"/>
  <c r="S2809" i="2"/>
  <c r="E2810" i="2"/>
  <c r="P2810" i="2" s="1"/>
  <c r="F2810" i="2"/>
  <c r="G2810" i="2"/>
  <c r="H2810" i="2"/>
  <c r="I2810" i="2"/>
  <c r="J2810" i="2"/>
  <c r="K2810" i="2"/>
  <c r="L2810" i="2"/>
  <c r="M2810" i="2"/>
  <c r="N2810" i="2"/>
  <c r="O2810" i="2"/>
  <c r="Q2810" i="2"/>
  <c r="R2810" i="2"/>
  <c r="S2810" i="2"/>
  <c r="E2811" i="2"/>
  <c r="F2811" i="2"/>
  <c r="G2811" i="2"/>
  <c r="H2811" i="2"/>
  <c r="I2811" i="2"/>
  <c r="J2811" i="2"/>
  <c r="M2811" i="2" s="1"/>
  <c r="K2811" i="2"/>
  <c r="L2811" i="2"/>
  <c r="N2811" i="2"/>
  <c r="O2811" i="2"/>
  <c r="Q2811" i="2"/>
  <c r="R2811" i="2"/>
  <c r="S2811" i="2"/>
  <c r="E2812" i="2"/>
  <c r="F2812" i="2"/>
  <c r="G2812" i="2"/>
  <c r="H2812" i="2"/>
  <c r="I2812" i="2"/>
  <c r="J2812" i="2"/>
  <c r="K2812" i="2"/>
  <c r="L2812" i="2"/>
  <c r="N2812" i="2"/>
  <c r="O2812" i="2"/>
  <c r="Q2812" i="2"/>
  <c r="R2812" i="2"/>
  <c r="S2812" i="2"/>
  <c r="E2813" i="2"/>
  <c r="F2813" i="2"/>
  <c r="G2813" i="2"/>
  <c r="H2813" i="2"/>
  <c r="M2813" i="2" s="1"/>
  <c r="I2813" i="2"/>
  <c r="J2813" i="2"/>
  <c r="K2813" i="2"/>
  <c r="L2813" i="2"/>
  <c r="N2813" i="2"/>
  <c r="O2813" i="2"/>
  <c r="P2813" i="2"/>
  <c r="Q2813" i="2"/>
  <c r="R2813" i="2"/>
  <c r="S2813" i="2"/>
  <c r="E2814" i="2"/>
  <c r="P2814" i="2" s="1"/>
  <c r="F2814" i="2"/>
  <c r="G2814" i="2"/>
  <c r="H2814" i="2"/>
  <c r="I2814" i="2"/>
  <c r="J2814" i="2"/>
  <c r="K2814" i="2"/>
  <c r="L2814" i="2"/>
  <c r="M2814" i="2"/>
  <c r="N2814" i="2"/>
  <c r="O2814" i="2"/>
  <c r="Q2814" i="2"/>
  <c r="R2814" i="2"/>
  <c r="S2814" i="2"/>
  <c r="E2815" i="2"/>
  <c r="F2815" i="2"/>
  <c r="G2815" i="2"/>
  <c r="H2815" i="2"/>
  <c r="I2815" i="2"/>
  <c r="J2815" i="2"/>
  <c r="M2815" i="2" s="1"/>
  <c r="K2815" i="2"/>
  <c r="L2815" i="2"/>
  <c r="N2815" i="2"/>
  <c r="O2815" i="2"/>
  <c r="Q2815" i="2"/>
  <c r="R2815" i="2"/>
  <c r="S2815" i="2"/>
  <c r="E2816" i="2"/>
  <c r="F2816" i="2"/>
  <c r="G2816" i="2"/>
  <c r="H2816" i="2"/>
  <c r="P2816" i="2" s="1"/>
  <c r="I2816" i="2"/>
  <c r="J2816" i="2"/>
  <c r="K2816" i="2"/>
  <c r="L2816" i="2"/>
  <c r="N2816" i="2"/>
  <c r="O2816" i="2"/>
  <c r="Q2816" i="2"/>
  <c r="R2816" i="2"/>
  <c r="S2816" i="2"/>
  <c r="E2817" i="2"/>
  <c r="F2817" i="2"/>
  <c r="G2817" i="2"/>
  <c r="H2817" i="2"/>
  <c r="M2817" i="2" s="1"/>
  <c r="I2817" i="2"/>
  <c r="J2817" i="2"/>
  <c r="K2817" i="2"/>
  <c r="L2817" i="2"/>
  <c r="N2817" i="2"/>
  <c r="O2817" i="2"/>
  <c r="P2817" i="2"/>
  <c r="Q2817" i="2"/>
  <c r="R2817" i="2"/>
  <c r="S2817" i="2"/>
  <c r="E2818" i="2"/>
  <c r="P2818" i="2" s="1"/>
  <c r="F2818" i="2"/>
  <c r="G2818" i="2"/>
  <c r="H2818" i="2"/>
  <c r="I2818" i="2"/>
  <c r="J2818" i="2"/>
  <c r="K2818" i="2"/>
  <c r="L2818" i="2"/>
  <c r="M2818" i="2"/>
  <c r="N2818" i="2"/>
  <c r="O2818" i="2"/>
  <c r="Q2818" i="2"/>
  <c r="R2818" i="2"/>
  <c r="S2818" i="2"/>
  <c r="E2819" i="2"/>
  <c r="F2819" i="2"/>
  <c r="G2819" i="2"/>
  <c r="H2819" i="2"/>
  <c r="I2819" i="2"/>
  <c r="J2819" i="2"/>
  <c r="M2819" i="2" s="1"/>
  <c r="K2819" i="2"/>
  <c r="L2819" i="2"/>
  <c r="N2819" i="2"/>
  <c r="O2819" i="2"/>
  <c r="Q2819" i="2"/>
  <c r="R2819" i="2"/>
  <c r="S2819" i="2"/>
  <c r="E2820" i="2"/>
  <c r="F2820" i="2"/>
  <c r="G2820" i="2"/>
  <c r="H2820" i="2"/>
  <c r="I2820" i="2"/>
  <c r="J2820" i="2"/>
  <c r="K2820" i="2"/>
  <c r="L2820" i="2"/>
  <c r="N2820" i="2"/>
  <c r="O2820" i="2"/>
  <c r="Q2820" i="2"/>
  <c r="R2820" i="2"/>
  <c r="S2820" i="2"/>
  <c r="E2821" i="2"/>
  <c r="F2821" i="2"/>
  <c r="G2821" i="2"/>
  <c r="H2821" i="2"/>
  <c r="M2821" i="2" s="1"/>
  <c r="I2821" i="2"/>
  <c r="J2821" i="2"/>
  <c r="K2821" i="2"/>
  <c r="L2821" i="2"/>
  <c r="N2821" i="2"/>
  <c r="O2821" i="2"/>
  <c r="Q2821" i="2"/>
  <c r="R2821" i="2"/>
  <c r="S2821" i="2"/>
  <c r="E2822" i="2"/>
  <c r="P2822" i="2" s="1"/>
  <c r="F2822" i="2"/>
  <c r="G2822" i="2"/>
  <c r="H2822" i="2"/>
  <c r="I2822" i="2"/>
  <c r="J2822" i="2"/>
  <c r="K2822" i="2"/>
  <c r="L2822" i="2"/>
  <c r="M2822" i="2"/>
  <c r="N2822" i="2"/>
  <c r="O2822" i="2"/>
  <c r="Q2822" i="2"/>
  <c r="R2822" i="2"/>
  <c r="S2822" i="2"/>
  <c r="E2823" i="2"/>
  <c r="F2823" i="2"/>
  <c r="G2823" i="2"/>
  <c r="H2823" i="2"/>
  <c r="I2823" i="2"/>
  <c r="J2823" i="2"/>
  <c r="M2823" i="2" s="1"/>
  <c r="K2823" i="2"/>
  <c r="L2823" i="2"/>
  <c r="N2823" i="2"/>
  <c r="O2823" i="2"/>
  <c r="Q2823" i="2"/>
  <c r="R2823" i="2"/>
  <c r="S2823" i="2"/>
  <c r="E2824" i="2"/>
  <c r="F2824" i="2"/>
  <c r="G2824" i="2"/>
  <c r="H2824" i="2"/>
  <c r="M2824" i="2" s="1"/>
  <c r="I2824" i="2"/>
  <c r="J2824" i="2"/>
  <c r="K2824" i="2"/>
  <c r="L2824" i="2"/>
  <c r="N2824" i="2"/>
  <c r="O2824" i="2"/>
  <c r="Q2824" i="2"/>
  <c r="R2824" i="2"/>
  <c r="S2824" i="2"/>
  <c r="E2825" i="2"/>
  <c r="F2825" i="2"/>
  <c r="G2825" i="2"/>
  <c r="H2825" i="2"/>
  <c r="M2825" i="2" s="1"/>
  <c r="I2825" i="2"/>
  <c r="J2825" i="2"/>
  <c r="K2825" i="2"/>
  <c r="L2825" i="2"/>
  <c r="N2825" i="2"/>
  <c r="O2825" i="2"/>
  <c r="P2825" i="2"/>
  <c r="Q2825" i="2"/>
  <c r="R2825" i="2"/>
  <c r="S2825" i="2"/>
  <c r="E2826" i="2"/>
  <c r="P2826" i="2" s="1"/>
  <c r="F2826" i="2"/>
  <c r="G2826" i="2"/>
  <c r="H2826" i="2"/>
  <c r="I2826" i="2"/>
  <c r="J2826" i="2"/>
  <c r="K2826" i="2"/>
  <c r="L2826" i="2"/>
  <c r="M2826" i="2"/>
  <c r="N2826" i="2"/>
  <c r="O2826" i="2"/>
  <c r="Q2826" i="2"/>
  <c r="R2826" i="2"/>
  <c r="S2826" i="2"/>
  <c r="E2827" i="2"/>
  <c r="F2827" i="2"/>
  <c r="G2827" i="2"/>
  <c r="H2827" i="2"/>
  <c r="I2827" i="2"/>
  <c r="J2827" i="2"/>
  <c r="M2827" i="2" s="1"/>
  <c r="K2827" i="2"/>
  <c r="L2827" i="2"/>
  <c r="N2827" i="2"/>
  <c r="O2827" i="2"/>
  <c r="Q2827" i="2"/>
  <c r="R2827" i="2"/>
  <c r="S2827" i="2"/>
  <c r="E2828" i="2"/>
  <c r="F2828" i="2"/>
  <c r="G2828" i="2"/>
  <c r="H2828" i="2"/>
  <c r="I2828" i="2"/>
  <c r="J2828" i="2"/>
  <c r="K2828" i="2"/>
  <c r="L2828" i="2"/>
  <c r="N2828" i="2"/>
  <c r="O2828" i="2"/>
  <c r="Q2828" i="2"/>
  <c r="R2828" i="2"/>
  <c r="S2828" i="2"/>
  <c r="E2829" i="2"/>
  <c r="F2829" i="2"/>
  <c r="G2829" i="2"/>
  <c r="H2829" i="2"/>
  <c r="M2829" i="2" s="1"/>
  <c r="I2829" i="2"/>
  <c r="J2829" i="2"/>
  <c r="K2829" i="2"/>
  <c r="L2829" i="2"/>
  <c r="N2829" i="2"/>
  <c r="O2829" i="2"/>
  <c r="P2829" i="2"/>
  <c r="Q2829" i="2"/>
  <c r="R2829" i="2"/>
  <c r="S2829" i="2"/>
  <c r="E2830" i="2"/>
  <c r="P2830" i="2" s="1"/>
  <c r="F2830" i="2"/>
  <c r="G2830" i="2"/>
  <c r="H2830" i="2"/>
  <c r="I2830" i="2"/>
  <c r="J2830" i="2"/>
  <c r="K2830" i="2"/>
  <c r="L2830" i="2"/>
  <c r="M2830" i="2"/>
  <c r="N2830" i="2"/>
  <c r="O2830" i="2"/>
  <c r="Q2830" i="2"/>
  <c r="R2830" i="2"/>
  <c r="S2830" i="2"/>
  <c r="E2831" i="2"/>
  <c r="F2831" i="2"/>
  <c r="G2831" i="2"/>
  <c r="H2831" i="2"/>
  <c r="I2831" i="2"/>
  <c r="J2831" i="2"/>
  <c r="M2831" i="2" s="1"/>
  <c r="K2831" i="2"/>
  <c r="L2831" i="2"/>
  <c r="N2831" i="2"/>
  <c r="O2831" i="2"/>
  <c r="Q2831" i="2"/>
  <c r="R2831" i="2"/>
  <c r="S2831" i="2"/>
  <c r="E2832" i="2"/>
  <c r="F2832" i="2"/>
  <c r="G2832" i="2"/>
  <c r="H2832" i="2"/>
  <c r="M2832" i="2" s="1"/>
  <c r="I2832" i="2"/>
  <c r="J2832" i="2"/>
  <c r="K2832" i="2"/>
  <c r="L2832" i="2"/>
  <c r="N2832" i="2"/>
  <c r="O2832" i="2"/>
  <c r="Q2832" i="2"/>
  <c r="R2832" i="2"/>
  <c r="S2832" i="2"/>
  <c r="E2833" i="2"/>
  <c r="F2833" i="2"/>
  <c r="G2833" i="2"/>
  <c r="H2833" i="2"/>
  <c r="M2833" i="2" s="1"/>
  <c r="I2833" i="2"/>
  <c r="J2833" i="2"/>
  <c r="K2833" i="2"/>
  <c r="L2833" i="2"/>
  <c r="N2833" i="2"/>
  <c r="O2833" i="2"/>
  <c r="P2833" i="2"/>
  <c r="Q2833" i="2"/>
  <c r="R2833" i="2"/>
  <c r="S2833" i="2"/>
  <c r="E2834" i="2"/>
  <c r="P2834" i="2" s="1"/>
  <c r="F2834" i="2"/>
  <c r="G2834" i="2"/>
  <c r="H2834" i="2"/>
  <c r="I2834" i="2"/>
  <c r="J2834" i="2"/>
  <c r="K2834" i="2"/>
  <c r="L2834" i="2"/>
  <c r="M2834" i="2"/>
  <c r="N2834" i="2"/>
  <c r="O2834" i="2"/>
  <c r="Q2834" i="2"/>
  <c r="R2834" i="2"/>
  <c r="S2834" i="2"/>
  <c r="E2835" i="2"/>
  <c r="F2835" i="2"/>
  <c r="G2835" i="2"/>
  <c r="H2835" i="2"/>
  <c r="I2835" i="2"/>
  <c r="J2835" i="2"/>
  <c r="M2835" i="2" s="1"/>
  <c r="K2835" i="2"/>
  <c r="L2835" i="2"/>
  <c r="N2835" i="2"/>
  <c r="O2835" i="2"/>
  <c r="Q2835" i="2"/>
  <c r="R2835" i="2"/>
  <c r="S2835" i="2"/>
  <c r="E2836" i="2"/>
  <c r="F2836" i="2"/>
  <c r="G2836" i="2"/>
  <c r="H2836" i="2"/>
  <c r="I2836" i="2"/>
  <c r="J2836" i="2"/>
  <c r="K2836" i="2"/>
  <c r="L2836" i="2"/>
  <c r="N2836" i="2"/>
  <c r="O2836" i="2"/>
  <c r="Q2836" i="2"/>
  <c r="R2836" i="2"/>
  <c r="S2836" i="2"/>
  <c r="E2837" i="2"/>
  <c r="F2837" i="2"/>
  <c r="G2837" i="2"/>
  <c r="H2837" i="2"/>
  <c r="M2837" i="2" s="1"/>
  <c r="I2837" i="2"/>
  <c r="J2837" i="2"/>
  <c r="K2837" i="2"/>
  <c r="L2837" i="2"/>
  <c r="N2837" i="2"/>
  <c r="O2837" i="2"/>
  <c r="P2837" i="2"/>
  <c r="Q2837" i="2"/>
  <c r="R2837" i="2"/>
  <c r="S2837" i="2"/>
  <c r="E2838" i="2"/>
  <c r="P2838" i="2" s="1"/>
  <c r="F2838" i="2"/>
  <c r="G2838" i="2"/>
  <c r="H2838" i="2"/>
  <c r="I2838" i="2"/>
  <c r="J2838" i="2"/>
  <c r="K2838" i="2"/>
  <c r="L2838" i="2"/>
  <c r="M2838" i="2"/>
  <c r="N2838" i="2"/>
  <c r="O2838" i="2"/>
  <c r="Q2838" i="2"/>
  <c r="R2838" i="2"/>
  <c r="S2838" i="2"/>
  <c r="E2839" i="2"/>
  <c r="F2839" i="2"/>
  <c r="G2839" i="2"/>
  <c r="H2839" i="2"/>
  <c r="I2839" i="2"/>
  <c r="J2839" i="2"/>
  <c r="M2839" i="2" s="1"/>
  <c r="K2839" i="2"/>
  <c r="L2839" i="2"/>
  <c r="N2839" i="2"/>
  <c r="O2839" i="2"/>
  <c r="Q2839" i="2"/>
  <c r="R2839" i="2"/>
  <c r="S2839" i="2"/>
  <c r="E2840" i="2"/>
  <c r="F2840" i="2"/>
  <c r="G2840" i="2"/>
  <c r="H2840" i="2"/>
  <c r="M2840" i="2" s="1"/>
  <c r="I2840" i="2"/>
  <c r="J2840" i="2"/>
  <c r="K2840" i="2"/>
  <c r="L2840" i="2"/>
  <c r="N2840" i="2"/>
  <c r="O2840" i="2"/>
  <c r="Q2840" i="2"/>
  <c r="R2840" i="2"/>
  <c r="S2840" i="2"/>
  <c r="E2841" i="2"/>
  <c r="F2841" i="2"/>
  <c r="G2841" i="2"/>
  <c r="H2841" i="2"/>
  <c r="M2841" i="2" s="1"/>
  <c r="I2841" i="2"/>
  <c r="J2841" i="2"/>
  <c r="K2841" i="2"/>
  <c r="L2841" i="2"/>
  <c r="N2841" i="2"/>
  <c r="O2841" i="2"/>
  <c r="P2841" i="2"/>
  <c r="Q2841" i="2"/>
  <c r="R2841" i="2"/>
  <c r="S2841" i="2"/>
  <c r="E2842" i="2"/>
  <c r="P2842" i="2" s="1"/>
  <c r="F2842" i="2"/>
  <c r="G2842" i="2"/>
  <c r="H2842" i="2"/>
  <c r="I2842" i="2"/>
  <c r="J2842" i="2"/>
  <c r="K2842" i="2"/>
  <c r="L2842" i="2"/>
  <c r="M2842" i="2"/>
  <c r="N2842" i="2"/>
  <c r="O2842" i="2"/>
  <c r="Q2842" i="2"/>
  <c r="R2842" i="2"/>
  <c r="S2842" i="2"/>
  <c r="E2843" i="2"/>
  <c r="F2843" i="2"/>
  <c r="G2843" i="2"/>
  <c r="H2843" i="2"/>
  <c r="I2843" i="2"/>
  <c r="J2843" i="2"/>
  <c r="M2843" i="2" s="1"/>
  <c r="K2843" i="2"/>
  <c r="L2843" i="2"/>
  <c r="N2843" i="2"/>
  <c r="O2843" i="2"/>
  <c r="Q2843" i="2"/>
  <c r="R2843" i="2"/>
  <c r="S2843" i="2"/>
  <c r="E2844" i="2"/>
  <c r="F2844" i="2"/>
  <c r="G2844" i="2"/>
  <c r="H2844" i="2"/>
  <c r="I2844" i="2"/>
  <c r="J2844" i="2"/>
  <c r="K2844" i="2"/>
  <c r="L2844" i="2"/>
  <c r="N2844" i="2"/>
  <c r="O2844" i="2"/>
  <c r="Q2844" i="2"/>
  <c r="R2844" i="2"/>
  <c r="S2844" i="2"/>
  <c r="E2845" i="2"/>
  <c r="F2845" i="2"/>
  <c r="G2845" i="2"/>
  <c r="H2845" i="2"/>
  <c r="M2845" i="2" s="1"/>
  <c r="I2845" i="2"/>
  <c r="J2845" i="2"/>
  <c r="K2845" i="2"/>
  <c r="L2845" i="2"/>
  <c r="N2845" i="2"/>
  <c r="O2845" i="2"/>
  <c r="P2845" i="2"/>
  <c r="Q2845" i="2"/>
  <c r="R2845" i="2"/>
  <c r="S2845" i="2"/>
  <c r="E2846" i="2"/>
  <c r="P2846" i="2" s="1"/>
  <c r="F2846" i="2"/>
  <c r="G2846" i="2"/>
  <c r="H2846" i="2"/>
  <c r="I2846" i="2"/>
  <c r="J2846" i="2"/>
  <c r="K2846" i="2"/>
  <c r="L2846" i="2"/>
  <c r="M2846" i="2"/>
  <c r="N2846" i="2"/>
  <c r="O2846" i="2"/>
  <c r="Q2846" i="2"/>
  <c r="R2846" i="2"/>
  <c r="S2846" i="2"/>
  <c r="E2847" i="2"/>
  <c r="F2847" i="2"/>
  <c r="G2847" i="2"/>
  <c r="H2847" i="2"/>
  <c r="I2847" i="2"/>
  <c r="J2847" i="2"/>
  <c r="M2847" i="2" s="1"/>
  <c r="K2847" i="2"/>
  <c r="L2847" i="2"/>
  <c r="N2847" i="2"/>
  <c r="O2847" i="2"/>
  <c r="Q2847" i="2"/>
  <c r="R2847" i="2"/>
  <c r="S2847" i="2"/>
  <c r="E2848" i="2"/>
  <c r="F2848" i="2"/>
  <c r="G2848" i="2"/>
  <c r="H2848" i="2"/>
  <c r="I2848" i="2"/>
  <c r="J2848" i="2"/>
  <c r="K2848" i="2"/>
  <c r="L2848" i="2"/>
  <c r="N2848" i="2"/>
  <c r="O2848" i="2"/>
  <c r="Q2848" i="2"/>
  <c r="R2848" i="2"/>
  <c r="S2848" i="2"/>
  <c r="E2849" i="2"/>
  <c r="F2849" i="2"/>
  <c r="G2849" i="2"/>
  <c r="H2849" i="2"/>
  <c r="M2849" i="2" s="1"/>
  <c r="I2849" i="2"/>
  <c r="J2849" i="2"/>
  <c r="K2849" i="2"/>
  <c r="L2849" i="2"/>
  <c r="N2849" i="2"/>
  <c r="O2849" i="2"/>
  <c r="P2849" i="2"/>
  <c r="Q2849" i="2"/>
  <c r="R2849" i="2"/>
  <c r="S2849" i="2"/>
  <c r="E2850" i="2"/>
  <c r="P2850" i="2" s="1"/>
  <c r="F2850" i="2"/>
  <c r="G2850" i="2"/>
  <c r="H2850" i="2"/>
  <c r="I2850" i="2"/>
  <c r="J2850" i="2"/>
  <c r="K2850" i="2"/>
  <c r="L2850" i="2"/>
  <c r="M2850" i="2"/>
  <c r="N2850" i="2"/>
  <c r="O2850" i="2"/>
  <c r="Q2850" i="2"/>
  <c r="R2850" i="2"/>
  <c r="S2850" i="2"/>
  <c r="E2851" i="2"/>
  <c r="F2851" i="2"/>
  <c r="G2851" i="2"/>
  <c r="H2851" i="2"/>
  <c r="I2851" i="2"/>
  <c r="J2851" i="2"/>
  <c r="M2851" i="2" s="1"/>
  <c r="K2851" i="2"/>
  <c r="L2851" i="2"/>
  <c r="N2851" i="2"/>
  <c r="O2851" i="2"/>
  <c r="Q2851" i="2"/>
  <c r="R2851" i="2"/>
  <c r="S2851" i="2"/>
  <c r="E2852" i="2"/>
  <c r="F2852" i="2"/>
  <c r="G2852" i="2"/>
  <c r="H2852" i="2"/>
  <c r="I2852" i="2"/>
  <c r="J2852" i="2"/>
  <c r="K2852" i="2"/>
  <c r="L2852" i="2"/>
  <c r="N2852" i="2"/>
  <c r="O2852" i="2"/>
  <c r="Q2852" i="2"/>
  <c r="R2852" i="2"/>
  <c r="S2852" i="2"/>
  <c r="E2853" i="2"/>
  <c r="F2853" i="2"/>
  <c r="G2853" i="2"/>
  <c r="H2853" i="2"/>
  <c r="M2853" i="2" s="1"/>
  <c r="I2853" i="2"/>
  <c r="J2853" i="2"/>
  <c r="K2853" i="2"/>
  <c r="L2853" i="2"/>
  <c r="N2853" i="2"/>
  <c r="O2853" i="2"/>
  <c r="Q2853" i="2"/>
  <c r="R2853" i="2"/>
  <c r="S2853" i="2"/>
  <c r="E2854" i="2"/>
  <c r="P2854" i="2" s="1"/>
  <c r="F2854" i="2"/>
  <c r="G2854" i="2"/>
  <c r="H2854" i="2"/>
  <c r="I2854" i="2"/>
  <c r="J2854" i="2"/>
  <c r="K2854" i="2"/>
  <c r="L2854" i="2"/>
  <c r="M2854" i="2"/>
  <c r="N2854" i="2"/>
  <c r="O2854" i="2"/>
  <c r="Q2854" i="2"/>
  <c r="R2854" i="2"/>
  <c r="S2854" i="2"/>
  <c r="E2855" i="2"/>
  <c r="F2855" i="2"/>
  <c r="G2855" i="2"/>
  <c r="H2855" i="2"/>
  <c r="I2855" i="2"/>
  <c r="J2855" i="2"/>
  <c r="M2855" i="2" s="1"/>
  <c r="K2855" i="2"/>
  <c r="L2855" i="2"/>
  <c r="N2855" i="2"/>
  <c r="O2855" i="2"/>
  <c r="Q2855" i="2"/>
  <c r="R2855" i="2"/>
  <c r="S2855" i="2"/>
  <c r="E2856" i="2"/>
  <c r="F2856" i="2"/>
  <c r="G2856" i="2"/>
  <c r="H2856" i="2"/>
  <c r="I2856" i="2"/>
  <c r="J2856" i="2"/>
  <c r="K2856" i="2"/>
  <c r="L2856" i="2"/>
  <c r="N2856" i="2"/>
  <c r="O2856" i="2"/>
  <c r="Q2856" i="2"/>
  <c r="R2856" i="2"/>
  <c r="S2856" i="2"/>
  <c r="E2857" i="2"/>
  <c r="F2857" i="2"/>
  <c r="G2857" i="2"/>
  <c r="H2857" i="2"/>
  <c r="M2857" i="2" s="1"/>
  <c r="I2857" i="2"/>
  <c r="J2857" i="2"/>
  <c r="K2857" i="2"/>
  <c r="L2857" i="2"/>
  <c r="N2857" i="2"/>
  <c r="O2857" i="2"/>
  <c r="P2857" i="2"/>
  <c r="Q2857" i="2"/>
  <c r="R2857" i="2"/>
  <c r="S2857" i="2"/>
  <c r="E2858" i="2"/>
  <c r="P2858" i="2" s="1"/>
  <c r="F2858" i="2"/>
  <c r="G2858" i="2"/>
  <c r="H2858" i="2"/>
  <c r="I2858" i="2"/>
  <c r="J2858" i="2"/>
  <c r="K2858" i="2"/>
  <c r="L2858" i="2"/>
  <c r="M2858" i="2"/>
  <c r="N2858" i="2"/>
  <c r="O2858" i="2"/>
  <c r="Q2858" i="2"/>
  <c r="R2858" i="2"/>
  <c r="S2858" i="2"/>
  <c r="E2859" i="2"/>
  <c r="F2859" i="2"/>
  <c r="G2859" i="2"/>
  <c r="H2859" i="2"/>
  <c r="I2859" i="2"/>
  <c r="J2859" i="2"/>
  <c r="M2859" i="2" s="1"/>
  <c r="K2859" i="2"/>
  <c r="L2859" i="2"/>
  <c r="N2859" i="2"/>
  <c r="O2859" i="2"/>
  <c r="Q2859" i="2"/>
  <c r="R2859" i="2"/>
  <c r="S2859" i="2"/>
  <c r="E2860" i="2"/>
  <c r="F2860" i="2"/>
  <c r="G2860" i="2"/>
  <c r="H2860" i="2"/>
  <c r="I2860" i="2"/>
  <c r="J2860" i="2"/>
  <c r="K2860" i="2"/>
  <c r="L2860" i="2"/>
  <c r="N2860" i="2"/>
  <c r="O2860" i="2"/>
  <c r="Q2860" i="2"/>
  <c r="R2860" i="2"/>
  <c r="S2860" i="2"/>
  <c r="E2861" i="2"/>
  <c r="F2861" i="2"/>
  <c r="G2861" i="2"/>
  <c r="H2861" i="2"/>
  <c r="M2861" i="2" s="1"/>
  <c r="I2861" i="2"/>
  <c r="J2861" i="2"/>
  <c r="K2861" i="2"/>
  <c r="L2861" i="2"/>
  <c r="N2861" i="2"/>
  <c r="O2861" i="2"/>
  <c r="P2861" i="2"/>
  <c r="Q2861" i="2"/>
  <c r="R2861" i="2"/>
  <c r="S2861" i="2"/>
  <c r="E2862" i="2"/>
  <c r="P2862" i="2" s="1"/>
  <c r="F2862" i="2"/>
  <c r="G2862" i="2"/>
  <c r="H2862" i="2"/>
  <c r="I2862" i="2"/>
  <c r="J2862" i="2"/>
  <c r="K2862" i="2"/>
  <c r="L2862" i="2"/>
  <c r="M2862" i="2"/>
  <c r="N2862" i="2"/>
  <c r="O2862" i="2"/>
  <c r="Q2862" i="2"/>
  <c r="R2862" i="2"/>
  <c r="S2862" i="2"/>
  <c r="E2863" i="2"/>
  <c r="F2863" i="2"/>
  <c r="G2863" i="2"/>
  <c r="H2863" i="2"/>
  <c r="I2863" i="2"/>
  <c r="J2863" i="2"/>
  <c r="M2863" i="2" s="1"/>
  <c r="K2863" i="2"/>
  <c r="L2863" i="2"/>
  <c r="N2863" i="2"/>
  <c r="O2863" i="2"/>
  <c r="Q2863" i="2"/>
  <c r="R2863" i="2"/>
  <c r="S2863" i="2"/>
  <c r="E2864" i="2"/>
  <c r="F2864" i="2"/>
  <c r="G2864" i="2"/>
  <c r="H2864" i="2"/>
  <c r="P2864" i="2" s="1"/>
  <c r="I2864" i="2"/>
  <c r="J2864" i="2"/>
  <c r="K2864" i="2"/>
  <c r="L2864" i="2"/>
  <c r="N2864" i="2"/>
  <c r="O2864" i="2"/>
  <c r="Q2864" i="2"/>
  <c r="R2864" i="2"/>
  <c r="S2864" i="2"/>
  <c r="E2865" i="2"/>
  <c r="F2865" i="2"/>
  <c r="G2865" i="2"/>
  <c r="H2865" i="2"/>
  <c r="M2865" i="2" s="1"/>
  <c r="I2865" i="2"/>
  <c r="J2865" i="2"/>
  <c r="K2865" i="2"/>
  <c r="L2865" i="2"/>
  <c r="N2865" i="2"/>
  <c r="O2865" i="2"/>
  <c r="P2865" i="2"/>
  <c r="Q2865" i="2"/>
  <c r="R2865" i="2"/>
  <c r="S2865" i="2"/>
  <c r="E2866" i="2"/>
  <c r="P2866" i="2" s="1"/>
  <c r="F2866" i="2"/>
  <c r="G2866" i="2"/>
  <c r="H2866" i="2"/>
  <c r="I2866" i="2"/>
  <c r="J2866" i="2"/>
  <c r="K2866" i="2"/>
  <c r="L2866" i="2"/>
  <c r="M2866" i="2"/>
  <c r="N2866" i="2"/>
  <c r="O2866" i="2"/>
  <c r="Q2866" i="2"/>
  <c r="R2866" i="2"/>
  <c r="S2866" i="2"/>
  <c r="E2867" i="2"/>
  <c r="F2867" i="2"/>
  <c r="G2867" i="2"/>
  <c r="H2867" i="2"/>
  <c r="I2867" i="2"/>
  <c r="J2867" i="2"/>
  <c r="M2867" i="2" s="1"/>
  <c r="K2867" i="2"/>
  <c r="L2867" i="2"/>
  <c r="N2867" i="2"/>
  <c r="O2867" i="2"/>
  <c r="Q2867" i="2"/>
  <c r="R2867" i="2"/>
  <c r="S2867" i="2"/>
  <c r="E2868" i="2"/>
  <c r="F2868" i="2"/>
  <c r="G2868" i="2"/>
  <c r="H2868" i="2"/>
  <c r="I2868" i="2"/>
  <c r="J2868" i="2"/>
  <c r="K2868" i="2"/>
  <c r="L2868" i="2"/>
  <c r="N2868" i="2"/>
  <c r="O2868" i="2"/>
  <c r="Q2868" i="2"/>
  <c r="R2868" i="2"/>
  <c r="S2868" i="2"/>
  <c r="E2869" i="2"/>
  <c r="F2869" i="2"/>
  <c r="G2869" i="2"/>
  <c r="H2869" i="2"/>
  <c r="M2869" i="2" s="1"/>
  <c r="I2869" i="2"/>
  <c r="J2869" i="2"/>
  <c r="K2869" i="2"/>
  <c r="L2869" i="2"/>
  <c r="N2869" i="2"/>
  <c r="O2869" i="2"/>
  <c r="P2869" i="2"/>
  <c r="Q2869" i="2"/>
  <c r="R2869" i="2"/>
  <c r="S2869" i="2"/>
  <c r="E2870" i="2"/>
  <c r="P2870" i="2" s="1"/>
  <c r="F2870" i="2"/>
  <c r="G2870" i="2"/>
  <c r="H2870" i="2"/>
  <c r="I2870" i="2"/>
  <c r="J2870" i="2"/>
  <c r="K2870" i="2"/>
  <c r="L2870" i="2"/>
  <c r="M2870" i="2"/>
  <c r="N2870" i="2"/>
  <c r="O2870" i="2"/>
  <c r="Q2870" i="2"/>
  <c r="R2870" i="2"/>
  <c r="S2870" i="2"/>
  <c r="E2871" i="2"/>
  <c r="F2871" i="2"/>
  <c r="G2871" i="2"/>
  <c r="H2871" i="2"/>
  <c r="I2871" i="2"/>
  <c r="J2871" i="2"/>
  <c r="M2871" i="2" s="1"/>
  <c r="K2871" i="2"/>
  <c r="L2871" i="2"/>
  <c r="N2871" i="2"/>
  <c r="O2871" i="2"/>
  <c r="Q2871" i="2"/>
  <c r="R2871" i="2"/>
  <c r="S2871" i="2"/>
  <c r="E2872" i="2"/>
  <c r="F2872" i="2"/>
  <c r="G2872" i="2"/>
  <c r="H2872" i="2"/>
  <c r="P2872" i="2" s="1"/>
  <c r="I2872" i="2"/>
  <c r="J2872" i="2"/>
  <c r="K2872" i="2"/>
  <c r="L2872" i="2"/>
  <c r="N2872" i="2"/>
  <c r="O2872" i="2"/>
  <c r="Q2872" i="2"/>
  <c r="R2872" i="2"/>
  <c r="S2872" i="2"/>
  <c r="E2873" i="2"/>
  <c r="F2873" i="2"/>
  <c r="G2873" i="2"/>
  <c r="H2873" i="2"/>
  <c r="M2873" i="2" s="1"/>
  <c r="I2873" i="2"/>
  <c r="J2873" i="2"/>
  <c r="K2873" i="2"/>
  <c r="L2873" i="2"/>
  <c r="N2873" i="2"/>
  <c r="O2873" i="2"/>
  <c r="P2873" i="2"/>
  <c r="Q2873" i="2"/>
  <c r="R2873" i="2"/>
  <c r="S2873" i="2"/>
  <c r="E2874" i="2"/>
  <c r="P2874" i="2" s="1"/>
  <c r="F2874" i="2"/>
  <c r="G2874" i="2"/>
  <c r="H2874" i="2"/>
  <c r="I2874" i="2"/>
  <c r="J2874" i="2"/>
  <c r="K2874" i="2"/>
  <c r="L2874" i="2"/>
  <c r="M2874" i="2"/>
  <c r="N2874" i="2"/>
  <c r="O2874" i="2"/>
  <c r="Q2874" i="2"/>
  <c r="R2874" i="2"/>
  <c r="S2874" i="2"/>
  <c r="E2875" i="2"/>
  <c r="F2875" i="2"/>
  <c r="G2875" i="2"/>
  <c r="H2875" i="2"/>
  <c r="I2875" i="2"/>
  <c r="J2875" i="2"/>
  <c r="M2875" i="2" s="1"/>
  <c r="K2875" i="2"/>
  <c r="L2875" i="2"/>
  <c r="N2875" i="2"/>
  <c r="O2875" i="2"/>
  <c r="Q2875" i="2"/>
  <c r="R2875" i="2"/>
  <c r="S2875" i="2"/>
  <c r="E2876" i="2"/>
  <c r="F2876" i="2"/>
  <c r="G2876" i="2"/>
  <c r="H2876" i="2"/>
  <c r="I2876" i="2"/>
  <c r="J2876" i="2"/>
  <c r="K2876" i="2"/>
  <c r="L2876" i="2"/>
  <c r="N2876" i="2"/>
  <c r="O2876" i="2"/>
  <c r="Q2876" i="2"/>
  <c r="R2876" i="2"/>
  <c r="S2876" i="2"/>
  <c r="E2877" i="2"/>
  <c r="F2877" i="2"/>
  <c r="G2877" i="2"/>
  <c r="H2877" i="2"/>
  <c r="M2877" i="2" s="1"/>
  <c r="I2877" i="2"/>
  <c r="J2877" i="2"/>
  <c r="K2877" i="2"/>
  <c r="L2877" i="2"/>
  <c r="N2877" i="2"/>
  <c r="O2877" i="2"/>
  <c r="Q2877" i="2"/>
  <c r="R2877" i="2"/>
  <c r="S2877" i="2"/>
  <c r="E2878" i="2"/>
  <c r="P2878" i="2" s="1"/>
  <c r="F2878" i="2"/>
  <c r="G2878" i="2"/>
  <c r="H2878" i="2"/>
  <c r="I2878" i="2"/>
  <c r="J2878" i="2"/>
  <c r="K2878" i="2"/>
  <c r="L2878" i="2"/>
  <c r="M2878" i="2"/>
  <c r="N2878" i="2"/>
  <c r="O2878" i="2"/>
  <c r="Q2878" i="2"/>
  <c r="R2878" i="2"/>
  <c r="S2878" i="2"/>
  <c r="E2879" i="2"/>
  <c r="F2879" i="2"/>
  <c r="G2879" i="2"/>
  <c r="H2879" i="2"/>
  <c r="I2879" i="2"/>
  <c r="J2879" i="2"/>
  <c r="M2879" i="2" s="1"/>
  <c r="K2879" i="2"/>
  <c r="L2879" i="2"/>
  <c r="N2879" i="2"/>
  <c r="O2879" i="2"/>
  <c r="Q2879" i="2"/>
  <c r="R2879" i="2"/>
  <c r="S2879" i="2"/>
  <c r="E2880" i="2"/>
  <c r="F2880" i="2"/>
  <c r="G2880" i="2"/>
  <c r="H2880" i="2"/>
  <c r="P2880" i="2" s="1"/>
  <c r="I2880" i="2"/>
  <c r="J2880" i="2"/>
  <c r="K2880" i="2"/>
  <c r="L2880" i="2"/>
  <c r="N2880" i="2"/>
  <c r="O2880" i="2"/>
  <c r="Q2880" i="2"/>
  <c r="R2880" i="2"/>
  <c r="S2880" i="2"/>
  <c r="E2881" i="2"/>
  <c r="F2881" i="2"/>
  <c r="G2881" i="2"/>
  <c r="H2881" i="2"/>
  <c r="M2881" i="2" s="1"/>
  <c r="I2881" i="2"/>
  <c r="J2881" i="2"/>
  <c r="K2881" i="2"/>
  <c r="L2881" i="2"/>
  <c r="N2881" i="2"/>
  <c r="O2881" i="2"/>
  <c r="P2881" i="2"/>
  <c r="Q2881" i="2"/>
  <c r="R2881" i="2"/>
  <c r="S2881" i="2"/>
  <c r="E2882" i="2"/>
  <c r="P2882" i="2" s="1"/>
  <c r="F2882" i="2"/>
  <c r="G2882" i="2"/>
  <c r="H2882" i="2"/>
  <c r="I2882" i="2"/>
  <c r="J2882" i="2"/>
  <c r="K2882" i="2"/>
  <c r="L2882" i="2"/>
  <c r="M2882" i="2"/>
  <c r="N2882" i="2"/>
  <c r="O2882" i="2"/>
  <c r="Q2882" i="2"/>
  <c r="R2882" i="2"/>
  <c r="S2882" i="2"/>
  <c r="E2883" i="2"/>
  <c r="F2883" i="2"/>
  <c r="G2883" i="2"/>
  <c r="H2883" i="2"/>
  <c r="I2883" i="2"/>
  <c r="J2883" i="2"/>
  <c r="M2883" i="2" s="1"/>
  <c r="K2883" i="2"/>
  <c r="L2883" i="2"/>
  <c r="N2883" i="2"/>
  <c r="O2883" i="2"/>
  <c r="Q2883" i="2"/>
  <c r="R2883" i="2"/>
  <c r="S2883" i="2"/>
  <c r="E2884" i="2"/>
  <c r="F2884" i="2"/>
  <c r="G2884" i="2"/>
  <c r="H2884" i="2"/>
  <c r="I2884" i="2"/>
  <c r="J2884" i="2"/>
  <c r="K2884" i="2"/>
  <c r="L2884" i="2"/>
  <c r="N2884" i="2"/>
  <c r="O2884" i="2"/>
  <c r="Q2884" i="2"/>
  <c r="R2884" i="2"/>
  <c r="S2884" i="2"/>
  <c r="E2885" i="2"/>
  <c r="F2885" i="2"/>
  <c r="G2885" i="2"/>
  <c r="H2885" i="2"/>
  <c r="M2885" i="2" s="1"/>
  <c r="I2885" i="2"/>
  <c r="J2885" i="2"/>
  <c r="K2885" i="2"/>
  <c r="L2885" i="2"/>
  <c r="N2885" i="2"/>
  <c r="O2885" i="2"/>
  <c r="P2885" i="2"/>
  <c r="Q2885" i="2"/>
  <c r="R2885" i="2"/>
  <c r="S2885" i="2"/>
  <c r="E2886" i="2"/>
  <c r="P2886" i="2" s="1"/>
  <c r="F2886" i="2"/>
  <c r="G2886" i="2"/>
  <c r="H2886" i="2"/>
  <c r="I2886" i="2"/>
  <c r="J2886" i="2"/>
  <c r="K2886" i="2"/>
  <c r="L2886" i="2"/>
  <c r="M2886" i="2"/>
  <c r="N2886" i="2"/>
  <c r="O2886" i="2"/>
  <c r="Q2886" i="2"/>
  <c r="R2886" i="2"/>
  <c r="S2886" i="2"/>
  <c r="E2887" i="2"/>
  <c r="F2887" i="2"/>
  <c r="G2887" i="2"/>
  <c r="H2887" i="2"/>
  <c r="I2887" i="2"/>
  <c r="J2887" i="2"/>
  <c r="M2887" i="2" s="1"/>
  <c r="K2887" i="2"/>
  <c r="L2887" i="2"/>
  <c r="N2887" i="2"/>
  <c r="O2887" i="2"/>
  <c r="Q2887" i="2"/>
  <c r="R2887" i="2"/>
  <c r="S2887" i="2"/>
  <c r="E2888" i="2"/>
  <c r="F2888" i="2"/>
  <c r="G2888" i="2"/>
  <c r="H2888" i="2"/>
  <c r="I2888" i="2"/>
  <c r="J2888" i="2"/>
  <c r="K2888" i="2"/>
  <c r="L2888" i="2"/>
  <c r="N2888" i="2"/>
  <c r="O2888" i="2"/>
  <c r="Q2888" i="2"/>
  <c r="R2888" i="2"/>
  <c r="S2888" i="2"/>
  <c r="E2889" i="2"/>
  <c r="F2889" i="2"/>
  <c r="G2889" i="2"/>
  <c r="H2889" i="2"/>
  <c r="M2889" i="2" s="1"/>
  <c r="I2889" i="2"/>
  <c r="J2889" i="2"/>
  <c r="K2889" i="2"/>
  <c r="L2889" i="2"/>
  <c r="N2889" i="2"/>
  <c r="O2889" i="2"/>
  <c r="P2889" i="2"/>
  <c r="Q2889" i="2"/>
  <c r="R2889" i="2"/>
  <c r="S2889" i="2"/>
  <c r="E2890" i="2"/>
  <c r="P2890" i="2" s="1"/>
  <c r="F2890" i="2"/>
  <c r="G2890" i="2"/>
  <c r="H2890" i="2"/>
  <c r="I2890" i="2"/>
  <c r="J2890" i="2"/>
  <c r="K2890" i="2"/>
  <c r="L2890" i="2"/>
  <c r="M2890" i="2"/>
  <c r="N2890" i="2"/>
  <c r="O2890" i="2"/>
  <c r="Q2890" i="2"/>
  <c r="R2890" i="2"/>
  <c r="S2890" i="2"/>
  <c r="E2891" i="2"/>
  <c r="F2891" i="2"/>
  <c r="G2891" i="2"/>
  <c r="H2891" i="2"/>
  <c r="I2891" i="2"/>
  <c r="J2891" i="2"/>
  <c r="M2891" i="2" s="1"/>
  <c r="K2891" i="2"/>
  <c r="L2891" i="2"/>
  <c r="N2891" i="2"/>
  <c r="O2891" i="2"/>
  <c r="Q2891" i="2"/>
  <c r="R2891" i="2"/>
  <c r="S2891" i="2"/>
  <c r="E2892" i="2"/>
  <c r="F2892" i="2"/>
  <c r="G2892" i="2"/>
  <c r="H2892" i="2"/>
  <c r="I2892" i="2"/>
  <c r="J2892" i="2"/>
  <c r="K2892" i="2"/>
  <c r="L2892" i="2"/>
  <c r="N2892" i="2"/>
  <c r="O2892" i="2"/>
  <c r="Q2892" i="2"/>
  <c r="R2892" i="2"/>
  <c r="S2892" i="2"/>
  <c r="E2893" i="2"/>
  <c r="F2893" i="2"/>
  <c r="G2893" i="2"/>
  <c r="H2893" i="2"/>
  <c r="M2893" i="2" s="1"/>
  <c r="I2893" i="2"/>
  <c r="J2893" i="2"/>
  <c r="K2893" i="2"/>
  <c r="L2893" i="2"/>
  <c r="N2893" i="2"/>
  <c r="O2893" i="2"/>
  <c r="P2893" i="2"/>
  <c r="Q2893" i="2"/>
  <c r="R2893" i="2"/>
  <c r="S2893" i="2"/>
  <c r="E2894" i="2"/>
  <c r="P2894" i="2" s="1"/>
  <c r="F2894" i="2"/>
  <c r="G2894" i="2"/>
  <c r="H2894" i="2"/>
  <c r="I2894" i="2"/>
  <c r="J2894" i="2"/>
  <c r="K2894" i="2"/>
  <c r="L2894" i="2"/>
  <c r="M2894" i="2"/>
  <c r="N2894" i="2"/>
  <c r="O2894" i="2"/>
  <c r="Q2894" i="2"/>
  <c r="R2894" i="2"/>
  <c r="S2894" i="2"/>
  <c r="E2895" i="2"/>
  <c r="F2895" i="2"/>
  <c r="G2895" i="2"/>
  <c r="H2895" i="2"/>
  <c r="I2895" i="2"/>
  <c r="J2895" i="2"/>
  <c r="M2895" i="2" s="1"/>
  <c r="K2895" i="2"/>
  <c r="L2895" i="2"/>
  <c r="N2895" i="2"/>
  <c r="O2895" i="2"/>
  <c r="Q2895" i="2"/>
  <c r="R2895" i="2"/>
  <c r="S2895" i="2"/>
  <c r="E2896" i="2"/>
  <c r="F2896" i="2"/>
  <c r="G2896" i="2"/>
  <c r="H2896" i="2"/>
  <c r="M2896" i="2" s="1"/>
  <c r="I2896" i="2"/>
  <c r="J2896" i="2"/>
  <c r="K2896" i="2"/>
  <c r="L2896" i="2"/>
  <c r="N2896" i="2"/>
  <c r="O2896" i="2"/>
  <c r="Q2896" i="2"/>
  <c r="R2896" i="2"/>
  <c r="S2896" i="2"/>
  <c r="E2897" i="2"/>
  <c r="F2897" i="2"/>
  <c r="G2897" i="2"/>
  <c r="H2897" i="2"/>
  <c r="M2897" i="2" s="1"/>
  <c r="I2897" i="2"/>
  <c r="J2897" i="2"/>
  <c r="K2897" i="2"/>
  <c r="L2897" i="2"/>
  <c r="N2897" i="2"/>
  <c r="O2897" i="2"/>
  <c r="P2897" i="2"/>
  <c r="Q2897" i="2"/>
  <c r="R2897" i="2"/>
  <c r="S2897" i="2"/>
  <c r="E2898" i="2"/>
  <c r="P2898" i="2" s="1"/>
  <c r="F2898" i="2"/>
  <c r="G2898" i="2"/>
  <c r="H2898" i="2"/>
  <c r="I2898" i="2"/>
  <c r="J2898" i="2"/>
  <c r="K2898" i="2"/>
  <c r="L2898" i="2"/>
  <c r="M2898" i="2"/>
  <c r="N2898" i="2"/>
  <c r="O2898" i="2"/>
  <c r="Q2898" i="2"/>
  <c r="R2898" i="2"/>
  <c r="S2898" i="2"/>
  <c r="E2899" i="2"/>
  <c r="F2899" i="2"/>
  <c r="G2899" i="2"/>
  <c r="H2899" i="2"/>
  <c r="I2899" i="2"/>
  <c r="J2899" i="2"/>
  <c r="M2899" i="2" s="1"/>
  <c r="K2899" i="2"/>
  <c r="L2899" i="2"/>
  <c r="N2899" i="2"/>
  <c r="O2899" i="2"/>
  <c r="Q2899" i="2"/>
  <c r="R2899" i="2"/>
  <c r="S2899" i="2"/>
  <c r="E2900" i="2"/>
  <c r="F2900" i="2"/>
  <c r="G2900" i="2"/>
  <c r="H2900" i="2"/>
  <c r="I2900" i="2"/>
  <c r="J2900" i="2"/>
  <c r="K2900" i="2"/>
  <c r="L2900" i="2"/>
  <c r="N2900" i="2"/>
  <c r="O2900" i="2"/>
  <c r="Q2900" i="2"/>
  <c r="R2900" i="2"/>
  <c r="S2900" i="2"/>
  <c r="E2901" i="2"/>
  <c r="F2901" i="2"/>
  <c r="G2901" i="2"/>
  <c r="H2901" i="2"/>
  <c r="M2901" i="2" s="1"/>
  <c r="I2901" i="2"/>
  <c r="J2901" i="2"/>
  <c r="K2901" i="2"/>
  <c r="L2901" i="2"/>
  <c r="N2901" i="2"/>
  <c r="O2901" i="2"/>
  <c r="P2901" i="2"/>
  <c r="Q2901" i="2"/>
  <c r="R2901" i="2"/>
  <c r="S2901" i="2"/>
  <c r="E2902" i="2"/>
  <c r="P2902" i="2" s="1"/>
  <c r="F2902" i="2"/>
  <c r="G2902" i="2"/>
  <c r="H2902" i="2"/>
  <c r="I2902" i="2"/>
  <c r="J2902" i="2"/>
  <c r="K2902" i="2"/>
  <c r="L2902" i="2"/>
  <c r="M2902" i="2"/>
  <c r="N2902" i="2"/>
  <c r="O2902" i="2"/>
  <c r="Q2902" i="2"/>
  <c r="R2902" i="2"/>
  <c r="S2902" i="2"/>
  <c r="E2903" i="2"/>
  <c r="F2903" i="2"/>
  <c r="G2903" i="2"/>
  <c r="H2903" i="2"/>
  <c r="I2903" i="2"/>
  <c r="J2903" i="2"/>
  <c r="M2903" i="2" s="1"/>
  <c r="K2903" i="2"/>
  <c r="L2903" i="2"/>
  <c r="N2903" i="2"/>
  <c r="O2903" i="2"/>
  <c r="Q2903" i="2"/>
  <c r="R2903" i="2"/>
  <c r="S2903" i="2"/>
  <c r="E2904" i="2"/>
  <c r="F2904" i="2"/>
  <c r="G2904" i="2"/>
  <c r="H2904" i="2"/>
  <c r="I2904" i="2"/>
  <c r="J2904" i="2"/>
  <c r="K2904" i="2"/>
  <c r="L2904" i="2"/>
  <c r="N2904" i="2"/>
  <c r="O2904" i="2"/>
  <c r="Q2904" i="2"/>
  <c r="R2904" i="2"/>
  <c r="S2904" i="2"/>
  <c r="E2905" i="2"/>
  <c r="F2905" i="2"/>
  <c r="G2905" i="2"/>
  <c r="H2905" i="2"/>
  <c r="M2905" i="2" s="1"/>
  <c r="I2905" i="2"/>
  <c r="J2905" i="2"/>
  <c r="K2905" i="2"/>
  <c r="L2905" i="2"/>
  <c r="N2905" i="2"/>
  <c r="O2905" i="2"/>
  <c r="P2905" i="2"/>
  <c r="Q2905" i="2"/>
  <c r="R2905" i="2"/>
  <c r="S2905" i="2"/>
  <c r="E2906" i="2"/>
  <c r="P2906" i="2" s="1"/>
  <c r="F2906" i="2"/>
  <c r="G2906" i="2"/>
  <c r="H2906" i="2"/>
  <c r="I2906" i="2"/>
  <c r="J2906" i="2"/>
  <c r="K2906" i="2"/>
  <c r="L2906" i="2"/>
  <c r="M2906" i="2"/>
  <c r="N2906" i="2"/>
  <c r="O2906" i="2"/>
  <c r="Q2906" i="2"/>
  <c r="R2906" i="2"/>
  <c r="S2906" i="2"/>
  <c r="E2907" i="2"/>
  <c r="F2907" i="2"/>
  <c r="G2907" i="2"/>
  <c r="H2907" i="2"/>
  <c r="I2907" i="2"/>
  <c r="J2907" i="2"/>
  <c r="M2907" i="2" s="1"/>
  <c r="K2907" i="2"/>
  <c r="L2907" i="2"/>
  <c r="N2907" i="2"/>
  <c r="O2907" i="2"/>
  <c r="Q2907" i="2"/>
  <c r="R2907" i="2"/>
  <c r="S2907" i="2"/>
  <c r="E2908" i="2"/>
  <c r="F2908" i="2"/>
  <c r="G2908" i="2"/>
  <c r="H2908" i="2"/>
  <c r="I2908" i="2"/>
  <c r="J2908" i="2"/>
  <c r="K2908" i="2"/>
  <c r="L2908" i="2"/>
  <c r="N2908" i="2"/>
  <c r="O2908" i="2"/>
  <c r="Q2908" i="2"/>
  <c r="R2908" i="2"/>
  <c r="S2908" i="2"/>
  <c r="E2909" i="2"/>
  <c r="F2909" i="2"/>
  <c r="G2909" i="2"/>
  <c r="H2909" i="2"/>
  <c r="M2909" i="2" s="1"/>
  <c r="I2909" i="2"/>
  <c r="J2909" i="2"/>
  <c r="K2909" i="2"/>
  <c r="L2909" i="2"/>
  <c r="N2909" i="2"/>
  <c r="O2909" i="2"/>
  <c r="Q2909" i="2"/>
  <c r="R2909" i="2"/>
  <c r="S2909" i="2"/>
  <c r="E2910" i="2"/>
  <c r="P2910" i="2" s="1"/>
  <c r="F2910" i="2"/>
  <c r="G2910" i="2"/>
  <c r="H2910" i="2"/>
  <c r="I2910" i="2"/>
  <c r="J2910" i="2"/>
  <c r="K2910" i="2"/>
  <c r="L2910" i="2"/>
  <c r="M2910" i="2"/>
  <c r="N2910" i="2"/>
  <c r="O2910" i="2"/>
  <c r="Q2910" i="2"/>
  <c r="R2910" i="2"/>
  <c r="S2910" i="2"/>
  <c r="E2911" i="2"/>
  <c r="F2911" i="2"/>
  <c r="G2911" i="2"/>
  <c r="H2911" i="2"/>
  <c r="I2911" i="2"/>
  <c r="J2911" i="2"/>
  <c r="M2911" i="2" s="1"/>
  <c r="K2911" i="2"/>
  <c r="L2911" i="2"/>
  <c r="N2911" i="2"/>
  <c r="O2911" i="2"/>
  <c r="Q2911" i="2"/>
  <c r="R2911" i="2"/>
  <c r="S2911" i="2"/>
  <c r="E2912" i="2"/>
  <c r="F2912" i="2"/>
  <c r="G2912" i="2"/>
  <c r="H2912" i="2"/>
  <c r="P2912" i="2" s="1"/>
  <c r="I2912" i="2"/>
  <c r="J2912" i="2"/>
  <c r="K2912" i="2"/>
  <c r="L2912" i="2"/>
  <c r="N2912" i="2"/>
  <c r="O2912" i="2"/>
  <c r="Q2912" i="2"/>
  <c r="R2912" i="2"/>
  <c r="S2912" i="2"/>
  <c r="E2913" i="2"/>
  <c r="F2913" i="2"/>
  <c r="G2913" i="2"/>
  <c r="H2913" i="2"/>
  <c r="M2913" i="2" s="1"/>
  <c r="I2913" i="2"/>
  <c r="J2913" i="2"/>
  <c r="K2913" i="2"/>
  <c r="L2913" i="2"/>
  <c r="N2913" i="2"/>
  <c r="O2913" i="2"/>
  <c r="P2913" i="2"/>
  <c r="Q2913" i="2"/>
  <c r="R2913" i="2"/>
  <c r="S2913" i="2"/>
  <c r="E2914" i="2"/>
  <c r="P2914" i="2" s="1"/>
  <c r="F2914" i="2"/>
  <c r="G2914" i="2"/>
  <c r="H2914" i="2"/>
  <c r="I2914" i="2"/>
  <c r="J2914" i="2"/>
  <c r="K2914" i="2"/>
  <c r="L2914" i="2"/>
  <c r="M2914" i="2"/>
  <c r="N2914" i="2"/>
  <c r="O2914" i="2"/>
  <c r="Q2914" i="2"/>
  <c r="R2914" i="2"/>
  <c r="S2914" i="2"/>
  <c r="E2915" i="2"/>
  <c r="F2915" i="2"/>
  <c r="G2915" i="2"/>
  <c r="H2915" i="2"/>
  <c r="I2915" i="2"/>
  <c r="J2915" i="2"/>
  <c r="M2915" i="2" s="1"/>
  <c r="K2915" i="2"/>
  <c r="L2915" i="2"/>
  <c r="N2915" i="2"/>
  <c r="O2915" i="2"/>
  <c r="Q2915" i="2"/>
  <c r="R2915" i="2"/>
  <c r="S2915" i="2"/>
  <c r="E2916" i="2"/>
  <c r="F2916" i="2"/>
  <c r="G2916" i="2"/>
  <c r="H2916" i="2"/>
  <c r="I2916" i="2"/>
  <c r="J2916" i="2"/>
  <c r="K2916" i="2"/>
  <c r="L2916" i="2"/>
  <c r="N2916" i="2"/>
  <c r="O2916" i="2"/>
  <c r="Q2916" i="2"/>
  <c r="R2916" i="2"/>
  <c r="S2916" i="2"/>
  <c r="E2917" i="2"/>
  <c r="F2917" i="2"/>
  <c r="G2917" i="2"/>
  <c r="H2917" i="2"/>
  <c r="M2917" i="2" s="1"/>
  <c r="I2917" i="2"/>
  <c r="J2917" i="2"/>
  <c r="K2917" i="2"/>
  <c r="L2917" i="2"/>
  <c r="N2917" i="2"/>
  <c r="O2917" i="2"/>
  <c r="Q2917" i="2"/>
  <c r="R2917" i="2"/>
  <c r="S2917" i="2"/>
  <c r="E2918" i="2"/>
  <c r="P2918" i="2" s="1"/>
  <c r="F2918" i="2"/>
  <c r="G2918" i="2"/>
  <c r="H2918" i="2"/>
  <c r="I2918" i="2"/>
  <c r="J2918" i="2"/>
  <c r="K2918" i="2"/>
  <c r="L2918" i="2"/>
  <c r="M2918" i="2"/>
  <c r="N2918" i="2"/>
  <c r="O2918" i="2"/>
  <c r="Q2918" i="2"/>
  <c r="R2918" i="2"/>
  <c r="S2918" i="2"/>
  <c r="E2919" i="2"/>
  <c r="F2919" i="2"/>
  <c r="G2919" i="2"/>
  <c r="H2919" i="2"/>
  <c r="I2919" i="2"/>
  <c r="J2919" i="2"/>
  <c r="M2919" i="2" s="1"/>
  <c r="K2919" i="2"/>
  <c r="L2919" i="2"/>
  <c r="N2919" i="2"/>
  <c r="O2919" i="2"/>
  <c r="Q2919" i="2"/>
  <c r="R2919" i="2"/>
  <c r="S2919" i="2"/>
  <c r="E2920" i="2"/>
  <c r="F2920" i="2"/>
  <c r="G2920" i="2"/>
  <c r="H2920" i="2"/>
  <c r="P2920" i="2" s="1"/>
  <c r="I2920" i="2"/>
  <c r="J2920" i="2"/>
  <c r="K2920" i="2"/>
  <c r="L2920" i="2"/>
  <c r="N2920" i="2"/>
  <c r="O2920" i="2"/>
  <c r="Q2920" i="2"/>
  <c r="R2920" i="2"/>
  <c r="S2920" i="2"/>
  <c r="E2921" i="2"/>
  <c r="F2921" i="2"/>
  <c r="G2921" i="2"/>
  <c r="H2921" i="2"/>
  <c r="M2921" i="2" s="1"/>
  <c r="I2921" i="2"/>
  <c r="J2921" i="2"/>
  <c r="K2921" i="2"/>
  <c r="L2921" i="2"/>
  <c r="N2921" i="2"/>
  <c r="O2921" i="2"/>
  <c r="P2921" i="2"/>
  <c r="Q2921" i="2"/>
  <c r="R2921" i="2"/>
  <c r="S2921" i="2"/>
  <c r="E2922" i="2"/>
  <c r="P2922" i="2" s="1"/>
  <c r="F2922" i="2"/>
  <c r="G2922" i="2"/>
  <c r="H2922" i="2"/>
  <c r="I2922" i="2"/>
  <c r="J2922" i="2"/>
  <c r="K2922" i="2"/>
  <c r="L2922" i="2"/>
  <c r="M2922" i="2"/>
  <c r="N2922" i="2"/>
  <c r="O2922" i="2"/>
  <c r="Q2922" i="2"/>
  <c r="R2922" i="2"/>
  <c r="S2922" i="2"/>
  <c r="E2923" i="2"/>
  <c r="F2923" i="2"/>
  <c r="G2923" i="2"/>
  <c r="H2923" i="2"/>
  <c r="I2923" i="2"/>
  <c r="J2923" i="2"/>
  <c r="M2923" i="2" s="1"/>
  <c r="K2923" i="2"/>
  <c r="L2923" i="2"/>
  <c r="N2923" i="2"/>
  <c r="O2923" i="2"/>
  <c r="Q2923" i="2"/>
  <c r="R2923" i="2"/>
  <c r="S2923" i="2"/>
  <c r="E2924" i="2"/>
  <c r="F2924" i="2"/>
  <c r="G2924" i="2"/>
  <c r="H2924" i="2"/>
  <c r="I2924" i="2"/>
  <c r="J2924" i="2"/>
  <c r="K2924" i="2"/>
  <c r="L2924" i="2"/>
  <c r="N2924" i="2"/>
  <c r="O2924" i="2"/>
  <c r="Q2924" i="2"/>
  <c r="R2924" i="2"/>
  <c r="S2924" i="2"/>
  <c r="E2925" i="2"/>
  <c r="F2925" i="2"/>
  <c r="G2925" i="2"/>
  <c r="H2925" i="2"/>
  <c r="M2925" i="2" s="1"/>
  <c r="I2925" i="2"/>
  <c r="J2925" i="2"/>
  <c r="K2925" i="2"/>
  <c r="L2925" i="2"/>
  <c r="N2925" i="2"/>
  <c r="O2925" i="2"/>
  <c r="Q2925" i="2"/>
  <c r="R2925" i="2"/>
  <c r="S2925" i="2"/>
  <c r="E2926" i="2"/>
  <c r="P2926" i="2" s="1"/>
  <c r="F2926" i="2"/>
  <c r="G2926" i="2"/>
  <c r="H2926" i="2"/>
  <c r="I2926" i="2"/>
  <c r="J2926" i="2"/>
  <c r="K2926" i="2"/>
  <c r="L2926" i="2"/>
  <c r="M2926" i="2"/>
  <c r="N2926" i="2"/>
  <c r="O2926" i="2"/>
  <c r="Q2926" i="2"/>
  <c r="R2926" i="2"/>
  <c r="S2926" i="2"/>
  <c r="E2927" i="2"/>
  <c r="F2927" i="2"/>
  <c r="G2927" i="2"/>
  <c r="H2927" i="2"/>
  <c r="I2927" i="2"/>
  <c r="J2927" i="2"/>
  <c r="M2927" i="2" s="1"/>
  <c r="K2927" i="2"/>
  <c r="L2927" i="2"/>
  <c r="N2927" i="2"/>
  <c r="O2927" i="2"/>
  <c r="Q2927" i="2"/>
  <c r="R2927" i="2"/>
  <c r="S2927" i="2"/>
  <c r="E2928" i="2"/>
  <c r="F2928" i="2"/>
  <c r="G2928" i="2"/>
  <c r="H2928" i="2"/>
  <c r="M2928" i="2" s="1"/>
  <c r="I2928" i="2"/>
  <c r="J2928" i="2"/>
  <c r="K2928" i="2"/>
  <c r="L2928" i="2"/>
  <c r="N2928" i="2"/>
  <c r="O2928" i="2"/>
  <c r="Q2928" i="2"/>
  <c r="R2928" i="2"/>
  <c r="S2928" i="2"/>
  <c r="E2929" i="2"/>
  <c r="F2929" i="2"/>
  <c r="G2929" i="2"/>
  <c r="H2929" i="2"/>
  <c r="M2929" i="2" s="1"/>
  <c r="I2929" i="2"/>
  <c r="J2929" i="2"/>
  <c r="K2929" i="2"/>
  <c r="L2929" i="2"/>
  <c r="N2929" i="2"/>
  <c r="O2929" i="2"/>
  <c r="P2929" i="2"/>
  <c r="Q2929" i="2"/>
  <c r="R2929" i="2"/>
  <c r="S2929" i="2"/>
  <c r="E2930" i="2"/>
  <c r="P2930" i="2" s="1"/>
  <c r="F2930" i="2"/>
  <c r="G2930" i="2"/>
  <c r="H2930" i="2"/>
  <c r="I2930" i="2"/>
  <c r="J2930" i="2"/>
  <c r="K2930" i="2"/>
  <c r="L2930" i="2"/>
  <c r="M2930" i="2"/>
  <c r="N2930" i="2"/>
  <c r="O2930" i="2"/>
  <c r="Q2930" i="2"/>
  <c r="R2930" i="2"/>
  <c r="S2930" i="2"/>
  <c r="E2931" i="2"/>
  <c r="F2931" i="2"/>
  <c r="G2931" i="2"/>
  <c r="H2931" i="2"/>
  <c r="I2931" i="2"/>
  <c r="J2931" i="2"/>
  <c r="M2931" i="2" s="1"/>
  <c r="K2931" i="2"/>
  <c r="L2931" i="2"/>
  <c r="N2931" i="2"/>
  <c r="O2931" i="2"/>
  <c r="Q2931" i="2"/>
  <c r="R2931" i="2"/>
  <c r="S2931" i="2"/>
  <c r="E2932" i="2"/>
  <c r="F2932" i="2"/>
  <c r="G2932" i="2"/>
  <c r="H2932" i="2"/>
  <c r="I2932" i="2"/>
  <c r="J2932" i="2"/>
  <c r="K2932" i="2"/>
  <c r="L2932" i="2"/>
  <c r="N2932" i="2"/>
  <c r="O2932" i="2"/>
  <c r="Q2932" i="2"/>
  <c r="R2932" i="2"/>
  <c r="S2932" i="2"/>
  <c r="E2933" i="2"/>
  <c r="F2933" i="2"/>
  <c r="G2933" i="2"/>
  <c r="H2933" i="2"/>
  <c r="M2933" i="2" s="1"/>
  <c r="I2933" i="2"/>
  <c r="J2933" i="2"/>
  <c r="K2933" i="2"/>
  <c r="L2933" i="2"/>
  <c r="N2933" i="2"/>
  <c r="O2933" i="2"/>
  <c r="P2933" i="2"/>
  <c r="Q2933" i="2"/>
  <c r="R2933" i="2"/>
  <c r="S2933" i="2"/>
  <c r="E2934" i="2"/>
  <c r="P2934" i="2" s="1"/>
  <c r="F2934" i="2"/>
  <c r="G2934" i="2"/>
  <c r="H2934" i="2"/>
  <c r="I2934" i="2"/>
  <c r="J2934" i="2"/>
  <c r="K2934" i="2"/>
  <c r="L2934" i="2"/>
  <c r="M2934" i="2"/>
  <c r="N2934" i="2"/>
  <c r="O2934" i="2"/>
  <c r="Q2934" i="2"/>
  <c r="R2934" i="2"/>
  <c r="S2934" i="2"/>
  <c r="E2935" i="2"/>
  <c r="F2935" i="2"/>
  <c r="G2935" i="2"/>
  <c r="H2935" i="2"/>
  <c r="I2935" i="2"/>
  <c r="J2935" i="2"/>
  <c r="M2935" i="2" s="1"/>
  <c r="K2935" i="2"/>
  <c r="L2935" i="2"/>
  <c r="N2935" i="2"/>
  <c r="O2935" i="2"/>
  <c r="Q2935" i="2"/>
  <c r="R2935" i="2"/>
  <c r="S2935" i="2"/>
  <c r="E2936" i="2"/>
  <c r="F2936" i="2"/>
  <c r="G2936" i="2"/>
  <c r="H2936" i="2"/>
  <c r="P2936" i="2" s="1"/>
  <c r="I2936" i="2"/>
  <c r="J2936" i="2"/>
  <c r="K2936" i="2"/>
  <c r="L2936" i="2"/>
  <c r="N2936" i="2"/>
  <c r="O2936" i="2"/>
  <c r="Q2936" i="2"/>
  <c r="R2936" i="2"/>
  <c r="S2936" i="2"/>
  <c r="E2937" i="2"/>
  <c r="F2937" i="2"/>
  <c r="G2937" i="2"/>
  <c r="H2937" i="2"/>
  <c r="M2937" i="2" s="1"/>
  <c r="I2937" i="2"/>
  <c r="J2937" i="2"/>
  <c r="K2937" i="2"/>
  <c r="L2937" i="2"/>
  <c r="N2937" i="2"/>
  <c r="O2937" i="2"/>
  <c r="P2937" i="2"/>
  <c r="Q2937" i="2"/>
  <c r="R2937" i="2"/>
  <c r="S2937" i="2"/>
  <c r="E2938" i="2"/>
  <c r="P2938" i="2" s="1"/>
  <c r="F2938" i="2"/>
  <c r="G2938" i="2"/>
  <c r="H2938" i="2"/>
  <c r="I2938" i="2"/>
  <c r="J2938" i="2"/>
  <c r="K2938" i="2"/>
  <c r="L2938" i="2"/>
  <c r="M2938" i="2"/>
  <c r="N2938" i="2"/>
  <c r="O2938" i="2"/>
  <c r="Q2938" i="2"/>
  <c r="R2938" i="2"/>
  <c r="S2938" i="2"/>
  <c r="E2939" i="2"/>
  <c r="F2939" i="2"/>
  <c r="G2939" i="2"/>
  <c r="H2939" i="2"/>
  <c r="I2939" i="2"/>
  <c r="J2939" i="2"/>
  <c r="M2939" i="2" s="1"/>
  <c r="K2939" i="2"/>
  <c r="L2939" i="2"/>
  <c r="N2939" i="2"/>
  <c r="O2939" i="2"/>
  <c r="Q2939" i="2"/>
  <c r="R2939" i="2"/>
  <c r="S2939" i="2"/>
  <c r="E2940" i="2"/>
  <c r="F2940" i="2"/>
  <c r="G2940" i="2"/>
  <c r="H2940" i="2"/>
  <c r="I2940" i="2"/>
  <c r="J2940" i="2"/>
  <c r="K2940" i="2"/>
  <c r="L2940" i="2"/>
  <c r="N2940" i="2"/>
  <c r="O2940" i="2"/>
  <c r="Q2940" i="2"/>
  <c r="R2940" i="2"/>
  <c r="S2940" i="2"/>
  <c r="E2941" i="2"/>
  <c r="F2941" i="2"/>
  <c r="G2941" i="2"/>
  <c r="H2941" i="2"/>
  <c r="M2941" i="2" s="1"/>
  <c r="I2941" i="2"/>
  <c r="J2941" i="2"/>
  <c r="K2941" i="2"/>
  <c r="L2941" i="2"/>
  <c r="N2941" i="2"/>
  <c r="O2941" i="2"/>
  <c r="Q2941" i="2"/>
  <c r="R2941" i="2"/>
  <c r="S2941" i="2"/>
  <c r="E2942" i="2"/>
  <c r="P2942" i="2" s="1"/>
  <c r="F2942" i="2"/>
  <c r="G2942" i="2"/>
  <c r="H2942" i="2"/>
  <c r="I2942" i="2"/>
  <c r="J2942" i="2"/>
  <c r="K2942" i="2"/>
  <c r="L2942" i="2"/>
  <c r="M2942" i="2"/>
  <c r="N2942" i="2"/>
  <c r="O2942" i="2"/>
  <c r="Q2942" i="2"/>
  <c r="R2942" i="2"/>
  <c r="S2942" i="2"/>
  <c r="E2943" i="2"/>
  <c r="F2943" i="2"/>
  <c r="G2943" i="2"/>
  <c r="H2943" i="2"/>
  <c r="I2943" i="2"/>
  <c r="J2943" i="2"/>
  <c r="M2943" i="2" s="1"/>
  <c r="K2943" i="2"/>
  <c r="L2943" i="2"/>
  <c r="N2943" i="2"/>
  <c r="O2943" i="2"/>
  <c r="Q2943" i="2"/>
  <c r="R2943" i="2"/>
  <c r="S2943" i="2"/>
  <c r="E2944" i="2"/>
  <c r="F2944" i="2"/>
  <c r="G2944" i="2"/>
  <c r="H2944" i="2"/>
  <c r="M2944" i="2" s="1"/>
  <c r="I2944" i="2"/>
  <c r="J2944" i="2"/>
  <c r="K2944" i="2"/>
  <c r="L2944" i="2"/>
  <c r="N2944" i="2"/>
  <c r="O2944" i="2"/>
  <c r="Q2944" i="2"/>
  <c r="R2944" i="2"/>
  <c r="S2944" i="2"/>
  <c r="E2945" i="2"/>
  <c r="F2945" i="2"/>
  <c r="G2945" i="2"/>
  <c r="H2945" i="2"/>
  <c r="M2945" i="2" s="1"/>
  <c r="I2945" i="2"/>
  <c r="J2945" i="2"/>
  <c r="K2945" i="2"/>
  <c r="L2945" i="2"/>
  <c r="N2945" i="2"/>
  <c r="O2945" i="2"/>
  <c r="P2945" i="2"/>
  <c r="Q2945" i="2"/>
  <c r="R2945" i="2"/>
  <c r="S2945" i="2"/>
  <c r="E2946" i="2"/>
  <c r="P2946" i="2" s="1"/>
  <c r="F2946" i="2"/>
  <c r="G2946" i="2"/>
  <c r="H2946" i="2"/>
  <c r="I2946" i="2"/>
  <c r="J2946" i="2"/>
  <c r="K2946" i="2"/>
  <c r="L2946" i="2"/>
  <c r="M2946" i="2"/>
  <c r="N2946" i="2"/>
  <c r="O2946" i="2"/>
  <c r="Q2946" i="2"/>
  <c r="R2946" i="2"/>
  <c r="S2946" i="2"/>
  <c r="E2947" i="2"/>
  <c r="F2947" i="2"/>
  <c r="G2947" i="2"/>
  <c r="H2947" i="2"/>
  <c r="I2947" i="2"/>
  <c r="J2947" i="2"/>
  <c r="M2947" i="2" s="1"/>
  <c r="K2947" i="2"/>
  <c r="L2947" i="2"/>
  <c r="N2947" i="2"/>
  <c r="O2947" i="2"/>
  <c r="Q2947" i="2"/>
  <c r="R2947" i="2"/>
  <c r="S2947" i="2"/>
  <c r="E2948" i="2"/>
  <c r="F2948" i="2"/>
  <c r="G2948" i="2"/>
  <c r="H2948" i="2"/>
  <c r="I2948" i="2"/>
  <c r="J2948" i="2"/>
  <c r="K2948" i="2"/>
  <c r="L2948" i="2"/>
  <c r="N2948" i="2"/>
  <c r="O2948" i="2"/>
  <c r="Q2948" i="2"/>
  <c r="R2948" i="2"/>
  <c r="S2948" i="2"/>
  <c r="E2949" i="2"/>
  <c r="F2949" i="2"/>
  <c r="G2949" i="2"/>
  <c r="H2949" i="2"/>
  <c r="M2949" i="2" s="1"/>
  <c r="I2949" i="2"/>
  <c r="J2949" i="2"/>
  <c r="K2949" i="2"/>
  <c r="L2949" i="2"/>
  <c r="N2949" i="2"/>
  <c r="O2949" i="2"/>
  <c r="P2949" i="2"/>
  <c r="Q2949" i="2"/>
  <c r="R2949" i="2"/>
  <c r="S2949" i="2"/>
  <c r="E2950" i="2"/>
  <c r="P2950" i="2" s="1"/>
  <c r="F2950" i="2"/>
  <c r="G2950" i="2"/>
  <c r="H2950" i="2"/>
  <c r="I2950" i="2"/>
  <c r="J2950" i="2"/>
  <c r="K2950" i="2"/>
  <c r="L2950" i="2"/>
  <c r="M2950" i="2"/>
  <c r="N2950" i="2"/>
  <c r="O2950" i="2"/>
  <c r="Q2950" i="2"/>
  <c r="R2950" i="2"/>
  <c r="S2950" i="2"/>
  <c r="E2951" i="2"/>
  <c r="F2951" i="2"/>
  <c r="G2951" i="2"/>
  <c r="H2951" i="2"/>
  <c r="I2951" i="2"/>
  <c r="J2951" i="2"/>
  <c r="M2951" i="2" s="1"/>
  <c r="K2951" i="2"/>
  <c r="L2951" i="2"/>
  <c r="N2951" i="2"/>
  <c r="O2951" i="2"/>
  <c r="Q2951" i="2"/>
  <c r="R2951" i="2"/>
  <c r="S2951" i="2"/>
  <c r="E2952" i="2"/>
  <c r="F2952" i="2"/>
  <c r="G2952" i="2"/>
  <c r="H2952" i="2"/>
  <c r="M2952" i="2" s="1"/>
  <c r="I2952" i="2"/>
  <c r="J2952" i="2"/>
  <c r="K2952" i="2"/>
  <c r="L2952" i="2"/>
  <c r="N2952" i="2"/>
  <c r="O2952" i="2"/>
  <c r="Q2952" i="2"/>
  <c r="R2952" i="2"/>
  <c r="S2952" i="2"/>
  <c r="E2953" i="2"/>
  <c r="P2953" i="2" s="1"/>
  <c r="F2953" i="2"/>
  <c r="G2953" i="2"/>
  <c r="H2953" i="2"/>
  <c r="I2953" i="2"/>
  <c r="J2953" i="2"/>
  <c r="K2953" i="2"/>
  <c r="L2953" i="2"/>
  <c r="M2953" i="2"/>
  <c r="N2953" i="2"/>
  <c r="O2953" i="2"/>
  <c r="Q2953" i="2"/>
  <c r="R2953" i="2"/>
  <c r="S2953" i="2"/>
  <c r="E2954" i="2"/>
  <c r="F2954" i="2"/>
  <c r="G2954" i="2"/>
  <c r="H2954" i="2"/>
  <c r="M2954" i="2" s="1"/>
  <c r="I2954" i="2"/>
  <c r="J2954" i="2"/>
  <c r="K2954" i="2"/>
  <c r="L2954" i="2"/>
  <c r="N2954" i="2"/>
  <c r="P2954" i="2" s="1"/>
  <c r="O2954" i="2"/>
  <c r="Q2954" i="2"/>
  <c r="R2954" i="2"/>
  <c r="S2954" i="2"/>
  <c r="E2955" i="2"/>
  <c r="P2955" i="2" s="1"/>
  <c r="F2955" i="2"/>
  <c r="G2955" i="2"/>
  <c r="H2955" i="2"/>
  <c r="I2955" i="2"/>
  <c r="J2955" i="2"/>
  <c r="K2955" i="2"/>
  <c r="M2955" i="2" s="1"/>
  <c r="L2955" i="2"/>
  <c r="N2955" i="2"/>
  <c r="O2955" i="2"/>
  <c r="Q2955" i="2"/>
  <c r="R2955" i="2"/>
  <c r="S2955" i="2"/>
  <c r="E2956" i="2"/>
  <c r="F2956" i="2"/>
  <c r="G2956" i="2"/>
  <c r="H2956" i="2"/>
  <c r="M2956" i="2" s="1"/>
  <c r="I2956" i="2"/>
  <c r="J2956" i="2"/>
  <c r="K2956" i="2"/>
  <c r="L2956" i="2"/>
  <c r="N2956" i="2"/>
  <c r="O2956" i="2"/>
  <c r="P2956" i="2"/>
  <c r="Q2956" i="2"/>
  <c r="R2956" i="2"/>
  <c r="S2956" i="2"/>
  <c r="E2957" i="2"/>
  <c r="P2957" i="2" s="1"/>
  <c r="F2957" i="2"/>
  <c r="G2957" i="2"/>
  <c r="H2957" i="2"/>
  <c r="I2957" i="2"/>
  <c r="J2957" i="2"/>
  <c r="K2957" i="2"/>
  <c r="L2957" i="2"/>
  <c r="M2957" i="2"/>
  <c r="N2957" i="2"/>
  <c r="O2957" i="2"/>
  <c r="Q2957" i="2"/>
  <c r="R2957" i="2"/>
  <c r="S2957" i="2"/>
  <c r="E2958" i="2"/>
  <c r="F2958" i="2"/>
  <c r="G2958" i="2"/>
  <c r="H2958" i="2"/>
  <c r="M2958" i="2" s="1"/>
  <c r="I2958" i="2"/>
  <c r="J2958" i="2"/>
  <c r="K2958" i="2"/>
  <c r="L2958" i="2"/>
  <c r="N2958" i="2"/>
  <c r="P2958" i="2" s="1"/>
  <c r="O2958" i="2"/>
  <c r="Q2958" i="2"/>
  <c r="R2958" i="2"/>
  <c r="S2958" i="2"/>
  <c r="E2959" i="2"/>
  <c r="P2959" i="2" s="1"/>
  <c r="F2959" i="2"/>
  <c r="G2959" i="2"/>
  <c r="H2959" i="2"/>
  <c r="I2959" i="2"/>
  <c r="J2959" i="2"/>
  <c r="K2959" i="2"/>
  <c r="M2959" i="2" s="1"/>
  <c r="L2959" i="2"/>
  <c r="N2959" i="2"/>
  <c r="O2959" i="2"/>
  <c r="Q2959" i="2"/>
  <c r="R2959" i="2"/>
  <c r="S2959" i="2"/>
  <c r="E2960" i="2"/>
  <c r="F2960" i="2"/>
  <c r="G2960" i="2"/>
  <c r="H2960" i="2"/>
  <c r="M2960" i="2" s="1"/>
  <c r="I2960" i="2"/>
  <c r="J2960" i="2"/>
  <c r="K2960" i="2"/>
  <c r="L2960" i="2"/>
  <c r="N2960" i="2"/>
  <c r="O2960" i="2"/>
  <c r="P2960" i="2"/>
  <c r="Q2960" i="2"/>
  <c r="R2960" i="2"/>
  <c r="S2960" i="2"/>
  <c r="E2961" i="2"/>
  <c r="P2961" i="2" s="1"/>
  <c r="F2961" i="2"/>
  <c r="G2961" i="2"/>
  <c r="H2961" i="2"/>
  <c r="I2961" i="2"/>
  <c r="J2961" i="2"/>
  <c r="K2961" i="2"/>
  <c r="L2961" i="2"/>
  <c r="M2961" i="2"/>
  <c r="N2961" i="2"/>
  <c r="O2961" i="2"/>
  <c r="Q2961" i="2"/>
  <c r="R2961" i="2"/>
  <c r="S2961" i="2"/>
  <c r="E2962" i="2"/>
  <c r="F2962" i="2"/>
  <c r="G2962" i="2"/>
  <c r="H2962" i="2"/>
  <c r="M2962" i="2" s="1"/>
  <c r="I2962" i="2"/>
  <c r="J2962" i="2"/>
  <c r="K2962" i="2"/>
  <c r="L2962" i="2"/>
  <c r="N2962" i="2"/>
  <c r="P2962" i="2" s="1"/>
  <c r="O2962" i="2"/>
  <c r="Q2962" i="2"/>
  <c r="R2962" i="2"/>
  <c r="S2962" i="2"/>
  <c r="E2963" i="2"/>
  <c r="P2963" i="2" s="1"/>
  <c r="F2963" i="2"/>
  <c r="G2963" i="2"/>
  <c r="H2963" i="2"/>
  <c r="I2963" i="2"/>
  <c r="J2963" i="2"/>
  <c r="K2963" i="2"/>
  <c r="M2963" i="2" s="1"/>
  <c r="L2963" i="2"/>
  <c r="N2963" i="2"/>
  <c r="O2963" i="2"/>
  <c r="Q2963" i="2"/>
  <c r="R2963" i="2"/>
  <c r="S2963" i="2"/>
  <c r="E2964" i="2"/>
  <c r="F2964" i="2"/>
  <c r="G2964" i="2"/>
  <c r="H2964" i="2"/>
  <c r="M2964" i="2" s="1"/>
  <c r="I2964" i="2"/>
  <c r="J2964" i="2"/>
  <c r="K2964" i="2"/>
  <c r="L2964" i="2"/>
  <c r="N2964" i="2"/>
  <c r="O2964" i="2"/>
  <c r="P2964" i="2"/>
  <c r="Q2964" i="2"/>
  <c r="R2964" i="2"/>
  <c r="S2964" i="2"/>
  <c r="E2965" i="2"/>
  <c r="P2965" i="2" s="1"/>
  <c r="F2965" i="2"/>
  <c r="G2965" i="2"/>
  <c r="H2965" i="2"/>
  <c r="I2965" i="2"/>
  <c r="J2965" i="2"/>
  <c r="K2965" i="2"/>
  <c r="L2965" i="2"/>
  <c r="M2965" i="2"/>
  <c r="N2965" i="2"/>
  <c r="O2965" i="2"/>
  <c r="Q2965" i="2"/>
  <c r="R2965" i="2"/>
  <c r="S2965" i="2"/>
  <c r="E2966" i="2"/>
  <c r="F2966" i="2"/>
  <c r="G2966" i="2"/>
  <c r="H2966" i="2"/>
  <c r="M2966" i="2" s="1"/>
  <c r="I2966" i="2"/>
  <c r="J2966" i="2"/>
  <c r="K2966" i="2"/>
  <c r="L2966" i="2"/>
  <c r="N2966" i="2"/>
  <c r="P2966" i="2" s="1"/>
  <c r="O2966" i="2"/>
  <c r="Q2966" i="2"/>
  <c r="R2966" i="2"/>
  <c r="S2966" i="2"/>
  <c r="E2967" i="2"/>
  <c r="P2967" i="2" s="1"/>
  <c r="F2967" i="2"/>
  <c r="G2967" i="2"/>
  <c r="H2967" i="2"/>
  <c r="I2967" i="2"/>
  <c r="J2967" i="2"/>
  <c r="K2967" i="2"/>
  <c r="M2967" i="2" s="1"/>
  <c r="L2967" i="2"/>
  <c r="N2967" i="2"/>
  <c r="O2967" i="2"/>
  <c r="Q2967" i="2"/>
  <c r="R2967" i="2"/>
  <c r="S2967" i="2"/>
  <c r="E2968" i="2"/>
  <c r="F2968" i="2"/>
  <c r="G2968" i="2"/>
  <c r="H2968" i="2"/>
  <c r="M2968" i="2" s="1"/>
  <c r="I2968" i="2"/>
  <c r="J2968" i="2"/>
  <c r="K2968" i="2"/>
  <c r="L2968" i="2"/>
  <c r="N2968" i="2"/>
  <c r="O2968" i="2"/>
  <c r="P2968" i="2"/>
  <c r="Q2968" i="2"/>
  <c r="R2968" i="2"/>
  <c r="S2968" i="2"/>
  <c r="E2969" i="2"/>
  <c r="P2969" i="2" s="1"/>
  <c r="F2969" i="2"/>
  <c r="G2969" i="2"/>
  <c r="H2969" i="2"/>
  <c r="I2969" i="2"/>
  <c r="J2969" i="2"/>
  <c r="K2969" i="2"/>
  <c r="L2969" i="2"/>
  <c r="M2969" i="2"/>
  <c r="N2969" i="2"/>
  <c r="O2969" i="2"/>
  <c r="Q2969" i="2"/>
  <c r="R2969" i="2"/>
  <c r="S2969" i="2"/>
  <c r="E2970" i="2"/>
  <c r="F2970" i="2"/>
  <c r="G2970" i="2"/>
  <c r="H2970" i="2"/>
  <c r="M2970" i="2" s="1"/>
  <c r="I2970" i="2"/>
  <c r="J2970" i="2"/>
  <c r="K2970" i="2"/>
  <c r="L2970" i="2"/>
  <c r="N2970" i="2"/>
  <c r="P2970" i="2" s="1"/>
  <c r="O2970" i="2"/>
  <c r="Q2970" i="2"/>
  <c r="R2970" i="2"/>
  <c r="S2970" i="2"/>
  <c r="E2971" i="2"/>
  <c r="P2971" i="2" s="1"/>
  <c r="F2971" i="2"/>
  <c r="G2971" i="2"/>
  <c r="H2971" i="2"/>
  <c r="I2971" i="2"/>
  <c r="J2971" i="2"/>
  <c r="K2971" i="2"/>
  <c r="M2971" i="2" s="1"/>
  <c r="L2971" i="2"/>
  <c r="N2971" i="2"/>
  <c r="O2971" i="2"/>
  <c r="Q2971" i="2"/>
  <c r="R2971" i="2"/>
  <c r="S2971" i="2"/>
  <c r="E2972" i="2"/>
  <c r="F2972" i="2"/>
  <c r="G2972" i="2"/>
  <c r="H2972" i="2"/>
  <c r="M2972" i="2" s="1"/>
  <c r="I2972" i="2"/>
  <c r="J2972" i="2"/>
  <c r="K2972" i="2"/>
  <c r="L2972" i="2"/>
  <c r="N2972" i="2"/>
  <c r="O2972" i="2"/>
  <c r="P2972" i="2"/>
  <c r="Q2972" i="2"/>
  <c r="R2972" i="2"/>
  <c r="S2972" i="2"/>
  <c r="E2973" i="2"/>
  <c r="P2973" i="2" s="1"/>
  <c r="F2973" i="2"/>
  <c r="G2973" i="2"/>
  <c r="H2973" i="2"/>
  <c r="I2973" i="2"/>
  <c r="J2973" i="2"/>
  <c r="K2973" i="2"/>
  <c r="L2973" i="2"/>
  <c r="M2973" i="2"/>
  <c r="N2973" i="2"/>
  <c r="O2973" i="2"/>
  <c r="Q2973" i="2"/>
  <c r="R2973" i="2"/>
  <c r="S2973" i="2"/>
  <c r="E2974" i="2"/>
  <c r="F2974" i="2"/>
  <c r="G2974" i="2"/>
  <c r="H2974" i="2"/>
  <c r="M2974" i="2" s="1"/>
  <c r="I2974" i="2"/>
  <c r="J2974" i="2"/>
  <c r="K2974" i="2"/>
  <c r="L2974" i="2"/>
  <c r="N2974" i="2"/>
  <c r="P2974" i="2" s="1"/>
  <c r="O2974" i="2"/>
  <c r="Q2974" i="2"/>
  <c r="R2974" i="2"/>
  <c r="S2974" i="2"/>
  <c r="E2975" i="2"/>
  <c r="P2975" i="2" s="1"/>
  <c r="F2975" i="2"/>
  <c r="G2975" i="2"/>
  <c r="H2975" i="2"/>
  <c r="I2975" i="2"/>
  <c r="J2975" i="2"/>
  <c r="K2975" i="2"/>
  <c r="M2975" i="2" s="1"/>
  <c r="L2975" i="2"/>
  <c r="N2975" i="2"/>
  <c r="O2975" i="2"/>
  <c r="Q2975" i="2"/>
  <c r="R2975" i="2"/>
  <c r="S2975" i="2"/>
  <c r="E2976" i="2"/>
  <c r="F2976" i="2"/>
  <c r="G2976" i="2"/>
  <c r="H2976" i="2"/>
  <c r="M2976" i="2" s="1"/>
  <c r="I2976" i="2"/>
  <c r="J2976" i="2"/>
  <c r="K2976" i="2"/>
  <c r="L2976" i="2"/>
  <c r="N2976" i="2"/>
  <c r="O2976" i="2"/>
  <c r="Q2976" i="2"/>
  <c r="R2976" i="2"/>
  <c r="S2976" i="2"/>
  <c r="E2977" i="2"/>
  <c r="P2977" i="2" s="1"/>
  <c r="F2977" i="2"/>
  <c r="G2977" i="2"/>
  <c r="H2977" i="2"/>
  <c r="I2977" i="2"/>
  <c r="J2977" i="2"/>
  <c r="K2977" i="2"/>
  <c r="L2977" i="2"/>
  <c r="M2977" i="2"/>
  <c r="N2977" i="2"/>
  <c r="O2977" i="2"/>
  <c r="Q2977" i="2"/>
  <c r="R2977" i="2"/>
  <c r="S2977" i="2"/>
  <c r="E2978" i="2"/>
  <c r="F2978" i="2"/>
  <c r="G2978" i="2"/>
  <c r="H2978" i="2"/>
  <c r="M2978" i="2" s="1"/>
  <c r="I2978" i="2"/>
  <c r="J2978" i="2"/>
  <c r="K2978" i="2"/>
  <c r="L2978" i="2"/>
  <c r="N2978" i="2"/>
  <c r="P2978" i="2" s="1"/>
  <c r="O2978" i="2"/>
  <c r="Q2978" i="2"/>
  <c r="R2978" i="2"/>
  <c r="S2978" i="2"/>
  <c r="E2979" i="2"/>
  <c r="P2979" i="2" s="1"/>
  <c r="F2979" i="2"/>
  <c r="G2979" i="2"/>
  <c r="H2979" i="2"/>
  <c r="I2979" i="2"/>
  <c r="J2979" i="2"/>
  <c r="K2979" i="2"/>
  <c r="M2979" i="2" s="1"/>
  <c r="L2979" i="2"/>
  <c r="N2979" i="2"/>
  <c r="O2979" i="2"/>
  <c r="Q2979" i="2"/>
  <c r="R2979" i="2"/>
  <c r="S2979" i="2"/>
  <c r="E2980" i="2"/>
  <c r="F2980" i="2"/>
  <c r="G2980" i="2"/>
  <c r="H2980" i="2"/>
  <c r="M2980" i="2" s="1"/>
  <c r="I2980" i="2"/>
  <c r="J2980" i="2"/>
  <c r="K2980" i="2"/>
  <c r="L2980" i="2"/>
  <c r="N2980" i="2"/>
  <c r="O2980" i="2"/>
  <c r="Q2980" i="2"/>
  <c r="R2980" i="2"/>
  <c r="S2980" i="2"/>
  <c r="E2981" i="2"/>
  <c r="P2981" i="2" s="1"/>
  <c r="F2981" i="2"/>
  <c r="G2981" i="2"/>
  <c r="H2981" i="2"/>
  <c r="I2981" i="2"/>
  <c r="J2981" i="2"/>
  <c r="K2981" i="2"/>
  <c r="L2981" i="2"/>
  <c r="M2981" i="2"/>
  <c r="N2981" i="2"/>
  <c r="O2981" i="2"/>
  <c r="Q2981" i="2"/>
  <c r="R2981" i="2"/>
  <c r="S2981" i="2"/>
  <c r="E2982" i="2"/>
  <c r="F2982" i="2"/>
  <c r="G2982" i="2"/>
  <c r="H2982" i="2"/>
  <c r="M2982" i="2" s="1"/>
  <c r="I2982" i="2"/>
  <c r="J2982" i="2"/>
  <c r="K2982" i="2"/>
  <c r="L2982" i="2"/>
  <c r="N2982" i="2"/>
  <c r="P2982" i="2" s="1"/>
  <c r="O2982" i="2"/>
  <c r="Q2982" i="2"/>
  <c r="R2982" i="2"/>
  <c r="S2982" i="2"/>
  <c r="E2983" i="2"/>
  <c r="P2983" i="2" s="1"/>
  <c r="F2983" i="2"/>
  <c r="G2983" i="2"/>
  <c r="H2983" i="2"/>
  <c r="I2983" i="2"/>
  <c r="J2983" i="2"/>
  <c r="K2983" i="2"/>
  <c r="M2983" i="2" s="1"/>
  <c r="L2983" i="2"/>
  <c r="N2983" i="2"/>
  <c r="O2983" i="2"/>
  <c r="Q2983" i="2"/>
  <c r="R2983" i="2"/>
  <c r="S2983" i="2"/>
  <c r="E2984" i="2"/>
  <c r="F2984" i="2"/>
  <c r="G2984" i="2"/>
  <c r="H2984" i="2"/>
  <c r="M2984" i="2" s="1"/>
  <c r="I2984" i="2"/>
  <c r="J2984" i="2"/>
  <c r="K2984" i="2"/>
  <c r="L2984" i="2"/>
  <c r="N2984" i="2"/>
  <c r="O2984" i="2"/>
  <c r="Q2984" i="2"/>
  <c r="R2984" i="2"/>
  <c r="S2984" i="2"/>
  <c r="E2985" i="2"/>
  <c r="P2985" i="2" s="1"/>
  <c r="F2985" i="2"/>
  <c r="G2985" i="2"/>
  <c r="H2985" i="2"/>
  <c r="I2985" i="2"/>
  <c r="J2985" i="2"/>
  <c r="K2985" i="2"/>
  <c r="L2985" i="2"/>
  <c r="M2985" i="2"/>
  <c r="N2985" i="2"/>
  <c r="O2985" i="2"/>
  <c r="Q2985" i="2"/>
  <c r="R2985" i="2"/>
  <c r="S2985" i="2"/>
  <c r="E2986" i="2"/>
  <c r="F2986" i="2"/>
  <c r="G2986" i="2"/>
  <c r="H2986" i="2"/>
  <c r="M2986" i="2" s="1"/>
  <c r="I2986" i="2"/>
  <c r="J2986" i="2"/>
  <c r="K2986" i="2"/>
  <c r="L2986" i="2"/>
  <c r="N2986" i="2"/>
  <c r="P2986" i="2" s="1"/>
  <c r="O2986" i="2"/>
  <c r="Q2986" i="2"/>
  <c r="R2986" i="2"/>
  <c r="S2986" i="2"/>
  <c r="E2987" i="2"/>
  <c r="P2987" i="2" s="1"/>
  <c r="F2987" i="2"/>
  <c r="G2987" i="2"/>
  <c r="H2987" i="2"/>
  <c r="I2987" i="2"/>
  <c r="J2987" i="2"/>
  <c r="K2987" i="2"/>
  <c r="M2987" i="2" s="1"/>
  <c r="L2987" i="2"/>
  <c r="N2987" i="2"/>
  <c r="O2987" i="2"/>
  <c r="Q2987" i="2"/>
  <c r="R2987" i="2"/>
  <c r="S2987" i="2"/>
  <c r="E2988" i="2"/>
  <c r="F2988" i="2"/>
  <c r="G2988" i="2"/>
  <c r="H2988" i="2"/>
  <c r="M2988" i="2" s="1"/>
  <c r="I2988" i="2"/>
  <c r="J2988" i="2"/>
  <c r="K2988" i="2"/>
  <c r="L2988" i="2"/>
  <c r="N2988" i="2"/>
  <c r="O2988" i="2"/>
  <c r="Q2988" i="2"/>
  <c r="R2988" i="2"/>
  <c r="S2988" i="2"/>
  <c r="E2989" i="2"/>
  <c r="P2989" i="2" s="1"/>
  <c r="F2989" i="2"/>
  <c r="G2989" i="2"/>
  <c r="H2989" i="2"/>
  <c r="I2989" i="2"/>
  <c r="J2989" i="2"/>
  <c r="K2989" i="2"/>
  <c r="L2989" i="2"/>
  <c r="M2989" i="2"/>
  <c r="N2989" i="2"/>
  <c r="O2989" i="2"/>
  <c r="Q2989" i="2"/>
  <c r="R2989" i="2"/>
  <c r="S2989" i="2"/>
  <c r="E2990" i="2"/>
  <c r="F2990" i="2"/>
  <c r="G2990" i="2"/>
  <c r="H2990" i="2"/>
  <c r="M2990" i="2" s="1"/>
  <c r="I2990" i="2"/>
  <c r="J2990" i="2"/>
  <c r="K2990" i="2"/>
  <c r="L2990" i="2"/>
  <c r="N2990" i="2"/>
  <c r="P2990" i="2" s="1"/>
  <c r="O2990" i="2"/>
  <c r="Q2990" i="2"/>
  <c r="R2990" i="2"/>
  <c r="S2990" i="2"/>
  <c r="E2991" i="2"/>
  <c r="P2991" i="2" s="1"/>
  <c r="F2991" i="2"/>
  <c r="G2991" i="2"/>
  <c r="H2991" i="2"/>
  <c r="I2991" i="2"/>
  <c r="J2991" i="2"/>
  <c r="K2991" i="2"/>
  <c r="M2991" i="2" s="1"/>
  <c r="L2991" i="2"/>
  <c r="N2991" i="2"/>
  <c r="O2991" i="2"/>
  <c r="Q2991" i="2"/>
  <c r="R2991" i="2"/>
  <c r="S2991" i="2"/>
  <c r="E2992" i="2"/>
  <c r="F2992" i="2"/>
  <c r="G2992" i="2"/>
  <c r="H2992" i="2"/>
  <c r="M2992" i="2" s="1"/>
  <c r="I2992" i="2"/>
  <c r="J2992" i="2"/>
  <c r="K2992" i="2"/>
  <c r="L2992" i="2"/>
  <c r="N2992" i="2"/>
  <c r="O2992" i="2"/>
  <c r="Q2992" i="2"/>
  <c r="R2992" i="2"/>
  <c r="S2992" i="2"/>
  <c r="E2993" i="2"/>
  <c r="P2993" i="2" s="1"/>
  <c r="F2993" i="2"/>
  <c r="G2993" i="2"/>
  <c r="H2993" i="2"/>
  <c r="I2993" i="2"/>
  <c r="J2993" i="2"/>
  <c r="K2993" i="2"/>
  <c r="L2993" i="2"/>
  <c r="M2993" i="2"/>
  <c r="N2993" i="2"/>
  <c r="O2993" i="2"/>
  <c r="Q2993" i="2"/>
  <c r="R2993" i="2"/>
  <c r="S2993" i="2"/>
  <c r="E2994" i="2"/>
  <c r="F2994" i="2"/>
  <c r="G2994" i="2"/>
  <c r="H2994" i="2"/>
  <c r="M2994" i="2" s="1"/>
  <c r="I2994" i="2"/>
  <c r="J2994" i="2"/>
  <c r="K2994" i="2"/>
  <c r="L2994" i="2"/>
  <c r="N2994" i="2"/>
  <c r="P2994" i="2" s="1"/>
  <c r="O2994" i="2"/>
  <c r="Q2994" i="2"/>
  <c r="R2994" i="2"/>
  <c r="S2994" i="2"/>
  <c r="E2995" i="2"/>
  <c r="P2995" i="2" s="1"/>
  <c r="F2995" i="2"/>
  <c r="G2995" i="2"/>
  <c r="H2995" i="2"/>
  <c r="I2995" i="2"/>
  <c r="J2995" i="2"/>
  <c r="K2995" i="2"/>
  <c r="M2995" i="2" s="1"/>
  <c r="L2995" i="2"/>
  <c r="N2995" i="2"/>
  <c r="O2995" i="2"/>
  <c r="Q2995" i="2"/>
  <c r="R2995" i="2"/>
  <c r="S2995" i="2"/>
  <c r="E2996" i="2"/>
  <c r="F2996" i="2"/>
  <c r="G2996" i="2"/>
  <c r="H2996" i="2"/>
  <c r="M2996" i="2" s="1"/>
  <c r="I2996" i="2"/>
  <c r="J2996" i="2"/>
  <c r="K2996" i="2"/>
  <c r="L2996" i="2"/>
  <c r="N2996" i="2"/>
  <c r="O2996" i="2"/>
  <c r="Q2996" i="2"/>
  <c r="R2996" i="2"/>
  <c r="S2996" i="2"/>
  <c r="E2997" i="2"/>
  <c r="P2997" i="2" s="1"/>
  <c r="F2997" i="2"/>
  <c r="G2997" i="2"/>
  <c r="H2997" i="2"/>
  <c r="I2997" i="2"/>
  <c r="J2997" i="2"/>
  <c r="K2997" i="2"/>
  <c r="L2997" i="2"/>
  <c r="M2997" i="2"/>
  <c r="N2997" i="2"/>
  <c r="O2997" i="2"/>
  <c r="Q2997" i="2"/>
  <c r="R2997" i="2"/>
  <c r="S2997" i="2"/>
  <c r="E2998" i="2"/>
  <c r="F2998" i="2"/>
  <c r="G2998" i="2"/>
  <c r="H2998" i="2"/>
  <c r="M2998" i="2" s="1"/>
  <c r="I2998" i="2"/>
  <c r="J2998" i="2"/>
  <c r="K2998" i="2"/>
  <c r="L2998" i="2"/>
  <c r="N2998" i="2"/>
  <c r="P2998" i="2" s="1"/>
  <c r="O2998" i="2"/>
  <c r="Q2998" i="2"/>
  <c r="R2998" i="2"/>
  <c r="S2998" i="2"/>
  <c r="E2999" i="2"/>
  <c r="P2999" i="2" s="1"/>
  <c r="F2999" i="2"/>
  <c r="G2999" i="2"/>
  <c r="H2999" i="2"/>
  <c r="I2999" i="2"/>
  <c r="J2999" i="2"/>
  <c r="K2999" i="2"/>
  <c r="M2999" i="2" s="1"/>
  <c r="L2999" i="2"/>
  <c r="N2999" i="2"/>
  <c r="O2999" i="2"/>
  <c r="Q2999" i="2"/>
  <c r="R2999" i="2"/>
  <c r="S2999" i="2"/>
  <c r="E3000" i="2"/>
  <c r="F3000" i="2"/>
  <c r="G3000" i="2"/>
  <c r="H3000" i="2"/>
  <c r="M3000" i="2" s="1"/>
  <c r="I3000" i="2"/>
  <c r="J3000" i="2"/>
  <c r="K3000" i="2"/>
  <c r="L3000" i="2"/>
  <c r="N3000" i="2"/>
  <c r="O3000" i="2"/>
  <c r="Q3000" i="2"/>
  <c r="R3000" i="2"/>
  <c r="S3000" i="2"/>
  <c r="S12" i="2"/>
  <c r="R12" i="2"/>
  <c r="Q12" i="2"/>
  <c r="P12" i="2"/>
  <c r="O12" i="2"/>
  <c r="N12" i="2"/>
  <c r="M12" i="2"/>
  <c r="L12" i="2"/>
  <c r="K12" i="2"/>
  <c r="J12" i="2"/>
  <c r="E2" i="2"/>
  <c r="E3" i="2"/>
  <c r="E4" i="2"/>
  <c r="E5" i="2"/>
  <c r="E6" i="2"/>
  <c r="E7" i="2"/>
  <c r="E8" i="2"/>
  <c r="E9" i="2"/>
  <c r="E10" i="2"/>
  <c r="E11" i="2"/>
  <c r="F2" i="2"/>
  <c r="F3" i="2"/>
  <c r="F4" i="2"/>
  <c r="F5" i="2"/>
  <c r="F6" i="2"/>
  <c r="F7" i="2"/>
  <c r="F8" i="2"/>
  <c r="F9" i="2"/>
  <c r="F10" i="2"/>
  <c r="F11" i="2"/>
  <c r="G2" i="2"/>
  <c r="G3" i="2"/>
  <c r="G4" i="2"/>
  <c r="G5" i="2"/>
  <c r="G6" i="2"/>
  <c r="G7" i="2"/>
  <c r="G8" i="2"/>
  <c r="G9" i="2"/>
  <c r="G10" i="2"/>
  <c r="G11" i="2"/>
  <c r="H2" i="2"/>
  <c r="H3" i="2"/>
  <c r="H4" i="2"/>
  <c r="H5" i="2"/>
  <c r="H6" i="2"/>
  <c r="H7" i="2"/>
  <c r="H8" i="2"/>
  <c r="H9" i="2"/>
  <c r="H10" i="2"/>
  <c r="H11" i="2"/>
  <c r="I2" i="2"/>
  <c r="I3" i="2"/>
  <c r="I4" i="2"/>
  <c r="I5" i="2"/>
  <c r="I6" i="2"/>
  <c r="I7" i="2"/>
  <c r="I8" i="2"/>
  <c r="I9" i="2"/>
  <c r="I10" i="2"/>
  <c r="I11" i="2"/>
  <c r="I12" i="2"/>
  <c r="H12" i="2"/>
  <c r="G12" i="2"/>
  <c r="F12" i="2"/>
  <c r="E12" i="2"/>
  <c r="P3" i="2"/>
  <c r="P4" i="2"/>
  <c r="P6" i="2"/>
  <c r="P7" i="2"/>
  <c r="P8" i="2"/>
  <c r="P10" i="2"/>
  <c r="P11" i="2"/>
  <c r="N3" i="2"/>
  <c r="N4" i="2"/>
  <c r="N5" i="2"/>
  <c r="N6" i="2"/>
  <c r="N7" i="2"/>
  <c r="N8" i="2"/>
  <c r="N9" i="2"/>
  <c r="N10" i="2"/>
  <c r="N11" i="2"/>
  <c r="N2" i="2"/>
  <c r="L3" i="2"/>
  <c r="L4" i="2"/>
  <c r="L5" i="2"/>
  <c r="L6" i="2"/>
  <c r="L7" i="2"/>
  <c r="L8" i="2"/>
  <c r="L9" i="2"/>
  <c r="L10" i="2"/>
  <c r="L11" i="2"/>
  <c r="L2" i="2"/>
  <c r="K3" i="2"/>
  <c r="K4" i="2"/>
  <c r="K5" i="2"/>
  <c r="K6" i="2"/>
  <c r="K7" i="2"/>
  <c r="K8" i="2"/>
  <c r="K9" i="2"/>
  <c r="K10" i="2"/>
  <c r="K11" i="2"/>
  <c r="K2" i="2"/>
  <c r="S3" i="2"/>
  <c r="S4" i="2"/>
  <c r="S5" i="2"/>
  <c r="S6" i="2"/>
  <c r="S7" i="2"/>
  <c r="S8" i="2"/>
  <c r="S9" i="2"/>
  <c r="S10" i="2"/>
  <c r="S11" i="2"/>
  <c r="S2" i="2"/>
  <c r="R3" i="2"/>
  <c r="R4" i="2"/>
  <c r="R5" i="2"/>
  <c r="R6" i="2"/>
  <c r="R7" i="2"/>
  <c r="R8" i="2"/>
  <c r="R9" i="2"/>
  <c r="R10" i="2"/>
  <c r="R11" i="2"/>
  <c r="R2" i="2"/>
  <c r="Q3" i="2"/>
  <c r="Q4" i="2"/>
  <c r="Q5" i="2"/>
  <c r="Q6" i="2"/>
  <c r="Q7" i="2"/>
  <c r="Q8" i="2"/>
  <c r="Q9" i="2"/>
  <c r="Q10" i="2"/>
  <c r="Q11" i="2"/>
  <c r="Q2" i="2"/>
  <c r="P2" i="2"/>
  <c r="O3" i="2"/>
  <c r="O4" i="2"/>
  <c r="O5" i="2"/>
  <c r="O6" i="2"/>
  <c r="O7" i="2"/>
  <c r="O8" i="2"/>
  <c r="O9" i="2"/>
  <c r="O10" i="2"/>
  <c r="O11" i="2"/>
  <c r="O2" i="2"/>
  <c r="J3" i="2"/>
  <c r="J4" i="2"/>
  <c r="J5" i="2"/>
  <c r="J6" i="2"/>
  <c r="J7" i="2"/>
  <c r="J8" i="2"/>
  <c r="J9" i="2"/>
  <c r="J10" i="2"/>
  <c r="J11" i="2"/>
  <c r="J2" i="2"/>
  <c r="E4" i="5" l="1"/>
  <c r="G5" i="5" s="1"/>
  <c r="G6" i="5" s="1"/>
  <c r="E13" i="5"/>
  <c r="F14" i="5" s="1"/>
  <c r="F15" i="5" s="1"/>
  <c r="F16" i="5" s="1"/>
  <c r="E16" i="5"/>
  <c r="E7" i="5"/>
  <c r="P2984" i="2"/>
  <c r="P2941" i="2"/>
  <c r="P2909" i="2"/>
  <c r="M2784" i="2"/>
  <c r="P2781" i="2"/>
  <c r="M2752" i="2"/>
  <c r="P2733" i="2"/>
  <c r="M2728" i="2"/>
  <c r="P2727" i="2"/>
  <c r="M2585" i="2"/>
  <c r="M2553" i="2"/>
  <c r="M2545" i="2"/>
  <c r="M2537" i="2"/>
  <c r="M2433" i="2"/>
  <c r="M2425" i="2"/>
  <c r="M2369" i="2"/>
  <c r="M2345" i="2"/>
  <c r="M2201" i="2"/>
  <c r="M2121" i="2"/>
  <c r="M2105" i="2"/>
  <c r="M2065" i="2"/>
  <c r="P1989" i="2"/>
  <c r="P1965" i="2"/>
  <c r="P1909" i="2"/>
  <c r="P1901" i="2"/>
  <c r="P1893" i="2"/>
  <c r="P1885" i="2"/>
  <c r="P1877" i="2"/>
  <c r="P1869" i="2"/>
  <c r="P1861" i="2"/>
  <c r="P1853" i="2"/>
  <c r="P1845" i="2"/>
  <c r="P1837" i="2"/>
  <c r="P1829" i="2"/>
  <c r="P1821" i="2"/>
  <c r="P1813" i="2"/>
  <c r="P1805" i="2"/>
  <c r="P1797" i="2"/>
  <c r="P1789" i="2"/>
  <c r="P1781" i="2"/>
  <c r="M1767" i="2"/>
  <c r="P1767" i="2"/>
  <c r="M1751" i="2"/>
  <c r="P1751" i="2"/>
  <c r="M1735" i="2"/>
  <c r="P1735" i="2"/>
  <c r="M1719" i="2"/>
  <c r="P1719" i="2"/>
  <c r="M1703" i="2"/>
  <c r="P1703" i="2"/>
  <c r="M1687" i="2"/>
  <c r="P1687" i="2"/>
  <c r="M1671" i="2"/>
  <c r="P1671" i="2"/>
  <c r="M1655" i="2"/>
  <c r="P1655" i="2"/>
  <c r="M1639" i="2"/>
  <c r="P1639" i="2"/>
  <c r="M1623" i="2"/>
  <c r="P1623" i="2"/>
  <c r="M1607" i="2"/>
  <c r="P1607" i="2"/>
  <c r="M1591" i="2"/>
  <c r="P1591" i="2"/>
  <c r="M1575" i="2"/>
  <c r="P1575" i="2"/>
  <c r="M1559" i="2"/>
  <c r="P1559" i="2"/>
  <c r="M1543" i="2"/>
  <c r="P1543" i="2"/>
  <c r="M1527" i="2"/>
  <c r="P1527" i="2"/>
  <c r="M1511" i="2"/>
  <c r="P1511" i="2"/>
  <c r="M1495" i="2"/>
  <c r="P1495" i="2"/>
  <c r="M1479" i="2"/>
  <c r="P1479" i="2"/>
  <c r="M1434" i="2"/>
  <c r="P1434" i="2"/>
  <c r="M1420" i="2"/>
  <c r="P1420" i="2"/>
  <c r="M1146" i="2"/>
  <c r="P1146" i="2"/>
  <c r="M1114" i="2"/>
  <c r="P1114" i="2"/>
  <c r="M1082" i="2"/>
  <c r="P1082" i="2"/>
  <c r="M1050" i="2"/>
  <c r="P1050" i="2"/>
  <c r="M1018" i="2"/>
  <c r="P1018" i="2"/>
  <c r="M986" i="2"/>
  <c r="P986" i="2"/>
  <c r="M954" i="2"/>
  <c r="P954" i="2"/>
  <c r="M922" i="2"/>
  <c r="P922" i="2"/>
  <c r="M890" i="2"/>
  <c r="P890" i="2"/>
  <c r="M858" i="2"/>
  <c r="P858" i="2"/>
  <c r="P597" i="2"/>
  <c r="P565" i="2"/>
  <c r="M548" i="2"/>
  <c r="P548" i="2"/>
  <c r="M247" i="2"/>
  <c r="P247" i="2"/>
  <c r="M93" i="2"/>
  <c r="P93" i="2"/>
  <c r="P86" i="2"/>
  <c r="M13" i="2"/>
  <c r="P13" i="2"/>
  <c r="P2992" i="2"/>
  <c r="P2980" i="2"/>
  <c r="P2952" i="2"/>
  <c r="M2904" i="2"/>
  <c r="M2888" i="2"/>
  <c r="P2877" i="2"/>
  <c r="M2856" i="2"/>
  <c r="P2853" i="2"/>
  <c r="M2848" i="2"/>
  <c r="M2792" i="2"/>
  <c r="P2789" i="2"/>
  <c r="M2776" i="2"/>
  <c r="P2773" i="2"/>
  <c r="P2757" i="2"/>
  <c r="M2689" i="2"/>
  <c r="M2649" i="2"/>
  <c r="M2625" i="2"/>
  <c r="M2601" i="2"/>
  <c r="M2497" i="2"/>
  <c r="M2457" i="2"/>
  <c r="M2449" i="2"/>
  <c r="M2417" i="2"/>
  <c r="M2409" i="2"/>
  <c r="M2393" i="2"/>
  <c r="M2385" i="2"/>
  <c r="M2361" i="2"/>
  <c r="M2353" i="2"/>
  <c r="M2249" i="2"/>
  <c r="M2209" i="2"/>
  <c r="M2153" i="2"/>
  <c r="M2081" i="2"/>
  <c r="M2035" i="2"/>
  <c r="P1981" i="2"/>
  <c r="P1973" i="2"/>
  <c r="P1957" i="2"/>
  <c r="P1949" i="2"/>
  <c r="P1941" i="2"/>
  <c r="P1933" i="2"/>
  <c r="P1925" i="2"/>
  <c r="P1917" i="2"/>
  <c r="P2951" i="2"/>
  <c r="P2944" i="2"/>
  <c r="P2943" i="2"/>
  <c r="P2935" i="2"/>
  <c r="P2928" i="2"/>
  <c r="P2927" i="2"/>
  <c r="P2919" i="2"/>
  <c r="P2911" i="2"/>
  <c r="P2904" i="2"/>
  <c r="P2903" i="2"/>
  <c r="P2896" i="2"/>
  <c r="P2895" i="2"/>
  <c r="P2888" i="2"/>
  <c r="P2887" i="2"/>
  <c r="P2879" i="2"/>
  <c r="P2871" i="2"/>
  <c r="P2863" i="2"/>
  <c r="P2856" i="2"/>
  <c r="P2855" i="2"/>
  <c r="P2848" i="2"/>
  <c r="P2847" i="2"/>
  <c r="P2840" i="2"/>
  <c r="P2839" i="2"/>
  <c r="P2832" i="2"/>
  <c r="P2831" i="2"/>
  <c r="P2824" i="2"/>
  <c r="P2823" i="2"/>
  <c r="P2815" i="2"/>
  <c r="P2807" i="2"/>
  <c r="P2799" i="2"/>
  <c r="P2792" i="2"/>
  <c r="P2791" i="2"/>
  <c r="P2784" i="2"/>
  <c r="P2783" i="2"/>
  <c r="P2776" i="2"/>
  <c r="P2775" i="2"/>
  <c r="P2767" i="2"/>
  <c r="P2760" i="2"/>
  <c r="P2759" i="2"/>
  <c r="P2752" i="2"/>
  <c r="P2751" i="2"/>
  <c r="P2744" i="2"/>
  <c r="P2743" i="2"/>
  <c r="P2736" i="2"/>
  <c r="P2735" i="2"/>
  <c r="P2728" i="2"/>
  <c r="P2724" i="2"/>
  <c r="P2714" i="2"/>
  <c r="P2713" i="2"/>
  <c r="M2712" i="2"/>
  <c r="P2711" i="2"/>
  <c r="P2706" i="2"/>
  <c r="P2705" i="2"/>
  <c r="M2704" i="2"/>
  <c r="P2703" i="2"/>
  <c r="P2698" i="2"/>
  <c r="P2697" i="2"/>
  <c r="M2696" i="2"/>
  <c r="P2695" i="2"/>
  <c r="P2690" i="2"/>
  <c r="P2689" i="2"/>
  <c r="M2688" i="2"/>
  <c r="P2687" i="2"/>
  <c r="P2682" i="2"/>
  <c r="M2680" i="2"/>
  <c r="P2679" i="2"/>
  <c r="P2674" i="2"/>
  <c r="P2673" i="2"/>
  <c r="M2672" i="2"/>
  <c r="P2671" i="2"/>
  <c r="P2666" i="2"/>
  <c r="P2665" i="2"/>
  <c r="M2664" i="2"/>
  <c r="P2663" i="2"/>
  <c r="P2658" i="2"/>
  <c r="P2657" i="2"/>
  <c r="M2656" i="2"/>
  <c r="P2655" i="2"/>
  <c r="P2650" i="2"/>
  <c r="P2649" i="2"/>
  <c r="M2648" i="2"/>
  <c r="P2647" i="2"/>
  <c r="P2642" i="2"/>
  <c r="P2641" i="2"/>
  <c r="M2640" i="2"/>
  <c r="P2639" i="2"/>
  <c r="P2634" i="2"/>
  <c r="P2633" i="2"/>
  <c r="M2632" i="2"/>
  <c r="P2631" i="2"/>
  <c r="P2626" i="2"/>
  <c r="P2625" i="2"/>
  <c r="M2624" i="2"/>
  <c r="P2623" i="2"/>
  <c r="P2618" i="2"/>
  <c r="M2616" i="2"/>
  <c r="P2615" i="2"/>
  <c r="P2610" i="2"/>
  <c r="M2608" i="2"/>
  <c r="P2607" i="2"/>
  <c r="P2602" i="2"/>
  <c r="P2601" i="2"/>
  <c r="M2600" i="2"/>
  <c r="P2599" i="2"/>
  <c r="P2594" i="2"/>
  <c r="P2593" i="2"/>
  <c r="M2592" i="2"/>
  <c r="P2591" i="2"/>
  <c r="P2586" i="2"/>
  <c r="P2585" i="2"/>
  <c r="M2584" i="2"/>
  <c r="P2583" i="2"/>
  <c r="P2578" i="2"/>
  <c r="M2576" i="2"/>
  <c r="P2575" i="2"/>
  <c r="P2570" i="2"/>
  <c r="P2569" i="2"/>
  <c r="M2568" i="2"/>
  <c r="P2567" i="2"/>
  <c r="P2562" i="2"/>
  <c r="P2561" i="2"/>
  <c r="M2560" i="2"/>
  <c r="P2559" i="2"/>
  <c r="P2554" i="2"/>
  <c r="P2553" i="2"/>
  <c r="M2552" i="2"/>
  <c r="P2551" i="2"/>
  <c r="P2546" i="2"/>
  <c r="P2545" i="2"/>
  <c r="M2544" i="2"/>
  <c r="P2543" i="2"/>
  <c r="P2538" i="2"/>
  <c r="P2537" i="2"/>
  <c r="M2536" i="2"/>
  <c r="P2535" i="2"/>
  <c r="P2530" i="2"/>
  <c r="M2528" i="2"/>
  <c r="P2527" i="2"/>
  <c r="P2522" i="2"/>
  <c r="M2520" i="2"/>
  <c r="P2519" i="2"/>
  <c r="P2514" i="2"/>
  <c r="M2512" i="2"/>
  <c r="P2511" i="2"/>
  <c r="P2506" i="2"/>
  <c r="P2505" i="2"/>
  <c r="M2504" i="2"/>
  <c r="P2503" i="2"/>
  <c r="P2498" i="2"/>
  <c r="P2497" i="2"/>
  <c r="M2496" i="2"/>
  <c r="P2495" i="2"/>
  <c r="P2490" i="2"/>
  <c r="P2489" i="2"/>
  <c r="M2488" i="2"/>
  <c r="P2487" i="2"/>
  <c r="P2482" i="2"/>
  <c r="M2480" i="2"/>
  <c r="P2479" i="2"/>
  <c r="P2474" i="2"/>
  <c r="M2472" i="2"/>
  <c r="P2471" i="2"/>
  <c r="P2466" i="2"/>
  <c r="M2464" i="2"/>
  <c r="P2463" i="2"/>
  <c r="P2458" i="2"/>
  <c r="P2457" i="2"/>
  <c r="M2456" i="2"/>
  <c r="P2455" i="2"/>
  <c r="P2450" i="2"/>
  <c r="P2449" i="2"/>
  <c r="M2448" i="2"/>
  <c r="P2447" i="2"/>
  <c r="P2442" i="2"/>
  <c r="P2441" i="2"/>
  <c r="M2440" i="2"/>
  <c r="P2439" i="2"/>
  <c r="P2434" i="2"/>
  <c r="P2433" i="2"/>
  <c r="M2432" i="2"/>
  <c r="P2431" i="2"/>
  <c r="P2426" i="2"/>
  <c r="P2425" i="2"/>
  <c r="M2424" i="2"/>
  <c r="P2423" i="2"/>
  <c r="P2418" i="2"/>
  <c r="P2417" i="2"/>
  <c r="M2416" i="2"/>
  <c r="P2415" i="2"/>
  <c r="P2410" i="2"/>
  <c r="P2409" i="2"/>
  <c r="M2408" i="2"/>
  <c r="P2407" i="2"/>
  <c r="P2402" i="2"/>
  <c r="M2400" i="2"/>
  <c r="P2399" i="2"/>
  <c r="P2394" i="2"/>
  <c r="P2393" i="2"/>
  <c r="M2392" i="2"/>
  <c r="P2391" i="2"/>
  <c r="P2386" i="2"/>
  <c r="P2385" i="2"/>
  <c r="M2384" i="2"/>
  <c r="P2383" i="2"/>
  <c r="P2378" i="2"/>
  <c r="M2376" i="2"/>
  <c r="P2375" i="2"/>
  <c r="P2370" i="2"/>
  <c r="P2369" i="2"/>
  <c r="M2368" i="2"/>
  <c r="P2367" i="2"/>
  <c r="P2362" i="2"/>
  <c r="P2361" i="2"/>
  <c r="M2360" i="2"/>
  <c r="P2359" i="2"/>
  <c r="P2354" i="2"/>
  <c r="P2353" i="2"/>
  <c r="M2352" i="2"/>
  <c r="P2351" i="2"/>
  <c r="P2346" i="2"/>
  <c r="P2345" i="2"/>
  <c r="M2344" i="2"/>
  <c r="P2343" i="2"/>
  <c r="P2338" i="2"/>
  <c r="P2337" i="2"/>
  <c r="M2336" i="2"/>
  <c r="P2335" i="2"/>
  <c r="P2330" i="2"/>
  <c r="P2329" i="2"/>
  <c r="M2328" i="2"/>
  <c r="P2327" i="2"/>
  <c r="P2322" i="2"/>
  <c r="P2321" i="2"/>
  <c r="M2320" i="2"/>
  <c r="P2319" i="2"/>
  <c r="P2314" i="2"/>
  <c r="M2312" i="2"/>
  <c r="P2311" i="2"/>
  <c r="P2306" i="2"/>
  <c r="P2305" i="2"/>
  <c r="M2304" i="2"/>
  <c r="P2303" i="2"/>
  <c r="P2298" i="2"/>
  <c r="P2297" i="2"/>
  <c r="M2296" i="2"/>
  <c r="P2295" i="2"/>
  <c r="P2290" i="2"/>
  <c r="P2289" i="2"/>
  <c r="M2288" i="2"/>
  <c r="P2287" i="2"/>
  <c r="P2282" i="2"/>
  <c r="M2280" i="2"/>
  <c r="P2279" i="2"/>
  <c r="P2274" i="2"/>
  <c r="P2273" i="2"/>
  <c r="M2272" i="2"/>
  <c r="P2271" i="2"/>
  <c r="P2266" i="2"/>
  <c r="P2265" i="2"/>
  <c r="M2264" i="2"/>
  <c r="P2263" i="2"/>
  <c r="P2258" i="2"/>
  <c r="P2257" i="2"/>
  <c r="M2256" i="2"/>
  <c r="P2255" i="2"/>
  <c r="P2250" i="2"/>
  <c r="P2249" i="2"/>
  <c r="M2248" i="2"/>
  <c r="P2247" i="2"/>
  <c r="P2242" i="2"/>
  <c r="P2241" i="2"/>
  <c r="M2240" i="2"/>
  <c r="P2239" i="2"/>
  <c r="P2234" i="2"/>
  <c r="P2233" i="2"/>
  <c r="M2232" i="2"/>
  <c r="P2231" i="2"/>
  <c r="P2226" i="2"/>
  <c r="P2225" i="2"/>
  <c r="M2224" i="2"/>
  <c r="P2223" i="2"/>
  <c r="P2218" i="2"/>
  <c r="M2216" i="2"/>
  <c r="P2215" i="2"/>
  <c r="P2210" i="2"/>
  <c r="P2209" i="2"/>
  <c r="M2208" i="2"/>
  <c r="P2202" i="2"/>
  <c r="P2201" i="2"/>
  <c r="M2200" i="2"/>
  <c r="P2194" i="2"/>
  <c r="P2193" i="2"/>
  <c r="M2192" i="2"/>
  <c r="P2186" i="2"/>
  <c r="P2185" i="2"/>
  <c r="M2184" i="2"/>
  <c r="P2178" i="2"/>
  <c r="P2177" i="2"/>
  <c r="M2176" i="2"/>
  <c r="P2170" i="2"/>
  <c r="P2169" i="2"/>
  <c r="M2168" i="2"/>
  <c r="P2162" i="2"/>
  <c r="M2160" i="2"/>
  <c r="P2154" i="2"/>
  <c r="P2153" i="2"/>
  <c r="M2152" i="2"/>
  <c r="P2146" i="2"/>
  <c r="M2144" i="2"/>
  <c r="P2138" i="2"/>
  <c r="P2137" i="2"/>
  <c r="M2136" i="2"/>
  <c r="P2130" i="2"/>
  <c r="M2128" i="2"/>
  <c r="P2122" i="2"/>
  <c r="P2121" i="2"/>
  <c r="M2120" i="2"/>
  <c r="P2114" i="2"/>
  <c r="P2113" i="2"/>
  <c r="M2112" i="2"/>
  <c r="P2106" i="2"/>
  <c r="P2105" i="2"/>
  <c r="M2104" i="2"/>
  <c r="P2098" i="2"/>
  <c r="P2097" i="2"/>
  <c r="M2096" i="2"/>
  <c r="P2090" i="2"/>
  <c r="P2089" i="2"/>
  <c r="M2088" i="2"/>
  <c r="P2082" i="2"/>
  <c r="P2081" i="2"/>
  <c r="M2080" i="2"/>
  <c r="P2074" i="2"/>
  <c r="P2073" i="2"/>
  <c r="M2072" i="2"/>
  <c r="P2066" i="2"/>
  <c r="P2065" i="2"/>
  <c r="M2064" i="2"/>
  <c r="P2058" i="2"/>
  <c r="P2057" i="2"/>
  <c r="M2056" i="2"/>
  <c r="P2050" i="2"/>
  <c r="P2049" i="2"/>
  <c r="M2048" i="2"/>
  <c r="P2044" i="2"/>
  <c r="P2043" i="2"/>
  <c r="P2036" i="2"/>
  <c r="P2035" i="2"/>
  <c r="P2028" i="2"/>
  <c r="P2027" i="2"/>
  <c r="P2020" i="2"/>
  <c r="P2012" i="2"/>
  <c r="P2011" i="2"/>
  <c r="M2000" i="2"/>
  <c r="M1992" i="2"/>
  <c r="M1984" i="2"/>
  <c r="M1976" i="2"/>
  <c r="M1968" i="2"/>
  <c r="M1960" i="2"/>
  <c r="M1952" i="2"/>
  <c r="M1944" i="2"/>
  <c r="M1936" i="2"/>
  <c r="M1928" i="2"/>
  <c r="M1920" i="2"/>
  <c r="M1912" i="2"/>
  <c r="M1904" i="2"/>
  <c r="M1896" i="2"/>
  <c r="M1888" i="2"/>
  <c r="M1880" i="2"/>
  <c r="M1872" i="2"/>
  <c r="M1864" i="2"/>
  <c r="M1856" i="2"/>
  <c r="M1848" i="2"/>
  <c r="M1840" i="2"/>
  <c r="M1832" i="2"/>
  <c r="M1824" i="2"/>
  <c r="M1816" i="2"/>
  <c r="M1808" i="2"/>
  <c r="M1800" i="2"/>
  <c r="M1792" i="2"/>
  <c r="M1784" i="2"/>
  <c r="M1450" i="2"/>
  <c r="P1450" i="2"/>
  <c r="P2996" i="2"/>
  <c r="P2925" i="2"/>
  <c r="M2912" i="2"/>
  <c r="M2880" i="2"/>
  <c r="P2821" i="2"/>
  <c r="M2816" i="2"/>
  <c r="M2808" i="2"/>
  <c r="P2797" i="2"/>
  <c r="M2768" i="2"/>
  <c r="P2741" i="2"/>
  <c r="M2720" i="2"/>
  <c r="P2719" i="2"/>
  <c r="M2617" i="2"/>
  <c r="M2609" i="2"/>
  <c r="M2217" i="2"/>
  <c r="M2161" i="2"/>
  <c r="M2145" i="2"/>
  <c r="M2129" i="2"/>
  <c r="M2948" i="2"/>
  <c r="M2940" i="2"/>
  <c r="M2932" i="2"/>
  <c r="M2924" i="2"/>
  <c r="M2916" i="2"/>
  <c r="M2908" i="2"/>
  <c r="M2900" i="2"/>
  <c r="M2892" i="2"/>
  <c r="M2884" i="2"/>
  <c r="M2876" i="2"/>
  <c r="M2868" i="2"/>
  <c r="M2860" i="2"/>
  <c r="M2852" i="2"/>
  <c r="M2844" i="2"/>
  <c r="M2836" i="2"/>
  <c r="M2828" i="2"/>
  <c r="M2820" i="2"/>
  <c r="M2812" i="2"/>
  <c r="M2804" i="2"/>
  <c r="M2796" i="2"/>
  <c r="M2788" i="2"/>
  <c r="M2780" i="2"/>
  <c r="M2772" i="2"/>
  <c r="M2764" i="2"/>
  <c r="M2756" i="2"/>
  <c r="M2748" i="2"/>
  <c r="M2740" i="2"/>
  <c r="M2732" i="2"/>
  <c r="P2726" i="2"/>
  <c r="P2722" i="2"/>
  <c r="P2718" i="2"/>
  <c r="M2709" i="2"/>
  <c r="M2701" i="2"/>
  <c r="M2693" i="2"/>
  <c r="M2685" i="2"/>
  <c r="M2677" i="2"/>
  <c r="M2669" i="2"/>
  <c r="M2661" i="2"/>
  <c r="M2653" i="2"/>
  <c r="M2645" i="2"/>
  <c r="M2637" i="2"/>
  <c r="M2629" i="2"/>
  <c r="M2621" i="2"/>
  <c r="M2613" i="2"/>
  <c r="M2605" i="2"/>
  <c r="M2597" i="2"/>
  <c r="M2589" i="2"/>
  <c r="M2581" i="2"/>
  <c r="M2573" i="2"/>
  <c r="M2565" i="2"/>
  <c r="M2557" i="2"/>
  <c r="M2549" i="2"/>
  <c r="M2541" i="2"/>
  <c r="M2533" i="2"/>
  <c r="M2525" i="2"/>
  <c r="M2517" i="2"/>
  <c r="M2509" i="2"/>
  <c r="M2501" i="2"/>
  <c r="M2493" i="2"/>
  <c r="M2485" i="2"/>
  <c r="M2477" i="2"/>
  <c r="M2469" i="2"/>
  <c r="M2461" i="2"/>
  <c r="M2453" i="2"/>
  <c r="M2445" i="2"/>
  <c r="M2437" i="2"/>
  <c r="M2429" i="2"/>
  <c r="M2421" i="2"/>
  <c r="M2413" i="2"/>
  <c r="M2405" i="2"/>
  <c r="M2397" i="2"/>
  <c r="M2389" i="2"/>
  <c r="M2381" i="2"/>
  <c r="M2373" i="2"/>
  <c r="M2365" i="2"/>
  <c r="M2357" i="2"/>
  <c r="M2349" i="2"/>
  <c r="M2341" i="2"/>
  <c r="M2333" i="2"/>
  <c r="M2325" i="2"/>
  <c r="M2317" i="2"/>
  <c r="M2309" i="2"/>
  <c r="M2301" i="2"/>
  <c r="M2293" i="2"/>
  <c r="M2285" i="2"/>
  <c r="M2277" i="2"/>
  <c r="M2269" i="2"/>
  <c r="M2261" i="2"/>
  <c r="M2253" i="2"/>
  <c r="M2245" i="2"/>
  <c r="M2237" i="2"/>
  <c r="M2229" i="2"/>
  <c r="M2221" i="2"/>
  <c r="M2213" i="2"/>
  <c r="M2207" i="2"/>
  <c r="M2205" i="2"/>
  <c r="M2199" i="2"/>
  <c r="M2197" i="2"/>
  <c r="M2191" i="2"/>
  <c r="M2189" i="2"/>
  <c r="M2183" i="2"/>
  <c r="M2181" i="2"/>
  <c r="M2175" i="2"/>
  <c r="M2173" i="2"/>
  <c r="M2167" i="2"/>
  <c r="M2165" i="2"/>
  <c r="M2159" i="2"/>
  <c r="M2157" i="2"/>
  <c r="M2151" i="2"/>
  <c r="M2149" i="2"/>
  <c r="M2143" i="2"/>
  <c r="M2141" i="2"/>
  <c r="M2135" i="2"/>
  <c r="M2133" i="2"/>
  <c r="M2127" i="2"/>
  <c r="M2125" i="2"/>
  <c r="M2119" i="2"/>
  <c r="M2117" i="2"/>
  <c r="M2111" i="2"/>
  <c r="M2109" i="2"/>
  <c r="M2103" i="2"/>
  <c r="M2101" i="2"/>
  <c r="M2095" i="2"/>
  <c r="M2093" i="2"/>
  <c r="M2087" i="2"/>
  <c r="M2085" i="2"/>
  <c r="M2079" i="2"/>
  <c r="M2077" i="2"/>
  <c r="M2071" i="2"/>
  <c r="M2069" i="2"/>
  <c r="M2063" i="2"/>
  <c r="M2061" i="2"/>
  <c r="M2055" i="2"/>
  <c r="M2053" i="2"/>
  <c r="M2047" i="2"/>
  <c r="P2001" i="2"/>
  <c r="P1993" i="2"/>
  <c r="P1985" i="2"/>
  <c r="P1977" i="2"/>
  <c r="P1969" i="2"/>
  <c r="P1961" i="2"/>
  <c r="P1953" i="2"/>
  <c r="P1945" i="2"/>
  <c r="P1937" i="2"/>
  <c r="P1929" i="2"/>
  <c r="P1921" i="2"/>
  <c r="P1913" i="2"/>
  <c r="P1905" i="2"/>
  <c r="P1897" i="2"/>
  <c r="P1889" i="2"/>
  <c r="P1881" i="2"/>
  <c r="P1873" i="2"/>
  <c r="P1865" i="2"/>
  <c r="P1857" i="2"/>
  <c r="P1849" i="2"/>
  <c r="P1841" i="2"/>
  <c r="P1833" i="2"/>
  <c r="P1825" i="2"/>
  <c r="P1817" i="2"/>
  <c r="P1809" i="2"/>
  <c r="P1801" i="2"/>
  <c r="P1793" i="2"/>
  <c r="P1785" i="2"/>
  <c r="M1775" i="2"/>
  <c r="P1775" i="2"/>
  <c r="M1759" i="2"/>
  <c r="P1759" i="2"/>
  <c r="M1743" i="2"/>
  <c r="P1743" i="2"/>
  <c r="M1727" i="2"/>
  <c r="P1727" i="2"/>
  <c r="M1711" i="2"/>
  <c r="P1711" i="2"/>
  <c r="M1695" i="2"/>
  <c r="P1695" i="2"/>
  <c r="M1679" i="2"/>
  <c r="P1679" i="2"/>
  <c r="M1663" i="2"/>
  <c r="P1663" i="2"/>
  <c r="M1647" i="2"/>
  <c r="P1647" i="2"/>
  <c r="M1631" i="2"/>
  <c r="P1631" i="2"/>
  <c r="M1615" i="2"/>
  <c r="P1615" i="2"/>
  <c r="M1599" i="2"/>
  <c r="P1599" i="2"/>
  <c r="M1583" i="2"/>
  <c r="P1583" i="2"/>
  <c r="M1567" i="2"/>
  <c r="P1567" i="2"/>
  <c r="M1551" i="2"/>
  <c r="P1551" i="2"/>
  <c r="M1535" i="2"/>
  <c r="P1535" i="2"/>
  <c r="M1519" i="2"/>
  <c r="P1519" i="2"/>
  <c r="M1503" i="2"/>
  <c r="P1503" i="2"/>
  <c r="M1487" i="2"/>
  <c r="P1487" i="2"/>
  <c r="M1466" i="2"/>
  <c r="P1466" i="2"/>
  <c r="P3000" i="2"/>
  <c r="P2988" i="2"/>
  <c r="P2976" i="2"/>
  <c r="M2936" i="2"/>
  <c r="M2920" i="2"/>
  <c r="P2917" i="2"/>
  <c r="M2872" i="2"/>
  <c r="M2864" i="2"/>
  <c r="M2800" i="2"/>
  <c r="P2765" i="2"/>
  <c r="P2723" i="2"/>
  <c r="M2681" i="2"/>
  <c r="M2577" i="2"/>
  <c r="M2529" i="2"/>
  <c r="M2521" i="2"/>
  <c r="M2513" i="2"/>
  <c r="M2481" i="2"/>
  <c r="M2473" i="2"/>
  <c r="M2465" i="2"/>
  <c r="M2401" i="2"/>
  <c r="M2377" i="2"/>
  <c r="M2313" i="2"/>
  <c r="M2281" i="2"/>
  <c r="M2019" i="2"/>
  <c r="P2005" i="2"/>
  <c r="P1997" i="2"/>
  <c r="P2948" i="2"/>
  <c r="P2947" i="2"/>
  <c r="P2940" i="2"/>
  <c r="P2939" i="2"/>
  <c r="P2932" i="2"/>
  <c r="P2931" i="2"/>
  <c r="P2924" i="2"/>
  <c r="P2923" i="2"/>
  <c r="P2916" i="2"/>
  <c r="P2915" i="2"/>
  <c r="P2908" i="2"/>
  <c r="P2907" i="2"/>
  <c r="P2900" i="2"/>
  <c r="P2899" i="2"/>
  <c r="P2892" i="2"/>
  <c r="P2891" i="2"/>
  <c r="P2884" i="2"/>
  <c r="P2883" i="2"/>
  <c r="P2876" i="2"/>
  <c r="P2875" i="2"/>
  <c r="P2868" i="2"/>
  <c r="P2867" i="2"/>
  <c r="P2860" i="2"/>
  <c r="P2859" i="2"/>
  <c r="P2852" i="2"/>
  <c r="P2851" i="2"/>
  <c r="P2844" i="2"/>
  <c r="P2843" i="2"/>
  <c r="P2836" i="2"/>
  <c r="P2835" i="2"/>
  <c r="P2828" i="2"/>
  <c r="P2827" i="2"/>
  <c r="P2820" i="2"/>
  <c r="P2819" i="2"/>
  <c r="P2812" i="2"/>
  <c r="P2811" i="2"/>
  <c r="P2804" i="2"/>
  <c r="P2803" i="2"/>
  <c r="P2796" i="2"/>
  <c r="P2795" i="2"/>
  <c r="P2788" i="2"/>
  <c r="P2787" i="2"/>
  <c r="P2780" i="2"/>
  <c r="P2779" i="2"/>
  <c r="P2772" i="2"/>
  <c r="P2771" i="2"/>
  <c r="P2764" i="2"/>
  <c r="P2763" i="2"/>
  <c r="P2756" i="2"/>
  <c r="P2755" i="2"/>
  <c r="P2748" i="2"/>
  <c r="P2747" i="2"/>
  <c r="P2740" i="2"/>
  <c r="P2739" i="2"/>
  <c r="P2732" i="2"/>
  <c r="P2731" i="2"/>
  <c r="M2727" i="2"/>
  <c r="M2723" i="2"/>
  <c r="M2719" i="2"/>
  <c r="M2716" i="2"/>
  <c r="P2715" i="2"/>
  <c r="P2710" i="2"/>
  <c r="P2709" i="2"/>
  <c r="M2708" i="2"/>
  <c r="P2707" i="2"/>
  <c r="P2702" i="2"/>
  <c r="P2701" i="2"/>
  <c r="M2700" i="2"/>
  <c r="P2699" i="2"/>
  <c r="P2694" i="2"/>
  <c r="P2693" i="2"/>
  <c r="M2692" i="2"/>
  <c r="P2691" i="2"/>
  <c r="P2686" i="2"/>
  <c r="P2685" i="2"/>
  <c r="M2684" i="2"/>
  <c r="P2683" i="2"/>
  <c r="P2678" i="2"/>
  <c r="P2677" i="2"/>
  <c r="M2676" i="2"/>
  <c r="P2675" i="2"/>
  <c r="P2670" i="2"/>
  <c r="P2669" i="2"/>
  <c r="M2668" i="2"/>
  <c r="P2667" i="2"/>
  <c r="P2662" i="2"/>
  <c r="P2661" i="2"/>
  <c r="M2660" i="2"/>
  <c r="P2659" i="2"/>
  <c r="P2654" i="2"/>
  <c r="P2653" i="2"/>
  <c r="M2652" i="2"/>
  <c r="P2651" i="2"/>
  <c r="P2646" i="2"/>
  <c r="P2645" i="2"/>
  <c r="M2644" i="2"/>
  <c r="P2643" i="2"/>
  <c r="P2638" i="2"/>
  <c r="P2637" i="2"/>
  <c r="M2636" i="2"/>
  <c r="P2635" i="2"/>
  <c r="P2630" i="2"/>
  <c r="P2629" i="2"/>
  <c r="M2628" i="2"/>
  <c r="P2627" i="2"/>
  <c r="P2622" i="2"/>
  <c r="P2621" i="2"/>
  <c r="M2620" i="2"/>
  <c r="P2619" i="2"/>
  <c r="P2614" i="2"/>
  <c r="P2613" i="2"/>
  <c r="M2612" i="2"/>
  <c r="P2611" i="2"/>
  <c r="P2606" i="2"/>
  <c r="P2605" i="2"/>
  <c r="M2604" i="2"/>
  <c r="P2603" i="2"/>
  <c r="P2598" i="2"/>
  <c r="P2597" i="2"/>
  <c r="M2596" i="2"/>
  <c r="P2595" i="2"/>
  <c r="P2590" i="2"/>
  <c r="P2589" i="2"/>
  <c r="M2588" i="2"/>
  <c r="P2587" i="2"/>
  <c r="P2582" i="2"/>
  <c r="P2581" i="2"/>
  <c r="M2580" i="2"/>
  <c r="P2579" i="2"/>
  <c r="P2574" i="2"/>
  <c r="P2573" i="2"/>
  <c r="M2572" i="2"/>
  <c r="P2571" i="2"/>
  <c r="P2566" i="2"/>
  <c r="P2565" i="2"/>
  <c r="M2564" i="2"/>
  <c r="P2563" i="2"/>
  <c r="P2558" i="2"/>
  <c r="P2557" i="2"/>
  <c r="M2556" i="2"/>
  <c r="P2555" i="2"/>
  <c r="P2550" i="2"/>
  <c r="P2549" i="2"/>
  <c r="M2548" i="2"/>
  <c r="P2547" i="2"/>
  <c r="P2542" i="2"/>
  <c r="P2541" i="2"/>
  <c r="M2540" i="2"/>
  <c r="P2539" i="2"/>
  <c r="P2534" i="2"/>
  <c r="P2533" i="2"/>
  <c r="M2532" i="2"/>
  <c r="P2531" i="2"/>
  <c r="P2526" i="2"/>
  <c r="P2525" i="2"/>
  <c r="M2524" i="2"/>
  <c r="P2523" i="2"/>
  <c r="P2518" i="2"/>
  <c r="P2517" i="2"/>
  <c r="M2516" i="2"/>
  <c r="P2515" i="2"/>
  <c r="P2510" i="2"/>
  <c r="P2509" i="2"/>
  <c r="M2508" i="2"/>
  <c r="P2507" i="2"/>
  <c r="P2502" i="2"/>
  <c r="P2501" i="2"/>
  <c r="M2500" i="2"/>
  <c r="P2499" i="2"/>
  <c r="P2494" i="2"/>
  <c r="P2493" i="2"/>
  <c r="M2492" i="2"/>
  <c r="P2491" i="2"/>
  <c r="P2486" i="2"/>
  <c r="P2485" i="2"/>
  <c r="M2484" i="2"/>
  <c r="P2483" i="2"/>
  <c r="P2478" i="2"/>
  <c r="P2477" i="2"/>
  <c r="M2476" i="2"/>
  <c r="P2475" i="2"/>
  <c r="P2470" i="2"/>
  <c r="P2469" i="2"/>
  <c r="M2468" i="2"/>
  <c r="P2467" i="2"/>
  <c r="P2462" i="2"/>
  <c r="P2461" i="2"/>
  <c r="M2460" i="2"/>
  <c r="P2459" i="2"/>
  <c r="P2454" i="2"/>
  <c r="P2453" i="2"/>
  <c r="M2452" i="2"/>
  <c r="P2451" i="2"/>
  <c r="P2446" i="2"/>
  <c r="P2445" i="2"/>
  <c r="M2444" i="2"/>
  <c r="P2443" i="2"/>
  <c r="P2438" i="2"/>
  <c r="P2437" i="2"/>
  <c r="M2436" i="2"/>
  <c r="P2435" i="2"/>
  <c r="P2430" i="2"/>
  <c r="P2429" i="2"/>
  <c r="M2428" i="2"/>
  <c r="P2427" i="2"/>
  <c r="P2422" i="2"/>
  <c r="P2421" i="2"/>
  <c r="M2420" i="2"/>
  <c r="P2419" i="2"/>
  <c r="P2414" i="2"/>
  <c r="P2413" i="2"/>
  <c r="M2412" i="2"/>
  <c r="P2411" i="2"/>
  <c r="P2406" i="2"/>
  <c r="P2405" i="2"/>
  <c r="M2404" i="2"/>
  <c r="P2403" i="2"/>
  <c r="P2398" i="2"/>
  <c r="P2397" i="2"/>
  <c r="M2396" i="2"/>
  <c r="P2395" i="2"/>
  <c r="P2390" i="2"/>
  <c r="P2389" i="2"/>
  <c r="M2388" i="2"/>
  <c r="P2387" i="2"/>
  <c r="P2382" i="2"/>
  <c r="P2381" i="2"/>
  <c r="M2380" i="2"/>
  <c r="P2379" i="2"/>
  <c r="P2374" i="2"/>
  <c r="P2373" i="2"/>
  <c r="M2372" i="2"/>
  <c r="P2371" i="2"/>
  <c r="P2366" i="2"/>
  <c r="P2365" i="2"/>
  <c r="M2364" i="2"/>
  <c r="P2363" i="2"/>
  <c r="P2358" i="2"/>
  <c r="P2357" i="2"/>
  <c r="M2356" i="2"/>
  <c r="P2355" i="2"/>
  <c r="P2350" i="2"/>
  <c r="P2349" i="2"/>
  <c r="M2348" i="2"/>
  <c r="P2347" i="2"/>
  <c r="P2342" i="2"/>
  <c r="P2341" i="2"/>
  <c r="M2340" i="2"/>
  <c r="P2339" i="2"/>
  <c r="P2334" i="2"/>
  <c r="P2333" i="2"/>
  <c r="M2332" i="2"/>
  <c r="P2331" i="2"/>
  <c r="P2326" i="2"/>
  <c r="P2325" i="2"/>
  <c r="M2324" i="2"/>
  <c r="P2323" i="2"/>
  <c r="P2318" i="2"/>
  <c r="P2317" i="2"/>
  <c r="M2316" i="2"/>
  <c r="P2315" i="2"/>
  <c r="P2310" i="2"/>
  <c r="P2309" i="2"/>
  <c r="M2308" i="2"/>
  <c r="P2307" i="2"/>
  <c r="P2302" i="2"/>
  <c r="P2301" i="2"/>
  <c r="M2300" i="2"/>
  <c r="P2299" i="2"/>
  <c r="P2294" i="2"/>
  <c r="P2293" i="2"/>
  <c r="M2292" i="2"/>
  <c r="P2291" i="2"/>
  <c r="P2286" i="2"/>
  <c r="P2285" i="2"/>
  <c r="M2284" i="2"/>
  <c r="P2283" i="2"/>
  <c r="P2278" i="2"/>
  <c r="P2277" i="2"/>
  <c r="M2276" i="2"/>
  <c r="P2275" i="2"/>
  <c r="P2270" i="2"/>
  <c r="P2269" i="2"/>
  <c r="M2268" i="2"/>
  <c r="P2267" i="2"/>
  <c r="P2262" i="2"/>
  <c r="P2261" i="2"/>
  <c r="M2260" i="2"/>
  <c r="P2259" i="2"/>
  <c r="P2254" i="2"/>
  <c r="P2253" i="2"/>
  <c r="M2252" i="2"/>
  <c r="P2251" i="2"/>
  <c r="P2246" i="2"/>
  <c r="P2245" i="2"/>
  <c r="M2244" i="2"/>
  <c r="P2243" i="2"/>
  <c r="P2238" i="2"/>
  <c r="P2237" i="2"/>
  <c r="M2236" i="2"/>
  <c r="P2235" i="2"/>
  <c r="P2230" i="2"/>
  <c r="P2229" i="2"/>
  <c r="M2228" i="2"/>
  <c r="P2227" i="2"/>
  <c r="P2222" i="2"/>
  <c r="P2221" i="2"/>
  <c r="M2220" i="2"/>
  <c r="P2219" i="2"/>
  <c r="P2214" i="2"/>
  <c r="P2213" i="2"/>
  <c r="M2212" i="2"/>
  <c r="P2206" i="2"/>
  <c r="P2205" i="2"/>
  <c r="M2204" i="2"/>
  <c r="P2198" i="2"/>
  <c r="P2197" i="2"/>
  <c r="M2196" i="2"/>
  <c r="P2190" i="2"/>
  <c r="P2189" i="2"/>
  <c r="M2188" i="2"/>
  <c r="P2182" i="2"/>
  <c r="P2181" i="2"/>
  <c r="M2180" i="2"/>
  <c r="P2174" i="2"/>
  <c r="P2173" i="2"/>
  <c r="M2172" i="2"/>
  <c r="P2166" i="2"/>
  <c r="P2165" i="2"/>
  <c r="M2164" i="2"/>
  <c r="P2158" i="2"/>
  <c r="P2157" i="2"/>
  <c r="M2156" i="2"/>
  <c r="P2150" i="2"/>
  <c r="P2149" i="2"/>
  <c r="M2148" i="2"/>
  <c r="P2142" i="2"/>
  <c r="P2141" i="2"/>
  <c r="M2140" i="2"/>
  <c r="P2134" i="2"/>
  <c r="P2133" i="2"/>
  <c r="M2132" i="2"/>
  <c r="P2126" i="2"/>
  <c r="P2125" i="2"/>
  <c r="M2124" i="2"/>
  <c r="P2118" i="2"/>
  <c r="P2117" i="2"/>
  <c r="M2116" i="2"/>
  <c r="P2110" i="2"/>
  <c r="P2109" i="2"/>
  <c r="M2108" i="2"/>
  <c r="P2102" i="2"/>
  <c r="P2101" i="2"/>
  <c r="M2100" i="2"/>
  <c r="P2094" i="2"/>
  <c r="P2093" i="2"/>
  <c r="M2092" i="2"/>
  <c r="P2086" i="2"/>
  <c r="P2085" i="2"/>
  <c r="M2084" i="2"/>
  <c r="P2078" i="2"/>
  <c r="P2077" i="2"/>
  <c r="M2076" i="2"/>
  <c r="P2070" i="2"/>
  <c r="P2069" i="2"/>
  <c r="M2068" i="2"/>
  <c r="P2062" i="2"/>
  <c r="P2061" i="2"/>
  <c r="M2060" i="2"/>
  <c r="P2054" i="2"/>
  <c r="P2053" i="2"/>
  <c r="M2052" i="2"/>
  <c r="M2046" i="2"/>
  <c r="P2046" i="2"/>
  <c r="M2038" i="2"/>
  <c r="P2038" i="2"/>
  <c r="M2030" i="2"/>
  <c r="P2030" i="2"/>
  <c r="M2022" i="2"/>
  <c r="P2022" i="2"/>
  <c r="M2014" i="2"/>
  <c r="P2014" i="2"/>
  <c r="M2004" i="2"/>
  <c r="M1996" i="2"/>
  <c r="M1988" i="2"/>
  <c r="M1980" i="2"/>
  <c r="M1972" i="2"/>
  <c r="M1964" i="2"/>
  <c r="M1956" i="2"/>
  <c r="M1948" i="2"/>
  <c r="M1940" i="2"/>
  <c r="M1932" i="2"/>
  <c r="M1924" i="2"/>
  <c r="M1916" i="2"/>
  <c r="M1908" i="2"/>
  <c r="M1900" i="2"/>
  <c r="M1892" i="2"/>
  <c r="M1884" i="2"/>
  <c r="M1876" i="2"/>
  <c r="M1868" i="2"/>
  <c r="M1860" i="2"/>
  <c r="M1852" i="2"/>
  <c r="M1844" i="2"/>
  <c r="M1836" i="2"/>
  <c r="M1828" i="2"/>
  <c r="M1820" i="2"/>
  <c r="M1812" i="2"/>
  <c r="M1804" i="2"/>
  <c r="M1796" i="2"/>
  <c r="M1788" i="2"/>
  <c r="P2045" i="2"/>
  <c r="P2037" i="2"/>
  <c r="P2029" i="2"/>
  <c r="P2021" i="2"/>
  <c r="P2013" i="2"/>
  <c r="P1776" i="2"/>
  <c r="M1774" i="2"/>
  <c r="P1773" i="2"/>
  <c r="P1768" i="2"/>
  <c r="M1766" i="2"/>
  <c r="P1765" i="2"/>
  <c r="P1760" i="2"/>
  <c r="M1758" i="2"/>
  <c r="P1757" i="2"/>
  <c r="P1752" i="2"/>
  <c r="M1750" i="2"/>
  <c r="P1749" i="2"/>
  <c r="P1744" i="2"/>
  <c r="M1742" i="2"/>
  <c r="P1741" i="2"/>
  <c r="P1736" i="2"/>
  <c r="M1734" i="2"/>
  <c r="P1733" i="2"/>
  <c r="P1728" i="2"/>
  <c r="M1726" i="2"/>
  <c r="P1725" i="2"/>
  <c r="P1720" i="2"/>
  <c r="M1718" i="2"/>
  <c r="P1717" i="2"/>
  <c r="P1712" i="2"/>
  <c r="M1710" i="2"/>
  <c r="P1709" i="2"/>
  <c r="P1704" i="2"/>
  <c r="M1702" i="2"/>
  <c r="P1701" i="2"/>
  <c r="P1696" i="2"/>
  <c r="M1694" i="2"/>
  <c r="P1693" i="2"/>
  <c r="P1688" i="2"/>
  <c r="M1686" i="2"/>
  <c r="P1685" i="2"/>
  <c r="P1680" i="2"/>
  <c r="M1678" i="2"/>
  <c r="P1677" i="2"/>
  <c r="P1672" i="2"/>
  <c r="M1670" i="2"/>
  <c r="P1669" i="2"/>
  <c r="P1664" i="2"/>
  <c r="M1662" i="2"/>
  <c r="P1661" i="2"/>
  <c r="P1656" i="2"/>
  <c r="M1654" i="2"/>
  <c r="P1653" i="2"/>
  <c r="P1648" i="2"/>
  <c r="M1646" i="2"/>
  <c r="P1645" i="2"/>
  <c r="P1640" i="2"/>
  <c r="M1638" i="2"/>
  <c r="P1637" i="2"/>
  <c r="P1632" i="2"/>
  <c r="M1630" i="2"/>
  <c r="P1629" i="2"/>
  <c r="P1624" i="2"/>
  <c r="M1622" i="2"/>
  <c r="P1621" i="2"/>
  <c r="P1616" i="2"/>
  <c r="M1614" i="2"/>
  <c r="P1613" i="2"/>
  <c r="P1608" i="2"/>
  <c r="M1606" i="2"/>
  <c r="P1605" i="2"/>
  <c r="P1600" i="2"/>
  <c r="M1598" i="2"/>
  <c r="P1597" i="2"/>
  <c r="P1592" i="2"/>
  <c r="M1590" i="2"/>
  <c r="P1589" i="2"/>
  <c r="P1584" i="2"/>
  <c r="M1582" i="2"/>
  <c r="P1581" i="2"/>
  <c r="P1576" i="2"/>
  <c r="M1574" i="2"/>
  <c r="P1573" i="2"/>
  <c r="P1568" i="2"/>
  <c r="P1565" i="2"/>
  <c r="P1560" i="2"/>
  <c r="P1557" i="2"/>
  <c r="P1552" i="2"/>
  <c r="P1549" i="2"/>
  <c r="P1544" i="2"/>
  <c r="P1541" i="2"/>
  <c r="P1536" i="2"/>
  <c r="P1533" i="2"/>
  <c r="P1528" i="2"/>
  <c r="P1525" i="2"/>
  <c r="P1520" i="2"/>
  <c r="P1517" i="2"/>
  <c r="P1512" i="2"/>
  <c r="P1509" i="2"/>
  <c r="P1504" i="2"/>
  <c r="P1501" i="2"/>
  <c r="P1496" i="2"/>
  <c r="P1493" i="2"/>
  <c r="P1488" i="2"/>
  <c r="P1485" i="2"/>
  <c r="P1480" i="2"/>
  <c r="P1477" i="2"/>
  <c r="M1471" i="2"/>
  <c r="P1469" i="2"/>
  <c r="P1467" i="2"/>
  <c r="M1459" i="2"/>
  <c r="P1457" i="2"/>
  <c r="P1455" i="2"/>
  <c r="P1453" i="2"/>
  <c r="P1451" i="2"/>
  <c r="M1443" i="2"/>
  <c r="P1441" i="2"/>
  <c r="P1439" i="2"/>
  <c r="P1437" i="2"/>
  <c r="P1435" i="2"/>
  <c r="M1433" i="2"/>
  <c r="M1427" i="2"/>
  <c r="P1425" i="2"/>
  <c r="P1402" i="2"/>
  <c r="M1388" i="2"/>
  <c r="P1388" i="2"/>
  <c r="P1370" i="2"/>
  <c r="M1356" i="2"/>
  <c r="P1356" i="2"/>
  <c r="P1338" i="2"/>
  <c r="M1324" i="2"/>
  <c r="P1324" i="2"/>
  <c r="M2042" i="2"/>
  <c r="M2034" i="2"/>
  <c r="M2026" i="2"/>
  <c r="M2018" i="2"/>
  <c r="M2010" i="2"/>
  <c r="M2003" i="2"/>
  <c r="M1999" i="2"/>
  <c r="M1995" i="2"/>
  <c r="M1991" i="2"/>
  <c r="M1987" i="2"/>
  <c r="M1983" i="2"/>
  <c r="M1979" i="2"/>
  <c r="M1975" i="2"/>
  <c r="M1971" i="2"/>
  <c r="M1967" i="2"/>
  <c r="M1963" i="2"/>
  <c r="M1959" i="2"/>
  <c r="M1955" i="2"/>
  <c r="M1951" i="2"/>
  <c r="M1947" i="2"/>
  <c r="M1943" i="2"/>
  <c r="M1939" i="2"/>
  <c r="M1935" i="2"/>
  <c r="M1931" i="2"/>
  <c r="M1927" i="2"/>
  <c r="M1923" i="2"/>
  <c r="M1919" i="2"/>
  <c r="M1915" i="2"/>
  <c r="M1911" i="2"/>
  <c r="M1907" i="2"/>
  <c r="M1903" i="2"/>
  <c r="M1899" i="2"/>
  <c r="M1895" i="2"/>
  <c r="M1891" i="2"/>
  <c r="M1887" i="2"/>
  <c r="M1883" i="2"/>
  <c r="M1879" i="2"/>
  <c r="M1875" i="2"/>
  <c r="M1871" i="2"/>
  <c r="M1867" i="2"/>
  <c r="M1863" i="2"/>
  <c r="M1859" i="2"/>
  <c r="M1855" i="2"/>
  <c r="M1851" i="2"/>
  <c r="M1847" i="2"/>
  <c r="M1843" i="2"/>
  <c r="M1839" i="2"/>
  <c r="M1835" i="2"/>
  <c r="M1831" i="2"/>
  <c r="M1827" i="2"/>
  <c r="M1823" i="2"/>
  <c r="M1819" i="2"/>
  <c r="M1815" i="2"/>
  <c r="M1811" i="2"/>
  <c r="M1807" i="2"/>
  <c r="M1803" i="2"/>
  <c r="M1799" i="2"/>
  <c r="M1795" i="2"/>
  <c r="M1791" i="2"/>
  <c r="M1787" i="2"/>
  <c r="M1783" i="2"/>
  <c r="M1779" i="2"/>
  <c r="M1771" i="2"/>
  <c r="M1763" i="2"/>
  <c r="M1755" i="2"/>
  <c r="M1747" i="2"/>
  <c r="M1739" i="2"/>
  <c r="M1731" i="2"/>
  <c r="M1723" i="2"/>
  <c r="M1715" i="2"/>
  <c r="M1707" i="2"/>
  <c r="M1699" i="2"/>
  <c r="M1691" i="2"/>
  <c r="M1683" i="2"/>
  <c r="M1675" i="2"/>
  <c r="M1667" i="2"/>
  <c r="M1659" i="2"/>
  <c r="M1651" i="2"/>
  <c r="M1643" i="2"/>
  <c r="M1635" i="2"/>
  <c r="M1627" i="2"/>
  <c r="M1619" i="2"/>
  <c r="M1611" i="2"/>
  <c r="M1603" i="2"/>
  <c r="M1595" i="2"/>
  <c r="M1587" i="2"/>
  <c r="M1579" i="2"/>
  <c r="M1571" i="2"/>
  <c r="P1570" i="2"/>
  <c r="M1563" i="2"/>
  <c r="P1562" i="2"/>
  <c r="M1555" i="2"/>
  <c r="P1554" i="2"/>
  <c r="M1547" i="2"/>
  <c r="P1546" i="2"/>
  <c r="M1539" i="2"/>
  <c r="P1538" i="2"/>
  <c r="M1531" i="2"/>
  <c r="P1530" i="2"/>
  <c r="M1523" i="2"/>
  <c r="P1522" i="2"/>
  <c r="M1515" i="2"/>
  <c r="P1514" i="2"/>
  <c r="M1507" i="2"/>
  <c r="P1506" i="2"/>
  <c r="M1499" i="2"/>
  <c r="P1498" i="2"/>
  <c r="M1491" i="2"/>
  <c r="P1490" i="2"/>
  <c r="M1483" i="2"/>
  <c r="P1482" i="2"/>
  <c r="M1475" i="2"/>
  <c r="P1474" i="2"/>
  <c r="P1472" i="2"/>
  <c r="P1418" i="2"/>
  <c r="P2041" i="2"/>
  <c r="P2033" i="2"/>
  <c r="P2025" i="2"/>
  <c r="P2017" i="2"/>
  <c r="P2009" i="2"/>
  <c r="M2006" i="2"/>
  <c r="M2002" i="2"/>
  <c r="M1998" i="2"/>
  <c r="M1994" i="2"/>
  <c r="M1990" i="2"/>
  <c r="M1986" i="2"/>
  <c r="M1982" i="2"/>
  <c r="M1978" i="2"/>
  <c r="M1974" i="2"/>
  <c r="M1970" i="2"/>
  <c r="M1966" i="2"/>
  <c r="M1962" i="2"/>
  <c r="M1958" i="2"/>
  <c r="M1954" i="2"/>
  <c r="M1950" i="2"/>
  <c r="M1946" i="2"/>
  <c r="M1942" i="2"/>
  <c r="M1938" i="2"/>
  <c r="M1934" i="2"/>
  <c r="M1930" i="2"/>
  <c r="M1926" i="2"/>
  <c r="M1922" i="2"/>
  <c r="M1918" i="2"/>
  <c r="M1914" i="2"/>
  <c r="M1910" i="2"/>
  <c r="M1906" i="2"/>
  <c r="M1902" i="2"/>
  <c r="M1898" i="2"/>
  <c r="M1894" i="2"/>
  <c r="M1890" i="2"/>
  <c r="M1886" i="2"/>
  <c r="M1882" i="2"/>
  <c r="M1878" i="2"/>
  <c r="M1874" i="2"/>
  <c r="M1870" i="2"/>
  <c r="M1866" i="2"/>
  <c r="M1862" i="2"/>
  <c r="M1858" i="2"/>
  <c r="M1854" i="2"/>
  <c r="M1850" i="2"/>
  <c r="M1846" i="2"/>
  <c r="M1842" i="2"/>
  <c r="M1838" i="2"/>
  <c r="M1834" i="2"/>
  <c r="M1830" i="2"/>
  <c r="M1826" i="2"/>
  <c r="M1822" i="2"/>
  <c r="M1818" i="2"/>
  <c r="M1814" i="2"/>
  <c r="M1810" i="2"/>
  <c r="M1806" i="2"/>
  <c r="M1802" i="2"/>
  <c r="M1798" i="2"/>
  <c r="M1794" i="2"/>
  <c r="M1790" i="2"/>
  <c r="P1787" i="2"/>
  <c r="M1786" i="2"/>
  <c r="P1783" i="2"/>
  <c r="M1782" i="2"/>
  <c r="P1779" i="2"/>
  <c r="M1778" i="2"/>
  <c r="P1777" i="2"/>
  <c r="P1772" i="2"/>
  <c r="P1771" i="2"/>
  <c r="M1770" i="2"/>
  <c r="P1769" i="2"/>
  <c r="P1764" i="2"/>
  <c r="P1763" i="2"/>
  <c r="M1762" i="2"/>
  <c r="P1761" i="2"/>
  <c r="P1756" i="2"/>
  <c r="P1755" i="2"/>
  <c r="M1754" i="2"/>
  <c r="P1753" i="2"/>
  <c r="P1748" i="2"/>
  <c r="P1747" i="2"/>
  <c r="M1746" i="2"/>
  <c r="P1745" i="2"/>
  <c r="P1740" i="2"/>
  <c r="P1739" i="2"/>
  <c r="M1738" i="2"/>
  <c r="P1737" i="2"/>
  <c r="P1732" i="2"/>
  <c r="P1731" i="2"/>
  <c r="M1730" i="2"/>
  <c r="P1729" i="2"/>
  <c r="P1724" i="2"/>
  <c r="P1723" i="2"/>
  <c r="M1722" i="2"/>
  <c r="P1721" i="2"/>
  <c r="P1716" i="2"/>
  <c r="P1715" i="2"/>
  <c r="M1714" i="2"/>
  <c r="P1713" i="2"/>
  <c r="P1708" i="2"/>
  <c r="P1707" i="2"/>
  <c r="M1706" i="2"/>
  <c r="P1705" i="2"/>
  <c r="P1700" i="2"/>
  <c r="P1699" i="2"/>
  <c r="M1698" i="2"/>
  <c r="P1697" i="2"/>
  <c r="P1692" i="2"/>
  <c r="P1691" i="2"/>
  <c r="M1690" i="2"/>
  <c r="P1689" i="2"/>
  <c r="P1684" i="2"/>
  <c r="P1683" i="2"/>
  <c r="M1682" i="2"/>
  <c r="P1681" i="2"/>
  <c r="P1676" i="2"/>
  <c r="P1675" i="2"/>
  <c r="M1674" i="2"/>
  <c r="P1673" i="2"/>
  <c r="P1668" i="2"/>
  <c r="P1667" i="2"/>
  <c r="M1666" i="2"/>
  <c r="P1665" i="2"/>
  <c r="P1660" i="2"/>
  <c r="P1659" i="2"/>
  <c r="M1658" i="2"/>
  <c r="P1657" i="2"/>
  <c r="P1652" i="2"/>
  <c r="P1651" i="2"/>
  <c r="M1650" i="2"/>
  <c r="P1649" i="2"/>
  <c r="P1644" i="2"/>
  <c r="P1643" i="2"/>
  <c r="M1642" i="2"/>
  <c r="P1641" i="2"/>
  <c r="P1636" i="2"/>
  <c r="P1635" i="2"/>
  <c r="M1634" i="2"/>
  <c r="P1633" i="2"/>
  <c r="P1628" i="2"/>
  <c r="P1627" i="2"/>
  <c r="M1626" i="2"/>
  <c r="P1625" i="2"/>
  <c r="P1620" i="2"/>
  <c r="P1619" i="2"/>
  <c r="M1618" i="2"/>
  <c r="P1617" i="2"/>
  <c r="P1612" i="2"/>
  <c r="P1611" i="2"/>
  <c r="M1610" i="2"/>
  <c r="P1609" i="2"/>
  <c r="P1604" i="2"/>
  <c r="P1603" i="2"/>
  <c r="M1602" i="2"/>
  <c r="P1601" i="2"/>
  <c r="P1596" i="2"/>
  <c r="P1595" i="2"/>
  <c r="M1594" i="2"/>
  <c r="P1593" i="2"/>
  <c r="P1588" i="2"/>
  <c r="P1587" i="2"/>
  <c r="M1586" i="2"/>
  <c r="P1585" i="2"/>
  <c r="P1580" i="2"/>
  <c r="P1579" i="2"/>
  <c r="M1578" i="2"/>
  <c r="P1577" i="2"/>
  <c r="P1572" i="2"/>
  <c r="P1571" i="2"/>
  <c r="M1570" i="2"/>
  <c r="P1569" i="2"/>
  <c r="P1564" i="2"/>
  <c r="P1563" i="2"/>
  <c r="M1562" i="2"/>
  <c r="P1561" i="2"/>
  <c r="P1556" i="2"/>
  <c r="P1555" i="2"/>
  <c r="M1554" i="2"/>
  <c r="P1553" i="2"/>
  <c r="P1548" i="2"/>
  <c r="P1547" i="2"/>
  <c r="M1546" i="2"/>
  <c r="P1545" i="2"/>
  <c r="P1540" i="2"/>
  <c r="P1539" i="2"/>
  <c r="M1538" i="2"/>
  <c r="P1537" i="2"/>
  <c r="P1532" i="2"/>
  <c r="P1531" i="2"/>
  <c r="M1530" i="2"/>
  <c r="P1529" i="2"/>
  <c r="P1524" i="2"/>
  <c r="P1523" i="2"/>
  <c r="M1522" i="2"/>
  <c r="P1521" i="2"/>
  <c r="P1516" i="2"/>
  <c r="P1515" i="2"/>
  <c r="M1514" i="2"/>
  <c r="P1513" i="2"/>
  <c r="P1508" i="2"/>
  <c r="P1507" i="2"/>
  <c r="M1506" i="2"/>
  <c r="P1505" i="2"/>
  <c r="P1500" i="2"/>
  <c r="P1499" i="2"/>
  <c r="M1498" i="2"/>
  <c r="P1497" i="2"/>
  <c r="P1492" i="2"/>
  <c r="P1491" i="2"/>
  <c r="M1490" i="2"/>
  <c r="P1489" i="2"/>
  <c r="P1484" i="2"/>
  <c r="P1483" i="2"/>
  <c r="M1482" i="2"/>
  <c r="P1481" i="2"/>
  <c r="P1476" i="2"/>
  <c r="P1475" i="2"/>
  <c r="M1474" i="2"/>
  <c r="P1473" i="2"/>
  <c r="P1470" i="2"/>
  <c r="P1458" i="2"/>
  <c r="P1442" i="2"/>
  <c r="P1426" i="2"/>
  <c r="M1404" i="2"/>
  <c r="P1404" i="2"/>
  <c r="P1386" i="2"/>
  <c r="M1372" i="2"/>
  <c r="P1372" i="2"/>
  <c r="P1354" i="2"/>
  <c r="M1340" i="2"/>
  <c r="P1340" i="2"/>
  <c r="P1322" i="2"/>
  <c r="M1462" i="2"/>
  <c r="M1460" i="2"/>
  <c r="M1446" i="2"/>
  <c r="M1444" i="2"/>
  <c r="M1430" i="2"/>
  <c r="M1428" i="2"/>
  <c r="P1424" i="2"/>
  <c r="P1421" i="2"/>
  <c r="P1419" i="2"/>
  <c r="M1409" i="2"/>
  <c r="P1408" i="2"/>
  <c r="P1405" i="2"/>
  <c r="P1403" i="2"/>
  <c r="M1393" i="2"/>
  <c r="P1392" i="2"/>
  <c r="P1389" i="2"/>
  <c r="P1387" i="2"/>
  <c r="M1377" i="2"/>
  <c r="P1376" i="2"/>
  <c r="P1373" i="2"/>
  <c r="P1371" i="2"/>
  <c r="M1361" i="2"/>
  <c r="P1360" i="2"/>
  <c r="P1357" i="2"/>
  <c r="P1355" i="2"/>
  <c r="M1345" i="2"/>
  <c r="P1344" i="2"/>
  <c r="P1341" i="2"/>
  <c r="P1339" i="2"/>
  <c r="M1329" i="2"/>
  <c r="P1328" i="2"/>
  <c r="P1325" i="2"/>
  <c r="P1323" i="2"/>
  <c r="M1313" i="2"/>
  <c r="M1154" i="2"/>
  <c r="P1154" i="2"/>
  <c r="M1122" i="2"/>
  <c r="P1122" i="2"/>
  <c r="M1090" i="2"/>
  <c r="P1090" i="2"/>
  <c r="M1058" i="2"/>
  <c r="P1058" i="2"/>
  <c r="M1026" i="2"/>
  <c r="P1026" i="2"/>
  <c r="M994" i="2"/>
  <c r="P994" i="2"/>
  <c r="M962" i="2"/>
  <c r="P962" i="2"/>
  <c r="M930" i="2"/>
  <c r="P930" i="2"/>
  <c r="M898" i="2"/>
  <c r="P898" i="2"/>
  <c r="M866" i="2"/>
  <c r="P866" i="2"/>
  <c r="P1471" i="2"/>
  <c r="P1463" i="2"/>
  <c r="P1462" i="2"/>
  <c r="P1461" i="2"/>
  <c r="P1460" i="2"/>
  <c r="P1459" i="2"/>
  <c r="P1447" i="2"/>
  <c r="P1446" i="2"/>
  <c r="P1445" i="2"/>
  <c r="P1444" i="2"/>
  <c r="P1443" i="2"/>
  <c r="P1431" i="2"/>
  <c r="P1430" i="2"/>
  <c r="P1429" i="2"/>
  <c r="P1428" i="2"/>
  <c r="P1427" i="2"/>
  <c r="M1414" i="2"/>
  <c r="M1412" i="2"/>
  <c r="M1398" i="2"/>
  <c r="M1396" i="2"/>
  <c r="M1382" i="2"/>
  <c r="M1380" i="2"/>
  <c r="M1366" i="2"/>
  <c r="M1364" i="2"/>
  <c r="M1350" i="2"/>
  <c r="M1348" i="2"/>
  <c r="M1334" i="2"/>
  <c r="M1332" i="2"/>
  <c r="M1318" i="2"/>
  <c r="M1316" i="2"/>
  <c r="M1162" i="2"/>
  <c r="P1162" i="2"/>
  <c r="M1130" i="2"/>
  <c r="P1130" i="2"/>
  <c r="M1098" i="2"/>
  <c r="P1098" i="2"/>
  <c r="M1066" i="2"/>
  <c r="P1066" i="2"/>
  <c r="M1034" i="2"/>
  <c r="P1034" i="2"/>
  <c r="M1002" i="2"/>
  <c r="P1002" i="2"/>
  <c r="M970" i="2"/>
  <c r="P970" i="2"/>
  <c r="M938" i="2"/>
  <c r="P938" i="2"/>
  <c r="M906" i="2"/>
  <c r="P906" i="2"/>
  <c r="M874" i="2"/>
  <c r="P874" i="2"/>
  <c r="M1468" i="2"/>
  <c r="M1454" i="2"/>
  <c r="M1452" i="2"/>
  <c r="M1438" i="2"/>
  <c r="M1436" i="2"/>
  <c r="M1417" i="2"/>
  <c r="P1413" i="2"/>
  <c r="P1411" i="2"/>
  <c r="M1401" i="2"/>
  <c r="P1400" i="2"/>
  <c r="P1397" i="2"/>
  <c r="P1396" i="2"/>
  <c r="P1395" i="2"/>
  <c r="M1385" i="2"/>
  <c r="P1384" i="2"/>
  <c r="P1381" i="2"/>
  <c r="P1380" i="2"/>
  <c r="P1379" i="2"/>
  <c r="M1369" i="2"/>
  <c r="P1368" i="2"/>
  <c r="P1365" i="2"/>
  <c r="P1364" i="2"/>
  <c r="P1363" i="2"/>
  <c r="M1353" i="2"/>
  <c r="P1352" i="2"/>
  <c r="P1349" i="2"/>
  <c r="P1348" i="2"/>
  <c r="P1347" i="2"/>
  <c r="M1337" i="2"/>
  <c r="P1336" i="2"/>
  <c r="P1333" i="2"/>
  <c r="P1332" i="2"/>
  <c r="P1331" i="2"/>
  <c r="M1321" i="2"/>
  <c r="P1320" i="2"/>
  <c r="P1317" i="2"/>
  <c r="P1316" i="2"/>
  <c r="P1315" i="2"/>
  <c r="M1170" i="2"/>
  <c r="P1170" i="2"/>
  <c r="M1138" i="2"/>
  <c r="P1138" i="2"/>
  <c r="M1106" i="2"/>
  <c r="P1106" i="2"/>
  <c r="M1074" i="2"/>
  <c r="P1074" i="2"/>
  <c r="M1042" i="2"/>
  <c r="P1042" i="2"/>
  <c r="M1010" i="2"/>
  <c r="P1010" i="2"/>
  <c r="M978" i="2"/>
  <c r="P978" i="2"/>
  <c r="M946" i="2"/>
  <c r="P946" i="2"/>
  <c r="M914" i="2"/>
  <c r="P914" i="2"/>
  <c r="M882" i="2"/>
  <c r="P882" i="2"/>
  <c r="P1171" i="2"/>
  <c r="P1163" i="2"/>
  <c r="P1155" i="2"/>
  <c r="P1147" i="2"/>
  <c r="P1139" i="2"/>
  <c r="P1131" i="2"/>
  <c r="P1123" i="2"/>
  <c r="P1115" i="2"/>
  <c r="P1107" i="2"/>
  <c r="P1099" i="2"/>
  <c r="P1091" i="2"/>
  <c r="P1083" i="2"/>
  <c r="P1075" i="2"/>
  <c r="P1067" i="2"/>
  <c r="P1059" i="2"/>
  <c r="P1051" i="2"/>
  <c r="P1043" i="2"/>
  <c r="P1035" i="2"/>
  <c r="P1027" i="2"/>
  <c r="P1019" i="2"/>
  <c r="P1011" i="2"/>
  <c r="P1003" i="2"/>
  <c r="P995" i="2"/>
  <c r="P987" i="2"/>
  <c r="P979" i="2"/>
  <c r="P971" i="2"/>
  <c r="P963" i="2"/>
  <c r="P955" i="2"/>
  <c r="P947" i="2"/>
  <c r="P939" i="2"/>
  <c r="P931" i="2"/>
  <c r="P923" i="2"/>
  <c r="P915" i="2"/>
  <c r="P907" i="2"/>
  <c r="P899" i="2"/>
  <c r="P891" i="2"/>
  <c r="P883" i="2"/>
  <c r="P875" i="2"/>
  <c r="P867" i="2"/>
  <c r="P859" i="2"/>
  <c r="P854" i="2"/>
  <c r="P852" i="2"/>
  <c r="P850" i="2"/>
  <c r="P848" i="2"/>
  <c r="P846" i="2"/>
  <c r="P844" i="2"/>
  <c r="P842" i="2"/>
  <c r="P840" i="2"/>
  <c r="P838" i="2"/>
  <c r="P836" i="2"/>
  <c r="P834" i="2"/>
  <c r="P832" i="2"/>
  <c r="P830" i="2"/>
  <c r="P828" i="2"/>
  <c r="P826" i="2"/>
  <c r="P824" i="2"/>
  <c r="P822" i="2"/>
  <c r="P820" i="2"/>
  <c r="P818" i="2"/>
  <c r="P816" i="2"/>
  <c r="P814" i="2"/>
  <c r="P812" i="2"/>
  <c r="P810" i="2"/>
  <c r="P808" i="2"/>
  <c r="P806" i="2"/>
  <c r="P803" i="2"/>
  <c r="P798" i="2"/>
  <c r="P795" i="2"/>
  <c r="P790" i="2"/>
  <c r="P787" i="2"/>
  <c r="P782" i="2"/>
  <c r="P779" i="2"/>
  <c r="P774" i="2"/>
  <c r="P771" i="2"/>
  <c r="P766" i="2"/>
  <c r="P763" i="2"/>
  <c r="P758" i="2"/>
  <c r="P755" i="2"/>
  <c r="P750" i="2"/>
  <c r="P747" i="2"/>
  <c r="P742" i="2"/>
  <c r="P739" i="2"/>
  <c r="P734" i="2"/>
  <c r="P731" i="2"/>
  <c r="P726" i="2"/>
  <c r="P723" i="2"/>
  <c r="P718" i="2"/>
  <c r="P715" i="2"/>
  <c r="P710" i="2"/>
  <c r="P707" i="2"/>
  <c r="P702" i="2"/>
  <c r="P699" i="2"/>
  <c r="P694" i="2"/>
  <c r="P691" i="2"/>
  <c r="P685" i="2"/>
  <c r="P677" i="2"/>
  <c r="P669" i="2"/>
  <c r="P661" i="2"/>
  <c r="P653" i="2"/>
  <c r="P645" i="2"/>
  <c r="P637" i="2"/>
  <c r="P629" i="2"/>
  <c r="P621" i="2"/>
  <c r="P613" i="2"/>
  <c r="P605" i="2"/>
  <c r="P573" i="2"/>
  <c r="M1464" i="2"/>
  <c r="M1456" i="2"/>
  <c r="M1448" i="2"/>
  <c r="M1440" i="2"/>
  <c r="M1432" i="2"/>
  <c r="M1424" i="2"/>
  <c r="M1416" i="2"/>
  <c r="M1408" i="2"/>
  <c r="M1400" i="2"/>
  <c r="M1392" i="2"/>
  <c r="M1384" i="2"/>
  <c r="M1376" i="2"/>
  <c r="M1368" i="2"/>
  <c r="M1360" i="2"/>
  <c r="M1352" i="2"/>
  <c r="M1344" i="2"/>
  <c r="M1336" i="2"/>
  <c r="M1328" i="2"/>
  <c r="M1320" i="2"/>
  <c r="M1312" i="2"/>
  <c r="M1310" i="2"/>
  <c r="M1308" i="2"/>
  <c r="M1306" i="2"/>
  <c r="M1304" i="2"/>
  <c r="M1302" i="2"/>
  <c r="M1300" i="2"/>
  <c r="M1298" i="2"/>
  <c r="M1296" i="2"/>
  <c r="M1294" i="2"/>
  <c r="M1292" i="2"/>
  <c r="M1290" i="2"/>
  <c r="M1288" i="2"/>
  <c r="M1286" i="2"/>
  <c r="M1284" i="2"/>
  <c r="M1282" i="2"/>
  <c r="M1280" i="2"/>
  <c r="M1278" i="2"/>
  <c r="M1276" i="2"/>
  <c r="M1274" i="2"/>
  <c r="M1272" i="2"/>
  <c r="M1270" i="2"/>
  <c r="M1268" i="2"/>
  <c r="M1266" i="2"/>
  <c r="M1264" i="2"/>
  <c r="M1262" i="2"/>
  <c r="M1260" i="2"/>
  <c r="M1258" i="2"/>
  <c r="M1256" i="2"/>
  <c r="M1254" i="2"/>
  <c r="M1252" i="2"/>
  <c r="M1250" i="2"/>
  <c r="M1248" i="2"/>
  <c r="M1246" i="2"/>
  <c r="M1244" i="2"/>
  <c r="M1242" i="2"/>
  <c r="M1240" i="2"/>
  <c r="M1238" i="2"/>
  <c r="M1236" i="2"/>
  <c r="M1234" i="2"/>
  <c r="M1232" i="2"/>
  <c r="M1230" i="2"/>
  <c r="M1228" i="2"/>
  <c r="M1226" i="2"/>
  <c r="M1224" i="2"/>
  <c r="M1222" i="2"/>
  <c r="M1220" i="2"/>
  <c r="M1218" i="2"/>
  <c r="M1216" i="2"/>
  <c r="M1214" i="2"/>
  <c r="M1212" i="2"/>
  <c r="M1210" i="2"/>
  <c r="M1208" i="2"/>
  <c r="M1206" i="2"/>
  <c r="M1204" i="2"/>
  <c r="M1202" i="2"/>
  <c r="M1200" i="2"/>
  <c r="M1198" i="2"/>
  <c r="M1196" i="2"/>
  <c r="M1194" i="2"/>
  <c r="M1192" i="2"/>
  <c r="M1190" i="2"/>
  <c r="M1188" i="2"/>
  <c r="M1186" i="2"/>
  <c r="M1184" i="2"/>
  <c r="M1182" i="2"/>
  <c r="M1180" i="2"/>
  <c r="M1178" i="2"/>
  <c r="M1176" i="2"/>
  <c r="M1174" i="2"/>
  <c r="P1173" i="2"/>
  <c r="M1168" i="2"/>
  <c r="M1166" i="2"/>
  <c r="P1165" i="2"/>
  <c r="M1160" i="2"/>
  <c r="M1158" i="2"/>
  <c r="P1157" i="2"/>
  <c r="M1152" i="2"/>
  <c r="M1150" i="2"/>
  <c r="P1149" i="2"/>
  <c r="M1144" i="2"/>
  <c r="M1142" i="2"/>
  <c r="P1141" i="2"/>
  <c r="P1137" i="2"/>
  <c r="M1136" i="2"/>
  <c r="M1134" i="2"/>
  <c r="M1128" i="2"/>
  <c r="M1126" i="2"/>
  <c r="M1120" i="2"/>
  <c r="M1118" i="2"/>
  <c r="M1112" i="2"/>
  <c r="M1110" i="2"/>
  <c r="M1104" i="2"/>
  <c r="M1102" i="2"/>
  <c r="M1096" i="2"/>
  <c r="M1094" i="2"/>
  <c r="M1088" i="2"/>
  <c r="M1086" i="2"/>
  <c r="M1080" i="2"/>
  <c r="M1078" i="2"/>
  <c r="M1072" i="2"/>
  <c r="M1070" i="2"/>
  <c r="M1064" i="2"/>
  <c r="M1062" i="2"/>
  <c r="M1056" i="2"/>
  <c r="M1054" i="2"/>
  <c r="M1048" i="2"/>
  <c r="M1046" i="2"/>
  <c r="M1040" i="2"/>
  <c r="M1038" i="2"/>
  <c r="M1032" i="2"/>
  <c r="M1030" i="2"/>
  <c r="M1024" i="2"/>
  <c r="M1022" i="2"/>
  <c r="M1016" i="2"/>
  <c r="M1014" i="2"/>
  <c r="M1008" i="2"/>
  <c r="M1006" i="2"/>
  <c r="M1000" i="2"/>
  <c r="M998" i="2"/>
  <c r="M992" i="2"/>
  <c r="M990" i="2"/>
  <c r="M984" i="2"/>
  <c r="M982" i="2"/>
  <c r="M976" i="2"/>
  <c r="M974" i="2"/>
  <c r="M968" i="2"/>
  <c r="M966" i="2"/>
  <c r="M960" i="2"/>
  <c r="M958" i="2"/>
  <c r="M952" i="2"/>
  <c r="M950" i="2"/>
  <c r="M944" i="2"/>
  <c r="M942" i="2"/>
  <c r="M936" i="2"/>
  <c r="M934" i="2"/>
  <c r="M928" i="2"/>
  <c r="M926" i="2"/>
  <c r="M920" i="2"/>
  <c r="M918" i="2"/>
  <c r="M912" i="2"/>
  <c r="M910" i="2"/>
  <c r="P581" i="2"/>
  <c r="P1423" i="2"/>
  <c r="P1415" i="2"/>
  <c r="P1407" i="2"/>
  <c r="P1399" i="2"/>
  <c r="P1391" i="2"/>
  <c r="P1383" i="2"/>
  <c r="P1375" i="2"/>
  <c r="P1367" i="2"/>
  <c r="P1359" i="2"/>
  <c r="P1351" i="2"/>
  <c r="P1343" i="2"/>
  <c r="P1335" i="2"/>
  <c r="P1327" i="2"/>
  <c r="P1319" i="2"/>
  <c r="P1311" i="2"/>
  <c r="P1309" i="2"/>
  <c r="P1307" i="2"/>
  <c r="P1305" i="2"/>
  <c r="P1303" i="2"/>
  <c r="P1301" i="2"/>
  <c r="P1299" i="2"/>
  <c r="P1297" i="2"/>
  <c r="P1295" i="2"/>
  <c r="P1293" i="2"/>
  <c r="P1291" i="2"/>
  <c r="P1289" i="2"/>
  <c r="P1287" i="2"/>
  <c r="P1285" i="2"/>
  <c r="P1283" i="2"/>
  <c r="P1281" i="2"/>
  <c r="P1279" i="2"/>
  <c r="P1277" i="2"/>
  <c r="P1275" i="2"/>
  <c r="P1273" i="2"/>
  <c r="P1271" i="2"/>
  <c r="P1269" i="2"/>
  <c r="P1267" i="2"/>
  <c r="P1265" i="2"/>
  <c r="P1263" i="2"/>
  <c r="P1261" i="2"/>
  <c r="P1259" i="2"/>
  <c r="P1257" i="2"/>
  <c r="P1255" i="2"/>
  <c r="P1253" i="2"/>
  <c r="P1251" i="2"/>
  <c r="P1249" i="2"/>
  <c r="P1247" i="2"/>
  <c r="P1245" i="2"/>
  <c r="P1243" i="2"/>
  <c r="P1241" i="2"/>
  <c r="P1239" i="2"/>
  <c r="P1237" i="2"/>
  <c r="P1235" i="2"/>
  <c r="P1233" i="2"/>
  <c r="P1231" i="2"/>
  <c r="P1229" i="2"/>
  <c r="P1227" i="2"/>
  <c r="P1225" i="2"/>
  <c r="P1223" i="2"/>
  <c r="P1221" i="2"/>
  <c r="P1219" i="2"/>
  <c r="P1217" i="2"/>
  <c r="P1215" i="2"/>
  <c r="P1213" i="2"/>
  <c r="P1211" i="2"/>
  <c r="P1209" i="2"/>
  <c r="P1207" i="2"/>
  <c r="P1205" i="2"/>
  <c r="P1203" i="2"/>
  <c r="P1201" i="2"/>
  <c r="P1199" i="2"/>
  <c r="P1197" i="2"/>
  <c r="P1195" i="2"/>
  <c r="P1193" i="2"/>
  <c r="P1191" i="2"/>
  <c r="P1189" i="2"/>
  <c r="P1187" i="2"/>
  <c r="P1185" i="2"/>
  <c r="P1183" i="2"/>
  <c r="P1181" i="2"/>
  <c r="P1179" i="2"/>
  <c r="P1177" i="2"/>
  <c r="P1175" i="2"/>
  <c r="P1167" i="2"/>
  <c r="P1159" i="2"/>
  <c r="P1151" i="2"/>
  <c r="P1143" i="2"/>
  <c r="P1135" i="2"/>
  <c r="M1133" i="2"/>
  <c r="P1127" i="2"/>
  <c r="M1125" i="2"/>
  <c r="P1119" i="2"/>
  <c r="M1117" i="2"/>
  <c r="P1111" i="2"/>
  <c r="M1109" i="2"/>
  <c r="P1103" i="2"/>
  <c r="M1101" i="2"/>
  <c r="P1095" i="2"/>
  <c r="M1093" i="2"/>
  <c r="P1087" i="2"/>
  <c r="M1085" i="2"/>
  <c r="P1079" i="2"/>
  <c r="M1077" i="2"/>
  <c r="P1071" i="2"/>
  <c r="M1069" i="2"/>
  <c r="P1063" i="2"/>
  <c r="M1061" i="2"/>
  <c r="P1055" i="2"/>
  <c r="M1053" i="2"/>
  <c r="P1047" i="2"/>
  <c r="M1045" i="2"/>
  <c r="P1039" i="2"/>
  <c r="M1037" i="2"/>
  <c r="P1031" i="2"/>
  <c r="M1029" i="2"/>
  <c r="P1023" i="2"/>
  <c r="M1021" i="2"/>
  <c r="P1015" i="2"/>
  <c r="M1013" i="2"/>
  <c r="P1007" i="2"/>
  <c r="M1005" i="2"/>
  <c r="P999" i="2"/>
  <c r="M997" i="2"/>
  <c r="P991" i="2"/>
  <c r="M989" i="2"/>
  <c r="P983" i="2"/>
  <c r="M981" i="2"/>
  <c r="P975" i="2"/>
  <c r="M973" i="2"/>
  <c r="P967" i="2"/>
  <c r="M965" i="2"/>
  <c r="P959" i="2"/>
  <c r="M957" i="2"/>
  <c r="P951" i="2"/>
  <c r="M949" i="2"/>
  <c r="P943" i="2"/>
  <c r="M941" i="2"/>
  <c r="P935" i="2"/>
  <c r="M933" i="2"/>
  <c r="P927" i="2"/>
  <c r="M925" i="2"/>
  <c r="P919" i="2"/>
  <c r="M917" i="2"/>
  <c r="P911" i="2"/>
  <c r="M909" i="2"/>
  <c r="M901" i="2"/>
  <c r="P901" i="2"/>
  <c r="M893" i="2"/>
  <c r="P893" i="2"/>
  <c r="M885" i="2"/>
  <c r="P885" i="2"/>
  <c r="M877" i="2"/>
  <c r="P877" i="2"/>
  <c r="M869" i="2"/>
  <c r="P869" i="2"/>
  <c r="M861" i="2"/>
  <c r="P861" i="2"/>
  <c r="P589" i="2"/>
  <c r="P900" i="2"/>
  <c r="P892" i="2"/>
  <c r="P884" i="2"/>
  <c r="P876" i="2"/>
  <c r="P868" i="2"/>
  <c r="P860" i="2"/>
  <c r="M801" i="2"/>
  <c r="M793" i="2"/>
  <c r="M785" i="2"/>
  <c r="M777" i="2"/>
  <c r="M769" i="2"/>
  <c r="M761" i="2"/>
  <c r="M753" i="2"/>
  <c r="M745" i="2"/>
  <c r="M737" i="2"/>
  <c r="M729" i="2"/>
  <c r="M721" i="2"/>
  <c r="M713" i="2"/>
  <c r="M705" i="2"/>
  <c r="M697" i="2"/>
  <c r="M689" i="2"/>
  <c r="M681" i="2"/>
  <c r="M673" i="2"/>
  <c r="M665" i="2"/>
  <c r="M657" i="2"/>
  <c r="M649" i="2"/>
  <c r="M641" i="2"/>
  <c r="M633" i="2"/>
  <c r="M625" i="2"/>
  <c r="M617" i="2"/>
  <c r="M609" i="2"/>
  <c r="M601" i="2"/>
  <c r="M593" i="2"/>
  <c r="M585" i="2"/>
  <c r="M577" i="2"/>
  <c r="M569" i="2"/>
  <c r="M556" i="2"/>
  <c r="P556" i="2"/>
  <c r="M524" i="2"/>
  <c r="P524" i="2"/>
  <c r="M905" i="2"/>
  <c r="M897" i="2"/>
  <c r="M889" i="2"/>
  <c r="M881" i="2"/>
  <c r="M873" i="2"/>
  <c r="M865" i="2"/>
  <c r="M857" i="2"/>
  <c r="P802" i="2"/>
  <c r="M800" i="2"/>
  <c r="P799" i="2"/>
  <c r="P794" i="2"/>
  <c r="M792" i="2"/>
  <c r="P791" i="2"/>
  <c r="P786" i="2"/>
  <c r="M784" i="2"/>
  <c r="P783" i="2"/>
  <c r="P778" i="2"/>
  <c r="M776" i="2"/>
  <c r="P775" i="2"/>
  <c r="P770" i="2"/>
  <c r="P767" i="2"/>
  <c r="P762" i="2"/>
  <c r="P759" i="2"/>
  <c r="P754" i="2"/>
  <c r="P751" i="2"/>
  <c r="P746" i="2"/>
  <c r="P743" i="2"/>
  <c r="P738" i="2"/>
  <c r="P735" i="2"/>
  <c r="P730" i="2"/>
  <c r="P727" i="2"/>
  <c r="P722" i="2"/>
  <c r="P719" i="2"/>
  <c r="P714" i="2"/>
  <c r="P711" i="2"/>
  <c r="P706" i="2"/>
  <c r="P703" i="2"/>
  <c r="P698" i="2"/>
  <c r="P695" i="2"/>
  <c r="P690" i="2"/>
  <c r="P684" i="2"/>
  <c r="P682" i="2"/>
  <c r="P676" i="2"/>
  <c r="P674" i="2"/>
  <c r="P668" i="2"/>
  <c r="P666" i="2"/>
  <c r="P660" i="2"/>
  <c r="P658" i="2"/>
  <c r="P652" i="2"/>
  <c r="P650" i="2"/>
  <c r="P644" i="2"/>
  <c r="P642" i="2"/>
  <c r="P636" i="2"/>
  <c r="P634" i="2"/>
  <c r="P628" i="2"/>
  <c r="P626" i="2"/>
  <c r="P620" i="2"/>
  <c r="P618" i="2"/>
  <c r="P612" i="2"/>
  <c r="P610" i="2"/>
  <c r="P604" i="2"/>
  <c r="P602" i="2"/>
  <c r="P601" i="2"/>
  <c r="M598" i="2"/>
  <c r="P596" i="2"/>
  <c r="P594" i="2"/>
  <c r="P593" i="2"/>
  <c r="M590" i="2"/>
  <c r="P588" i="2"/>
  <c r="P586" i="2"/>
  <c r="P585" i="2"/>
  <c r="M582" i="2"/>
  <c r="P580" i="2"/>
  <c r="P578" i="2"/>
  <c r="P577" i="2"/>
  <c r="M574" i="2"/>
  <c r="P572" i="2"/>
  <c r="P570" i="2"/>
  <c r="P569" i="2"/>
  <c r="M568" i="2"/>
  <c r="M566" i="2"/>
  <c r="M564" i="2"/>
  <c r="P564" i="2"/>
  <c r="M532" i="2"/>
  <c r="P532" i="2"/>
  <c r="P904" i="2"/>
  <c r="P896" i="2"/>
  <c r="P888" i="2"/>
  <c r="P881" i="2"/>
  <c r="P880" i="2"/>
  <c r="P873" i="2"/>
  <c r="P872" i="2"/>
  <c r="P865" i="2"/>
  <c r="P864" i="2"/>
  <c r="P857" i="2"/>
  <c r="P856" i="2"/>
  <c r="M853" i="2"/>
  <c r="M851" i="2"/>
  <c r="M849" i="2"/>
  <c r="M847" i="2"/>
  <c r="M845" i="2"/>
  <c r="M843" i="2"/>
  <c r="M841" i="2"/>
  <c r="M839" i="2"/>
  <c r="M837" i="2"/>
  <c r="M835" i="2"/>
  <c r="M833" i="2"/>
  <c r="M831" i="2"/>
  <c r="M829" i="2"/>
  <c r="M827" i="2"/>
  <c r="M825" i="2"/>
  <c r="M823" i="2"/>
  <c r="M821" i="2"/>
  <c r="M819" i="2"/>
  <c r="M817" i="2"/>
  <c r="M815" i="2"/>
  <c r="M813" i="2"/>
  <c r="M811" i="2"/>
  <c r="M809" i="2"/>
  <c r="M807" i="2"/>
  <c r="M805" i="2"/>
  <c r="P804" i="2"/>
  <c r="M797" i="2"/>
  <c r="M789" i="2"/>
  <c r="M781" i="2"/>
  <c r="M773" i="2"/>
  <c r="M765" i="2"/>
  <c r="M757" i="2"/>
  <c r="M749" i="2"/>
  <c r="M741" i="2"/>
  <c r="M733" i="2"/>
  <c r="M725" i="2"/>
  <c r="M717" i="2"/>
  <c r="M709" i="2"/>
  <c r="M701" i="2"/>
  <c r="M693" i="2"/>
  <c r="M540" i="2"/>
  <c r="P540" i="2"/>
  <c r="M687" i="2"/>
  <c r="M679" i="2"/>
  <c r="M671" i="2"/>
  <c r="M663" i="2"/>
  <c r="M655" i="2"/>
  <c r="M647" i="2"/>
  <c r="M639" i="2"/>
  <c r="M631" i="2"/>
  <c r="M623" i="2"/>
  <c r="M615" i="2"/>
  <c r="M607" i="2"/>
  <c r="M599" i="2"/>
  <c r="M591" i="2"/>
  <c r="M583" i="2"/>
  <c r="M575" i="2"/>
  <c r="M567" i="2"/>
  <c r="M563" i="2"/>
  <c r="P563" i="2"/>
  <c r="P557" i="2"/>
  <c r="M555" i="2"/>
  <c r="P555" i="2"/>
  <c r="P549" i="2"/>
  <c r="M547" i="2"/>
  <c r="P547" i="2"/>
  <c r="P546" i="2"/>
  <c r="P541" i="2"/>
  <c r="M539" i="2"/>
  <c r="P539" i="2"/>
  <c r="P538" i="2"/>
  <c r="P533" i="2"/>
  <c r="M531" i="2"/>
  <c r="P531" i="2"/>
  <c r="P530" i="2"/>
  <c r="P525" i="2"/>
  <c r="M523" i="2"/>
  <c r="P523" i="2"/>
  <c r="P522" i="2"/>
  <c r="M515" i="2"/>
  <c r="P515" i="2"/>
  <c r="P514" i="2"/>
  <c r="M507" i="2"/>
  <c r="P507" i="2"/>
  <c r="P506" i="2"/>
  <c r="M499" i="2"/>
  <c r="P499" i="2"/>
  <c r="P498" i="2"/>
  <c r="M491" i="2"/>
  <c r="P491" i="2"/>
  <c r="P490" i="2"/>
  <c r="M483" i="2"/>
  <c r="P483" i="2"/>
  <c r="P482" i="2"/>
  <c r="M475" i="2"/>
  <c r="P475" i="2"/>
  <c r="P474" i="2"/>
  <c r="M467" i="2"/>
  <c r="P467" i="2"/>
  <c r="P466" i="2"/>
  <c r="P450" i="2"/>
  <c r="P434" i="2"/>
  <c r="P418" i="2"/>
  <c r="P402" i="2"/>
  <c r="P386" i="2"/>
  <c r="P370" i="2"/>
  <c r="P354" i="2"/>
  <c r="M344" i="2"/>
  <c r="P344" i="2"/>
  <c r="M332" i="2"/>
  <c r="P332" i="2"/>
  <c r="P331" i="2"/>
  <c r="M316" i="2"/>
  <c r="P316" i="2"/>
  <c r="P315" i="2"/>
  <c r="M300" i="2"/>
  <c r="P300" i="2"/>
  <c r="P299" i="2"/>
  <c r="M284" i="2"/>
  <c r="P284" i="2"/>
  <c r="P283" i="2"/>
  <c r="M268" i="2"/>
  <c r="P268" i="2"/>
  <c r="P267" i="2"/>
  <c r="P687" i="2"/>
  <c r="P686" i="2"/>
  <c r="P679" i="2"/>
  <c r="P678" i="2"/>
  <c r="P671" i="2"/>
  <c r="P670" i="2"/>
  <c r="P663" i="2"/>
  <c r="P662" i="2"/>
  <c r="P655" i="2"/>
  <c r="P654" i="2"/>
  <c r="P647" i="2"/>
  <c r="P646" i="2"/>
  <c r="P639" i="2"/>
  <c r="P638" i="2"/>
  <c r="P631" i="2"/>
  <c r="P630" i="2"/>
  <c r="P623" i="2"/>
  <c r="P622" i="2"/>
  <c r="P615" i="2"/>
  <c r="P614" i="2"/>
  <c r="P607" i="2"/>
  <c r="P606" i="2"/>
  <c r="P599" i="2"/>
  <c r="P598" i="2"/>
  <c r="P591" i="2"/>
  <c r="P590" i="2"/>
  <c r="P583" i="2"/>
  <c r="P582" i="2"/>
  <c r="P575" i="2"/>
  <c r="P574" i="2"/>
  <c r="P567" i="2"/>
  <c r="P566" i="2"/>
  <c r="M560" i="2"/>
  <c r="M552" i="2"/>
  <c r="M544" i="2"/>
  <c r="M536" i="2"/>
  <c r="M528" i="2"/>
  <c r="M520" i="2"/>
  <c r="M454" i="2"/>
  <c r="M438" i="2"/>
  <c r="M422" i="2"/>
  <c r="M406" i="2"/>
  <c r="M390" i="2"/>
  <c r="M374" i="2"/>
  <c r="M358" i="2"/>
  <c r="M683" i="2"/>
  <c r="M675" i="2"/>
  <c r="M667" i="2"/>
  <c r="M659" i="2"/>
  <c r="M651" i="2"/>
  <c r="M643" i="2"/>
  <c r="M635" i="2"/>
  <c r="M627" i="2"/>
  <c r="M619" i="2"/>
  <c r="M611" i="2"/>
  <c r="M603" i="2"/>
  <c r="M595" i="2"/>
  <c r="M587" i="2"/>
  <c r="M579" i="2"/>
  <c r="M571" i="2"/>
  <c r="P561" i="2"/>
  <c r="M559" i="2"/>
  <c r="P559" i="2"/>
  <c r="P553" i="2"/>
  <c r="M551" i="2"/>
  <c r="P551" i="2"/>
  <c r="P545" i="2"/>
  <c r="M543" i="2"/>
  <c r="P543" i="2"/>
  <c r="P542" i="2"/>
  <c r="P537" i="2"/>
  <c r="M535" i="2"/>
  <c r="P535" i="2"/>
  <c r="P534" i="2"/>
  <c r="P529" i="2"/>
  <c r="M527" i="2"/>
  <c r="P527" i="2"/>
  <c r="P526" i="2"/>
  <c r="P521" i="2"/>
  <c r="M519" i="2"/>
  <c r="P519" i="2"/>
  <c r="P518" i="2"/>
  <c r="M511" i="2"/>
  <c r="P511" i="2"/>
  <c r="P510" i="2"/>
  <c r="M503" i="2"/>
  <c r="P503" i="2"/>
  <c r="P502" i="2"/>
  <c r="M495" i="2"/>
  <c r="P495" i="2"/>
  <c r="P494" i="2"/>
  <c r="M487" i="2"/>
  <c r="P487" i="2"/>
  <c r="P486" i="2"/>
  <c r="M479" i="2"/>
  <c r="P479" i="2"/>
  <c r="P478" i="2"/>
  <c r="M471" i="2"/>
  <c r="P471" i="2"/>
  <c r="P470" i="2"/>
  <c r="M461" i="2"/>
  <c r="P461" i="2"/>
  <c r="P457" i="2"/>
  <c r="P455" i="2"/>
  <c r="M445" i="2"/>
  <c r="P445" i="2"/>
  <c r="P441" i="2"/>
  <c r="P439" i="2"/>
  <c r="M429" i="2"/>
  <c r="P429" i="2"/>
  <c r="P425" i="2"/>
  <c r="P423" i="2"/>
  <c r="M413" i="2"/>
  <c r="P413" i="2"/>
  <c r="P409" i="2"/>
  <c r="P407" i="2"/>
  <c r="M397" i="2"/>
  <c r="P397" i="2"/>
  <c r="P393" i="2"/>
  <c r="P391" i="2"/>
  <c r="M381" i="2"/>
  <c r="P381" i="2"/>
  <c r="P377" i="2"/>
  <c r="P375" i="2"/>
  <c r="M365" i="2"/>
  <c r="P365" i="2"/>
  <c r="P361" i="2"/>
  <c r="P359" i="2"/>
  <c r="P358" i="2"/>
  <c r="P562" i="2"/>
  <c r="P554" i="2"/>
  <c r="M464" i="2"/>
  <c r="M448" i="2"/>
  <c r="M432" i="2"/>
  <c r="M416" i="2"/>
  <c r="M400" i="2"/>
  <c r="M384" i="2"/>
  <c r="M368" i="2"/>
  <c r="M352" i="2"/>
  <c r="M341" i="2"/>
  <c r="M328" i="2"/>
  <c r="P328" i="2"/>
  <c r="P327" i="2"/>
  <c r="M312" i="2"/>
  <c r="P312" i="2"/>
  <c r="P311" i="2"/>
  <c r="M296" i="2"/>
  <c r="P296" i="2"/>
  <c r="P295" i="2"/>
  <c r="M280" i="2"/>
  <c r="P280" i="2"/>
  <c r="P279" i="2"/>
  <c r="M264" i="2"/>
  <c r="P264" i="2"/>
  <c r="P263" i="2"/>
  <c r="M254" i="2"/>
  <c r="P254" i="2"/>
  <c r="P250" i="2"/>
  <c r="P248" i="2"/>
  <c r="M21" i="2"/>
  <c r="P21" i="2"/>
  <c r="P517" i="2"/>
  <c r="P513" i="2"/>
  <c r="P509" i="2"/>
  <c r="P505" i="2"/>
  <c r="P501" i="2"/>
  <c r="P497" i="2"/>
  <c r="P493" i="2"/>
  <c r="P489" i="2"/>
  <c r="P485" i="2"/>
  <c r="P481" i="2"/>
  <c r="P477" i="2"/>
  <c r="P473" i="2"/>
  <c r="P469" i="2"/>
  <c r="P465" i="2"/>
  <c r="P463" i="2"/>
  <c r="P458" i="2"/>
  <c r="M453" i="2"/>
  <c r="P449" i="2"/>
  <c r="P447" i="2"/>
  <c r="P442" i="2"/>
  <c r="M437" i="2"/>
  <c r="P433" i="2"/>
  <c r="P431" i="2"/>
  <c r="P426" i="2"/>
  <c r="M421" i="2"/>
  <c r="P417" i="2"/>
  <c r="P415" i="2"/>
  <c r="P410" i="2"/>
  <c r="M405" i="2"/>
  <c r="P401" i="2"/>
  <c r="P399" i="2"/>
  <c r="P394" i="2"/>
  <c r="M389" i="2"/>
  <c r="P385" i="2"/>
  <c r="P383" i="2"/>
  <c r="P378" i="2"/>
  <c r="M373" i="2"/>
  <c r="P369" i="2"/>
  <c r="P367" i="2"/>
  <c r="P362" i="2"/>
  <c r="M357" i="2"/>
  <c r="P353" i="2"/>
  <c r="M349" i="2"/>
  <c r="P342" i="2"/>
  <c r="M324" i="2"/>
  <c r="P324" i="2"/>
  <c r="P323" i="2"/>
  <c r="M308" i="2"/>
  <c r="P308" i="2"/>
  <c r="P307" i="2"/>
  <c r="M292" i="2"/>
  <c r="P292" i="2"/>
  <c r="P291" i="2"/>
  <c r="M276" i="2"/>
  <c r="P276" i="2"/>
  <c r="P275" i="2"/>
  <c r="M260" i="2"/>
  <c r="P260" i="2"/>
  <c r="P259" i="2"/>
  <c r="M157" i="2"/>
  <c r="P157" i="2"/>
  <c r="P150" i="2"/>
  <c r="M29" i="2"/>
  <c r="P29" i="2"/>
  <c r="P558" i="2"/>
  <c r="P550" i="2"/>
  <c r="M546" i="2"/>
  <c r="M542" i="2"/>
  <c r="M538" i="2"/>
  <c r="M534" i="2"/>
  <c r="M530" i="2"/>
  <c r="M526" i="2"/>
  <c r="M522" i="2"/>
  <c r="M518" i="2"/>
  <c r="M514" i="2"/>
  <c r="M510" i="2"/>
  <c r="M506" i="2"/>
  <c r="M502" i="2"/>
  <c r="M498" i="2"/>
  <c r="M494" i="2"/>
  <c r="M490" i="2"/>
  <c r="M486" i="2"/>
  <c r="M482" i="2"/>
  <c r="M478" i="2"/>
  <c r="M456" i="2"/>
  <c r="M440" i="2"/>
  <c r="M424" i="2"/>
  <c r="M408" i="2"/>
  <c r="M392" i="2"/>
  <c r="M376" i="2"/>
  <c r="M360" i="2"/>
  <c r="P350" i="2"/>
  <c r="M336" i="2"/>
  <c r="P336" i="2"/>
  <c r="P335" i="2"/>
  <c r="M320" i="2"/>
  <c r="P320" i="2"/>
  <c r="P319" i="2"/>
  <c r="M304" i="2"/>
  <c r="P304" i="2"/>
  <c r="P303" i="2"/>
  <c r="M288" i="2"/>
  <c r="P288" i="2"/>
  <c r="P287" i="2"/>
  <c r="M272" i="2"/>
  <c r="P272" i="2"/>
  <c r="P271" i="2"/>
  <c r="P243" i="2"/>
  <c r="M238" i="2"/>
  <c r="P238" i="2"/>
  <c r="P234" i="2"/>
  <c r="P232" i="2"/>
  <c r="M217" i="2"/>
  <c r="P217" i="2"/>
  <c r="P216" i="2"/>
  <c r="M201" i="2"/>
  <c r="P201" i="2"/>
  <c r="P200" i="2"/>
  <c r="M185" i="2"/>
  <c r="P185" i="2"/>
  <c r="P184" i="2"/>
  <c r="P351" i="2"/>
  <c r="P343" i="2"/>
  <c r="M257" i="2"/>
  <c r="M241" i="2"/>
  <c r="M229" i="2"/>
  <c r="P229" i="2"/>
  <c r="P228" i="2"/>
  <c r="M213" i="2"/>
  <c r="P213" i="2"/>
  <c r="P212" i="2"/>
  <c r="M197" i="2"/>
  <c r="P197" i="2"/>
  <c r="P196" i="2"/>
  <c r="M165" i="2"/>
  <c r="P165" i="2"/>
  <c r="P158" i="2"/>
  <c r="M101" i="2"/>
  <c r="P101" i="2"/>
  <c r="P94" i="2"/>
  <c r="M37" i="2"/>
  <c r="P37" i="2"/>
  <c r="P30" i="2"/>
  <c r="P22" i="2"/>
  <c r="P14" i="2"/>
  <c r="M460" i="2"/>
  <c r="M452" i="2"/>
  <c r="M444" i="2"/>
  <c r="M436" i="2"/>
  <c r="M428" i="2"/>
  <c r="M420" i="2"/>
  <c r="M412" i="2"/>
  <c r="M404" i="2"/>
  <c r="M396" i="2"/>
  <c r="M388" i="2"/>
  <c r="M380" i="2"/>
  <c r="M372" i="2"/>
  <c r="M364" i="2"/>
  <c r="M356" i="2"/>
  <c r="M348" i="2"/>
  <c r="M340" i="2"/>
  <c r="P334" i="2"/>
  <c r="P330" i="2"/>
  <c r="P326" i="2"/>
  <c r="P322" i="2"/>
  <c r="P318" i="2"/>
  <c r="P314" i="2"/>
  <c r="P310" i="2"/>
  <c r="P306" i="2"/>
  <c r="P302" i="2"/>
  <c r="P298" i="2"/>
  <c r="P294" i="2"/>
  <c r="P290" i="2"/>
  <c r="P286" i="2"/>
  <c r="P282" i="2"/>
  <c r="P278" i="2"/>
  <c r="P274" i="2"/>
  <c r="P270" i="2"/>
  <c r="P266" i="2"/>
  <c r="P262" i="2"/>
  <c r="P258" i="2"/>
  <c r="P257" i="2"/>
  <c r="P256" i="2"/>
  <c r="P251" i="2"/>
  <c r="M246" i="2"/>
  <c r="M244" i="2"/>
  <c r="P242" i="2"/>
  <c r="P241" i="2"/>
  <c r="P240" i="2"/>
  <c r="P235" i="2"/>
  <c r="M225" i="2"/>
  <c r="P225" i="2"/>
  <c r="P224" i="2"/>
  <c r="M209" i="2"/>
  <c r="P209" i="2"/>
  <c r="P208" i="2"/>
  <c r="M193" i="2"/>
  <c r="P193" i="2"/>
  <c r="P192" i="2"/>
  <c r="M125" i="2"/>
  <c r="P118" i="2"/>
  <c r="M61" i="2"/>
  <c r="P54" i="2"/>
  <c r="P460" i="2"/>
  <c r="P459" i="2"/>
  <c r="P452" i="2"/>
  <c r="P451" i="2"/>
  <c r="P444" i="2"/>
  <c r="P443" i="2"/>
  <c r="P436" i="2"/>
  <c r="P435" i="2"/>
  <c r="P428" i="2"/>
  <c r="P427" i="2"/>
  <c r="P420" i="2"/>
  <c r="P419" i="2"/>
  <c r="P412" i="2"/>
  <c r="P411" i="2"/>
  <c r="P404" i="2"/>
  <c r="P403" i="2"/>
  <c r="P396" i="2"/>
  <c r="P395" i="2"/>
  <c r="P388" i="2"/>
  <c r="P387" i="2"/>
  <c r="P380" i="2"/>
  <c r="P379" i="2"/>
  <c r="P372" i="2"/>
  <c r="P371" i="2"/>
  <c r="P364" i="2"/>
  <c r="P363" i="2"/>
  <c r="P356" i="2"/>
  <c r="P355" i="2"/>
  <c r="P348" i="2"/>
  <c r="P347" i="2"/>
  <c r="P340" i="2"/>
  <c r="P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49" i="2"/>
  <c r="P246" i="2"/>
  <c r="M233" i="2"/>
  <c r="M221" i="2"/>
  <c r="P221" i="2"/>
  <c r="P220" i="2"/>
  <c r="M205" i="2"/>
  <c r="P205" i="2"/>
  <c r="P204" i="2"/>
  <c r="M189" i="2"/>
  <c r="P189" i="2"/>
  <c r="P188" i="2"/>
  <c r="M133" i="2"/>
  <c r="P133" i="2"/>
  <c r="P126" i="2"/>
  <c r="P125" i="2"/>
  <c r="M69" i="2"/>
  <c r="P69" i="2"/>
  <c r="P62" i="2"/>
  <c r="P61" i="2"/>
  <c r="M253" i="2"/>
  <c r="M245" i="2"/>
  <c r="M237" i="2"/>
  <c r="P180" i="2"/>
  <c r="P178" i="2"/>
  <c r="P176" i="2"/>
  <c r="P174" i="2"/>
  <c r="P172" i="2"/>
  <c r="P166" i="2"/>
  <c r="M141" i="2"/>
  <c r="P134" i="2"/>
  <c r="M109" i="2"/>
  <c r="P102" i="2"/>
  <c r="M77" i="2"/>
  <c r="P70" i="2"/>
  <c r="M45" i="2"/>
  <c r="P38" i="2"/>
  <c r="P253" i="2"/>
  <c r="P252" i="2"/>
  <c r="P245" i="2"/>
  <c r="P244" i="2"/>
  <c r="P237" i="2"/>
  <c r="P236" i="2"/>
  <c r="P231" i="2"/>
  <c r="P227" i="2"/>
  <c r="P223" i="2"/>
  <c r="P219" i="2"/>
  <c r="P215" i="2"/>
  <c r="P211" i="2"/>
  <c r="P207" i="2"/>
  <c r="P203" i="2"/>
  <c r="P199" i="2"/>
  <c r="P195" i="2"/>
  <c r="P191" i="2"/>
  <c r="P187" i="2"/>
  <c r="P183" i="2"/>
  <c r="M149" i="2"/>
  <c r="P142" i="2"/>
  <c r="P141" i="2"/>
  <c r="M117" i="2"/>
  <c r="P110" i="2"/>
  <c r="P109" i="2"/>
  <c r="M85" i="2"/>
  <c r="P78" i="2"/>
  <c r="P77" i="2"/>
  <c r="M53" i="2"/>
  <c r="P46" i="2"/>
  <c r="P45" i="2"/>
  <c r="M171" i="2"/>
  <c r="M169" i="2"/>
  <c r="P168" i="2"/>
  <c r="M163" i="2"/>
  <c r="M161" i="2"/>
  <c r="P160" i="2"/>
  <c r="M155" i="2"/>
  <c r="M153" i="2"/>
  <c r="P152" i="2"/>
  <c r="M147" i="2"/>
  <c r="M145" i="2"/>
  <c r="P144" i="2"/>
  <c r="M139" i="2"/>
  <c r="M137" i="2"/>
  <c r="P136" i="2"/>
  <c r="M131" i="2"/>
  <c r="M129" i="2"/>
  <c r="P128" i="2"/>
  <c r="M123" i="2"/>
  <c r="M121" i="2"/>
  <c r="P120" i="2"/>
  <c r="M115" i="2"/>
  <c r="M113" i="2"/>
  <c r="P112" i="2"/>
  <c r="M107" i="2"/>
  <c r="M105" i="2"/>
  <c r="P104" i="2"/>
  <c r="M99" i="2"/>
  <c r="M97" i="2"/>
  <c r="P96" i="2"/>
  <c r="M91" i="2"/>
  <c r="M89" i="2"/>
  <c r="P88" i="2"/>
  <c r="M83" i="2"/>
  <c r="M81" i="2"/>
  <c r="P80" i="2"/>
  <c r="M75" i="2"/>
  <c r="M73" i="2"/>
  <c r="P72" i="2"/>
  <c r="M67" i="2"/>
  <c r="M65" i="2"/>
  <c r="P64" i="2"/>
  <c r="M59" i="2"/>
  <c r="M57" i="2"/>
  <c r="P56" i="2"/>
  <c r="M51" i="2"/>
  <c r="M49" i="2"/>
  <c r="P48" i="2"/>
  <c r="M43" i="2"/>
  <c r="M41" i="2"/>
  <c r="P40" i="2"/>
  <c r="M35" i="2"/>
  <c r="M33" i="2"/>
  <c r="P32" i="2"/>
  <c r="M27" i="2"/>
  <c r="M25" i="2"/>
  <c r="P24" i="2"/>
  <c r="M19" i="2"/>
  <c r="M17" i="2"/>
  <c r="P16" i="2"/>
  <c r="M181" i="2"/>
  <c r="M179" i="2"/>
  <c r="M177" i="2"/>
  <c r="M175" i="2"/>
  <c r="M173" i="2"/>
  <c r="P170" i="2"/>
  <c r="P169" i="2"/>
  <c r="P162" i="2"/>
  <c r="P161" i="2"/>
  <c r="P154" i="2"/>
  <c r="P153" i="2"/>
  <c r="P146" i="2"/>
  <c r="P145" i="2"/>
  <c r="P138" i="2"/>
  <c r="P137" i="2"/>
  <c r="P130" i="2"/>
  <c r="P129" i="2"/>
  <c r="P122" i="2"/>
  <c r="P121" i="2"/>
  <c r="P114" i="2"/>
  <c r="P113" i="2"/>
  <c r="P106" i="2"/>
  <c r="P105" i="2"/>
  <c r="P98" i="2"/>
  <c r="P97" i="2"/>
  <c r="P90" i="2"/>
  <c r="P89" i="2"/>
  <c r="P82" i="2"/>
  <c r="P81" i="2"/>
  <c r="P74" i="2"/>
  <c r="P73" i="2"/>
  <c r="P66" i="2"/>
  <c r="P65" i="2"/>
  <c r="P58" i="2"/>
  <c r="P57" i="2"/>
  <c r="P50" i="2"/>
  <c r="P49" i="2"/>
  <c r="P42" i="2"/>
  <c r="P41" i="2"/>
  <c r="P34" i="2"/>
  <c r="P33" i="2"/>
  <c r="P26" i="2"/>
  <c r="P18" i="2"/>
  <c r="P9" i="2"/>
  <c r="P5" i="2"/>
  <c r="G14" i="5"/>
  <c r="G15" i="5" s="1"/>
  <c r="G16" i="5" s="1"/>
  <c r="F5" i="5"/>
  <c r="F6" i="5" s="1"/>
  <c r="F7" i="5" s="1"/>
  <c r="G7" i="5" s="1"/>
  <c r="H5" i="5"/>
  <c r="H6" i="5" s="1"/>
  <c r="J5" i="5"/>
  <c r="J6" i="5" s="1"/>
  <c r="I5" i="5"/>
  <c r="I6" i="5" s="1"/>
  <c r="K5" i="5"/>
  <c r="K6" i="5" s="1"/>
  <c r="M9" i="2"/>
  <c r="M5" i="2"/>
  <c r="M10" i="2"/>
  <c r="M2" i="2"/>
  <c r="M8" i="2"/>
  <c r="M4" i="2"/>
  <c r="M6" i="2"/>
  <c r="M11" i="2"/>
  <c r="M7" i="2"/>
  <c r="M3" i="2"/>
  <c r="H14" i="5" l="1"/>
  <c r="H15" i="5" s="1"/>
  <c r="H16" i="5" s="1"/>
  <c r="H7" i="5"/>
  <c r="I7" i="5" s="1"/>
  <c r="J7" i="5" s="1"/>
  <c r="K7" i="5" s="1"/>
</calcChain>
</file>

<file path=xl/sharedStrings.xml><?xml version="1.0" encoding="utf-8"?>
<sst xmlns="http://schemas.openxmlformats.org/spreadsheetml/2006/main" count="242" uniqueCount="118">
  <si>
    <t>C</t>
  </si>
  <si>
    <t>Matt Wieters#</t>
  </si>
  <si>
    <t>1B</t>
  </si>
  <si>
    <t>Ryan Zimmerman</t>
  </si>
  <si>
    <t>2B</t>
  </si>
  <si>
    <t>Daniel Murphy*</t>
  </si>
  <si>
    <t>SS</t>
  </si>
  <si>
    <t>Trea Turner</t>
  </si>
  <si>
    <t>3B</t>
  </si>
  <si>
    <t>Anthony Rendon</t>
  </si>
  <si>
    <t>LF</t>
  </si>
  <si>
    <t>Jayson Werth</t>
  </si>
  <si>
    <t>CF</t>
  </si>
  <si>
    <t>Michael Taylor</t>
  </si>
  <si>
    <t>RF</t>
  </si>
  <si>
    <t>Bryce Harper*</t>
  </si>
  <si>
    <t>Rk</t>
  </si>
  <si>
    <t>Pos</t>
  </si>
  <si>
    <t>Name</t>
  </si>
  <si>
    <t>Age</t>
  </si>
  <si>
    <t>G</t>
  </si>
  <si>
    <t>PA</t>
  </si>
  <si>
    <t>AB</t>
  </si>
  <si>
    <t>R</t>
  </si>
  <si>
    <t>H</t>
  </si>
  <si>
    <t>HR</t>
  </si>
  <si>
    <t>RBI</t>
  </si>
  <si>
    <t>SB</t>
  </si>
  <si>
    <t>CS</t>
  </si>
  <si>
    <t>BB</t>
  </si>
  <si>
    <t>SO</t>
  </si>
  <si>
    <t>BA</t>
  </si>
  <si>
    <t>OBP</t>
  </si>
  <si>
    <t>SLG</t>
  </si>
  <si>
    <t>OPS</t>
  </si>
  <si>
    <t>OPS+</t>
  </si>
  <si>
    <t>TB</t>
  </si>
  <si>
    <t>GDP</t>
  </si>
  <si>
    <t>HBP</t>
  </si>
  <si>
    <t>SH</t>
  </si>
  <si>
    <t>SF</t>
  </si>
  <si>
    <t>IBB</t>
  </si>
  <si>
    <t>MI</t>
  </si>
  <si>
    <t>Wilmer Difo#</t>
  </si>
  <si>
    <t>UT</t>
  </si>
  <si>
    <t>Adam Lind*</t>
  </si>
  <si>
    <t>Double</t>
  </si>
  <si>
    <t>DoublePlay</t>
  </si>
  <si>
    <t>Groundout/Flyout</t>
  </si>
  <si>
    <t>Hit by Pitch</t>
  </si>
  <si>
    <t>Home Run!</t>
  </si>
  <si>
    <t>Single</t>
  </si>
  <si>
    <t>StrikeOut</t>
  </si>
  <si>
    <t>Triple</t>
  </si>
  <si>
    <t>Player name</t>
  </si>
  <si>
    <t>Rank</t>
  </si>
  <si>
    <t>Team</t>
  </si>
  <si>
    <t>Washington Nationals</t>
  </si>
  <si>
    <t>Plate Appearences</t>
  </si>
  <si>
    <t>At Bats</t>
  </si>
  <si>
    <t>Hits</t>
  </si>
  <si>
    <t>Notes for reference</t>
  </si>
  <si>
    <t>Sac Flys and Sac bunts counted as ground/flyouts as difficult to sim - OBP not adjusted</t>
  </si>
  <si>
    <t>3b</t>
  </si>
  <si>
    <t>1b</t>
  </si>
  <si>
    <t>Total OB</t>
  </si>
  <si>
    <t>Player Name</t>
  </si>
  <si>
    <t>Type of OB</t>
  </si>
  <si>
    <t>Vol</t>
  </si>
  <si>
    <t>%</t>
  </si>
  <si>
    <t>x1000</t>
  </si>
  <si>
    <t>OB ranges</t>
  </si>
  <si>
    <t>Type of Out</t>
  </si>
  <si>
    <t>Total Outs</t>
  </si>
  <si>
    <t>Gr/Flyout</t>
  </si>
  <si>
    <t>S/O</t>
  </si>
  <si>
    <t>Out Ranges</t>
  </si>
  <si>
    <t>Double Play</t>
  </si>
  <si>
    <t>Ranges</t>
  </si>
  <si>
    <t>Matt Wieters</t>
  </si>
  <si>
    <t>Daniel Murphy</t>
  </si>
  <si>
    <t>Bryce Harper</t>
  </si>
  <si>
    <t>Wilmer Difo</t>
  </si>
  <si>
    <t>Adam Lind</t>
  </si>
  <si>
    <t xml:space="preserve"> TheMets</t>
  </si>
  <si>
    <t xml:space="preserve"> 'TBC'</t>
  </si>
  <si>
    <t>Travis d'Arnoud</t>
  </si>
  <si>
    <t>Lucas Duda</t>
  </si>
  <si>
    <t>Neil Walker</t>
  </si>
  <si>
    <t>Jose Reyes</t>
  </si>
  <si>
    <t>Wilmer Flores</t>
  </si>
  <si>
    <t>Yoenis Cespedes</t>
  </si>
  <si>
    <t>Juan Lagares</t>
  </si>
  <si>
    <t>Jay Bruce</t>
  </si>
  <si>
    <t>Asdrubal Carbrera</t>
  </si>
  <si>
    <t>Michael Conforto</t>
  </si>
  <si>
    <t>TheNationals</t>
  </si>
  <si>
    <t>Position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</si>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</sst>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.6"/>
      <color rgb="FF99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</fills>
  <borders count="7">
    <border>
      <left/>
      <right/>
      <top/>
      <bottom/>
      <diagonal/>
    </border>
    <border>
      <left style="medium">
        <color rgb="FF747678"/>
      </left>
      <right style="medium">
        <color rgb="FFDDDDDD"/>
      </right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 style="medium">
        <color rgb="FFDDDDDD"/>
      </right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 style="medium">
        <color rgb="FF747678"/>
      </right>
      <top style="medium">
        <color rgb="FF747678"/>
      </top>
      <bottom style="medium">
        <color rgb="FF74767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4" xfId="0" applyBorder="1"/>
    <xf numFmtId="1" fontId="0" fillId="0" borderId="4" xfId="0" applyNumberFormat="1" applyBorder="1"/>
    <xf numFmtId="0" fontId="1" fillId="0" borderId="0" xfId="0" applyFont="1"/>
    <xf numFmtId="0" fontId="1" fillId="0" borderId="4" xfId="0" applyFont="1" applyBorder="1"/>
    <xf numFmtId="164" fontId="0" fillId="0" borderId="4" xfId="0" applyNumberFormat="1" applyBorder="1"/>
    <xf numFmtId="0" fontId="1" fillId="0" borderId="5" xfId="0" applyFont="1" applyFill="1" applyBorder="1"/>
    <xf numFmtId="1" fontId="0" fillId="0" borderId="0" xfId="0" applyNumberFormat="1"/>
    <xf numFmtId="0" fontId="1" fillId="0" borderId="6" xfId="0" applyFont="1" applyBorder="1"/>
    <xf numFmtId="0" fontId="0" fillId="0" borderId="0" xfId="0" applyBorder="1"/>
    <xf numFmtId="1" fontId="0" fillId="0" borderId="0" xfId="0" applyNumberFormat="1" applyBorder="1"/>
    <xf numFmtId="3" fontId="1" fillId="0" borderId="5" xfId="0" applyNumberFormat="1" applyFont="1" applyFill="1" applyBorder="1"/>
    <xf numFmtId="3" fontId="0" fillId="0" borderId="0" xfId="0" applyNumberFormat="1" applyBorder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1"/>
  <sheetViews>
    <sheetView workbookViewId="0">
      <selection activeCell="D26" sqref="D26"/>
    </sheetView>
  </sheetViews>
  <sheetFormatPr defaultRowHeight="15" x14ac:dyDescent="0.25"/>
  <cols>
    <col min="3" max="3" width="16.5703125" bestFit="1" customWidth="1"/>
  </cols>
  <sheetData>
    <row r="1" spans="1:28" ht="15.75" thickBot="1" x14ac:dyDescent="0.3">
      <c r="A1" s="1" t="s">
        <v>16</v>
      </c>
      <c r="B1" s="2" t="s">
        <v>17</v>
      </c>
      <c r="C1" s="2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4</v>
      </c>
      <c r="K1" s="3" t="s">
        <v>8</v>
      </c>
      <c r="L1" s="3" t="s">
        <v>25</v>
      </c>
      <c r="M1" s="3" t="s">
        <v>26</v>
      </c>
      <c r="N1" s="3" t="s">
        <v>27</v>
      </c>
      <c r="O1" s="3" t="s">
        <v>28</v>
      </c>
      <c r="P1" s="3" t="s">
        <v>29</v>
      </c>
      <c r="Q1" s="3" t="s">
        <v>30</v>
      </c>
      <c r="R1" s="3" t="s">
        <v>31</v>
      </c>
      <c r="S1" s="3" t="s">
        <v>32</v>
      </c>
      <c r="T1" s="3" t="s">
        <v>33</v>
      </c>
      <c r="U1" s="3" t="s">
        <v>34</v>
      </c>
      <c r="V1" s="3" t="s">
        <v>35</v>
      </c>
      <c r="W1" s="3" t="s">
        <v>36</v>
      </c>
      <c r="X1" s="3" t="s">
        <v>37</v>
      </c>
      <c r="Y1" s="3" t="s">
        <v>38</v>
      </c>
      <c r="Z1" s="3" t="s">
        <v>39</v>
      </c>
      <c r="AA1" s="3" t="s">
        <v>40</v>
      </c>
      <c r="AB1" s="4" t="s">
        <v>41</v>
      </c>
    </row>
    <row r="2" spans="1:28" x14ac:dyDescent="0.25">
      <c r="A2">
        <v>1</v>
      </c>
      <c r="B2" t="s">
        <v>0</v>
      </c>
      <c r="C2" t="s">
        <v>1</v>
      </c>
      <c r="D2">
        <v>31</v>
      </c>
      <c r="E2">
        <v>123</v>
      </c>
      <c r="F2">
        <v>465</v>
      </c>
      <c r="G2">
        <v>422</v>
      </c>
      <c r="H2">
        <v>43</v>
      </c>
      <c r="I2">
        <v>95</v>
      </c>
      <c r="J2">
        <v>20</v>
      </c>
      <c r="K2">
        <v>0</v>
      </c>
      <c r="L2">
        <v>10</v>
      </c>
      <c r="M2">
        <v>52</v>
      </c>
      <c r="N2">
        <v>1</v>
      </c>
      <c r="O2">
        <v>0</v>
      </c>
      <c r="P2">
        <v>38</v>
      </c>
      <c r="Q2">
        <v>94</v>
      </c>
      <c r="R2">
        <v>0.22500000000000001</v>
      </c>
      <c r="S2">
        <v>0.28799999999999998</v>
      </c>
      <c r="T2">
        <v>0.34399999999999997</v>
      </c>
      <c r="U2">
        <v>0.63200000000000001</v>
      </c>
      <c r="V2">
        <v>63</v>
      </c>
      <c r="W2">
        <v>145</v>
      </c>
      <c r="X2">
        <v>14</v>
      </c>
      <c r="Y2">
        <v>1</v>
      </c>
      <c r="Z2">
        <v>0</v>
      </c>
      <c r="AA2">
        <v>4</v>
      </c>
      <c r="AB2">
        <v>4</v>
      </c>
    </row>
    <row r="3" spans="1:28" x14ac:dyDescent="0.25">
      <c r="A3">
        <v>2</v>
      </c>
      <c r="B3" t="s">
        <v>2</v>
      </c>
      <c r="C3" t="s">
        <v>3</v>
      </c>
      <c r="D3">
        <v>32</v>
      </c>
      <c r="E3">
        <v>144</v>
      </c>
      <c r="F3">
        <v>576</v>
      </c>
      <c r="G3">
        <v>524</v>
      </c>
      <c r="H3">
        <v>90</v>
      </c>
      <c r="I3">
        <v>159</v>
      </c>
      <c r="J3">
        <v>33</v>
      </c>
      <c r="K3">
        <v>0</v>
      </c>
      <c r="L3">
        <v>36</v>
      </c>
      <c r="M3">
        <v>108</v>
      </c>
      <c r="N3">
        <v>1</v>
      </c>
      <c r="O3">
        <v>0</v>
      </c>
      <c r="P3">
        <v>44</v>
      </c>
      <c r="Q3">
        <v>126</v>
      </c>
      <c r="R3">
        <v>0.30299999999999999</v>
      </c>
      <c r="S3">
        <v>0.35799999999999998</v>
      </c>
      <c r="T3">
        <v>0.57299999999999995</v>
      </c>
      <c r="U3">
        <v>0.93</v>
      </c>
      <c r="V3">
        <v>135</v>
      </c>
      <c r="W3">
        <v>300</v>
      </c>
      <c r="X3">
        <v>16</v>
      </c>
      <c r="Y3">
        <v>3</v>
      </c>
      <c r="Z3">
        <v>0</v>
      </c>
      <c r="AA3">
        <v>5</v>
      </c>
      <c r="AB3">
        <v>1</v>
      </c>
    </row>
    <row r="4" spans="1:28" x14ac:dyDescent="0.25">
      <c r="A4">
        <v>3</v>
      </c>
      <c r="B4" t="s">
        <v>4</v>
      </c>
      <c r="C4" t="s">
        <v>5</v>
      </c>
      <c r="D4">
        <v>32</v>
      </c>
      <c r="E4">
        <v>144</v>
      </c>
      <c r="F4">
        <v>593</v>
      </c>
      <c r="G4">
        <v>534</v>
      </c>
      <c r="H4">
        <v>94</v>
      </c>
      <c r="I4">
        <v>172</v>
      </c>
      <c r="J4">
        <v>43</v>
      </c>
      <c r="K4">
        <v>3</v>
      </c>
      <c r="L4">
        <v>23</v>
      </c>
      <c r="M4">
        <v>93</v>
      </c>
      <c r="N4">
        <v>2</v>
      </c>
      <c r="O4">
        <v>0</v>
      </c>
      <c r="P4">
        <v>52</v>
      </c>
      <c r="Q4">
        <v>77</v>
      </c>
      <c r="R4">
        <v>0.32200000000000001</v>
      </c>
      <c r="S4">
        <v>0.38400000000000001</v>
      </c>
      <c r="T4">
        <v>0.54300000000000004</v>
      </c>
      <c r="U4">
        <v>0.92800000000000005</v>
      </c>
      <c r="V4">
        <v>136</v>
      </c>
      <c r="W4">
        <v>290</v>
      </c>
      <c r="X4">
        <v>16</v>
      </c>
      <c r="Y4">
        <v>4</v>
      </c>
      <c r="Z4">
        <v>0</v>
      </c>
      <c r="AA4">
        <v>3</v>
      </c>
      <c r="AB4">
        <v>14</v>
      </c>
    </row>
    <row r="5" spans="1:28" x14ac:dyDescent="0.25">
      <c r="A5">
        <v>4</v>
      </c>
      <c r="B5" t="s">
        <v>6</v>
      </c>
      <c r="C5" t="s">
        <v>7</v>
      </c>
      <c r="D5">
        <v>24</v>
      </c>
      <c r="E5">
        <v>98</v>
      </c>
      <c r="F5">
        <v>447</v>
      </c>
      <c r="G5">
        <v>412</v>
      </c>
      <c r="H5">
        <v>75</v>
      </c>
      <c r="I5">
        <v>117</v>
      </c>
      <c r="J5">
        <v>24</v>
      </c>
      <c r="K5">
        <v>6</v>
      </c>
      <c r="L5">
        <v>11</v>
      </c>
      <c r="M5">
        <v>45</v>
      </c>
      <c r="N5">
        <v>46</v>
      </c>
      <c r="O5">
        <v>8</v>
      </c>
      <c r="P5">
        <v>30</v>
      </c>
      <c r="Q5">
        <v>80</v>
      </c>
      <c r="R5">
        <v>0.28399999999999997</v>
      </c>
      <c r="S5">
        <v>0.33800000000000002</v>
      </c>
      <c r="T5">
        <v>0.45100000000000001</v>
      </c>
      <c r="U5">
        <v>0.78900000000000003</v>
      </c>
      <c r="V5">
        <v>102</v>
      </c>
      <c r="W5">
        <v>186</v>
      </c>
      <c r="X5">
        <v>4</v>
      </c>
      <c r="Y5">
        <v>4</v>
      </c>
      <c r="Z5">
        <v>0</v>
      </c>
      <c r="AA5">
        <v>1</v>
      </c>
      <c r="AB5">
        <v>0</v>
      </c>
    </row>
    <row r="6" spans="1:28" x14ac:dyDescent="0.25">
      <c r="A6">
        <v>5</v>
      </c>
      <c r="B6" t="s">
        <v>8</v>
      </c>
      <c r="C6" t="s">
        <v>9</v>
      </c>
      <c r="D6">
        <v>27</v>
      </c>
      <c r="E6">
        <v>147</v>
      </c>
      <c r="F6">
        <v>605</v>
      </c>
      <c r="G6">
        <v>508</v>
      </c>
      <c r="H6">
        <v>81</v>
      </c>
      <c r="I6">
        <v>153</v>
      </c>
      <c r="J6">
        <v>41</v>
      </c>
      <c r="K6">
        <v>1</v>
      </c>
      <c r="L6">
        <v>25</v>
      </c>
      <c r="M6">
        <v>100</v>
      </c>
      <c r="N6">
        <v>7</v>
      </c>
      <c r="O6">
        <v>2</v>
      </c>
      <c r="P6">
        <v>84</v>
      </c>
      <c r="Q6">
        <v>82</v>
      </c>
      <c r="R6">
        <v>0.30099999999999999</v>
      </c>
      <c r="S6">
        <v>0.40300000000000002</v>
      </c>
      <c r="T6">
        <v>0.53300000000000003</v>
      </c>
      <c r="U6">
        <v>0.93700000000000006</v>
      </c>
      <c r="V6">
        <v>140</v>
      </c>
      <c r="W6">
        <v>271</v>
      </c>
      <c r="X6">
        <v>7</v>
      </c>
      <c r="Y6">
        <v>7</v>
      </c>
      <c r="Z6">
        <v>0</v>
      </c>
      <c r="AA6">
        <v>6</v>
      </c>
      <c r="AB6">
        <v>6</v>
      </c>
    </row>
    <row r="7" spans="1:28" x14ac:dyDescent="0.25">
      <c r="A7">
        <v>6</v>
      </c>
      <c r="B7" t="s">
        <v>10</v>
      </c>
      <c r="C7" t="s">
        <v>11</v>
      </c>
      <c r="D7">
        <v>38</v>
      </c>
      <c r="E7">
        <v>70</v>
      </c>
      <c r="F7">
        <v>289</v>
      </c>
      <c r="G7">
        <v>252</v>
      </c>
      <c r="H7">
        <v>35</v>
      </c>
      <c r="I7">
        <v>57</v>
      </c>
      <c r="J7">
        <v>10</v>
      </c>
      <c r="K7">
        <v>1</v>
      </c>
      <c r="L7">
        <v>10</v>
      </c>
      <c r="M7">
        <v>29</v>
      </c>
      <c r="N7">
        <v>4</v>
      </c>
      <c r="O7">
        <v>3</v>
      </c>
      <c r="P7">
        <v>35</v>
      </c>
      <c r="Q7">
        <v>69</v>
      </c>
      <c r="R7">
        <v>0.22600000000000001</v>
      </c>
      <c r="S7">
        <v>0.32200000000000001</v>
      </c>
      <c r="T7">
        <v>0.39300000000000002</v>
      </c>
      <c r="U7">
        <v>0.71499999999999997</v>
      </c>
      <c r="V7">
        <v>84</v>
      </c>
      <c r="W7">
        <v>99</v>
      </c>
      <c r="X7">
        <v>4</v>
      </c>
      <c r="Y7">
        <v>1</v>
      </c>
      <c r="Z7">
        <v>0</v>
      </c>
      <c r="AA7">
        <v>1</v>
      </c>
      <c r="AB7">
        <v>1</v>
      </c>
    </row>
    <row r="8" spans="1:28" x14ac:dyDescent="0.25">
      <c r="A8">
        <v>7</v>
      </c>
      <c r="B8" t="s">
        <v>12</v>
      </c>
      <c r="C8" t="s">
        <v>13</v>
      </c>
      <c r="D8">
        <v>26</v>
      </c>
      <c r="E8">
        <v>118</v>
      </c>
      <c r="F8">
        <v>432</v>
      </c>
      <c r="G8">
        <v>399</v>
      </c>
      <c r="H8">
        <v>55</v>
      </c>
      <c r="I8">
        <v>108</v>
      </c>
      <c r="J8">
        <v>23</v>
      </c>
      <c r="K8">
        <v>3</v>
      </c>
      <c r="L8">
        <v>19</v>
      </c>
      <c r="M8">
        <v>53</v>
      </c>
      <c r="N8">
        <v>17</v>
      </c>
      <c r="O8">
        <v>7</v>
      </c>
      <c r="P8">
        <v>29</v>
      </c>
      <c r="Q8">
        <v>137</v>
      </c>
      <c r="R8">
        <v>0.27100000000000002</v>
      </c>
      <c r="S8">
        <v>0.32</v>
      </c>
      <c r="T8">
        <v>0.48599999999999999</v>
      </c>
      <c r="U8">
        <v>0.80600000000000005</v>
      </c>
      <c r="V8">
        <v>105</v>
      </c>
      <c r="W8">
        <v>194</v>
      </c>
      <c r="X8">
        <v>3</v>
      </c>
      <c r="Y8">
        <v>1</v>
      </c>
      <c r="Z8">
        <v>1</v>
      </c>
      <c r="AA8">
        <v>2</v>
      </c>
      <c r="AB8">
        <v>3</v>
      </c>
    </row>
    <row r="9" spans="1:28" x14ac:dyDescent="0.25">
      <c r="A9">
        <v>8</v>
      </c>
      <c r="B9" t="s">
        <v>14</v>
      </c>
      <c r="C9" t="s">
        <v>15</v>
      </c>
      <c r="D9">
        <v>24</v>
      </c>
      <c r="E9">
        <v>111</v>
      </c>
      <c r="F9">
        <v>492</v>
      </c>
      <c r="G9">
        <v>420</v>
      </c>
      <c r="H9">
        <v>95</v>
      </c>
      <c r="I9">
        <v>134</v>
      </c>
      <c r="J9">
        <v>27</v>
      </c>
      <c r="K9">
        <v>1</v>
      </c>
      <c r="L9">
        <v>29</v>
      </c>
      <c r="M9">
        <v>87</v>
      </c>
      <c r="N9">
        <v>4</v>
      </c>
      <c r="O9">
        <v>2</v>
      </c>
      <c r="P9">
        <v>68</v>
      </c>
      <c r="Q9">
        <v>99</v>
      </c>
      <c r="R9">
        <v>0.31900000000000001</v>
      </c>
      <c r="S9">
        <v>0.41299999999999998</v>
      </c>
      <c r="T9">
        <v>0.59499999999999997</v>
      </c>
      <c r="U9">
        <v>1.008</v>
      </c>
      <c r="V9">
        <v>157</v>
      </c>
      <c r="W9">
        <v>250</v>
      </c>
      <c r="X9">
        <v>15</v>
      </c>
      <c r="Y9">
        <v>1</v>
      </c>
      <c r="Z9">
        <v>0</v>
      </c>
      <c r="AA9">
        <v>3</v>
      </c>
      <c r="AB9">
        <v>11</v>
      </c>
    </row>
    <row r="10" spans="1:28" x14ac:dyDescent="0.25">
      <c r="A10">
        <v>9</v>
      </c>
      <c r="B10" t="s">
        <v>42</v>
      </c>
      <c r="C10" t="s">
        <v>43</v>
      </c>
      <c r="D10">
        <v>25</v>
      </c>
      <c r="E10">
        <v>124</v>
      </c>
      <c r="F10">
        <v>365</v>
      </c>
      <c r="G10">
        <v>332</v>
      </c>
      <c r="H10">
        <v>47</v>
      </c>
      <c r="I10">
        <v>90</v>
      </c>
      <c r="J10">
        <v>10</v>
      </c>
      <c r="K10">
        <v>4</v>
      </c>
      <c r="L10">
        <v>5</v>
      </c>
      <c r="M10">
        <v>21</v>
      </c>
      <c r="N10">
        <v>10</v>
      </c>
      <c r="O10">
        <v>1</v>
      </c>
      <c r="P10">
        <v>24</v>
      </c>
      <c r="Q10">
        <v>74</v>
      </c>
      <c r="R10">
        <v>0.27100000000000002</v>
      </c>
      <c r="S10">
        <v>0.31900000000000001</v>
      </c>
      <c r="T10">
        <v>0.37</v>
      </c>
      <c r="U10">
        <v>0.69</v>
      </c>
      <c r="V10">
        <v>78</v>
      </c>
      <c r="W10">
        <v>123</v>
      </c>
      <c r="X10">
        <v>7</v>
      </c>
      <c r="Y10">
        <v>1</v>
      </c>
      <c r="Z10">
        <v>5</v>
      </c>
      <c r="AA10">
        <v>3</v>
      </c>
      <c r="AB10">
        <v>6</v>
      </c>
    </row>
    <row r="11" spans="1:28" x14ac:dyDescent="0.25">
      <c r="A11">
        <v>10</v>
      </c>
      <c r="B11" t="s">
        <v>44</v>
      </c>
      <c r="C11" t="s">
        <v>45</v>
      </c>
      <c r="D11">
        <v>33</v>
      </c>
      <c r="E11">
        <v>116</v>
      </c>
      <c r="F11">
        <v>301</v>
      </c>
      <c r="G11">
        <v>267</v>
      </c>
      <c r="H11">
        <v>39</v>
      </c>
      <c r="I11">
        <v>81</v>
      </c>
      <c r="J11">
        <v>14</v>
      </c>
      <c r="K11">
        <v>0</v>
      </c>
      <c r="L11">
        <v>14</v>
      </c>
      <c r="M11">
        <v>59</v>
      </c>
      <c r="N11">
        <v>1</v>
      </c>
      <c r="O11">
        <v>0</v>
      </c>
      <c r="P11">
        <v>28</v>
      </c>
      <c r="Q11">
        <v>47</v>
      </c>
      <c r="R11">
        <v>0.30299999999999999</v>
      </c>
      <c r="S11">
        <v>0.36199999999999999</v>
      </c>
      <c r="T11">
        <v>0.51300000000000001</v>
      </c>
      <c r="U11">
        <v>0.875</v>
      </c>
      <c r="V11">
        <v>123</v>
      </c>
      <c r="W11">
        <v>137</v>
      </c>
      <c r="X11">
        <v>6</v>
      </c>
      <c r="Y11">
        <v>0</v>
      </c>
      <c r="Z11">
        <v>0</v>
      </c>
      <c r="AA11">
        <v>6</v>
      </c>
      <c r="AB11"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3000"/>
  <sheetViews>
    <sheetView workbookViewId="0">
      <selection activeCell="D12" sqref="D12"/>
    </sheetView>
  </sheetViews>
  <sheetFormatPr defaultRowHeight="15" x14ac:dyDescent="0.25"/>
  <cols>
    <col min="3" max="3" width="20.7109375" bestFit="1" customWidth="1"/>
    <col min="4" max="4" width="17.28515625" bestFit="1" customWidth="1"/>
    <col min="5" max="8" width="17.28515625" customWidth="1"/>
    <col min="9" max="9" width="11.140625" customWidth="1"/>
    <col min="10" max="10" width="11" customWidth="1"/>
    <col min="11" max="11" width="11.85546875" customWidth="1"/>
    <col min="12" max="12" width="16" customWidth="1"/>
    <col min="13" max="14" width="14" customWidth="1"/>
    <col min="15" max="15" width="16.42578125" customWidth="1"/>
    <col min="16" max="16" width="20" customWidth="1"/>
    <col min="17" max="17" width="12.42578125" customWidth="1"/>
    <col min="18" max="19" width="11.140625" customWidth="1"/>
    <col min="20" max="20" width="14.42578125" customWidth="1"/>
  </cols>
  <sheetData>
    <row r="1" spans="1:19" x14ac:dyDescent="0.25">
      <c r="A1" t="s">
        <v>55</v>
      </c>
      <c r="B1" t="s">
        <v>17</v>
      </c>
      <c r="C1" t="s">
        <v>56</v>
      </c>
      <c r="D1" t="s">
        <v>54</v>
      </c>
      <c r="E1" t="s">
        <v>58</v>
      </c>
      <c r="F1" t="s">
        <v>59</v>
      </c>
      <c r="G1" t="s">
        <v>32</v>
      </c>
      <c r="H1" t="s">
        <v>60</v>
      </c>
      <c r="I1" t="s">
        <v>29</v>
      </c>
      <c r="J1" t="s">
        <v>46</v>
      </c>
      <c r="K1" t="s">
        <v>53</v>
      </c>
      <c r="L1" t="s">
        <v>50</v>
      </c>
      <c r="M1" t="s">
        <v>51</v>
      </c>
      <c r="N1" t="s">
        <v>49</v>
      </c>
      <c r="O1" t="s">
        <v>47</v>
      </c>
      <c r="P1" t="s">
        <v>48</v>
      </c>
      <c r="Q1" t="s">
        <v>52</v>
      </c>
      <c r="R1" t="s">
        <v>39</v>
      </c>
      <c r="S1" t="s">
        <v>40</v>
      </c>
    </row>
    <row r="2" spans="1:19" x14ac:dyDescent="0.25">
      <c r="A2">
        <v>1</v>
      </c>
      <c r="B2" t="s">
        <v>0</v>
      </c>
      <c r="C2" t="s">
        <v>57</v>
      </c>
      <c r="D2" t="s">
        <v>1</v>
      </c>
      <c r="E2">
        <f>IFERROR(VLOOKUP(D2,'Team Data'!C:AB,4,FALSE),"")</f>
        <v>465</v>
      </c>
      <c r="F2">
        <f>IFERROR(VLOOKUP(D2,'Team Data'!C:AB,5,FALSE),"")</f>
        <v>422</v>
      </c>
      <c r="G2">
        <f>IFERROR(VLOOKUP('OB Format'!D2,'Team Data'!C:AB,17,FALSE),"")</f>
        <v>0.28799999999999998</v>
      </c>
      <c r="H2">
        <f>IFERROR(VLOOKUP(D2,'Team Data'!C:AB,7,FALSE),"")</f>
        <v>95</v>
      </c>
      <c r="I2">
        <f>IFERROR(VLOOKUP(D2,'Team Data'!C:AB,14,FALSE),"")</f>
        <v>38</v>
      </c>
      <c r="J2">
        <f>VLOOKUP(D2,'Team Data'!C:AB,8,FALSE)</f>
        <v>20</v>
      </c>
      <c r="K2">
        <f>VLOOKUP(D2,'Team Data'!C:AB,9,FALSE)</f>
        <v>0</v>
      </c>
      <c r="L2">
        <f>VLOOKUP(D2,'Team Data'!C:AB,10,FALSE)</f>
        <v>10</v>
      </c>
      <c r="M2">
        <f>H2-(J2+L2+K2)</f>
        <v>65</v>
      </c>
      <c r="N2">
        <f>VLOOKUP(D2,'Team Data'!C:AB,23,FALSE)</f>
        <v>1</v>
      </c>
      <c r="O2">
        <f>VLOOKUP(D2,'Team Data'!C:AB,22,FALSE)</f>
        <v>14</v>
      </c>
      <c r="P2">
        <f>E2-(H2+N2+Q2+I2+O2)</f>
        <v>223</v>
      </c>
      <c r="Q2">
        <f>VLOOKUP(D2,'Team Data'!C:AB,15,FALSE)</f>
        <v>94</v>
      </c>
      <c r="R2">
        <f>VLOOKUP('OB Format'!D2,'Team Data'!C:AB,24,FALSE)</f>
        <v>0</v>
      </c>
      <c r="S2">
        <f>VLOOKUP('OB Format'!D2,'Team Data'!C:AC,25,FALSE)</f>
        <v>4</v>
      </c>
    </row>
    <row r="3" spans="1:19" x14ac:dyDescent="0.25">
      <c r="A3">
        <v>2</v>
      </c>
      <c r="B3" t="s">
        <v>2</v>
      </c>
      <c r="C3" t="s">
        <v>57</v>
      </c>
      <c r="D3" t="s">
        <v>3</v>
      </c>
      <c r="E3">
        <f>IFERROR(VLOOKUP(D3,'Team Data'!C:AB,4,FALSE),"")</f>
        <v>576</v>
      </c>
      <c r="F3">
        <f>IFERROR(VLOOKUP(D3,'Team Data'!C:AB,5,FALSE),"")</f>
        <v>524</v>
      </c>
      <c r="G3">
        <f>IFERROR(VLOOKUP('OB Format'!D3,'Team Data'!C:AB,17,FALSE),"")</f>
        <v>0.35799999999999998</v>
      </c>
      <c r="H3">
        <f>IFERROR(VLOOKUP(D3,'Team Data'!C:AB,7,FALSE),"")</f>
        <v>159</v>
      </c>
      <c r="I3">
        <f>IFERROR(VLOOKUP(D3,'Team Data'!C:AB,14,FALSE),"")</f>
        <v>44</v>
      </c>
      <c r="J3">
        <f>VLOOKUP(D3,'Team Data'!C:AB,8,FALSE)</f>
        <v>33</v>
      </c>
      <c r="K3">
        <f>VLOOKUP(D3,'Team Data'!C:AB,9,FALSE)</f>
        <v>0</v>
      </c>
      <c r="L3">
        <f>VLOOKUP(D3,'Team Data'!C:AB,10,FALSE)</f>
        <v>36</v>
      </c>
      <c r="M3">
        <f t="shared" ref="M3:M11" si="0">H3-(J3+L3+K3)</f>
        <v>90</v>
      </c>
      <c r="N3">
        <f>VLOOKUP(D3,'Team Data'!C:AB,23,FALSE)</f>
        <v>3</v>
      </c>
      <c r="O3">
        <f>VLOOKUP(D3,'Team Data'!C:AB,22,FALSE)</f>
        <v>16</v>
      </c>
      <c r="P3">
        <f t="shared" ref="P3:P11" si="1">E3-(H3+N3+Q3+I3+O3)</f>
        <v>228</v>
      </c>
      <c r="Q3">
        <f>VLOOKUP(D3,'Team Data'!C:AB,15,FALSE)</f>
        <v>126</v>
      </c>
      <c r="R3">
        <f>VLOOKUP('OB Format'!D3,'Team Data'!C:AB,24,FALSE)</f>
        <v>0</v>
      </c>
      <c r="S3">
        <f>VLOOKUP('OB Format'!D3,'Team Data'!C:AC,25,FALSE)</f>
        <v>5</v>
      </c>
    </row>
    <row r="4" spans="1:19" x14ac:dyDescent="0.25">
      <c r="A4">
        <v>3</v>
      </c>
      <c r="B4" t="s">
        <v>4</v>
      </c>
      <c r="C4" t="s">
        <v>57</v>
      </c>
      <c r="D4" t="s">
        <v>5</v>
      </c>
      <c r="E4">
        <f>IFERROR(VLOOKUP(D4,'Team Data'!C:AB,4,FALSE),"")</f>
        <v>593</v>
      </c>
      <c r="F4">
        <f>IFERROR(VLOOKUP(D4,'Team Data'!C:AB,5,FALSE),"")</f>
        <v>534</v>
      </c>
      <c r="G4">
        <f>IFERROR(VLOOKUP('OB Format'!D4,'Team Data'!C:AB,17,FALSE),"")</f>
        <v>0.38400000000000001</v>
      </c>
      <c r="H4">
        <f>IFERROR(VLOOKUP(D4,'Team Data'!C:AB,7,FALSE),"")</f>
        <v>172</v>
      </c>
      <c r="I4">
        <f>IFERROR(VLOOKUP(D4,'Team Data'!C:AB,14,FALSE),"")</f>
        <v>52</v>
      </c>
      <c r="J4">
        <f>VLOOKUP(D4,'Team Data'!C:AB,8,FALSE)</f>
        <v>43</v>
      </c>
      <c r="K4">
        <f>VLOOKUP(D4,'Team Data'!C:AB,9,FALSE)</f>
        <v>3</v>
      </c>
      <c r="L4">
        <f>VLOOKUP(D4,'Team Data'!C:AB,10,FALSE)</f>
        <v>23</v>
      </c>
      <c r="M4">
        <f t="shared" si="0"/>
        <v>103</v>
      </c>
      <c r="N4">
        <f>VLOOKUP(D4,'Team Data'!C:AB,23,FALSE)</f>
        <v>4</v>
      </c>
      <c r="O4">
        <f>VLOOKUP(D4,'Team Data'!C:AB,22,FALSE)</f>
        <v>16</v>
      </c>
      <c r="P4">
        <f t="shared" si="1"/>
        <v>272</v>
      </c>
      <c r="Q4">
        <f>VLOOKUP(D4,'Team Data'!C:AB,15,FALSE)</f>
        <v>77</v>
      </c>
      <c r="R4">
        <f>VLOOKUP('OB Format'!D4,'Team Data'!C:AB,24,FALSE)</f>
        <v>0</v>
      </c>
      <c r="S4">
        <f>VLOOKUP('OB Format'!D4,'Team Data'!C:AC,25,FALSE)</f>
        <v>3</v>
      </c>
    </row>
    <row r="5" spans="1:19" x14ac:dyDescent="0.25">
      <c r="A5">
        <v>4</v>
      </c>
      <c r="B5" t="s">
        <v>6</v>
      </c>
      <c r="C5" t="s">
        <v>57</v>
      </c>
      <c r="D5" t="s">
        <v>7</v>
      </c>
      <c r="E5">
        <f>IFERROR(VLOOKUP(D5,'Team Data'!C:AB,4,FALSE),"")</f>
        <v>447</v>
      </c>
      <c r="F5">
        <f>IFERROR(VLOOKUP(D5,'Team Data'!C:AB,5,FALSE),"")</f>
        <v>412</v>
      </c>
      <c r="G5">
        <f>IFERROR(VLOOKUP('OB Format'!D5,'Team Data'!C:AB,17,FALSE),"")</f>
        <v>0.33800000000000002</v>
      </c>
      <c r="H5">
        <f>IFERROR(VLOOKUP(D5,'Team Data'!C:AB,7,FALSE),"")</f>
        <v>117</v>
      </c>
      <c r="I5">
        <f>IFERROR(VLOOKUP(D5,'Team Data'!C:AB,14,FALSE),"")</f>
        <v>30</v>
      </c>
      <c r="J5">
        <f>VLOOKUP(D5,'Team Data'!C:AB,8,FALSE)</f>
        <v>24</v>
      </c>
      <c r="K5">
        <f>VLOOKUP(D5,'Team Data'!C:AB,9,FALSE)</f>
        <v>6</v>
      </c>
      <c r="L5">
        <f>VLOOKUP(D5,'Team Data'!C:AB,10,FALSE)</f>
        <v>11</v>
      </c>
      <c r="M5">
        <f t="shared" si="0"/>
        <v>76</v>
      </c>
      <c r="N5">
        <f>VLOOKUP(D5,'Team Data'!C:AB,23,FALSE)</f>
        <v>4</v>
      </c>
      <c r="O5">
        <f>VLOOKUP(D5,'Team Data'!C:AB,22,FALSE)</f>
        <v>4</v>
      </c>
      <c r="P5">
        <f t="shared" si="1"/>
        <v>212</v>
      </c>
      <c r="Q5">
        <f>VLOOKUP(D5,'Team Data'!C:AB,15,FALSE)</f>
        <v>80</v>
      </c>
      <c r="R5">
        <f>VLOOKUP('OB Format'!D5,'Team Data'!C:AB,24,FALSE)</f>
        <v>0</v>
      </c>
      <c r="S5">
        <f>VLOOKUP('OB Format'!D5,'Team Data'!C:AC,25,FALSE)</f>
        <v>1</v>
      </c>
    </row>
    <row r="6" spans="1:19" x14ac:dyDescent="0.25">
      <c r="A6">
        <v>5</v>
      </c>
      <c r="B6" t="s">
        <v>8</v>
      </c>
      <c r="C6" t="s">
        <v>57</v>
      </c>
      <c r="D6" t="s">
        <v>9</v>
      </c>
      <c r="E6">
        <f>IFERROR(VLOOKUP(D6,'Team Data'!C:AB,4,FALSE),"")</f>
        <v>605</v>
      </c>
      <c r="F6">
        <f>IFERROR(VLOOKUP(D6,'Team Data'!C:AB,5,FALSE),"")</f>
        <v>508</v>
      </c>
      <c r="G6">
        <f>IFERROR(VLOOKUP('OB Format'!D6,'Team Data'!C:AB,17,FALSE),"")</f>
        <v>0.40300000000000002</v>
      </c>
      <c r="H6">
        <f>IFERROR(VLOOKUP(D6,'Team Data'!C:AB,7,FALSE),"")</f>
        <v>153</v>
      </c>
      <c r="I6">
        <f>IFERROR(VLOOKUP(D6,'Team Data'!C:AB,14,FALSE),"")</f>
        <v>84</v>
      </c>
      <c r="J6">
        <f>VLOOKUP(D6,'Team Data'!C:AB,8,FALSE)</f>
        <v>41</v>
      </c>
      <c r="K6">
        <f>VLOOKUP(D6,'Team Data'!C:AB,9,FALSE)</f>
        <v>1</v>
      </c>
      <c r="L6">
        <f>VLOOKUP(D6,'Team Data'!C:AB,10,FALSE)</f>
        <v>25</v>
      </c>
      <c r="M6">
        <f t="shared" si="0"/>
        <v>86</v>
      </c>
      <c r="N6">
        <f>VLOOKUP(D6,'Team Data'!C:AB,23,FALSE)</f>
        <v>7</v>
      </c>
      <c r="O6">
        <f>VLOOKUP(D6,'Team Data'!C:AB,22,FALSE)</f>
        <v>7</v>
      </c>
      <c r="P6">
        <f t="shared" si="1"/>
        <v>272</v>
      </c>
      <c r="Q6">
        <f>VLOOKUP(D6,'Team Data'!C:AB,15,FALSE)</f>
        <v>82</v>
      </c>
      <c r="R6">
        <f>VLOOKUP('OB Format'!D6,'Team Data'!C:AB,24,FALSE)</f>
        <v>0</v>
      </c>
      <c r="S6">
        <f>VLOOKUP('OB Format'!D6,'Team Data'!C:AC,25,FALSE)</f>
        <v>6</v>
      </c>
    </row>
    <row r="7" spans="1:19" x14ac:dyDescent="0.25">
      <c r="A7">
        <v>6</v>
      </c>
      <c r="B7" t="s">
        <v>10</v>
      </c>
      <c r="C7" t="s">
        <v>57</v>
      </c>
      <c r="D7" t="s">
        <v>11</v>
      </c>
      <c r="E7">
        <f>IFERROR(VLOOKUP(D7,'Team Data'!C:AB,4,FALSE),"")</f>
        <v>289</v>
      </c>
      <c r="F7">
        <f>IFERROR(VLOOKUP(D7,'Team Data'!C:AB,5,FALSE),"")</f>
        <v>252</v>
      </c>
      <c r="G7">
        <f>IFERROR(VLOOKUP('OB Format'!D7,'Team Data'!C:AB,17,FALSE),"")</f>
        <v>0.32200000000000001</v>
      </c>
      <c r="H7">
        <f>IFERROR(VLOOKUP(D7,'Team Data'!C:AB,7,FALSE),"")</f>
        <v>57</v>
      </c>
      <c r="I7">
        <f>IFERROR(VLOOKUP(D7,'Team Data'!C:AB,14,FALSE),"")</f>
        <v>35</v>
      </c>
      <c r="J7">
        <f>VLOOKUP(D7,'Team Data'!C:AB,8,FALSE)</f>
        <v>10</v>
      </c>
      <c r="K7">
        <f>VLOOKUP(D7,'Team Data'!C:AB,9,FALSE)</f>
        <v>1</v>
      </c>
      <c r="L7">
        <f>VLOOKUP(D7,'Team Data'!C:AB,10,FALSE)</f>
        <v>10</v>
      </c>
      <c r="M7">
        <f t="shared" si="0"/>
        <v>36</v>
      </c>
      <c r="N7">
        <f>VLOOKUP(D7,'Team Data'!C:AB,23,FALSE)</f>
        <v>1</v>
      </c>
      <c r="O7">
        <f>VLOOKUP(D7,'Team Data'!C:AB,22,FALSE)</f>
        <v>4</v>
      </c>
      <c r="P7">
        <f t="shared" si="1"/>
        <v>123</v>
      </c>
      <c r="Q7">
        <f>VLOOKUP(D7,'Team Data'!C:AB,15,FALSE)</f>
        <v>69</v>
      </c>
      <c r="R7">
        <f>VLOOKUP('OB Format'!D7,'Team Data'!C:AB,24,FALSE)</f>
        <v>0</v>
      </c>
      <c r="S7">
        <f>VLOOKUP('OB Format'!D7,'Team Data'!C:AC,25,FALSE)</f>
        <v>1</v>
      </c>
    </row>
    <row r="8" spans="1:19" x14ac:dyDescent="0.25">
      <c r="A8">
        <v>7</v>
      </c>
      <c r="B8" t="s">
        <v>12</v>
      </c>
      <c r="C8" t="s">
        <v>57</v>
      </c>
      <c r="D8" t="s">
        <v>13</v>
      </c>
      <c r="E8">
        <f>IFERROR(VLOOKUP(D8,'Team Data'!C:AB,4,FALSE),"")</f>
        <v>432</v>
      </c>
      <c r="F8">
        <f>IFERROR(VLOOKUP(D8,'Team Data'!C:AB,5,FALSE),"")</f>
        <v>399</v>
      </c>
      <c r="G8">
        <f>IFERROR(VLOOKUP('OB Format'!D8,'Team Data'!C:AB,17,FALSE),"")</f>
        <v>0.32</v>
      </c>
      <c r="H8">
        <f>IFERROR(VLOOKUP(D8,'Team Data'!C:AB,7,FALSE),"")</f>
        <v>108</v>
      </c>
      <c r="I8">
        <f>IFERROR(VLOOKUP(D8,'Team Data'!C:AB,14,FALSE),"")</f>
        <v>29</v>
      </c>
      <c r="J8">
        <f>VLOOKUP(D8,'Team Data'!C:AB,8,FALSE)</f>
        <v>23</v>
      </c>
      <c r="K8">
        <f>VLOOKUP(D8,'Team Data'!C:AB,9,FALSE)</f>
        <v>3</v>
      </c>
      <c r="L8">
        <f>VLOOKUP(D8,'Team Data'!C:AB,10,FALSE)</f>
        <v>19</v>
      </c>
      <c r="M8">
        <f t="shared" si="0"/>
        <v>63</v>
      </c>
      <c r="N8">
        <f>VLOOKUP(D8,'Team Data'!C:AB,23,FALSE)</f>
        <v>1</v>
      </c>
      <c r="O8">
        <f>VLOOKUP(D8,'Team Data'!C:AB,22,FALSE)</f>
        <v>3</v>
      </c>
      <c r="P8">
        <f t="shared" si="1"/>
        <v>154</v>
      </c>
      <c r="Q8">
        <f>VLOOKUP(D8,'Team Data'!C:AB,15,FALSE)</f>
        <v>137</v>
      </c>
      <c r="R8">
        <f>VLOOKUP('OB Format'!D8,'Team Data'!C:AB,24,FALSE)</f>
        <v>1</v>
      </c>
      <c r="S8">
        <f>VLOOKUP('OB Format'!D8,'Team Data'!C:AC,25,FALSE)</f>
        <v>2</v>
      </c>
    </row>
    <row r="9" spans="1:19" x14ac:dyDescent="0.25">
      <c r="A9">
        <v>8</v>
      </c>
      <c r="B9" t="s">
        <v>14</v>
      </c>
      <c r="C9" t="s">
        <v>57</v>
      </c>
      <c r="D9" t="s">
        <v>15</v>
      </c>
      <c r="E9">
        <f>IFERROR(VLOOKUP(D9,'Team Data'!C:AB,4,FALSE),"")</f>
        <v>492</v>
      </c>
      <c r="F9">
        <f>IFERROR(VLOOKUP(D9,'Team Data'!C:AB,5,FALSE),"")</f>
        <v>420</v>
      </c>
      <c r="G9">
        <f>IFERROR(VLOOKUP('OB Format'!D9,'Team Data'!C:AB,17,FALSE),"")</f>
        <v>0.41299999999999998</v>
      </c>
      <c r="H9">
        <f>IFERROR(VLOOKUP(D9,'Team Data'!C:AB,7,FALSE),"")</f>
        <v>134</v>
      </c>
      <c r="I9">
        <f>IFERROR(VLOOKUP(D9,'Team Data'!C:AB,14,FALSE),"")</f>
        <v>68</v>
      </c>
      <c r="J9">
        <f>VLOOKUP(D9,'Team Data'!C:AB,8,FALSE)</f>
        <v>27</v>
      </c>
      <c r="K9">
        <f>VLOOKUP(D9,'Team Data'!C:AB,9,FALSE)</f>
        <v>1</v>
      </c>
      <c r="L9">
        <f>VLOOKUP(D9,'Team Data'!C:AB,10,FALSE)</f>
        <v>29</v>
      </c>
      <c r="M9">
        <f t="shared" si="0"/>
        <v>77</v>
      </c>
      <c r="N9">
        <f>VLOOKUP(D9,'Team Data'!C:AB,23,FALSE)</f>
        <v>1</v>
      </c>
      <c r="O9">
        <f>VLOOKUP(D9,'Team Data'!C:AB,22,FALSE)</f>
        <v>15</v>
      </c>
      <c r="P9">
        <f t="shared" si="1"/>
        <v>175</v>
      </c>
      <c r="Q9">
        <f>VLOOKUP(D9,'Team Data'!C:AB,15,FALSE)</f>
        <v>99</v>
      </c>
      <c r="R9">
        <f>VLOOKUP('OB Format'!D9,'Team Data'!C:AB,24,FALSE)</f>
        <v>0</v>
      </c>
      <c r="S9">
        <f>VLOOKUP('OB Format'!D9,'Team Data'!C:AC,25,FALSE)</f>
        <v>3</v>
      </c>
    </row>
    <row r="10" spans="1:19" x14ac:dyDescent="0.25">
      <c r="A10">
        <v>9</v>
      </c>
      <c r="B10" t="s">
        <v>42</v>
      </c>
      <c r="C10" t="s">
        <v>57</v>
      </c>
      <c r="D10" t="s">
        <v>43</v>
      </c>
      <c r="E10">
        <f>IFERROR(VLOOKUP(D10,'Team Data'!C:AB,4,FALSE),"")</f>
        <v>365</v>
      </c>
      <c r="F10">
        <f>IFERROR(VLOOKUP(D10,'Team Data'!C:AB,5,FALSE),"")</f>
        <v>332</v>
      </c>
      <c r="G10">
        <f>IFERROR(VLOOKUP('OB Format'!D10,'Team Data'!C:AB,17,FALSE),"")</f>
        <v>0.31900000000000001</v>
      </c>
      <c r="H10">
        <f>IFERROR(VLOOKUP(D10,'Team Data'!C:AB,7,FALSE),"")</f>
        <v>90</v>
      </c>
      <c r="I10">
        <f>IFERROR(VLOOKUP(D10,'Team Data'!C:AB,14,FALSE),"")</f>
        <v>24</v>
      </c>
      <c r="J10">
        <f>VLOOKUP(D10,'Team Data'!C:AB,8,FALSE)</f>
        <v>10</v>
      </c>
      <c r="K10">
        <f>VLOOKUP(D10,'Team Data'!C:AB,9,FALSE)</f>
        <v>4</v>
      </c>
      <c r="L10">
        <f>VLOOKUP(D10,'Team Data'!C:AB,10,FALSE)</f>
        <v>5</v>
      </c>
      <c r="M10">
        <f t="shared" si="0"/>
        <v>71</v>
      </c>
      <c r="N10">
        <f>VLOOKUP(D10,'Team Data'!C:AB,23,FALSE)</f>
        <v>1</v>
      </c>
      <c r="O10">
        <f>VLOOKUP(D10,'Team Data'!C:AB,22,FALSE)</f>
        <v>7</v>
      </c>
      <c r="P10">
        <f t="shared" si="1"/>
        <v>169</v>
      </c>
      <c r="Q10">
        <f>VLOOKUP(D10,'Team Data'!C:AB,15,FALSE)</f>
        <v>74</v>
      </c>
      <c r="R10">
        <f>VLOOKUP('OB Format'!D10,'Team Data'!C:AB,24,FALSE)</f>
        <v>5</v>
      </c>
      <c r="S10">
        <f>VLOOKUP('OB Format'!D10,'Team Data'!C:AC,25,FALSE)</f>
        <v>3</v>
      </c>
    </row>
    <row r="11" spans="1:19" x14ac:dyDescent="0.25">
      <c r="A11">
        <v>10</v>
      </c>
      <c r="B11" t="s">
        <v>44</v>
      </c>
      <c r="C11" t="s">
        <v>57</v>
      </c>
      <c r="D11" t="s">
        <v>45</v>
      </c>
      <c r="E11">
        <f>IFERROR(VLOOKUP(D11,'Team Data'!C:AB,4,FALSE),"")</f>
        <v>301</v>
      </c>
      <c r="F11">
        <f>IFERROR(VLOOKUP(D11,'Team Data'!C:AB,5,FALSE),"")</f>
        <v>267</v>
      </c>
      <c r="G11">
        <f>IFERROR(VLOOKUP('OB Format'!D11,'Team Data'!C:AB,17,FALSE),"")</f>
        <v>0.36199999999999999</v>
      </c>
      <c r="H11">
        <f>IFERROR(VLOOKUP(D11,'Team Data'!C:AB,7,FALSE),"")</f>
        <v>81</v>
      </c>
      <c r="I11">
        <f>IFERROR(VLOOKUP(D11,'Team Data'!C:AB,14,FALSE),"")</f>
        <v>28</v>
      </c>
      <c r="J11">
        <f>VLOOKUP(D11,'Team Data'!C:AB,8,FALSE)</f>
        <v>14</v>
      </c>
      <c r="K11">
        <f>VLOOKUP(D11,'Team Data'!C:AB,9,FALSE)</f>
        <v>0</v>
      </c>
      <c r="L11">
        <f>VLOOKUP(D11,'Team Data'!C:AB,10,FALSE)</f>
        <v>14</v>
      </c>
      <c r="M11">
        <f t="shared" si="0"/>
        <v>53</v>
      </c>
      <c r="N11">
        <f>VLOOKUP(D11,'Team Data'!C:AB,23,FALSE)</f>
        <v>0</v>
      </c>
      <c r="O11">
        <f>VLOOKUP(D11,'Team Data'!C:AB,22,FALSE)</f>
        <v>6</v>
      </c>
      <c r="P11">
        <f t="shared" si="1"/>
        <v>139</v>
      </c>
      <c r="Q11">
        <f>VLOOKUP(D11,'Team Data'!C:AB,15,FALSE)</f>
        <v>47</v>
      </c>
      <c r="R11">
        <f>VLOOKUP('OB Format'!D11,'Team Data'!C:AB,24,FALSE)</f>
        <v>0</v>
      </c>
      <c r="S11">
        <f>VLOOKUP('OB Format'!D11,'Team Data'!C:AC,25,FALSE)</f>
        <v>6</v>
      </c>
    </row>
    <row r="12" spans="1:19" x14ac:dyDescent="0.25">
      <c r="E12" t="str">
        <f>IFERROR(VLOOKUP(D12,'Team Data'!C:AB,4,FALSE),"")</f>
        <v/>
      </c>
      <c r="F12" t="str">
        <f>IFERROR(VLOOKUP(D12,'Team Data'!C:AB,5,FALSE),"")</f>
        <v/>
      </c>
      <c r="G12" t="str">
        <f>IFERROR(VLOOKUP('OB Format'!D12,'Team Data'!C:AB,17,FALSE),"")</f>
        <v/>
      </c>
      <c r="H12" t="str">
        <f>IFERROR(VLOOKUP(D12,'Team Data'!C:AB,7,FALSE),"")</f>
        <v/>
      </c>
      <c r="I12" t="str">
        <f>IFERROR(VLOOKUP(D12,'Team Data'!C:AB,14,FALSE),"")</f>
        <v/>
      </c>
      <c r="J12" t="str">
        <f>IFERROR(VLOOKUP(D12,'Team Data'!C:AB,8,FALSE),"")</f>
        <v/>
      </c>
      <c r="K12" t="str">
        <f>IFERROR(VLOOKUP(D12,'Team Data'!C:AB,9,FALSE),"")</f>
        <v/>
      </c>
      <c r="L12" t="str">
        <f>IFERROR(VLOOKUP(D12,'Team Data'!C:AB,10,FALSE),"")</f>
        <v/>
      </c>
      <c r="M12" t="str">
        <f>IFERROR(H12-(J12+L12+K12),"")</f>
        <v/>
      </c>
      <c r="N12" t="str">
        <f>IFERROR(VLOOKUP(D12,'Team Data'!C:AB,23,FALSE),"")</f>
        <v/>
      </c>
      <c r="O12" t="str">
        <f>IFERROR(VLOOKUP(D12,'Team Data'!C:AB,22,FALSE),"")</f>
        <v/>
      </c>
      <c r="P12" t="str">
        <f>IFERROR(E12-(H12+N12+Q12+I12+O12),"")</f>
        <v/>
      </c>
      <c r="Q12" t="str">
        <f>IFERROR(VLOOKUP(D12,'Team Data'!C:AB,15,FALSE),"")</f>
        <v/>
      </c>
      <c r="R12" t="str">
        <f>IFERROR(VLOOKUP('OB Format'!D12,'Team Data'!C:AB,24,FALSE),"")</f>
        <v/>
      </c>
      <c r="S12" t="str">
        <f>IFERROR(VLOOKUP('OB Format'!D12,'Team Data'!C:AC,25,FALSE),"")</f>
        <v/>
      </c>
    </row>
    <row r="13" spans="1:19" x14ac:dyDescent="0.25">
      <c r="E13" t="str">
        <f>IFERROR(VLOOKUP(D13,'Team Data'!C:AB,4,FALSE),"")</f>
        <v/>
      </c>
      <c r="F13" t="str">
        <f>IFERROR(VLOOKUP(D13,'Team Data'!C:AB,5,FALSE),"")</f>
        <v/>
      </c>
      <c r="G13" t="str">
        <f>IFERROR(VLOOKUP('OB Format'!D13,'Team Data'!C:AB,17,FALSE),"")</f>
        <v/>
      </c>
      <c r="H13" t="str">
        <f>IFERROR(VLOOKUP(D13,'Team Data'!C:AB,7,FALSE),"")</f>
        <v/>
      </c>
      <c r="I13" t="str">
        <f>IFERROR(VLOOKUP(D13,'Team Data'!C:AB,14,FALSE),"")</f>
        <v/>
      </c>
      <c r="J13" t="str">
        <f>IFERROR(VLOOKUP(D13,'Team Data'!C:AB,8,FALSE),"")</f>
        <v/>
      </c>
      <c r="K13" t="str">
        <f>IFERROR(VLOOKUP(D13,'Team Data'!C:AB,9,FALSE),"")</f>
        <v/>
      </c>
      <c r="L13" t="str">
        <f>IFERROR(VLOOKUP(D13,'Team Data'!C:AB,10,FALSE),"")</f>
        <v/>
      </c>
      <c r="M13" t="str">
        <f t="shared" ref="M13:M76" si="2">IFERROR(H13-(J13+L13+K13),"")</f>
        <v/>
      </c>
      <c r="N13" t="str">
        <f>IFERROR(VLOOKUP(D13,'Team Data'!C:AB,23,FALSE),"")</f>
        <v/>
      </c>
      <c r="O13" t="str">
        <f>IFERROR(VLOOKUP(D13,'Team Data'!C:AB,22,FALSE),"")</f>
        <v/>
      </c>
      <c r="P13" t="str">
        <f t="shared" ref="P13:P76" si="3">IFERROR(E13-(H13+N13+Q13+I13+O13),"")</f>
        <v/>
      </c>
      <c r="Q13" t="str">
        <f>IFERROR(VLOOKUP(D13,'Team Data'!C:AB,15,FALSE),"")</f>
        <v/>
      </c>
      <c r="R13" t="str">
        <f>IFERROR(VLOOKUP('OB Format'!D13,'Team Data'!C:AB,24,FALSE),"")</f>
        <v/>
      </c>
      <c r="S13" t="str">
        <f>IFERROR(VLOOKUP('OB Format'!D13,'Team Data'!C:AC,25,FALSE),"")</f>
        <v/>
      </c>
    </row>
    <row r="14" spans="1:19" x14ac:dyDescent="0.25">
      <c r="E14" t="str">
        <f>IFERROR(VLOOKUP(D14,'Team Data'!C:AB,4,FALSE),"")</f>
        <v/>
      </c>
      <c r="F14" t="str">
        <f>IFERROR(VLOOKUP(D14,'Team Data'!C:AB,5,FALSE),"")</f>
        <v/>
      </c>
      <c r="G14" t="str">
        <f>IFERROR(VLOOKUP('OB Format'!D14,'Team Data'!C:AB,17,FALSE),"")</f>
        <v/>
      </c>
      <c r="H14" t="str">
        <f>IFERROR(VLOOKUP(D14,'Team Data'!C:AB,7,FALSE),"")</f>
        <v/>
      </c>
      <c r="I14" t="str">
        <f>IFERROR(VLOOKUP(D14,'Team Data'!C:AB,14,FALSE),"")</f>
        <v/>
      </c>
      <c r="J14" t="str">
        <f>IFERROR(VLOOKUP(D14,'Team Data'!C:AB,8,FALSE),"")</f>
        <v/>
      </c>
      <c r="K14" t="str">
        <f>IFERROR(VLOOKUP(D14,'Team Data'!C:AB,9,FALSE),"")</f>
        <v/>
      </c>
      <c r="L14" t="str">
        <f>IFERROR(VLOOKUP(D14,'Team Data'!C:AB,10,FALSE),"")</f>
        <v/>
      </c>
      <c r="M14" t="str">
        <f t="shared" si="2"/>
        <v/>
      </c>
      <c r="N14" t="str">
        <f>IFERROR(VLOOKUP(D14,'Team Data'!C:AB,23,FALSE),"")</f>
        <v/>
      </c>
      <c r="O14" t="str">
        <f>IFERROR(VLOOKUP(D14,'Team Data'!C:AB,22,FALSE),"")</f>
        <v/>
      </c>
      <c r="P14" t="str">
        <f t="shared" si="3"/>
        <v/>
      </c>
      <c r="Q14" t="str">
        <f>IFERROR(VLOOKUP(D14,'Team Data'!C:AB,15,FALSE),"")</f>
        <v/>
      </c>
      <c r="R14" t="str">
        <f>IFERROR(VLOOKUP('OB Format'!D14,'Team Data'!C:AB,24,FALSE),"")</f>
        <v/>
      </c>
      <c r="S14" t="str">
        <f>IFERROR(VLOOKUP('OB Format'!D14,'Team Data'!C:AC,25,FALSE),"")</f>
        <v/>
      </c>
    </row>
    <row r="15" spans="1:19" x14ac:dyDescent="0.25">
      <c r="E15" t="str">
        <f>IFERROR(VLOOKUP(D15,'Team Data'!C:AB,4,FALSE),"")</f>
        <v/>
      </c>
      <c r="F15" t="str">
        <f>IFERROR(VLOOKUP(D15,'Team Data'!C:AB,5,FALSE),"")</f>
        <v/>
      </c>
      <c r="G15" t="str">
        <f>IFERROR(VLOOKUP('OB Format'!D15,'Team Data'!C:AB,17,FALSE),"")</f>
        <v/>
      </c>
      <c r="H15" t="str">
        <f>IFERROR(VLOOKUP(D15,'Team Data'!C:AB,7,FALSE),"")</f>
        <v/>
      </c>
      <c r="I15" t="str">
        <f>IFERROR(VLOOKUP(D15,'Team Data'!C:AB,14,FALSE),"")</f>
        <v/>
      </c>
      <c r="J15" t="str">
        <f>IFERROR(VLOOKUP(D15,'Team Data'!C:AB,8,FALSE),"")</f>
        <v/>
      </c>
      <c r="K15" t="str">
        <f>IFERROR(VLOOKUP(D15,'Team Data'!C:AB,9,FALSE),"")</f>
        <v/>
      </c>
      <c r="L15" t="str">
        <f>IFERROR(VLOOKUP(D15,'Team Data'!C:AB,10,FALSE),"")</f>
        <v/>
      </c>
      <c r="M15" t="str">
        <f t="shared" si="2"/>
        <v/>
      </c>
      <c r="N15" t="str">
        <f>IFERROR(VLOOKUP(D15,'Team Data'!C:AB,23,FALSE),"")</f>
        <v/>
      </c>
      <c r="O15" t="str">
        <f>IFERROR(VLOOKUP(D15,'Team Data'!C:AB,22,FALSE),"")</f>
        <v/>
      </c>
      <c r="P15" t="str">
        <f t="shared" si="3"/>
        <v/>
      </c>
      <c r="Q15" t="str">
        <f>IFERROR(VLOOKUP(D15,'Team Data'!C:AB,15,FALSE),"")</f>
        <v/>
      </c>
      <c r="R15" t="str">
        <f>IFERROR(VLOOKUP('OB Format'!D15,'Team Data'!C:AB,24,FALSE),"")</f>
        <v/>
      </c>
      <c r="S15" t="str">
        <f>IFERROR(VLOOKUP('OB Format'!D15,'Team Data'!C:AC,25,FALSE),"")</f>
        <v/>
      </c>
    </row>
    <row r="16" spans="1:19" x14ac:dyDescent="0.25">
      <c r="E16" t="str">
        <f>IFERROR(VLOOKUP(D16,'Team Data'!C:AB,4,FALSE),"")</f>
        <v/>
      </c>
      <c r="F16" t="str">
        <f>IFERROR(VLOOKUP(D16,'Team Data'!C:AB,5,FALSE),"")</f>
        <v/>
      </c>
      <c r="G16" t="str">
        <f>IFERROR(VLOOKUP('OB Format'!D16,'Team Data'!C:AB,17,FALSE),"")</f>
        <v/>
      </c>
      <c r="H16" t="str">
        <f>IFERROR(VLOOKUP(D16,'Team Data'!C:AB,7,FALSE),"")</f>
        <v/>
      </c>
      <c r="I16" t="str">
        <f>IFERROR(VLOOKUP(D16,'Team Data'!C:AB,14,FALSE),"")</f>
        <v/>
      </c>
      <c r="J16" t="str">
        <f>IFERROR(VLOOKUP(D16,'Team Data'!C:AB,8,FALSE),"")</f>
        <v/>
      </c>
      <c r="K16" t="str">
        <f>IFERROR(VLOOKUP(D16,'Team Data'!C:AB,9,FALSE),"")</f>
        <v/>
      </c>
      <c r="L16" t="str">
        <f>IFERROR(VLOOKUP(D16,'Team Data'!C:AB,10,FALSE),"")</f>
        <v/>
      </c>
      <c r="M16" t="str">
        <f t="shared" si="2"/>
        <v/>
      </c>
      <c r="N16" t="str">
        <f>IFERROR(VLOOKUP(D16,'Team Data'!C:AB,23,FALSE),"")</f>
        <v/>
      </c>
      <c r="O16" t="str">
        <f>IFERROR(VLOOKUP(D16,'Team Data'!C:AB,22,FALSE),"")</f>
        <v/>
      </c>
      <c r="P16" t="str">
        <f t="shared" si="3"/>
        <v/>
      </c>
      <c r="Q16" t="str">
        <f>IFERROR(VLOOKUP(D16,'Team Data'!C:AB,15,FALSE),"")</f>
        <v/>
      </c>
      <c r="R16" t="str">
        <f>IFERROR(VLOOKUP('OB Format'!D16,'Team Data'!C:AB,24,FALSE),"")</f>
        <v/>
      </c>
      <c r="S16" t="str">
        <f>IFERROR(VLOOKUP('OB Format'!D16,'Team Data'!C:AC,25,FALSE),"")</f>
        <v/>
      </c>
    </row>
    <row r="17" spans="5:19" x14ac:dyDescent="0.25">
      <c r="E17" t="str">
        <f>IFERROR(VLOOKUP(D17,'Team Data'!C:AB,4,FALSE),"")</f>
        <v/>
      </c>
      <c r="F17" t="str">
        <f>IFERROR(VLOOKUP(D17,'Team Data'!C:AB,5,FALSE),"")</f>
        <v/>
      </c>
      <c r="G17" t="str">
        <f>IFERROR(VLOOKUP('OB Format'!D17,'Team Data'!C:AB,17,FALSE),"")</f>
        <v/>
      </c>
      <c r="H17" t="str">
        <f>IFERROR(VLOOKUP(D17,'Team Data'!C:AB,7,FALSE),"")</f>
        <v/>
      </c>
      <c r="I17" t="str">
        <f>IFERROR(VLOOKUP(D17,'Team Data'!C:AB,14,FALSE),"")</f>
        <v/>
      </c>
      <c r="J17" t="str">
        <f>IFERROR(VLOOKUP(D17,'Team Data'!C:AB,8,FALSE),"")</f>
        <v/>
      </c>
      <c r="K17" t="str">
        <f>IFERROR(VLOOKUP(D17,'Team Data'!C:AB,9,FALSE),"")</f>
        <v/>
      </c>
      <c r="L17" t="str">
        <f>IFERROR(VLOOKUP(D17,'Team Data'!C:AB,10,FALSE),"")</f>
        <v/>
      </c>
      <c r="M17" t="str">
        <f t="shared" si="2"/>
        <v/>
      </c>
      <c r="N17" t="str">
        <f>IFERROR(VLOOKUP(D17,'Team Data'!C:AB,23,FALSE),"")</f>
        <v/>
      </c>
      <c r="O17" t="str">
        <f>IFERROR(VLOOKUP(D17,'Team Data'!C:AB,22,FALSE),"")</f>
        <v/>
      </c>
      <c r="P17" t="str">
        <f t="shared" si="3"/>
        <v/>
      </c>
      <c r="Q17" t="str">
        <f>IFERROR(VLOOKUP(D17,'Team Data'!C:AB,15,FALSE),"")</f>
        <v/>
      </c>
      <c r="R17" t="str">
        <f>IFERROR(VLOOKUP('OB Format'!D17,'Team Data'!C:AB,24,FALSE),"")</f>
        <v/>
      </c>
      <c r="S17" t="str">
        <f>IFERROR(VLOOKUP('OB Format'!D17,'Team Data'!C:AC,25,FALSE),"")</f>
        <v/>
      </c>
    </row>
    <row r="18" spans="5:19" x14ac:dyDescent="0.25">
      <c r="E18" t="str">
        <f>IFERROR(VLOOKUP(D18,'Team Data'!C:AB,4,FALSE),"")</f>
        <v/>
      </c>
      <c r="F18" t="str">
        <f>IFERROR(VLOOKUP(D18,'Team Data'!C:AB,5,FALSE),"")</f>
        <v/>
      </c>
      <c r="G18" t="str">
        <f>IFERROR(VLOOKUP('OB Format'!D18,'Team Data'!C:AB,17,FALSE),"")</f>
        <v/>
      </c>
      <c r="H18" t="str">
        <f>IFERROR(VLOOKUP(D18,'Team Data'!C:AB,7,FALSE),"")</f>
        <v/>
      </c>
      <c r="I18" t="str">
        <f>IFERROR(VLOOKUP(D18,'Team Data'!C:AB,14,FALSE),"")</f>
        <v/>
      </c>
      <c r="J18" t="str">
        <f>IFERROR(VLOOKUP(D18,'Team Data'!C:AB,8,FALSE),"")</f>
        <v/>
      </c>
      <c r="K18" t="str">
        <f>IFERROR(VLOOKUP(D18,'Team Data'!C:AB,9,FALSE),"")</f>
        <v/>
      </c>
      <c r="L18" t="str">
        <f>IFERROR(VLOOKUP(D18,'Team Data'!C:AB,10,FALSE),"")</f>
        <v/>
      </c>
      <c r="M18" t="str">
        <f t="shared" si="2"/>
        <v/>
      </c>
      <c r="N18" t="str">
        <f>IFERROR(VLOOKUP(D18,'Team Data'!C:AB,23,FALSE),"")</f>
        <v/>
      </c>
      <c r="O18" t="str">
        <f>IFERROR(VLOOKUP(D18,'Team Data'!C:AB,22,FALSE),"")</f>
        <v/>
      </c>
      <c r="P18" t="str">
        <f t="shared" si="3"/>
        <v/>
      </c>
      <c r="Q18" t="str">
        <f>IFERROR(VLOOKUP(D18,'Team Data'!C:AB,15,FALSE),"")</f>
        <v/>
      </c>
      <c r="R18" t="str">
        <f>IFERROR(VLOOKUP('OB Format'!D18,'Team Data'!C:AB,24,FALSE),"")</f>
        <v/>
      </c>
      <c r="S18" t="str">
        <f>IFERROR(VLOOKUP('OB Format'!D18,'Team Data'!C:AC,25,FALSE),"")</f>
        <v/>
      </c>
    </row>
    <row r="19" spans="5:19" x14ac:dyDescent="0.25">
      <c r="E19" t="str">
        <f>IFERROR(VLOOKUP(D19,'Team Data'!C:AB,4,FALSE),"")</f>
        <v/>
      </c>
      <c r="F19" t="str">
        <f>IFERROR(VLOOKUP(D19,'Team Data'!C:AB,5,FALSE),"")</f>
        <v/>
      </c>
      <c r="G19" t="str">
        <f>IFERROR(VLOOKUP('OB Format'!D19,'Team Data'!C:AB,17,FALSE),"")</f>
        <v/>
      </c>
      <c r="H19" t="str">
        <f>IFERROR(VLOOKUP(D19,'Team Data'!C:AB,7,FALSE),"")</f>
        <v/>
      </c>
      <c r="I19" t="str">
        <f>IFERROR(VLOOKUP(D19,'Team Data'!C:AB,14,FALSE),"")</f>
        <v/>
      </c>
      <c r="J19" t="str">
        <f>IFERROR(VLOOKUP(D19,'Team Data'!C:AB,8,FALSE),"")</f>
        <v/>
      </c>
      <c r="K19" t="str">
        <f>IFERROR(VLOOKUP(D19,'Team Data'!C:AB,9,FALSE),"")</f>
        <v/>
      </c>
      <c r="L19" t="str">
        <f>IFERROR(VLOOKUP(D19,'Team Data'!C:AB,10,FALSE),"")</f>
        <v/>
      </c>
      <c r="M19" t="str">
        <f t="shared" si="2"/>
        <v/>
      </c>
      <c r="N19" t="str">
        <f>IFERROR(VLOOKUP(D19,'Team Data'!C:AB,23,FALSE),"")</f>
        <v/>
      </c>
      <c r="O19" t="str">
        <f>IFERROR(VLOOKUP(D19,'Team Data'!C:AB,22,FALSE),"")</f>
        <v/>
      </c>
      <c r="P19" t="str">
        <f t="shared" si="3"/>
        <v/>
      </c>
      <c r="Q19" t="str">
        <f>IFERROR(VLOOKUP(D19,'Team Data'!C:AB,15,FALSE),"")</f>
        <v/>
      </c>
      <c r="R19" t="str">
        <f>IFERROR(VLOOKUP('OB Format'!D19,'Team Data'!C:AB,24,FALSE),"")</f>
        <v/>
      </c>
      <c r="S19" t="str">
        <f>IFERROR(VLOOKUP('OB Format'!D19,'Team Data'!C:AC,25,FALSE),"")</f>
        <v/>
      </c>
    </row>
    <row r="20" spans="5:19" x14ac:dyDescent="0.25">
      <c r="E20" t="str">
        <f>IFERROR(VLOOKUP(D20,'Team Data'!C:AB,4,FALSE),"")</f>
        <v/>
      </c>
      <c r="F20" t="str">
        <f>IFERROR(VLOOKUP(D20,'Team Data'!C:AB,5,FALSE),"")</f>
        <v/>
      </c>
      <c r="G20" t="str">
        <f>IFERROR(VLOOKUP('OB Format'!D20,'Team Data'!C:AB,17,FALSE),"")</f>
        <v/>
      </c>
      <c r="H20" t="str">
        <f>IFERROR(VLOOKUP(D20,'Team Data'!C:AB,7,FALSE),"")</f>
        <v/>
      </c>
      <c r="I20" t="str">
        <f>IFERROR(VLOOKUP(D20,'Team Data'!C:AB,14,FALSE),"")</f>
        <v/>
      </c>
      <c r="J20" t="str">
        <f>IFERROR(VLOOKUP(D20,'Team Data'!C:AB,8,FALSE),"")</f>
        <v/>
      </c>
      <c r="K20" t="str">
        <f>IFERROR(VLOOKUP(D20,'Team Data'!C:AB,9,FALSE),"")</f>
        <v/>
      </c>
      <c r="L20" t="str">
        <f>IFERROR(VLOOKUP(D20,'Team Data'!C:AB,10,FALSE),"")</f>
        <v/>
      </c>
      <c r="M20" t="str">
        <f t="shared" si="2"/>
        <v/>
      </c>
      <c r="N20" t="str">
        <f>IFERROR(VLOOKUP(D20,'Team Data'!C:AB,23,FALSE),"")</f>
        <v/>
      </c>
      <c r="O20" t="str">
        <f>IFERROR(VLOOKUP(D20,'Team Data'!C:AB,22,FALSE),"")</f>
        <v/>
      </c>
      <c r="P20" t="str">
        <f t="shared" si="3"/>
        <v/>
      </c>
      <c r="Q20" t="str">
        <f>IFERROR(VLOOKUP(D20,'Team Data'!C:AB,15,FALSE),"")</f>
        <v/>
      </c>
      <c r="R20" t="str">
        <f>IFERROR(VLOOKUP('OB Format'!D20,'Team Data'!C:AB,24,FALSE),"")</f>
        <v/>
      </c>
      <c r="S20" t="str">
        <f>IFERROR(VLOOKUP('OB Format'!D20,'Team Data'!C:AC,25,FALSE),"")</f>
        <v/>
      </c>
    </row>
    <row r="21" spans="5:19" x14ac:dyDescent="0.25">
      <c r="E21" t="str">
        <f>IFERROR(VLOOKUP(D21,'Team Data'!C:AB,4,FALSE),"")</f>
        <v/>
      </c>
      <c r="F21" t="str">
        <f>IFERROR(VLOOKUP(D21,'Team Data'!C:AB,5,FALSE),"")</f>
        <v/>
      </c>
      <c r="G21" t="str">
        <f>IFERROR(VLOOKUP('OB Format'!D21,'Team Data'!C:AB,17,FALSE),"")</f>
        <v/>
      </c>
      <c r="H21" t="str">
        <f>IFERROR(VLOOKUP(D21,'Team Data'!C:AB,7,FALSE),"")</f>
        <v/>
      </c>
      <c r="I21" t="str">
        <f>IFERROR(VLOOKUP(D21,'Team Data'!C:AB,14,FALSE),"")</f>
        <v/>
      </c>
      <c r="J21" t="str">
        <f>IFERROR(VLOOKUP(D21,'Team Data'!C:AB,8,FALSE),"")</f>
        <v/>
      </c>
      <c r="K21" t="str">
        <f>IFERROR(VLOOKUP(D21,'Team Data'!C:AB,9,FALSE),"")</f>
        <v/>
      </c>
      <c r="L21" t="str">
        <f>IFERROR(VLOOKUP(D21,'Team Data'!C:AB,10,FALSE),"")</f>
        <v/>
      </c>
      <c r="M21" t="str">
        <f t="shared" si="2"/>
        <v/>
      </c>
      <c r="N21" t="str">
        <f>IFERROR(VLOOKUP(D21,'Team Data'!C:AB,23,FALSE),"")</f>
        <v/>
      </c>
      <c r="O21" t="str">
        <f>IFERROR(VLOOKUP(D21,'Team Data'!C:AB,22,FALSE),"")</f>
        <v/>
      </c>
      <c r="P21" t="str">
        <f t="shared" si="3"/>
        <v/>
      </c>
      <c r="Q21" t="str">
        <f>IFERROR(VLOOKUP(D21,'Team Data'!C:AB,15,FALSE),"")</f>
        <v/>
      </c>
      <c r="R21" t="str">
        <f>IFERROR(VLOOKUP('OB Format'!D21,'Team Data'!C:AB,24,FALSE),"")</f>
        <v/>
      </c>
      <c r="S21" t="str">
        <f>IFERROR(VLOOKUP('OB Format'!D21,'Team Data'!C:AC,25,FALSE),"")</f>
        <v/>
      </c>
    </row>
    <row r="22" spans="5:19" x14ac:dyDescent="0.25">
      <c r="E22" t="str">
        <f>IFERROR(VLOOKUP(D22,'Team Data'!C:AB,4,FALSE),"")</f>
        <v/>
      </c>
      <c r="F22" t="str">
        <f>IFERROR(VLOOKUP(D22,'Team Data'!C:AB,5,FALSE),"")</f>
        <v/>
      </c>
      <c r="G22" t="str">
        <f>IFERROR(VLOOKUP('OB Format'!D22,'Team Data'!C:AB,17,FALSE),"")</f>
        <v/>
      </c>
      <c r="H22" t="str">
        <f>IFERROR(VLOOKUP(D22,'Team Data'!C:AB,7,FALSE),"")</f>
        <v/>
      </c>
      <c r="I22" t="str">
        <f>IFERROR(VLOOKUP(D22,'Team Data'!C:AB,14,FALSE),"")</f>
        <v/>
      </c>
      <c r="J22" t="str">
        <f>IFERROR(VLOOKUP(D22,'Team Data'!C:AB,8,FALSE),"")</f>
        <v/>
      </c>
      <c r="K22" t="str">
        <f>IFERROR(VLOOKUP(D22,'Team Data'!C:AB,9,FALSE),"")</f>
        <v/>
      </c>
      <c r="L22" t="str">
        <f>IFERROR(VLOOKUP(D22,'Team Data'!C:AB,10,FALSE),"")</f>
        <v/>
      </c>
      <c r="M22" t="str">
        <f t="shared" si="2"/>
        <v/>
      </c>
      <c r="N22" t="str">
        <f>IFERROR(VLOOKUP(D22,'Team Data'!C:AB,23,FALSE),"")</f>
        <v/>
      </c>
      <c r="O22" t="str">
        <f>IFERROR(VLOOKUP(D22,'Team Data'!C:AB,22,FALSE),"")</f>
        <v/>
      </c>
      <c r="P22" t="str">
        <f t="shared" si="3"/>
        <v/>
      </c>
      <c r="Q22" t="str">
        <f>IFERROR(VLOOKUP(D22,'Team Data'!C:AB,15,FALSE),"")</f>
        <v/>
      </c>
      <c r="R22" t="str">
        <f>IFERROR(VLOOKUP('OB Format'!D22,'Team Data'!C:AB,24,FALSE),"")</f>
        <v/>
      </c>
      <c r="S22" t="str">
        <f>IFERROR(VLOOKUP('OB Format'!D22,'Team Data'!C:AC,25,FALSE),"")</f>
        <v/>
      </c>
    </row>
    <row r="23" spans="5:19" x14ac:dyDescent="0.25">
      <c r="E23" t="str">
        <f>IFERROR(VLOOKUP(D23,'Team Data'!C:AB,4,FALSE),"")</f>
        <v/>
      </c>
      <c r="F23" t="str">
        <f>IFERROR(VLOOKUP(D23,'Team Data'!C:AB,5,FALSE),"")</f>
        <v/>
      </c>
      <c r="G23" t="str">
        <f>IFERROR(VLOOKUP('OB Format'!D23,'Team Data'!C:AB,17,FALSE),"")</f>
        <v/>
      </c>
      <c r="H23" t="str">
        <f>IFERROR(VLOOKUP(D23,'Team Data'!C:AB,7,FALSE),"")</f>
        <v/>
      </c>
      <c r="I23" t="str">
        <f>IFERROR(VLOOKUP(D23,'Team Data'!C:AB,14,FALSE),"")</f>
        <v/>
      </c>
      <c r="J23" t="str">
        <f>IFERROR(VLOOKUP(D23,'Team Data'!C:AB,8,FALSE),"")</f>
        <v/>
      </c>
      <c r="K23" t="str">
        <f>IFERROR(VLOOKUP(D23,'Team Data'!C:AB,9,FALSE),"")</f>
        <v/>
      </c>
      <c r="L23" t="str">
        <f>IFERROR(VLOOKUP(D23,'Team Data'!C:AB,10,FALSE),"")</f>
        <v/>
      </c>
      <c r="M23" t="str">
        <f t="shared" si="2"/>
        <v/>
      </c>
      <c r="N23" t="str">
        <f>IFERROR(VLOOKUP(D23,'Team Data'!C:AB,23,FALSE),"")</f>
        <v/>
      </c>
      <c r="O23" t="str">
        <f>IFERROR(VLOOKUP(D23,'Team Data'!C:AB,22,FALSE),"")</f>
        <v/>
      </c>
      <c r="P23" t="str">
        <f t="shared" si="3"/>
        <v/>
      </c>
      <c r="Q23" t="str">
        <f>IFERROR(VLOOKUP(D23,'Team Data'!C:AB,15,FALSE),"")</f>
        <v/>
      </c>
      <c r="R23" t="str">
        <f>IFERROR(VLOOKUP('OB Format'!D23,'Team Data'!C:AB,24,FALSE),"")</f>
        <v/>
      </c>
      <c r="S23" t="str">
        <f>IFERROR(VLOOKUP('OB Format'!D23,'Team Data'!C:AC,25,FALSE),"")</f>
        <v/>
      </c>
    </row>
    <row r="24" spans="5:19" x14ac:dyDescent="0.25">
      <c r="E24" t="str">
        <f>IFERROR(VLOOKUP(D24,'Team Data'!C:AB,4,FALSE),"")</f>
        <v/>
      </c>
      <c r="F24" t="str">
        <f>IFERROR(VLOOKUP(D24,'Team Data'!C:AB,5,FALSE),"")</f>
        <v/>
      </c>
      <c r="G24" t="str">
        <f>IFERROR(VLOOKUP('OB Format'!D24,'Team Data'!C:AB,17,FALSE),"")</f>
        <v/>
      </c>
      <c r="H24" t="str">
        <f>IFERROR(VLOOKUP(D24,'Team Data'!C:AB,7,FALSE),"")</f>
        <v/>
      </c>
      <c r="I24" t="str">
        <f>IFERROR(VLOOKUP(D24,'Team Data'!C:AB,14,FALSE),"")</f>
        <v/>
      </c>
      <c r="J24" t="str">
        <f>IFERROR(VLOOKUP(D24,'Team Data'!C:AB,8,FALSE),"")</f>
        <v/>
      </c>
      <c r="K24" t="str">
        <f>IFERROR(VLOOKUP(D24,'Team Data'!C:AB,9,FALSE),"")</f>
        <v/>
      </c>
      <c r="L24" t="str">
        <f>IFERROR(VLOOKUP(D24,'Team Data'!C:AB,10,FALSE),"")</f>
        <v/>
      </c>
      <c r="M24" t="str">
        <f t="shared" si="2"/>
        <v/>
      </c>
      <c r="N24" t="str">
        <f>IFERROR(VLOOKUP(D24,'Team Data'!C:AB,23,FALSE),"")</f>
        <v/>
      </c>
      <c r="O24" t="str">
        <f>IFERROR(VLOOKUP(D24,'Team Data'!C:AB,22,FALSE),"")</f>
        <v/>
      </c>
      <c r="P24" t="str">
        <f t="shared" si="3"/>
        <v/>
      </c>
      <c r="Q24" t="str">
        <f>IFERROR(VLOOKUP(D24,'Team Data'!C:AB,15,FALSE),"")</f>
        <v/>
      </c>
      <c r="R24" t="str">
        <f>IFERROR(VLOOKUP('OB Format'!D24,'Team Data'!C:AB,24,FALSE),"")</f>
        <v/>
      </c>
      <c r="S24" t="str">
        <f>IFERROR(VLOOKUP('OB Format'!D24,'Team Data'!C:AC,25,FALSE),"")</f>
        <v/>
      </c>
    </row>
    <row r="25" spans="5:19" x14ac:dyDescent="0.25">
      <c r="E25" t="str">
        <f>IFERROR(VLOOKUP(D25,'Team Data'!C:AB,4,FALSE),"")</f>
        <v/>
      </c>
      <c r="F25" t="str">
        <f>IFERROR(VLOOKUP(D25,'Team Data'!C:AB,5,FALSE),"")</f>
        <v/>
      </c>
      <c r="G25" t="str">
        <f>IFERROR(VLOOKUP('OB Format'!D25,'Team Data'!C:AB,17,FALSE),"")</f>
        <v/>
      </c>
      <c r="H25" t="str">
        <f>IFERROR(VLOOKUP(D25,'Team Data'!C:AB,7,FALSE),"")</f>
        <v/>
      </c>
      <c r="I25" t="str">
        <f>IFERROR(VLOOKUP(D25,'Team Data'!C:AB,14,FALSE),"")</f>
        <v/>
      </c>
      <c r="J25" t="str">
        <f>IFERROR(VLOOKUP(D25,'Team Data'!C:AB,8,FALSE),"")</f>
        <v/>
      </c>
      <c r="K25" t="str">
        <f>IFERROR(VLOOKUP(D25,'Team Data'!C:AB,9,FALSE),"")</f>
        <v/>
      </c>
      <c r="L25" t="str">
        <f>IFERROR(VLOOKUP(D25,'Team Data'!C:AB,10,FALSE),"")</f>
        <v/>
      </c>
      <c r="M25" t="str">
        <f t="shared" si="2"/>
        <v/>
      </c>
      <c r="N25" t="str">
        <f>IFERROR(VLOOKUP(D25,'Team Data'!C:AB,23,FALSE),"")</f>
        <v/>
      </c>
      <c r="O25" t="str">
        <f>IFERROR(VLOOKUP(D25,'Team Data'!C:AB,22,FALSE),"")</f>
        <v/>
      </c>
      <c r="P25" t="str">
        <f t="shared" si="3"/>
        <v/>
      </c>
      <c r="Q25" t="str">
        <f>IFERROR(VLOOKUP(D25,'Team Data'!C:AB,15,FALSE),"")</f>
        <v/>
      </c>
      <c r="R25" t="str">
        <f>IFERROR(VLOOKUP('OB Format'!D25,'Team Data'!C:AB,24,FALSE),"")</f>
        <v/>
      </c>
      <c r="S25" t="str">
        <f>IFERROR(VLOOKUP('OB Format'!D25,'Team Data'!C:AC,25,FALSE),"")</f>
        <v/>
      </c>
    </row>
    <row r="26" spans="5:19" x14ac:dyDescent="0.25">
      <c r="E26" t="str">
        <f>IFERROR(VLOOKUP(D26,'Team Data'!C:AB,4,FALSE),"")</f>
        <v/>
      </c>
      <c r="F26" t="str">
        <f>IFERROR(VLOOKUP(D26,'Team Data'!C:AB,5,FALSE),"")</f>
        <v/>
      </c>
      <c r="G26" t="str">
        <f>IFERROR(VLOOKUP('OB Format'!D26,'Team Data'!C:AB,17,FALSE),"")</f>
        <v/>
      </c>
      <c r="H26" t="str">
        <f>IFERROR(VLOOKUP(D26,'Team Data'!C:AB,7,FALSE),"")</f>
        <v/>
      </c>
      <c r="I26" t="str">
        <f>IFERROR(VLOOKUP(D26,'Team Data'!C:AB,14,FALSE),"")</f>
        <v/>
      </c>
      <c r="J26" t="str">
        <f>IFERROR(VLOOKUP(D26,'Team Data'!C:AB,8,FALSE),"")</f>
        <v/>
      </c>
      <c r="K26" t="str">
        <f>IFERROR(VLOOKUP(D26,'Team Data'!C:AB,9,FALSE),"")</f>
        <v/>
      </c>
      <c r="L26" t="str">
        <f>IFERROR(VLOOKUP(D26,'Team Data'!C:AB,10,FALSE),"")</f>
        <v/>
      </c>
      <c r="M26" t="str">
        <f t="shared" si="2"/>
        <v/>
      </c>
      <c r="N26" t="str">
        <f>IFERROR(VLOOKUP(D26,'Team Data'!C:AB,23,FALSE),"")</f>
        <v/>
      </c>
      <c r="O26" t="str">
        <f>IFERROR(VLOOKUP(D26,'Team Data'!C:AB,22,FALSE),"")</f>
        <v/>
      </c>
      <c r="P26" t="str">
        <f t="shared" si="3"/>
        <v/>
      </c>
      <c r="Q26" t="str">
        <f>IFERROR(VLOOKUP(D26,'Team Data'!C:AB,15,FALSE),"")</f>
        <v/>
      </c>
      <c r="R26" t="str">
        <f>IFERROR(VLOOKUP('OB Format'!D26,'Team Data'!C:AB,24,FALSE),"")</f>
        <v/>
      </c>
      <c r="S26" t="str">
        <f>IFERROR(VLOOKUP('OB Format'!D26,'Team Data'!C:AC,25,FALSE),"")</f>
        <v/>
      </c>
    </row>
    <row r="27" spans="5:19" x14ac:dyDescent="0.25">
      <c r="E27" t="str">
        <f>IFERROR(VLOOKUP(D27,'Team Data'!C:AB,4,FALSE),"")</f>
        <v/>
      </c>
      <c r="F27" t="str">
        <f>IFERROR(VLOOKUP(D27,'Team Data'!C:AB,5,FALSE),"")</f>
        <v/>
      </c>
      <c r="G27" t="str">
        <f>IFERROR(VLOOKUP('OB Format'!D27,'Team Data'!C:AB,17,FALSE),"")</f>
        <v/>
      </c>
      <c r="H27" t="str">
        <f>IFERROR(VLOOKUP(D27,'Team Data'!C:AB,7,FALSE),"")</f>
        <v/>
      </c>
      <c r="I27" t="str">
        <f>IFERROR(VLOOKUP(D27,'Team Data'!C:AB,14,FALSE),"")</f>
        <v/>
      </c>
      <c r="J27" t="str">
        <f>IFERROR(VLOOKUP(D27,'Team Data'!C:AB,8,FALSE),"")</f>
        <v/>
      </c>
      <c r="K27" t="str">
        <f>IFERROR(VLOOKUP(D27,'Team Data'!C:AB,9,FALSE),"")</f>
        <v/>
      </c>
      <c r="L27" t="str">
        <f>IFERROR(VLOOKUP(D27,'Team Data'!C:AB,10,FALSE),"")</f>
        <v/>
      </c>
      <c r="M27" t="str">
        <f t="shared" si="2"/>
        <v/>
      </c>
      <c r="N27" t="str">
        <f>IFERROR(VLOOKUP(D27,'Team Data'!C:AB,23,FALSE),"")</f>
        <v/>
      </c>
      <c r="O27" t="str">
        <f>IFERROR(VLOOKUP(D27,'Team Data'!C:AB,22,FALSE),"")</f>
        <v/>
      </c>
      <c r="P27" t="str">
        <f t="shared" si="3"/>
        <v/>
      </c>
      <c r="Q27" t="str">
        <f>IFERROR(VLOOKUP(D27,'Team Data'!C:AB,15,FALSE),"")</f>
        <v/>
      </c>
      <c r="R27" t="str">
        <f>IFERROR(VLOOKUP('OB Format'!D27,'Team Data'!C:AB,24,FALSE),"")</f>
        <v/>
      </c>
      <c r="S27" t="str">
        <f>IFERROR(VLOOKUP('OB Format'!D27,'Team Data'!C:AC,25,FALSE),"")</f>
        <v/>
      </c>
    </row>
    <row r="28" spans="5:19" x14ac:dyDescent="0.25">
      <c r="E28" t="str">
        <f>IFERROR(VLOOKUP(D28,'Team Data'!C:AB,4,FALSE),"")</f>
        <v/>
      </c>
      <c r="F28" t="str">
        <f>IFERROR(VLOOKUP(D28,'Team Data'!C:AB,5,FALSE),"")</f>
        <v/>
      </c>
      <c r="G28" t="str">
        <f>IFERROR(VLOOKUP('OB Format'!D28,'Team Data'!C:AB,17,FALSE),"")</f>
        <v/>
      </c>
      <c r="H28" t="str">
        <f>IFERROR(VLOOKUP(D28,'Team Data'!C:AB,7,FALSE),"")</f>
        <v/>
      </c>
      <c r="I28" t="str">
        <f>IFERROR(VLOOKUP(D28,'Team Data'!C:AB,14,FALSE),"")</f>
        <v/>
      </c>
      <c r="J28" t="str">
        <f>IFERROR(VLOOKUP(D28,'Team Data'!C:AB,8,FALSE),"")</f>
        <v/>
      </c>
      <c r="K28" t="str">
        <f>IFERROR(VLOOKUP(D28,'Team Data'!C:AB,9,FALSE),"")</f>
        <v/>
      </c>
      <c r="L28" t="str">
        <f>IFERROR(VLOOKUP(D28,'Team Data'!C:AB,10,FALSE),"")</f>
        <v/>
      </c>
      <c r="M28" t="str">
        <f t="shared" si="2"/>
        <v/>
      </c>
      <c r="N28" t="str">
        <f>IFERROR(VLOOKUP(D28,'Team Data'!C:AB,23,FALSE),"")</f>
        <v/>
      </c>
      <c r="O28" t="str">
        <f>IFERROR(VLOOKUP(D28,'Team Data'!C:AB,22,FALSE),"")</f>
        <v/>
      </c>
      <c r="P28" t="str">
        <f t="shared" si="3"/>
        <v/>
      </c>
      <c r="Q28" t="str">
        <f>IFERROR(VLOOKUP(D28,'Team Data'!C:AB,15,FALSE),"")</f>
        <v/>
      </c>
      <c r="R28" t="str">
        <f>IFERROR(VLOOKUP('OB Format'!D28,'Team Data'!C:AB,24,FALSE),"")</f>
        <v/>
      </c>
      <c r="S28" t="str">
        <f>IFERROR(VLOOKUP('OB Format'!D28,'Team Data'!C:AC,25,FALSE),"")</f>
        <v/>
      </c>
    </row>
    <row r="29" spans="5:19" x14ac:dyDescent="0.25">
      <c r="E29" t="str">
        <f>IFERROR(VLOOKUP(D29,'Team Data'!C:AB,4,FALSE),"")</f>
        <v/>
      </c>
      <c r="F29" t="str">
        <f>IFERROR(VLOOKUP(D29,'Team Data'!C:AB,5,FALSE),"")</f>
        <v/>
      </c>
      <c r="G29" t="str">
        <f>IFERROR(VLOOKUP('OB Format'!D29,'Team Data'!C:AB,17,FALSE),"")</f>
        <v/>
      </c>
      <c r="H29" t="str">
        <f>IFERROR(VLOOKUP(D29,'Team Data'!C:AB,7,FALSE),"")</f>
        <v/>
      </c>
      <c r="I29" t="str">
        <f>IFERROR(VLOOKUP(D29,'Team Data'!C:AB,14,FALSE),"")</f>
        <v/>
      </c>
      <c r="J29" t="str">
        <f>IFERROR(VLOOKUP(D29,'Team Data'!C:AB,8,FALSE),"")</f>
        <v/>
      </c>
      <c r="K29" t="str">
        <f>IFERROR(VLOOKUP(D29,'Team Data'!C:AB,9,FALSE),"")</f>
        <v/>
      </c>
      <c r="L29" t="str">
        <f>IFERROR(VLOOKUP(D29,'Team Data'!C:AB,10,FALSE),"")</f>
        <v/>
      </c>
      <c r="M29" t="str">
        <f t="shared" si="2"/>
        <v/>
      </c>
      <c r="N29" t="str">
        <f>IFERROR(VLOOKUP(D29,'Team Data'!C:AB,23,FALSE),"")</f>
        <v/>
      </c>
      <c r="O29" t="str">
        <f>IFERROR(VLOOKUP(D29,'Team Data'!C:AB,22,FALSE),"")</f>
        <v/>
      </c>
      <c r="P29" t="str">
        <f t="shared" si="3"/>
        <v/>
      </c>
      <c r="Q29" t="str">
        <f>IFERROR(VLOOKUP(D29,'Team Data'!C:AB,15,FALSE),"")</f>
        <v/>
      </c>
      <c r="R29" t="str">
        <f>IFERROR(VLOOKUP('OB Format'!D29,'Team Data'!C:AB,24,FALSE),"")</f>
        <v/>
      </c>
      <c r="S29" t="str">
        <f>IFERROR(VLOOKUP('OB Format'!D29,'Team Data'!C:AC,25,FALSE),"")</f>
        <v/>
      </c>
    </row>
    <row r="30" spans="5:19" x14ac:dyDescent="0.25">
      <c r="E30" t="str">
        <f>IFERROR(VLOOKUP(D30,'Team Data'!C:AB,4,FALSE),"")</f>
        <v/>
      </c>
      <c r="F30" t="str">
        <f>IFERROR(VLOOKUP(D30,'Team Data'!C:AB,5,FALSE),"")</f>
        <v/>
      </c>
      <c r="G30" t="str">
        <f>IFERROR(VLOOKUP('OB Format'!D30,'Team Data'!C:AB,17,FALSE),"")</f>
        <v/>
      </c>
      <c r="H30" t="str">
        <f>IFERROR(VLOOKUP(D30,'Team Data'!C:AB,7,FALSE),"")</f>
        <v/>
      </c>
      <c r="I30" t="str">
        <f>IFERROR(VLOOKUP(D30,'Team Data'!C:AB,14,FALSE),"")</f>
        <v/>
      </c>
      <c r="J30" t="str">
        <f>IFERROR(VLOOKUP(D30,'Team Data'!C:AB,8,FALSE),"")</f>
        <v/>
      </c>
      <c r="K30" t="str">
        <f>IFERROR(VLOOKUP(D30,'Team Data'!C:AB,9,FALSE),"")</f>
        <v/>
      </c>
      <c r="L30" t="str">
        <f>IFERROR(VLOOKUP(D30,'Team Data'!C:AB,10,FALSE),"")</f>
        <v/>
      </c>
      <c r="M30" t="str">
        <f t="shared" si="2"/>
        <v/>
      </c>
      <c r="N30" t="str">
        <f>IFERROR(VLOOKUP(D30,'Team Data'!C:AB,23,FALSE),"")</f>
        <v/>
      </c>
      <c r="O30" t="str">
        <f>IFERROR(VLOOKUP(D30,'Team Data'!C:AB,22,FALSE),"")</f>
        <v/>
      </c>
      <c r="P30" t="str">
        <f t="shared" si="3"/>
        <v/>
      </c>
      <c r="Q30" t="str">
        <f>IFERROR(VLOOKUP(D30,'Team Data'!C:AB,15,FALSE),"")</f>
        <v/>
      </c>
      <c r="R30" t="str">
        <f>IFERROR(VLOOKUP('OB Format'!D30,'Team Data'!C:AB,24,FALSE),"")</f>
        <v/>
      </c>
      <c r="S30" t="str">
        <f>IFERROR(VLOOKUP('OB Format'!D30,'Team Data'!C:AC,25,FALSE),"")</f>
        <v/>
      </c>
    </row>
    <row r="31" spans="5:19" x14ac:dyDescent="0.25">
      <c r="E31" t="str">
        <f>IFERROR(VLOOKUP(D31,'Team Data'!C:AB,4,FALSE),"")</f>
        <v/>
      </c>
      <c r="F31" t="str">
        <f>IFERROR(VLOOKUP(D31,'Team Data'!C:AB,5,FALSE),"")</f>
        <v/>
      </c>
      <c r="G31" t="str">
        <f>IFERROR(VLOOKUP('OB Format'!D31,'Team Data'!C:AB,17,FALSE),"")</f>
        <v/>
      </c>
      <c r="H31" t="str">
        <f>IFERROR(VLOOKUP(D31,'Team Data'!C:AB,7,FALSE),"")</f>
        <v/>
      </c>
      <c r="I31" t="str">
        <f>IFERROR(VLOOKUP(D31,'Team Data'!C:AB,14,FALSE),"")</f>
        <v/>
      </c>
      <c r="J31" t="str">
        <f>IFERROR(VLOOKUP(D31,'Team Data'!C:AB,8,FALSE),"")</f>
        <v/>
      </c>
      <c r="K31" t="str">
        <f>IFERROR(VLOOKUP(D31,'Team Data'!C:AB,9,FALSE),"")</f>
        <v/>
      </c>
      <c r="L31" t="str">
        <f>IFERROR(VLOOKUP(D31,'Team Data'!C:AB,10,FALSE),"")</f>
        <v/>
      </c>
      <c r="M31" t="str">
        <f t="shared" si="2"/>
        <v/>
      </c>
      <c r="N31" t="str">
        <f>IFERROR(VLOOKUP(D31,'Team Data'!C:AB,23,FALSE),"")</f>
        <v/>
      </c>
      <c r="O31" t="str">
        <f>IFERROR(VLOOKUP(D31,'Team Data'!C:AB,22,FALSE),"")</f>
        <v/>
      </c>
      <c r="P31" t="str">
        <f t="shared" si="3"/>
        <v/>
      </c>
      <c r="Q31" t="str">
        <f>IFERROR(VLOOKUP(D31,'Team Data'!C:AB,15,FALSE),"")</f>
        <v/>
      </c>
      <c r="R31" t="str">
        <f>IFERROR(VLOOKUP('OB Format'!D31,'Team Data'!C:AB,24,FALSE),"")</f>
        <v/>
      </c>
      <c r="S31" t="str">
        <f>IFERROR(VLOOKUP('OB Format'!D31,'Team Data'!C:AC,25,FALSE),"")</f>
        <v/>
      </c>
    </row>
    <row r="32" spans="5:19" x14ac:dyDescent="0.25">
      <c r="E32" t="str">
        <f>IFERROR(VLOOKUP(D32,'Team Data'!C:AB,4,FALSE),"")</f>
        <v/>
      </c>
      <c r="F32" t="str">
        <f>IFERROR(VLOOKUP(D32,'Team Data'!C:AB,5,FALSE),"")</f>
        <v/>
      </c>
      <c r="G32" t="str">
        <f>IFERROR(VLOOKUP('OB Format'!D32,'Team Data'!C:AB,17,FALSE),"")</f>
        <v/>
      </c>
      <c r="H32" t="str">
        <f>IFERROR(VLOOKUP(D32,'Team Data'!C:AB,7,FALSE),"")</f>
        <v/>
      </c>
      <c r="I32" t="str">
        <f>IFERROR(VLOOKUP(D32,'Team Data'!C:AB,14,FALSE),"")</f>
        <v/>
      </c>
      <c r="J32" t="str">
        <f>IFERROR(VLOOKUP(D32,'Team Data'!C:AB,8,FALSE),"")</f>
        <v/>
      </c>
      <c r="K32" t="str">
        <f>IFERROR(VLOOKUP(D32,'Team Data'!C:AB,9,FALSE),"")</f>
        <v/>
      </c>
      <c r="L32" t="str">
        <f>IFERROR(VLOOKUP(D32,'Team Data'!C:AB,10,FALSE),"")</f>
        <v/>
      </c>
      <c r="M32" t="str">
        <f t="shared" si="2"/>
        <v/>
      </c>
      <c r="N32" t="str">
        <f>IFERROR(VLOOKUP(D32,'Team Data'!C:AB,23,FALSE),"")</f>
        <v/>
      </c>
      <c r="O32" t="str">
        <f>IFERROR(VLOOKUP(D32,'Team Data'!C:AB,22,FALSE),"")</f>
        <v/>
      </c>
      <c r="P32" t="str">
        <f t="shared" si="3"/>
        <v/>
      </c>
      <c r="Q32" t="str">
        <f>IFERROR(VLOOKUP(D32,'Team Data'!C:AB,15,FALSE),"")</f>
        <v/>
      </c>
      <c r="R32" t="str">
        <f>IFERROR(VLOOKUP('OB Format'!D32,'Team Data'!C:AB,24,FALSE),"")</f>
        <v/>
      </c>
      <c r="S32" t="str">
        <f>IFERROR(VLOOKUP('OB Format'!D32,'Team Data'!C:AC,25,FALSE),"")</f>
        <v/>
      </c>
    </row>
    <row r="33" spans="5:19" x14ac:dyDescent="0.25">
      <c r="E33" t="str">
        <f>IFERROR(VLOOKUP(D33,'Team Data'!C:AB,4,FALSE),"")</f>
        <v/>
      </c>
      <c r="F33" t="str">
        <f>IFERROR(VLOOKUP(D33,'Team Data'!C:AB,5,FALSE),"")</f>
        <v/>
      </c>
      <c r="G33" t="str">
        <f>IFERROR(VLOOKUP('OB Format'!D33,'Team Data'!C:AB,17,FALSE),"")</f>
        <v/>
      </c>
      <c r="H33" t="str">
        <f>IFERROR(VLOOKUP(D33,'Team Data'!C:AB,7,FALSE),"")</f>
        <v/>
      </c>
      <c r="I33" t="str">
        <f>IFERROR(VLOOKUP(D33,'Team Data'!C:AB,14,FALSE),"")</f>
        <v/>
      </c>
      <c r="J33" t="str">
        <f>IFERROR(VLOOKUP(D33,'Team Data'!C:AB,8,FALSE),"")</f>
        <v/>
      </c>
      <c r="K33" t="str">
        <f>IFERROR(VLOOKUP(D33,'Team Data'!C:AB,9,FALSE),"")</f>
        <v/>
      </c>
      <c r="L33" t="str">
        <f>IFERROR(VLOOKUP(D33,'Team Data'!C:AB,10,FALSE),"")</f>
        <v/>
      </c>
      <c r="M33" t="str">
        <f t="shared" si="2"/>
        <v/>
      </c>
      <c r="N33" t="str">
        <f>IFERROR(VLOOKUP(D33,'Team Data'!C:AB,23,FALSE),"")</f>
        <v/>
      </c>
      <c r="O33" t="str">
        <f>IFERROR(VLOOKUP(D33,'Team Data'!C:AB,22,FALSE),"")</f>
        <v/>
      </c>
      <c r="P33" t="str">
        <f t="shared" si="3"/>
        <v/>
      </c>
      <c r="Q33" t="str">
        <f>IFERROR(VLOOKUP(D33,'Team Data'!C:AB,15,FALSE),"")</f>
        <v/>
      </c>
      <c r="R33" t="str">
        <f>IFERROR(VLOOKUP('OB Format'!D33,'Team Data'!C:AB,24,FALSE),"")</f>
        <v/>
      </c>
      <c r="S33" t="str">
        <f>IFERROR(VLOOKUP('OB Format'!D33,'Team Data'!C:AC,25,FALSE),"")</f>
        <v/>
      </c>
    </row>
    <row r="34" spans="5:19" x14ac:dyDescent="0.25">
      <c r="E34" t="str">
        <f>IFERROR(VLOOKUP(D34,'Team Data'!C:AB,4,FALSE),"")</f>
        <v/>
      </c>
      <c r="F34" t="str">
        <f>IFERROR(VLOOKUP(D34,'Team Data'!C:AB,5,FALSE),"")</f>
        <v/>
      </c>
      <c r="G34" t="str">
        <f>IFERROR(VLOOKUP('OB Format'!D34,'Team Data'!C:AB,17,FALSE),"")</f>
        <v/>
      </c>
      <c r="H34" t="str">
        <f>IFERROR(VLOOKUP(D34,'Team Data'!C:AB,7,FALSE),"")</f>
        <v/>
      </c>
      <c r="I34" t="str">
        <f>IFERROR(VLOOKUP(D34,'Team Data'!C:AB,14,FALSE),"")</f>
        <v/>
      </c>
      <c r="J34" t="str">
        <f>IFERROR(VLOOKUP(D34,'Team Data'!C:AB,8,FALSE),"")</f>
        <v/>
      </c>
      <c r="K34" t="str">
        <f>IFERROR(VLOOKUP(D34,'Team Data'!C:AB,9,FALSE),"")</f>
        <v/>
      </c>
      <c r="L34" t="str">
        <f>IFERROR(VLOOKUP(D34,'Team Data'!C:AB,10,FALSE),"")</f>
        <v/>
      </c>
      <c r="M34" t="str">
        <f t="shared" si="2"/>
        <v/>
      </c>
      <c r="N34" t="str">
        <f>IFERROR(VLOOKUP(D34,'Team Data'!C:AB,23,FALSE),"")</f>
        <v/>
      </c>
      <c r="O34" t="str">
        <f>IFERROR(VLOOKUP(D34,'Team Data'!C:AB,22,FALSE),"")</f>
        <v/>
      </c>
      <c r="P34" t="str">
        <f t="shared" si="3"/>
        <v/>
      </c>
      <c r="Q34" t="str">
        <f>IFERROR(VLOOKUP(D34,'Team Data'!C:AB,15,FALSE),"")</f>
        <v/>
      </c>
      <c r="R34" t="str">
        <f>IFERROR(VLOOKUP('OB Format'!D34,'Team Data'!C:AB,24,FALSE),"")</f>
        <v/>
      </c>
      <c r="S34" t="str">
        <f>IFERROR(VLOOKUP('OB Format'!D34,'Team Data'!C:AC,25,FALSE),"")</f>
        <v/>
      </c>
    </row>
    <row r="35" spans="5:19" x14ac:dyDescent="0.25">
      <c r="E35" t="str">
        <f>IFERROR(VLOOKUP(D35,'Team Data'!C:AB,4,FALSE),"")</f>
        <v/>
      </c>
      <c r="F35" t="str">
        <f>IFERROR(VLOOKUP(D35,'Team Data'!C:AB,5,FALSE),"")</f>
        <v/>
      </c>
      <c r="G35" t="str">
        <f>IFERROR(VLOOKUP('OB Format'!D35,'Team Data'!C:AB,17,FALSE),"")</f>
        <v/>
      </c>
      <c r="H35" t="str">
        <f>IFERROR(VLOOKUP(D35,'Team Data'!C:AB,7,FALSE),"")</f>
        <v/>
      </c>
      <c r="I35" t="str">
        <f>IFERROR(VLOOKUP(D35,'Team Data'!C:AB,14,FALSE),"")</f>
        <v/>
      </c>
      <c r="J35" t="str">
        <f>IFERROR(VLOOKUP(D35,'Team Data'!C:AB,8,FALSE),"")</f>
        <v/>
      </c>
      <c r="K35" t="str">
        <f>IFERROR(VLOOKUP(D35,'Team Data'!C:AB,9,FALSE),"")</f>
        <v/>
      </c>
      <c r="L35" t="str">
        <f>IFERROR(VLOOKUP(D35,'Team Data'!C:AB,10,FALSE),"")</f>
        <v/>
      </c>
      <c r="M35" t="str">
        <f t="shared" si="2"/>
        <v/>
      </c>
      <c r="N35" t="str">
        <f>IFERROR(VLOOKUP(D35,'Team Data'!C:AB,23,FALSE),"")</f>
        <v/>
      </c>
      <c r="O35" t="str">
        <f>IFERROR(VLOOKUP(D35,'Team Data'!C:AB,22,FALSE),"")</f>
        <v/>
      </c>
      <c r="P35" t="str">
        <f t="shared" si="3"/>
        <v/>
      </c>
      <c r="Q35" t="str">
        <f>IFERROR(VLOOKUP(D35,'Team Data'!C:AB,15,FALSE),"")</f>
        <v/>
      </c>
      <c r="R35" t="str">
        <f>IFERROR(VLOOKUP('OB Format'!D35,'Team Data'!C:AB,24,FALSE),"")</f>
        <v/>
      </c>
      <c r="S35" t="str">
        <f>IFERROR(VLOOKUP('OB Format'!D35,'Team Data'!C:AC,25,FALSE),"")</f>
        <v/>
      </c>
    </row>
    <row r="36" spans="5:19" x14ac:dyDescent="0.25">
      <c r="E36" t="str">
        <f>IFERROR(VLOOKUP(D36,'Team Data'!C:AB,4,FALSE),"")</f>
        <v/>
      </c>
      <c r="F36" t="str">
        <f>IFERROR(VLOOKUP(D36,'Team Data'!C:AB,5,FALSE),"")</f>
        <v/>
      </c>
      <c r="G36" t="str">
        <f>IFERROR(VLOOKUP('OB Format'!D36,'Team Data'!C:AB,17,FALSE),"")</f>
        <v/>
      </c>
      <c r="H36" t="str">
        <f>IFERROR(VLOOKUP(D36,'Team Data'!C:AB,7,FALSE),"")</f>
        <v/>
      </c>
      <c r="I36" t="str">
        <f>IFERROR(VLOOKUP(D36,'Team Data'!C:AB,14,FALSE),"")</f>
        <v/>
      </c>
      <c r="J36" t="str">
        <f>IFERROR(VLOOKUP(D36,'Team Data'!C:AB,8,FALSE),"")</f>
        <v/>
      </c>
      <c r="K36" t="str">
        <f>IFERROR(VLOOKUP(D36,'Team Data'!C:AB,9,FALSE),"")</f>
        <v/>
      </c>
      <c r="L36" t="str">
        <f>IFERROR(VLOOKUP(D36,'Team Data'!C:AB,10,FALSE),"")</f>
        <v/>
      </c>
      <c r="M36" t="str">
        <f t="shared" si="2"/>
        <v/>
      </c>
      <c r="N36" t="str">
        <f>IFERROR(VLOOKUP(D36,'Team Data'!C:AB,23,FALSE),"")</f>
        <v/>
      </c>
      <c r="O36" t="str">
        <f>IFERROR(VLOOKUP(D36,'Team Data'!C:AB,22,FALSE),"")</f>
        <v/>
      </c>
      <c r="P36" t="str">
        <f t="shared" si="3"/>
        <v/>
      </c>
      <c r="Q36" t="str">
        <f>IFERROR(VLOOKUP(D36,'Team Data'!C:AB,15,FALSE),"")</f>
        <v/>
      </c>
      <c r="R36" t="str">
        <f>IFERROR(VLOOKUP('OB Format'!D36,'Team Data'!C:AB,24,FALSE),"")</f>
        <v/>
      </c>
      <c r="S36" t="str">
        <f>IFERROR(VLOOKUP('OB Format'!D36,'Team Data'!C:AC,25,FALSE),"")</f>
        <v/>
      </c>
    </row>
    <row r="37" spans="5:19" x14ac:dyDescent="0.25">
      <c r="E37" t="str">
        <f>IFERROR(VLOOKUP(D37,'Team Data'!C:AB,4,FALSE),"")</f>
        <v/>
      </c>
      <c r="F37" t="str">
        <f>IFERROR(VLOOKUP(D37,'Team Data'!C:AB,5,FALSE),"")</f>
        <v/>
      </c>
      <c r="G37" t="str">
        <f>IFERROR(VLOOKUP('OB Format'!D37,'Team Data'!C:AB,17,FALSE),"")</f>
        <v/>
      </c>
      <c r="H37" t="str">
        <f>IFERROR(VLOOKUP(D37,'Team Data'!C:AB,7,FALSE),"")</f>
        <v/>
      </c>
      <c r="I37" t="str">
        <f>IFERROR(VLOOKUP(D37,'Team Data'!C:AB,14,FALSE),"")</f>
        <v/>
      </c>
      <c r="J37" t="str">
        <f>IFERROR(VLOOKUP(D37,'Team Data'!C:AB,8,FALSE),"")</f>
        <v/>
      </c>
      <c r="K37" t="str">
        <f>IFERROR(VLOOKUP(D37,'Team Data'!C:AB,9,FALSE),"")</f>
        <v/>
      </c>
      <c r="L37" t="str">
        <f>IFERROR(VLOOKUP(D37,'Team Data'!C:AB,10,FALSE),"")</f>
        <v/>
      </c>
      <c r="M37" t="str">
        <f t="shared" si="2"/>
        <v/>
      </c>
      <c r="N37" t="str">
        <f>IFERROR(VLOOKUP(D37,'Team Data'!C:AB,23,FALSE),"")</f>
        <v/>
      </c>
      <c r="O37" t="str">
        <f>IFERROR(VLOOKUP(D37,'Team Data'!C:AB,22,FALSE),"")</f>
        <v/>
      </c>
      <c r="P37" t="str">
        <f t="shared" si="3"/>
        <v/>
      </c>
      <c r="Q37" t="str">
        <f>IFERROR(VLOOKUP(D37,'Team Data'!C:AB,15,FALSE),"")</f>
        <v/>
      </c>
      <c r="R37" t="str">
        <f>IFERROR(VLOOKUP('OB Format'!D37,'Team Data'!C:AB,24,FALSE),"")</f>
        <v/>
      </c>
      <c r="S37" t="str">
        <f>IFERROR(VLOOKUP('OB Format'!D37,'Team Data'!C:AC,25,FALSE),"")</f>
        <v/>
      </c>
    </row>
    <row r="38" spans="5:19" x14ac:dyDescent="0.25">
      <c r="E38" t="str">
        <f>IFERROR(VLOOKUP(D38,'Team Data'!C:AB,4,FALSE),"")</f>
        <v/>
      </c>
      <c r="F38" t="str">
        <f>IFERROR(VLOOKUP(D38,'Team Data'!C:AB,5,FALSE),"")</f>
        <v/>
      </c>
      <c r="G38" t="str">
        <f>IFERROR(VLOOKUP('OB Format'!D38,'Team Data'!C:AB,17,FALSE),"")</f>
        <v/>
      </c>
      <c r="H38" t="str">
        <f>IFERROR(VLOOKUP(D38,'Team Data'!C:AB,7,FALSE),"")</f>
        <v/>
      </c>
      <c r="I38" t="str">
        <f>IFERROR(VLOOKUP(D38,'Team Data'!C:AB,14,FALSE),"")</f>
        <v/>
      </c>
      <c r="J38" t="str">
        <f>IFERROR(VLOOKUP(D38,'Team Data'!C:AB,8,FALSE),"")</f>
        <v/>
      </c>
      <c r="K38" t="str">
        <f>IFERROR(VLOOKUP(D38,'Team Data'!C:AB,9,FALSE),"")</f>
        <v/>
      </c>
      <c r="L38" t="str">
        <f>IFERROR(VLOOKUP(D38,'Team Data'!C:AB,10,FALSE),"")</f>
        <v/>
      </c>
      <c r="M38" t="str">
        <f t="shared" si="2"/>
        <v/>
      </c>
      <c r="N38" t="str">
        <f>IFERROR(VLOOKUP(D38,'Team Data'!C:AB,23,FALSE),"")</f>
        <v/>
      </c>
      <c r="O38" t="str">
        <f>IFERROR(VLOOKUP(D38,'Team Data'!C:AB,22,FALSE),"")</f>
        <v/>
      </c>
      <c r="P38" t="str">
        <f t="shared" si="3"/>
        <v/>
      </c>
      <c r="Q38" t="str">
        <f>IFERROR(VLOOKUP(D38,'Team Data'!C:AB,15,FALSE),"")</f>
        <v/>
      </c>
      <c r="R38" t="str">
        <f>IFERROR(VLOOKUP('OB Format'!D38,'Team Data'!C:AB,24,FALSE),"")</f>
        <v/>
      </c>
      <c r="S38" t="str">
        <f>IFERROR(VLOOKUP('OB Format'!D38,'Team Data'!C:AC,25,FALSE),"")</f>
        <v/>
      </c>
    </row>
    <row r="39" spans="5:19" x14ac:dyDescent="0.25">
      <c r="E39" t="str">
        <f>IFERROR(VLOOKUP(D39,'Team Data'!C:AB,4,FALSE),"")</f>
        <v/>
      </c>
      <c r="F39" t="str">
        <f>IFERROR(VLOOKUP(D39,'Team Data'!C:AB,5,FALSE),"")</f>
        <v/>
      </c>
      <c r="G39" t="str">
        <f>IFERROR(VLOOKUP('OB Format'!D39,'Team Data'!C:AB,17,FALSE),"")</f>
        <v/>
      </c>
      <c r="H39" t="str">
        <f>IFERROR(VLOOKUP(D39,'Team Data'!C:AB,7,FALSE),"")</f>
        <v/>
      </c>
      <c r="I39" t="str">
        <f>IFERROR(VLOOKUP(D39,'Team Data'!C:AB,14,FALSE),"")</f>
        <v/>
      </c>
      <c r="J39" t="str">
        <f>IFERROR(VLOOKUP(D39,'Team Data'!C:AB,8,FALSE),"")</f>
        <v/>
      </c>
      <c r="K39" t="str">
        <f>IFERROR(VLOOKUP(D39,'Team Data'!C:AB,9,FALSE),"")</f>
        <v/>
      </c>
      <c r="L39" t="str">
        <f>IFERROR(VLOOKUP(D39,'Team Data'!C:AB,10,FALSE),"")</f>
        <v/>
      </c>
      <c r="M39" t="str">
        <f t="shared" si="2"/>
        <v/>
      </c>
      <c r="N39" t="str">
        <f>IFERROR(VLOOKUP(D39,'Team Data'!C:AB,23,FALSE),"")</f>
        <v/>
      </c>
      <c r="O39" t="str">
        <f>IFERROR(VLOOKUP(D39,'Team Data'!C:AB,22,FALSE),"")</f>
        <v/>
      </c>
      <c r="P39" t="str">
        <f t="shared" si="3"/>
        <v/>
      </c>
      <c r="Q39" t="str">
        <f>IFERROR(VLOOKUP(D39,'Team Data'!C:AB,15,FALSE),"")</f>
        <v/>
      </c>
      <c r="R39" t="str">
        <f>IFERROR(VLOOKUP('OB Format'!D39,'Team Data'!C:AB,24,FALSE),"")</f>
        <v/>
      </c>
      <c r="S39" t="str">
        <f>IFERROR(VLOOKUP('OB Format'!D39,'Team Data'!C:AC,25,FALSE),"")</f>
        <v/>
      </c>
    </row>
    <row r="40" spans="5:19" x14ac:dyDescent="0.25">
      <c r="E40" t="str">
        <f>IFERROR(VLOOKUP(D40,'Team Data'!C:AB,4,FALSE),"")</f>
        <v/>
      </c>
      <c r="F40" t="str">
        <f>IFERROR(VLOOKUP(D40,'Team Data'!C:AB,5,FALSE),"")</f>
        <v/>
      </c>
      <c r="G40" t="str">
        <f>IFERROR(VLOOKUP('OB Format'!D40,'Team Data'!C:AB,17,FALSE),"")</f>
        <v/>
      </c>
      <c r="H40" t="str">
        <f>IFERROR(VLOOKUP(D40,'Team Data'!C:AB,7,FALSE),"")</f>
        <v/>
      </c>
      <c r="I40" t="str">
        <f>IFERROR(VLOOKUP(D40,'Team Data'!C:AB,14,FALSE),"")</f>
        <v/>
      </c>
      <c r="J40" t="str">
        <f>IFERROR(VLOOKUP(D40,'Team Data'!C:AB,8,FALSE),"")</f>
        <v/>
      </c>
      <c r="K40" t="str">
        <f>IFERROR(VLOOKUP(D40,'Team Data'!C:AB,9,FALSE),"")</f>
        <v/>
      </c>
      <c r="L40" t="str">
        <f>IFERROR(VLOOKUP(D40,'Team Data'!C:AB,10,FALSE),"")</f>
        <v/>
      </c>
      <c r="M40" t="str">
        <f t="shared" si="2"/>
        <v/>
      </c>
      <c r="N40" t="str">
        <f>IFERROR(VLOOKUP(D40,'Team Data'!C:AB,23,FALSE),"")</f>
        <v/>
      </c>
      <c r="O40" t="str">
        <f>IFERROR(VLOOKUP(D40,'Team Data'!C:AB,22,FALSE),"")</f>
        <v/>
      </c>
      <c r="P40" t="str">
        <f t="shared" si="3"/>
        <v/>
      </c>
      <c r="Q40" t="str">
        <f>IFERROR(VLOOKUP(D40,'Team Data'!C:AB,15,FALSE),"")</f>
        <v/>
      </c>
      <c r="R40" t="str">
        <f>IFERROR(VLOOKUP('OB Format'!D40,'Team Data'!C:AB,24,FALSE),"")</f>
        <v/>
      </c>
      <c r="S40" t="str">
        <f>IFERROR(VLOOKUP('OB Format'!D40,'Team Data'!C:AC,25,FALSE),"")</f>
        <v/>
      </c>
    </row>
    <row r="41" spans="5:19" x14ac:dyDescent="0.25">
      <c r="E41" t="str">
        <f>IFERROR(VLOOKUP(D41,'Team Data'!C:AB,4,FALSE),"")</f>
        <v/>
      </c>
      <c r="F41" t="str">
        <f>IFERROR(VLOOKUP(D41,'Team Data'!C:AB,5,FALSE),"")</f>
        <v/>
      </c>
      <c r="G41" t="str">
        <f>IFERROR(VLOOKUP('OB Format'!D41,'Team Data'!C:AB,17,FALSE),"")</f>
        <v/>
      </c>
      <c r="H41" t="str">
        <f>IFERROR(VLOOKUP(D41,'Team Data'!C:AB,7,FALSE),"")</f>
        <v/>
      </c>
      <c r="I41" t="str">
        <f>IFERROR(VLOOKUP(D41,'Team Data'!C:AB,14,FALSE),"")</f>
        <v/>
      </c>
      <c r="J41" t="str">
        <f>IFERROR(VLOOKUP(D41,'Team Data'!C:AB,8,FALSE),"")</f>
        <v/>
      </c>
      <c r="K41" t="str">
        <f>IFERROR(VLOOKUP(D41,'Team Data'!C:AB,9,FALSE),"")</f>
        <v/>
      </c>
      <c r="L41" t="str">
        <f>IFERROR(VLOOKUP(D41,'Team Data'!C:AB,10,FALSE),"")</f>
        <v/>
      </c>
      <c r="M41" t="str">
        <f t="shared" si="2"/>
        <v/>
      </c>
      <c r="N41" t="str">
        <f>IFERROR(VLOOKUP(D41,'Team Data'!C:AB,23,FALSE),"")</f>
        <v/>
      </c>
      <c r="O41" t="str">
        <f>IFERROR(VLOOKUP(D41,'Team Data'!C:AB,22,FALSE),"")</f>
        <v/>
      </c>
      <c r="P41" t="str">
        <f t="shared" si="3"/>
        <v/>
      </c>
      <c r="Q41" t="str">
        <f>IFERROR(VLOOKUP(D41,'Team Data'!C:AB,15,FALSE),"")</f>
        <v/>
      </c>
      <c r="R41" t="str">
        <f>IFERROR(VLOOKUP('OB Format'!D41,'Team Data'!C:AB,24,FALSE),"")</f>
        <v/>
      </c>
      <c r="S41" t="str">
        <f>IFERROR(VLOOKUP('OB Format'!D41,'Team Data'!C:AC,25,FALSE),"")</f>
        <v/>
      </c>
    </row>
    <row r="42" spans="5:19" x14ac:dyDescent="0.25">
      <c r="E42" t="str">
        <f>IFERROR(VLOOKUP(D42,'Team Data'!C:AB,4,FALSE),"")</f>
        <v/>
      </c>
      <c r="F42" t="str">
        <f>IFERROR(VLOOKUP(D42,'Team Data'!C:AB,5,FALSE),"")</f>
        <v/>
      </c>
      <c r="G42" t="str">
        <f>IFERROR(VLOOKUP('OB Format'!D42,'Team Data'!C:AB,17,FALSE),"")</f>
        <v/>
      </c>
      <c r="H42" t="str">
        <f>IFERROR(VLOOKUP(D42,'Team Data'!C:AB,7,FALSE),"")</f>
        <v/>
      </c>
      <c r="I42" t="str">
        <f>IFERROR(VLOOKUP(D42,'Team Data'!C:AB,14,FALSE),"")</f>
        <v/>
      </c>
      <c r="J42" t="str">
        <f>IFERROR(VLOOKUP(D42,'Team Data'!C:AB,8,FALSE),"")</f>
        <v/>
      </c>
      <c r="K42" t="str">
        <f>IFERROR(VLOOKUP(D42,'Team Data'!C:AB,9,FALSE),"")</f>
        <v/>
      </c>
      <c r="L42" t="str">
        <f>IFERROR(VLOOKUP(D42,'Team Data'!C:AB,10,FALSE),"")</f>
        <v/>
      </c>
      <c r="M42" t="str">
        <f t="shared" si="2"/>
        <v/>
      </c>
      <c r="N42" t="str">
        <f>IFERROR(VLOOKUP(D42,'Team Data'!C:AB,23,FALSE),"")</f>
        <v/>
      </c>
      <c r="O42" t="str">
        <f>IFERROR(VLOOKUP(D42,'Team Data'!C:AB,22,FALSE),"")</f>
        <v/>
      </c>
      <c r="P42" t="str">
        <f t="shared" si="3"/>
        <v/>
      </c>
      <c r="Q42" t="str">
        <f>IFERROR(VLOOKUP(D42,'Team Data'!C:AB,15,FALSE),"")</f>
        <v/>
      </c>
      <c r="R42" t="str">
        <f>IFERROR(VLOOKUP('OB Format'!D42,'Team Data'!C:AB,24,FALSE),"")</f>
        <v/>
      </c>
      <c r="S42" t="str">
        <f>IFERROR(VLOOKUP('OB Format'!D42,'Team Data'!C:AC,25,FALSE),"")</f>
        <v/>
      </c>
    </row>
    <row r="43" spans="5:19" x14ac:dyDescent="0.25">
      <c r="E43" t="str">
        <f>IFERROR(VLOOKUP(D43,'Team Data'!C:AB,4,FALSE),"")</f>
        <v/>
      </c>
      <c r="F43" t="str">
        <f>IFERROR(VLOOKUP(D43,'Team Data'!C:AB,5,FALSE),"")</f>
        <v/>
      </c>
      <c r="G43" t="str">
        <f>IFERROR(VLOOKUP('OB Format'!D43,'Team Data'!C:AB,17,FALSE),"")</f>
        <v/>
      </c>
      <c r="H43" t="str">
        <f>IFERROR(VLOOKUP(D43,'Team Data'!C:AB,7,FALSE),"")</f>
        <v/>
      </c>
      <c r="I43" t="str">
        <f>IFERROR(VLOOKUP(D43,'Team Data'!C:AB,14,FALSE),"")</f>
        <v/>
      </c>
      <c r="J43" t="str">
        <f>IFERROR(VLOOKUP(D43,'Team Data'!C:AB,8,FALSE),"")</f>
        <v/>
      </c>
      <c r="K43" t="str">
        <f>IFERROR(VLOOKUP(D43,'Team Data'!C:AB,9,FALSE),"")</f>
        <v/>
      </c>
      <c r="L43" t="str">
        <f>IFERROR(VLOOKUP(D43,'Team Data'!C:AB,10,FALSE),"")</f>
        <v/>
      </c>
      <c r="M43" t="str">
        <f t="shared" si="2"/>
        <v/>
      </c>
      <c r="N43" t="str">
        <f>IFERROR(VLOOKUP(D43,'Team Data'!C:AB,23,FALSE),"")</f>
        <v/>
      </c>
      <c r="O43" t="str">
        <f>IFERROR(VLOOKUP(D43,'Team Data'!C:AB,22,FALSE),"")</f>
        <v/>
      </c>
      <c r="P43" t="str">
        <f t="shared" si="3"/>
        <v/>
      </c>
      <c r="Q43" t="str">
        <f>IFERROR(VLOOKUP(D43,'Team Data'!C:AB,15,FALSE),"")</f>
        <v/>
      </c>
      <c r="R43" t="str">
        <f>IFERROR(VLOOKUP('OB Format'!D43,'Team Data'!C:AB,24,FALSE),"")</f>
        <v/>
      </c>
      <c r="S43" t="str">
        <f>IFERROR(VLOOKUP('OB Format'!D43,'Team Data'!C:AC,25,FALSE),"")</f>
        <v/>
      </c>
    </row>
    <row r="44" spans="5:19" x14ac:dyDescent="0.25">
      <c r="E44" t="str">
        <f>IFERROR(VLOOKUP(D44,'Team Data'!C:AB,4,FALSE),"")</f>
        <v/>
      </c>
      <c r="F44" t="str">
        <f>IFERROR(VLOOKUP(D44,'Team Data'!C:AB,5,FALSE),"")</f>
        <v/>
      </c>
      <c r="G44" t="str">
        <f>IFERROR(VLOOKUP('OB Format'!D44,'Team Data'!C:AB,17,FALSE),"")</f>
        <v/>
      </c>
      <c r="H44" t="str">
        <f>IFERROR(VLOOKUP(D44,'Team Data'!C:AB,7,FALSE),"")</f>
        <v/>
      </c>
      <c r="I44" t="str">
        <f>IFERROR(VLOOKUP(D44,'Team Data'!C:AB,14,FALSE),"")</f>
        <v/>
      </c>
      <c r="J44" t="str">
        <f>IFERROR(VLOOKUP(D44,'Team Data'!C:AB,8,FALSE),"")</f>
        <v/>
      </c>
      <c r="K44" t="str">
        <f>IFERROR(VLOOKUP(D44,'Team Data'!C:AB,9,FALSE),"")</f>
        <v/>
      </c>
      <c r="L44" t="str">
        <f>IFERROR(VLOOKUP(D44,'Team Data'!C:AB,10,FALSE),"")</f>
        <v/>
      </c>
      <c r="M44" t="str">
        <f t="shared" si="2"/>
        <v/>
      </c>
      <c r="N44" t="str">
        <f>IFERROR(VLOOKUP(D44,'Team Data'!C:AB,23,FALSE),"")</f>
        <v/>
      </c>
      <c r="O44" t="str">
        <f>IFERROR(VLOOKUP(D44,'Team Data'!C:AB,22,FALSE),"")</f>
        <v/>
      </c>
      <c r="P44" t="str">
        <f t="shared" si="3"/>
        <v/>
      </c>
      <c r="Q44" t="str">
        <f>IFERROR(VLOOKUP(D44,'Team Data'!C:AB,15,FALSE),"")</f>
        <v/>
      </c>
      <c r="R44" t="str">
        <f>IFERROR(VLOOKUP('OB Format'!D44,'Team Data'!C:AB,24,FALSE),"")</f>
        <v/>
      </c>
      <c r="S44" t="str">
        <f>IFERROR(VLOOKUP('OB Format'!D44,'Team Data'!C:AC,25,FALSE),"")</f>
        <v/>
      </c>
    </row>
    <row r="45" spans="5:19" x14ac:dyDescent="0.25">
      <c r="E45" t="str">
        <f>IFERROR(VLOOKUP(D45,'Team Data'!C:AB,4,FALSE),"")</f>
        <v/>
      </c>
      <c r="F45" t="str">
        <f>IFERROR(VLOOKUP(D45,'Team Data'!C:AB,5,FALSE),"")</f>
        <v/>
      </c>
      <c r="G45" t="str">
        <f>IFERROR(VLOOKUP('OB Format'!D45,'Team Data'!C:AB,17,FALSE),"")</f>
        <v/>
      </c>
      <c r="H45" t="str">
        <f>IFERROR(VLOOKUP(D45,'Team Data'!C:AB,7,FALSE),"")</f>
        <v/>
      </c>
      <c r="I45" t="str">
        <f>IFERROR(VLOOKUP(D45,'Team Data'!C:AB,14,FALSE),"")</f>
        <v/>
      </c>
      <c r="J45" t="str">
        <f>IFERROR(VLOOKUP(D45,'Team Data'!C:AB,8,FALSE),"")</f>
        <v/>
      </c>
      <c r="K45" t="str">
        <f>IFERROR(VLOOKUP(D45,'Team Data'!C:AB,9,FALSE),"")</f>
        <v/>
      </c>
      <c r="L45" t="str">
        <f>IFERROR(VLOOKUP(D45,'Team Data'!C:AB,10,FALSE),"")</f>
        <v/>
      </c>
      <c r="M45" t="str">
        <f t="shared" si="2"/>
        <v/>
      </c>
      <c r="N45" t="str">
        <f>IFERROR(VLOOKUP(D45,'Team Data'!C:AB,23,FALSE),"")</f>
        <v/>
      </c>
      <c r="O45" t="str">
        <f>IFERROR(VLOOKUP(D45,'Team Data'!C:AB,22,FALSE),"")</f>
        <v/>
      </c>
      <c r="P45" t="str">
        <f t="shared" si="3"/>
        <v/>
      </c>
      <c r="Q45" t="str">
        <f>IFERROR(VLOOKUP(D45,'Team Data'!C:AB,15,FALSE),"")</f>
        <v/>
      </c>
      <c r="R45" t="str">
        <f>IFERROR(VLOOKUP('OB Format'!D45,'Team Data'!C:AB,24,FALSE),"")</f>
        <v/>
      </c>
      <c r="S45" t="str">
        <f>IFERROR(VLOOKUP('OB Format'!D45,'Team Data'!C:AC,25,FALSE),"")</f>
        <v/>
      </c>
    </row>
    <row r="46" spans="5:19" x14ac:dyDescent="0.25">
      <c r="E46" t="str">
        <f>IFERROR(VLOOKUP(D46,'Team Data'!C:AB,4,FALSE),"")</f>
        <v/>
      </c>
      <c r="F46" t="str">
        <f>IFERROR(VLOOKUP(D46,'Team Data'!C:AB,5,FALSE),"")</f>
        <v/>
      </c>
      <c r="G46" t="str">
        <f>IFERROR(VLOOKUP('OB Format'!D46,'Team Data'!C:AB,17,FALSE),"")</f>
        <v/>
      </c>
      <c r="H46" t="str">
        <f>IFERROR(VLOOKUP(D46,'Team Data'!C:AB,7,FALSE),"")</f>
        <v/>
      </c>
      <c r="I46" t="str">
        <f>IFERROR(VLOOKUP(D46,'Team Data'!C:AB,14,FALSE),"")</f>
        <v/>
      </c>
      <c r="J46" t="str">
        <f>IFERROR(VLOOKUP(D46,'Team Data'!C:AB,8,FALSE),"")</f>
        <v/>
      </c>
      <c r="K46" t="str">
        <f>IFERROR(VLOOKUP(D46,'Team Data'!C:AB,9,FALSE),"")</f>
        <v/>
      </c>
      <c r="L46" t="str">
        <f>IFERROR(VLOOKUP(D46,'Team Data'!C:AB,10,FALSE),"")</f>
        <v/>
      </c>
      <c r="M46" t="str">
        <f t="shared" si="2"/>
        <v/>
      </c>
      <c r="N46" t="str">
        <f>IFERROR(VLOOKUP(D46,'Team Data'!C:AB,23,FALSE),"")</f>
        <v/>
      </c>
      <c r="O46" t="str">
        <f>IFERROR(VLOOKUP(D46,'Team Data'!C:AB,22,FALSE),"")</f>
        <v/>
      </c>
      <c r="P46" t="str">
        <f t="shared" si="3"/>
        <v/>
      </c>
      <c r="Q46" t="str">
        <f>IFERROR(VLOOKUP(D46,'Team Data'!C:AB,15,FALSE),"")</f>
        <v/>
      </c>
      <c r="R46" t="str">
        <f>IFERROR(VLOOKUP('OB Format'!D46,'Team Data'!C:AB,24,FALSE),"")</f>
        <v/>
      </c>
      <c r="S46" t="str">
        <f>IFERROR(VLOOKUP('OB Format'!D46,'Team Data'!C:AC,25,FALSE),"")</f>
        <v/>
      </c>
    </row>
    <row r="47" spans="5:19" x14ac:dyDescent="0.25">
      <c r="E47" t="str">
        <f>IFERROR(VLOOKUP(D47,'Team Data'!C:AB,4,FALSE),"")</f>
        <v/>
      </c>
      <c r="F47" t="str">
        <f>IFERROR(VLOOKUP(D47,'Team Data'!C:AB,5,FALSE),"")</f>
        <v/>
      </c>
      <c r="G47" t="str">
        <f>IFERROR(VLOOKUP('OB Format'!D47,'Team Data'!C:AB,17,FALSE),"")</f>
        <v/>
      </c>
      <c r="H47" t="str">
        <f>IFERROR(VLOOKUP(D47,'Team Data'!C:AB,7,FALSE),"")</f>
        <v/>
      </c>
      <c r="I47" t="str">
        <f>IFERROR(VLOOKUP(D47,'Team Data'!C:AB,14,FALSE),"")</f>
        <v/>
      </c>
      <c r="J47" t="str">
        <f>IFERROR(VLOOKUP(D47,'Team Data'!C:AB,8,FALSE),"")</f>
        <v/>
      </c>
      <c r="K47" t="str">
        <f>IFERROR(VLOOKUP(D47,'Team Data'!C:AB,9,FALSE),"")</f>
        <v/>
      </c>
      <c r="L47" t="str">
        <f>IFERROR(VLOOKUP(D47,'Team Data'!C:AB,10,FALSE),"")</f>
        <v/>
      </c>
      <c r="M47" t="str">
        <f t="shared" si="2"/>
        <v/>
      </c>
      <c r="N47" t="str">
        <f>IFERROR(VLOOKUP(D47,'Team Data'!C:AB,23,FALSE),"")</f>
        <v/>
      </c>
      <c r="O47" t="str">
        <f>IFERROR(VLOOKUP(D47,'Team Data'!C:AB,22,FALSE),"")</f>
        <v/>
      </c>
      <c r="P47" t="str">
        <f t="shared" si="3"/>
        <v/>
      </c>
      <c r="Q47" t="str">
        <f>IFERROR(VLOOKUP(D47,'Team Data'!C:AB,15,FALSE),"")</f>
        <v/>
      </c>
      <c r="R47" t="str">
        <f>IFERROR(VLOOKUP('OB Format'!D47,'Team Data'!C:AB,24,FALSE),"")</f>
        <v/>
      </c>
      <c r="S47" t="str">
        <f>IFERROR(VLOOKUP('OB Format'!D47,'Team Data'!C:AC,25,FALSE),"")</f>
        <v/>
      </c>
    </row>
    <row r="48" spans="5:19" x14ac:dyDescent="0.25">
      <c r="E48" t="str">
        <f>IFERROR(VLOOKUP(D48,'Team Data'!C:AB,4,FALSE),"")</f>
        <v/>
      </c>
      <c r="F48" t="str">
        <f>IFERROR(VLOOKUP(D48,'Team Data'!C:AB,5,FALSE),"")</f>
        <v/>
      </c>
      <c r="G48" t="str">
        <f>IFERROR(VLOOKUP('OB Format'!D48,'Team Data'!C:AB,17,FALSE),"")</f>
        <v/>
      </c>
      <c r="H48" t="str">
        <f>IFERROR(VLOOKUP(D48,'Team Data'!C:AB,7,FALSE),"")</f>
        <v/>
      </c>
      <c r="I48" t="str">
        <f>IFERROR(VLOOKUP(D48,'Team Data'!C:AB,14,FALSE),"")</f>
        <v/>
      </c>
      <c r="J48" t="str">
        <f>IFERROR(VLOOKUP(D48,'Team Data'!C:AB,8,FALSE),"")</f>
        <v/>
      </c>
      <c r="K48" t="str">
        <f>IFERROR(VLOOKUP(D48,'Team Data'!C:AB,9,FALSE),"")</f>
        <v/>
      </c>
      <c r="L48" t="str">
        <f>IFERROR(VLOOKUP(D48,'Team Data'!C:AB,10,FALSE),"")</f>
        <v/>
      </c>
      <c r="M48" t="str">
        <f t="shared" si="2"/>
        <v/>
      </c>
      <c r="N48" t="str">
        <f>IFERROR(VLOOKUP(D48,'Team Data'!C:AB,23,FALSE),"")</f>
        <v/>
      </c>
      <c r="O48" t="str">
        <f>IFERROR(VLOOKUP(D48,'Team Data'!C:AB,22,FALSE),"")</f>
        <v/>
      </c>
      <c r="P48" t="str">
        <f t="shared" si="3"/>
        <v/>
      </c>
      <c r="Q48" t="str">
        <f>IFERROR(VLOOKUP(D48,'Team Data'!C:AB,15,FALSE),"")</f>
        <v/>
      </c>
      <c r="R48" t="str">
        <f>IFERROR(VLOOKUP('OB Format'!D48,'Team Data'!C:AB,24,FALSE),"")</f>
        <v/>
      </c>
      <c r="S48" t="str">
        <f>IFERROR(VLOOKUP('OB Format'!D48,'Team Data'!C:AC,25,FALSE),"")</f>
        <v/>
      </c>
    </row>
    <row r="49" spans="5:19" x14ac:dyDescent="0.25">
      <c r="E49" t="str">
        <f>IFERROR(VLOOKUP(D49,'Team Data'!C:AB,4,FALSE),"")</f>
        <v/>
      </c>
      <c r="F49" t="str">
        <f>IFERROR(VLOOKUP(D49,'Team Data'!C:AB,5,FALSE),"")</f>
        <v/>
      </c>
      <c r="G49" t="str">
        <f>IFERROR(VLOOKUP('OB Format'!D49,'Team Data'!C:AB,17,FALSE),"")</f>
        <v/>
      </c>
      <c r="H49" t="str">
        <f>IFERROR(VLOOKUP(D49,'Team Data'!C:AB,7,FALSE),"")</f>
        <v/>
      </c>
      <c r="I49" t="str">
        <f>IFERROR(VLOOKUP(D49,'Team Data'!C:AB,14,FALSE),"")</f>
        <v/>
      </c>
      <c r="J49" t="str">
        <f>IFERROR(VLOOKUP(D49,'Team Data'!C:AB,8,FALSE),"")</f>
        <v/>
      </c>
      <c r="K49" t="str">
        <f>IFERROR(VLOOKUP(D49,'Team Data'!C:AB,9,FALSE),"")</f>
        <v/>
      </c>
      <c r="L49" t="str">
        <f>IFERROR(VLOOKUP(D49,'Team Data'!C:AB,10,FALSE),"")</f>
        <v/>
      </c>
      <c r="M49" t="str">
        <f t="shared" si="2"/>
        <v/>
      </c>
      <c r="N49" t="str">
        <f>IFERROR(VLOOKUP(D49,'Team Data'!C:AB,23,FALSE),"")</f>
        <v/>
      </c>
      <c r="O49" t="str">
        <f>IFERROR(VLOOKUP(D49,'Team Data'!C:AB,22,FALSE),"")</f>
        <v/>
      </c>
      <c r="P49" t="str">
        <f t="shared" si="3"/>
        <v/>
      </c>
      <c r="Q49" t="str">
        <f>IFERROR(VLOOKUP(D49,'Team Data'!C:AB,15,FALSE),"")</f>
        <v/>
      </c>
      <c r="R49" t="str">
        <f>IFERROR(VLOOKUP('OB Format'!D49,'Team Data'!C:AB,24,FALSE),"")</f>
        <v/>
      </c>
      <c r="S49" t="str">
        <f>IFERROR(VLOOKUP('OB Format'!D49,'Team Data'!C:AC,25,FALSE),"")</f>
        <v/>
      </c>
    </row>
    <row r="50" spans="5:19" x14ac:dyDescent="0.25">
      <c r="E50" t="str">
        <f>IFERROR(VLOOKUP(D50,'Team Data'!C:AB,4,FALSE),"")</f>
        <v/>
      </c>
      <c r="F50" t="str">
        <f>IFERROR(VLOOKUP(D50,'Team Data'!C:AB,5,FALSE),"")</f>
        <v/>
      </c>
      <c r="G50" t="str">
        <f>IFERROR(VLOOKUP('OB Format'!D50,'Team Data'!C:AB,17,FALSE),"")</f>
        <v/>
      </c>
      <c r="H50" t="str">
        <f>IFERROR(VLOOKUP(D50,'Team Data'!C:AB,7,FALSE),"")</f>
        <v/>
      </c>
      <c r="I50" t="str">
        <f>IFERROR(VLOOKUP(D50,'Team Data'!C:AB,14,FALSE),"")</f>
        <v/>
      </c>
      <c r="J50" t="str">
        <f>IFERROR(VLOOKUP(D50,'Team Data'!C:AB,8,FALSE),"")</f>
        <v/>
      </c>
      <c r="K50" t="str">
        <f>IFERROR(VLOOKUP(D50,'Team Data'!C:AB,9,FALSE),"")</f>
        <v/>
      </c>
      <c r="L50" t="str">
        <f>IFERROR(VLOOKUP(D50,'Team Data'!C:AB,10,FALSE),"")</f>
        <v/>
      </c>
      <c r="M50" t="str">
        <f t="shared" si="2"/>
        <v/>
      </c>
      <c r="N50" t="str">
        <f>IFERROR(VLOOKUP(D50,'Team Data'!C:AB,23,FALSE),"")</f>
        <v/>
      </c>
      <c r="O50" t="str">
        <f>IFERROR(VLOOKUP(D50,'Team Data'!C:AB,22,FALSE),"")</f>
        <v/>
      </c>
      <c r="P50" t="str">
        <f t="shared" si="3"/>
        <v/>
      </c>
      <c r="Q50" t="str">
        <f>IFERROR(VLOOKUP(D50,'Team Data'!C:AB,15,FALSE),"")</f>
        <v/>
      </c>
      <c r="R50" t="str">
        <f>IFERROR(VLOOKUP('OB Format'!D50,'Team Data'!C:AB,24,FALSE),"")</f>
        <v/>
      </c>
      <c r="S50" t="str">
        <f>IFERROR(VLOOKUP('OB Format'!D50,'Team Data'!C:AC,25,FALSE),"")</f>
        <v/>
      </c>
    </row>
    <row r="51" spans="5:19" x14ac:dyDescent="0.25">
      <c r="E51" t="str">
        <f>IFERROR(VLOOKUP(D51,'Team Data'!C:AB,4,FALSE),"")</f>
        <v/>
      </c>
      <c r="F51" t="str">
        <f>IFERROR(VLOOKUP(D51,'Team Data'!C:AB,5,FALSE),"")</f>
        <v/>
      </c>
      <c r="G51" t="str">
        <f>IFERROR(VLOOKUP('OB Format'!D51,'Team Data'!C:AB,17,FALSE),"")</f>
        <v/>
      </c>
      <c r="H51" t="str">
        <f>IFERROR(VLOOKUP(D51,'Team Data'!C:AB,7,FALSE),"")</f>
        <v/>
      </c>
      <c r="I51" t="str">
        <f>IFERROR(VLOOKUP(D51,'Team Data'!C:AB,14,FALSE),"")</f>
        <v/>
      </c>
      <c r="J51" t="str">
        <f>IFERROR(VLOOKUP(D51,'Team Data'!C:AB,8,FALSE),"")</f>
        <v/>
      </c>
      <c r="K51" t="str">
        <f>IFERROR(VLOOKUP(D51,'Team Data'!C:AB,9,FALSE),"")</f>
        <v/>
      </c>
      <c r="L51" t="str">
        <f>IFERROR(VLOOKUP(D51,'Team Data'!C:AB,10,FALSE),"")</f>
        <v/>
      </c>
      <c r="M51" t="str">
        <f t="shared" si="2"/>
        <v/>
      </c>
      <c r="N51" t="str">
        <f>IFERROR(VLOOKUP(D51,'Team Data'!C:AB,23,FALSE),"")</f>
        <v/>
      </c>
      <c r="O51" t="str">
        <f>IFERROR(VLOOKUP(D51,'Team Data'!C:AB,22,FALSE),"")</f>
        <v/>
      </c>
      <c r="P51" t="str">
        <f t="shared" si="3"/>
        <v/>
      </c>
      <c r="Q51" t="str">
        <f>IFERROR(VLOOKUP(D51,'Team Data'!C:AB,15,FALSE),"")</f>
        <v/>
      </c>
      <c r="R51" t="str">
        <f>IFERROR(VLOOKUP('OB Format'!D51,'Team Data'!C:AB,24,FALSE),"")</f>
        <v/>
      </c>
      <c r="S51" t="str">
        <f>IFERROR(VLOOKUP('OB Format'!D51,'Team Data'!C:AC,25,FALSE),"")</f>
        <v/>
      </c>
    </row>
    <row r="52" spans="5:19" x14ac:dyDescent="0.25">
      <c r="E52" t="str">
        <f>IFERROR(VLOOKUP(D52,'Team Data'!C:AB,4,FALSE),"")</f>
        <v/>
      </c>
      <c r="F52" t="str">
        <f>IFERROR(VLOOKUP(D52,'Team Data'!C:AB,5,FALSE),"")</f>
        <v/>
      </c>
      <c r="G52" t="str">
        <f>IFERROR(VLOOKUP('OB Format'!D52,'Team Data'!C:AB,17,FALSE),"")</f>
        <v/>
      </c>
      <c r="H52" t="str">
        <f>IFERROR(VLOOKUP(D52,'Team Data'!C:AB,7,FALSE),"")</f>
        <v/>
      </c>
      <c r="I52" t="str">
        <f>IFERROR(VLOOKUP(D52,'Team Data'!C:AB,14,FALSE),"")</f>
        <v/>
      </c>
      <c r="J52" t="str">
        <f>IFERROR(VLOOKUP(D52,'Team Data'!C:AB,8,FALSE),"")</f>
        <v/>
      </c>
      <c r="K52" t="str">
        <f>IFERROR(VLOOKUP(D52,'Team Data'!C:AB,9,FALSE),"")</f>
        <v/>
      </c>
      <c r="L52" t="str">
        <f>IFERROR(VLOOKUP(D52,'Team Data'!C:AB,10,FALSE),"")</f>
        <v/>
      </c>
      <c r="M52" t="str">
        <f t="shared" si="2"/>
        <v/>
      </c>
      <c r="N52" t="str">
        <f>IFERROR(VLOOKUP(D52,'Team Data'!C:AB,23,FALSE),"")</f>
        <v/>
      </c>
      <c r="O52" t="str">
        <f>IFERROR(VLOOKUP(D52,'Team Data'!C:AB,22,FALSE),"")</f>
        <v/>
      </c>
      <c r="P52" t="str">
        <f t="shared" si="3"/>
        <v/>
      </c>
      <c r="Q52" t="str">
        <f>IFERROR(VLOOKUP(D52,'Team Data'!C:AB,15,FALSE),"")</f>
        <v/>
      </c>
      <c r="R52" t="str">
        <f>IFERROR(VLOOKUP('OB Format'!D52,'Team Data'!C:AB,24,FALSE),"")</f>
        <v/>
      </c>
      <c r="S52" t="str">
        <f>IFERROR(VLOOKUP('OB Format'!D52,'Team Data'!C:AC,25,FALSE),"")</f>
        <v/>
      </c>
    </row>
    <row r="53" spans="5:19" x14ac:dyDescent="0.25">
      <c r="E53" t="str">
        <f>IFERROR(VLOOKUP(D53,'Team Data'!C:AB,4,FALSE),"")</f>
        <v/>
      </c>
      <c r="F53" t="str">
        <f>IFERROR(VLOOKUP(D53,'Team Data'!C:AB,5,FALSE),"")</f>
        <v/>
      </c>
      <c r="G53" t="str">
        <f>IFERROR(VLOOKUP('OB Format'!D53,'Team Data'!C:AB,17,FALSE),"")</f>
        <v/>
      </c>
      <c r="H53" t="str">
        <f>IFERROR(VLOOKUP(D53,'Team Data'!C:AB,7,FALSE),"")</f>
        <v/>
      </c>
      <c r="I53" t="str">
        <f>IFERROR(VLOOKUP(D53,'Team Data'!C:AB,14,FALSE),"")</f>
        <v/>
      </c>
      <c r="J53" t="str">
        <f>IFERROR(VLOOKUP(D53,'Team Data'!C:AB,8,FALSE),"")</f>
        <v/>
      </c>
      <c r="K53" t="str">
        <f>IFERROR(VLOOKUP(D53,'Team Data'!C:AB,9,FALSE),"")</f>
        <v/>
      </c>
      <c r="L53" t="str">
        <f>IFERROR(VLOOKUP(D53,'Team Data'!C:AB,10,FALSE),"")</f>
        <v/>
      </c>
      <c r="M53" t="str">
        <f t="shared" si="2"/>
        <v/>
      </c>
      <c r="N53" t="str">
        <f>IFERROR(VLOOKUP(D53,'Team Data'!C:AB,23,FALSE),"")</f>
        <v/>
      </c>
      <c r="O53" t="str">
        <f>IFERROR(VLOOKUP(D53,'Team Data'!C:AB,22,FALSE),"")</f>
        <v/>
      </c>
      <c r="P53" t="str">
        <f t="shared" si="3"/>
        <v/>
      </c>
      <c r="Q53" t="str">
        <f>IFERROR(VLOOKUP(D53,'Team Data'!C:AB,15,FALSE),"")</f>
        <v/>
      </c>
      <c r="R53" t="str">
        <f>IFERROR(VLOOKUP('OB Format'!D53,'Team Data'!C:AB,24,FALSE),"")</f>
        <v/>
      </c>
      <c r="S53" t="str">
        <f>IFERROR(VLOOKUP('OB Format'!D53,'Team Data'!C:AC,25,FALSE),"")</f>
        <v/>
      </c>
    </row>
    <row r="54" spans="5:19" x14ac:dyDescent="0.25">
      <c r="E54" t="str">
        <f>IFERROR(VLOOKUP(D54,'Team Data'!C:AB,4,FALSE),"")</f>
        <v/>
      </c>
      <c r="F54" t="str">
        <f>IFERROR(VLOOKUP(D54,'Team Data'!C:AB,5,FALSE),"")</f>
        <v/>
      </c>
      <c r="G54" t="str">
        <f>IFERROR(VLOOKUP('OB Format'!D54,'Team Data'!C:AB,17,FALSE),"")</f>
        <v/>
      </c>
      <c r="H54" t="str">
        <f>IFERROR(VLOOKUP(D54,'Team Data'!C:AB,7,FALSE),"")</f>
        <v/>
      </c>
      <c r="I54" t="str">
        <f>IFERROR(VLOOKUP(D54,'Team Data'!C:AB,14,FALSE),"")</f>
        <v/>
      </c>
      <c r="J54" t="str">
        <f>IFERROR(VLOOKUP(D54,'Team Data'!C:AB,8,FALSE),"")</f>
        <v/>
      </c>
      <c r="K54" t="str">
        <f>IFERROR(VLOOKUP(D54,'Team Data'!C:AB,9,FALSE),"")</f>
        <v/>
      </c>
      <c r="L54" t="str">
        <f>IFERROR(VLOOKUP(D54,'Team Data'!C:AB,10,FALSE),"")</f>
        <v/>
      </c>
      <c r="M54" t="str">
        <f t="shared" si="2"/>
        <v/>
      </c>
      <c r="N54" t="str">
        <f>IFERROR(VLOOKUP(D54,'Team Data'!C:AB,23,FALSE),"")</f>
        <v/>
      </c>
      <c r="O54" t="str">
        <f>IFERROR(VLOOKUP(D54,'Team Data'!C:AB,22,FALSE),"")</f>
        <v/>
      </c>
      <c r="P54" t="str">
        <f t="shared" si="3"/>
        <v/>
      </c>
      <c r="Q54" t="str">
        <f>IFERROR(VLOOKUP(D54,'Team Data'!C:AB,15,FALSE),"")</f>
        <v/>
      </c>
      <c r="R54" t="str">
        <f>IFERROR(VLOOKUP('OB Format'!D54,'Team Data'!C:AB,24,FALSE),"")</f>
        <v/>
      </c>
      <c r="S54" t="str">
        <f>IFERROR(VLOOKUP('OB Format'!D54,'Team Data'!C:AC,25,FALSE),"")</f>
        <v/>
      </c>
    </row>
    <row r="55" spans="5:19" x14ac:dyDescent="0.25">
      <c r="E55" t="str">
        <f>IFERROR(VLOOKUP(D55,'Team Data'!C:AB,4,FALSE),"")</f>
        <v/>
      </c>
      <c r="F55" t="str">
        <f>IFERROR(VLOOKUP(D55,'Team Data'!C:AB,5,FALSE),"")</f>
        <v/>
      </c>
      <c r="G55" t="str">
        <f>IFERROR(VLOOKUP('OB Format'!D55,'Team Data'!C:AB,17,FALSE),"")</f>
        <v/>
      </c>
      <c r="H55" t="str">
        <f>IFERROR(VLOOKUP(D55,'Team Data'!C:AB,7,FALSE),"")</f>
        <v/>
      </c>
      <c r="I55" t="str">
        <f>IFERROR(VLOOKUP(D55,'Team Data'!C:AB,14,FALSE),"")</f>
        <v/>
      </c>
      <c r="J55" t="str">
        <f>IFERROR(VLOOKUP(D55,'Team Data'!C:AB,8,FALSE),"")</f>
        <v/>
      </c>
      <c r="K55" t="str">
        <f>IFERROR(VLOOKUP(D55,'Team Data'!C:AB,9,FALSE),"")</f>
        <v/>
      </c>
      <c r="L55" t="str">
        <f>IFERROR(VLOOKUP(D55,'Team Data'!C:AB,10,FALSE),"")</f>
        <v/>
      </c>
      <c r="M55" t="str">
        <f t="shared" si="2"/>
        <v/>
      </c>
      <c r="N55" t="str">
        <f>IFERROR(VLOOKUP(D55,'Team Data'!C:AB,23,FALSE),"")</f>
        <v/>
      </c>
      <c r="O55" t="str">
        <f>IFERROR(VLOOKUP(D55,'Team Data'!C:AB,22,FALSE),"")</f>
        <v/>
      </c>
      <c r="P55" t="str">
        <f t="shared" si="3"/>
        <v/>
      </c>
      <c r="Q55" t="str">
        <f>IFERROR(VLOOKUP(D55,'Team Data'!C:AB,15,FALSE),"")</f>
        <v/>
      </c>
      <c r="R55" t="str">
        <f>IFERROR(VLOOKUP('OB Format'!D55,'Team Data'!C:AB,24,FALSE),"")</f>
        <v/>
      </c>
      <c r="S55" t="str">
        <f>IFERROR(VLOOKUP('OB Format'!D55,'Team Data'!C:AC,25,FALSE),"")</f>
        <v/>
      </c>
    </row>
    <row r="56" spans="5:19" x14ac:dyDescent="0.25">
      <c r="E56" t="str">
        <f>IFERROR(VLOOKUP(D56,'Team Data'!C:AB,4,FALSE),"")</f>
        <v/>
      </c>
      <c r="F56" t="str">
        <f>IFERROR(VLOOKUP(D56,'Team Data'!C:AB,5,FALSE),"")</f>
        <v/>
      </c>
      <c r="G56" t="str">
        <f>IFERROR(VLOOKUP('OB Format'!D56,'Team Data'!C:AB,17,FALSE),"")</f>
        <v/>
      </c>
      <c r="H56" t="str">
        <f>IFERROR(VLOOKUP(D56,'Team Data'!C:AB,7,FALSE),"")</f>
        <v/>
      </c>
      <c r="I56" t="str">
        <f>IFERROR(VLOOKUP(D56,'Team Data'!C:AB,14,FALSE),"")</f>
        <v/>
      </c>
      <c r="J56" t="str">
        <f>IFERROR(VLOOKUP(D56,'Team Data'!C:AB,8,FALSE),"")</f>
        <v/>
      </c>
      <c r="K56" t="str">
        <f>IFERROR(VLOOKUP(D56,'Team Data'!C:AB,9,FALSE),"")</f>
        <v/>
      </c>
      <c r="L56" t="str">
        <f>IFERROR(VLOOKUP(D56,'Team Data'!C:AB,10,FALSE),"")</f>
        <v/>
      </c>
      <c r="M56" t="str">
        <f t="shared" si="2"/>
        <v/>
      </c>
      <c r="N56" t="str">
        <f>IFERROR(VLOOKUP(D56,'Team Data'!C:AB,23,FALSE),"")</f>
        <v/>
      </c>
      <c r="O56" t="str">
        <f>IFERROR(VLOOKUP(D56,'Team Data'!C:AB,22,FALSE),"")</f>
        <v/>
      </c>
      <c r="P56" t="str">
        <f t="shared" si="3"/>
        <v/>
      </c>
      <c r="Q56" t="str">
        <f>IFERROR(VLOOKUP(D56,'Team Data'!C:AB,15,FALSE),"")</f>
        <v/>
      </c>
      <c r="R56" t="str">
        <f>IFERROR(VLOOKUP('OB Format'!D56,'Team Data'!C:AB,24,FALSE),"")</f>
        <v/>
      </c>
      <c r="S56" t="str">
        <f>IFERROR(VLOOKUP('OB Format'!D56,'Team Data'!C:AC,25,FALSE),"")</f>
        <v/>
      </c>
    </row>
    <row r="57" spans="5:19" x14ac:dyDescent="0.25">
      <c r="E57" t="str">
        <f>IFERROR(VLOOKUP(D57,'Team Data'!C:AB,4,FALSE),"")</f>
        <v/>
      </c>
      <c r="F57" t="str">
        <f>IFERROR(VLOOKUP(D57,'Team Data'!C:AB,5,FALSE),"")</f>
        <v/>
      </c>
      <c r="G57" t="str">
        <f>IFERROR(VLOOKUP('OB Format'!D57,'Team Data'!C:AB,17,FALSE),"")</f>
        <v/>
      </c>
      <c r="H57" t="str">
        <f>IFERROR(VLOOKUP(D57,'Team Data'!C:AB,7,FALSE),"")</f>
        <v/>
      </c>
      <c r="I57" t="str">
        <f>IFERROR(VLOOKUP(D57,'Team Data'!C:AB,14,FALSE),"")</f>
        <v/>
      </c>
      <c r="J57" t="str">
        <f>IFERROR(VLOOKUP(D57,'Team Data'!C:AB,8,FALSE),"")</f>
        <v/>
      </c>
      <c r="K57" t="str">
        <f>IFERROR(VLOOKUP(D57,'Team Data'!C:AB,9,FALSE),"")</f>
        <v/>
      </c>
      <c r="L57" t="str">
        <f>IFERROR(VLOOKUP(D57,'Team Data'!C:AB,10,FALSE),"")</f>
        <v/>
      </c>
      <c r="M57" t="str">
        <f t="shared" si="2"/>
        <v/>
      </c>
      <c r="N57" t="str">
        <f>IFERROR(VLOOKUP(D57,'Team Data'!C:AB,23,FALSE),"")</f>
        <v/>
      </c>
      <c r="O57" t="str">
        <f>IFERROR(VLOOKUP(D57,'Team Data'!C:AB,22,FALSE),"")</f>
        <v/>
      </c>
      <c r="P57" t="str">
        <f t="shared" si="3"/>
        <v/>
      </c>
      <c r="Q57" t="str">
        <f>IFERROR(VLOOKUP(D57,'Team Data'!C:AB,15,FALSE),"")</f>
        <v/>
      </c>
      <c r="R57" t="str">
        <f>IFERROR(VLOOKUP('OB Format'!D57,'Team Data'!C:AB,24,FALSE),"")</f>
        <v/>
      </c>
      <c r="S57" t="str">
        <f>IFERROR(VLOOKUP('OB Format'!D57,'Team Data'!C:AC,25,FALSE),"")</f>
        <v/>
      </c>
    </row>
    <row r="58" spans="5:19" x14ac:dyDescent="0.25">
      <c r="E58" t="str">
        <f>IFERROR(VLOOKUP(D58,'Team Data'!C:AB,4,FALSE),"")</f>
        <v/>
      </c>
      <c r="F58" t="str">
        <f>IFERROR(VLOOKUP(D58,'Team Data'!C:AB,5,FALSE),"")</f>
        <v/>
      </c>
      <c r="G58" t="str">
        <f>IFERROR(VLOOKUP('OB Format'!D58,'Team Data'!C:AB,17,FALSE),"")</f>
        <v/>
      </c>
      <c r="H58" t="str">
        <f>IFERROR(VLOOKUP(D58,'Team Data'!C:AB,7,FALSE),"")</f>
        <v/>
      </c>
      <c r="I58" t="str">
        <f>IFERROR(VLOOKUP(D58,'Team Data'!C:AB,14,FALSE),"")</f>
        <v/>
      </c>
      <c r="J58" t="str">
        <f>IFERROR(VLOOKUP(D58,'Team Data'!C:AB,8,FALSE),"")</f>
        <v/>
      </c>
      <c r="K58" t="str">
        <f>IFERROR(VLOOKUP(D58,'Team Data'!C:AB,9,FALSE),"")</f>
        <v/>
      </c>
      <c r="L58" t="str">
        <f>IFERROR(VLOOKUP(D58,'Team Data'!C:AB,10,FALSE),"")</f>
        <v/>
      </c>
      <c r="M58" t="str">
        <f t="shared" si="2"/>
        <v/>
      </c>
      <c r="N58" t="str">
        <f>IFERROR(VLOOKUP(D58,'Team Data'!C:AB,23,FALSE),"")</f>
        <v/>
      </c>
      <c r="O58" t="str">
        <f>IFERROR(VLOOKUP(D58,'Team Data'!C:AB,22,FALSE),"")</f>
        <v/>
      </c>
      <c r="P58" t="str">
        <f t="shared" si="3"/>
        <v/>
      </c>
      <c r="Q58" t="str">
        <f>IFERROR(VLOOKUP(D58,'Team Data'!C:AB,15,FALSE),"")</f>
        <v/>
      </c>
      <c r="R58" t="str">
        <f>IFERROR(VLOOKUP('OB Format'!D58,'Team Data'!C:AB,24,FALSE),"")</f>
        <v/>
      </c>
      <c r="S58" t="str">
        <f>IFERROR(VLOOKUP('OB Format'!D58,'Team Data'!C:AC,25,FALSE),"")</f>
        <v/>
      </c>
    </row>
    <row r="59" spans="5:19" x14ac:dyDescent="0.25">
      <c r="E59" t="str">
        <f>IFERROR(VLOOKUP(D59,'Team Data'!C:AB,4,FALSE),"")</f>
        <v/>
      </c>
      <c r="F59" t="str">
        <f>IFERROR(VLOOKUP(D59,'Team Data'!C:AB,5,FALSE),"")</f>
        <v/>
      </c>
      <c r="G59" t="str">
        <f>IFERROR(VLOOKUP('OB Format'!D59,'Team Data'!C:AB,17,FALSE),"")</f>
        <v/>
      </c>
      <c r="H59" t="str">
        <f>IFERROR(VLOOKUP(D59,'Team Data'!C:AB,7,FALSE),"")</f>
        <v/>
      </c>
      <c r="I59" t="str">
        <f>IFERROR(VLOOKUP(D59,'Team Data'!C:AB,14,FALSE),"")</f>
        <v/>
      </c>
      <c r="J59" t="str">
        <f>IFERROR(VLOOKUP(D59,'Team Data'!C:AB,8,FALSE),"")</f>
        <v/>
      </c>
      <c r="K59" t="str">
        <f>IFERROR(VLOOKUP(D59,'Team Data'!C:AB,9,FALSE),"")</f>
        <v/>
      </c>
      <c r="L59" t="str">
        <f>IFERROR(VLOOKUP(D59,'Team Data'!C:AB,10,FALSE),"")</f>
        <v/>
      </c>
      <c r="M59" t="str">
        <f t="shared" si="2"/>
        <v/>
      </c>
      <c r="N59" t="str">
        <f>IFERROR(VLOOKUP(D59,'Team Data'!C:AB,23,FALSE),"")</f>
        <v/>
      </c>
      <c r="O59" t="str">
        <f>IFERROR(VLOOKUP(D59,'Team Data'!C:AB,22,FALSE),"")</f>
        <v/>
      </c>
      <c r="P59" t="str">
        <f t="shared" si="3"/>
        <v/>
      </c>
      <c r="Q59" t="str">
        <f>IFERROR(VLOOKUP(D59,'Team Data'!C:AB,15,FALSE),"")</f>
        <v/>
      </c>
      <c r="R59" t="str">
        <f>IFERROR(VLOOKUP('OB Format'!D59,'Team Data'!C:AB,24,FALSE),"")</f>
        <v/>
      </c>
      <c r="S59" t="str">
        <f>IFERROR(VLOOKUP('OB Format'!D59,'Team Data'!C:AC,25,FALSE),"")</f>
        <v/>
      </c>
    </row>
    <row r="60" spans="5:19" x14ac:dyDescent="0.25">
      <c r="E60" t="str">
        <f>IFERROR(VLOOKUP(D60,'Team Data'!C:AB,4,FALSE),"")</f>
        <v/>
      </c>
      <c r="F60" t="str">
        <f>IFERROR(VLOOKUP(D60,'Team Data'!C:AB,5,FALSE),"")</f>
        <v/>
      </c>
      <c r="G60" t="str">
        <f>IFERROR(VLOOKUP('OB Format'!D60,'Team Data'!C:AB,17,FALSE),"")</f>
        <v/>
      </c>
      <c r="H60" t="str">
        <f>IFERROR(VLOOKUP(D60,'Team Data'!C:AB,7,FALSE),"")</f>
        <v/>
      </c>
      <c r="I60" t="str">
        <f>IFERROR(VLOOKUP(D60,'Team Data'!C:AB,14,FALSE),"")</f>
        <v/>
      </c>
      <c r="J60" t="str">
        <f>IFERROR(VLOOKUP(D60,'Team Data'!C:AB,8,FALSE),"")</f>
        <v/>
      </c>
      <c r="K60" t="str">
        <f>IFERROR(VLOOKUP(D60,'Team Data'!C:AB,9,FALSE),"")</f>
        <v/>
      </c>
      <c r="L60" t="str">
        <f>IFERROR(VLOOKUP(D60,'Team Data'!C:AB,10,FALSE),"")</f>
        <v/>
      </c>
      <c r="M60" t="str">
        <f t="shared" si="2"/>
        <v/>
      </c>
      <c r="N60" t="str">
        <f>IFERROR(VLOOKUP(D60,'Team Data'!C:AB,23,FALSE),"")</f>
        <v/>
      </c>
      <c r="O60" t="str">
        <f>IFERROR(VLOOKUP(D60,'Team Data'!C:AB,22,FALSE),"")</f>
        <v/>
      </c>
      <c r="P60" t="str">
        <f t="shared" si="3"/>
        <v/>
      </c>
      <c r="Q60" t="str">
        <f>IFERROR(VLOOKUP(D60,'Team Data'!C:AB,15,FALSE),"")</f>
        <v/>
      </c>
      <c r="R60" t="str">
        <f>IFERROR(VLOOKUP('OB Format'!D60,'Team Data'!C:AB,24,FALSE),"")</f>
        <v/>
      </c>
      <c r="S60" t="str">
        <f>IFERROR(VLOOKUP('OB Format'!D60,'Team Data'!C:AC,25,FALSE),"")</f>
        <v/>
      </c>
    </row>
    <row r="61" spans="5:19" x14ac:dyDescent="0.25">
      <c r="E61" t="str">
        <f>IFERROR(VLOOKUP(D61,'Team Data'!C:AB,4,FALSE),"")</f>
        <v/>
      </c>
      <c r="F61" t="str">
        <f>IFERROR(VLOOKUP(D61,'Team Data'!C:AB,5,FALSE),"")</f>
        <v/>
      </c>
      <c r="G61" t="str">
        <f>IFERROR(VLOOKUP('OB Format'!D61,'Team Data'!C:AB,17,FALSE),"")</f>
        <v/>
      </c>
      <c r="H61" t="str">
        <f>IFERROR(VLOOKUP(D61,'Team Data'!C:AB,7,FALSE),"")</f>
        <v/>
      </c>
      <c r="I61" t="str">
        <f>IFERROR(VLOOKUP(D61,'Team Data'!C:AB,14,FALSE),"")</f>
        <v/>
      </c>
      <c r="J61" t="str">
        <f>IFERROR(VLOOKUP(D61,'Team Data'!C:AB,8,FALSE),"")</f>
        <v/>
      </c>
      <c r="K61" t="str">
        <f>IFERROR(VLOOKUP(D61,'Team Data'!C:AB,9,FALSE),"")</f>
        <v/>
      </c>
      <c r="L61" t="str">
        <f>IFERROR(VLOOKUP(D61,'Team Data'!C:AB,10,FALSE),"")</f>
        <v/>
      </c>
      <c r="M61" t="str">
        <f t="shared" si="2"/>
        <v/>
      </c>
      <c r="N61" t="str">
        <f>IFERROR(VLOOKUP(D61,'Team Data'!C:AB,23,FALSE),"")</f>
        <v/>
      </c>
      <c r="O61" t="str">
        <f>IFERROR(VLOOKUP(D61,'Team Data'!C:AB,22,FALSE),"")</f>
        <v/>
      </c>
      <c r="P61" t="str">
        <f t="shared" si="3"/>
        <v/>
      </c>
      <c r="Q61" t="str">
        <f>IFERROR(VLOOKUP(D61,'Team Data'!C:AB,15,FALSE),"")</f>
        <v/>
      </c>
      <c r="R61" t="str">
        <f>IFERROR(VLOOKUP('OB Format'!D61,'Team Data'!C:AB,24,FALSE),"")</f>
        <v/>
      </c>
      <c r="S61" t="str">
        <f>IFERROR(VLOOKUP('OB Format'!D61,'Team Data'!C:AC,25,FALSE),"")</f>
        <v/>
      </c>
    </row>
    <row r="62" spans="5:19" x14ac:dyDescent="0.25">
      <c r="E62" t="str">
        <f>IFERROR(VLOOKUP(D62,'Team Data'!C:AB,4,FALSE),"")</f>
        <v/>
      </c>
      <c r="F62" t="str">
        <f>IFERROR(VLOOKUP(D62,'Team Data'!C:AB,5,FALSE),"")</f>
        <v/>
      </c>
      <c r="G62" t="str">
        <f>IFERROR(VLOOKUP('OB Format'!D62,'Team Data'!C:AB,17,FALSE),"")</f>
        <v/>
      </c>
      <c r="H62" t="str">
        <f>IFERROR(VLOOKUP(D62,'Team Data'!C:AB,7,FALSE),"")</f>
        <v/>
      </c>
      <c r="I62" t="str">
        <f>IFERROR(VLOOKUP(D62,'Team Data'!C:AB,14,FALSE),"")</f>
        <v/>
      </c>
      <c r="J62" t="str">
        <f>IFERROR(VLOOKUP(D62,'Team Data'!C:AB,8,FALSE),"")</f>
        <v/>
      </c>
      <c r="K62" t="str">
        <f>IFERROR(VLOOKUP(D62,'Team Data'!C:AB,9,FALSE),"")</f>
        <v/>
      </c>
      <c r="L62" t="str">
        <f>IFERROR(VLOOKUP(D62,'Team Data'!C:AB,10,FALSE),"")</f>
        <v/>
      </c>
      <c r="M62" t="str">
        <f t="shared" si="2"/>
        <v/>
      </c>
      <c r="N62" t="str">
        <f>IFERROR(VLOOKUP(D62,'Team Data'!C:AB,23,FALSE),"")</f>
        <v/>
      </c>
      <c r="O62" t="str">
        <f>IFERROR(VLOOKUP(D62,'Team Data'!C:AB,22,FALSE),"")</f>
        <v/>
      </c>
      <c r="P62" t="str">
        <f t="shared" si="3"/>
        <v/>
      </c>
      <c r="Q62" t="str">
        <f>IFERROR(VLOOKUP(D62,'Team Data'!C:AB,15,FALSE),"")</f>
        <v/>
      </c>
      <c r="R62" t="str">
        <f>IFERROR(VLOOKUP('OB Format'!D62,'Team Data'!C:AB,24,FALSE),"")</f>
        <v/>
      </c>
      <c r="S62" t="str">
        <f>IFERROR(VLOOKUP('OB Format'!D62,'Team Data'!C:AC,25,FALSE),"")</f>
        <v/>
      </c>
    </row>
    <row r="63" spans="5:19" x14ac:dyDescent="0.25">
      <c r="E63" t="str">
        <f>IFERROR(VLOOKUP(D63,'Team Data'!C:AB,4,FALSE),"")</f>
        <v/>
      </c>
      <c r="F63" t="str">
        <f>IFERROR(VLOOKUP(D63,'Team Data'!C:AB,5,FALSE),"")</f>
        <v/>
      </c>
      <c r="G63" t="str">
        <f>IFERROR(VLOOKUP('OB Format'!D63,'Team Data'!C:AB,17,FALSE),"")</f>
        <v/>
      </c>
      <c r="H63" t="str">
        <f>IFERROR(VLOOKUP(D63,'Team Data'!C:AB,7,FALSE),"")</f>
        <v/>
      </c>
      <c r="I63" t="str">
        <f>IFERROR(VLOOKUP(D63,'Team Data'!C:AB,14,FALSE),"")</f>
        <v/>
      </c>
      <c r="J63" t="str">
        <f>IFERROR(VLOOKUP(D63,'Team Data'!C:AB,8,FALSE),"")</f>
        <v/>
      </c>
      <c r="K63" t="str">
        <f>IFERROR(VLOOKUP(D63,'Team Data'!C:AB,9,FALSE),"")</f>
        <v/>
      </c>
      <c r="L63" t="str">
        <f>IFERROR(VLOOKUP(D63,'Team Data'!C:AB,10,FALSE),"")</f>
        <v/>
      </c>
      <c r="M63" t="str">
        <f t="shared" si="2"/>
        <v/>
      </c>
      <c r="N63" t="str">
        <f>IFERROR(VLOOKUP(D63,'Team Data'!C:AB,23,FALSE),"")</f>
        <v/>
      </c>
      <c r="O63" t="str">
        <f>IFERROR(VLOOKUP(D63,'Team Data'!C:AB,22,FALSE),"")</f>
        <v/>
      </c>
      <c r="P63" t="str">
        <f t="shared" si="3"/>
        <v/>
      </c>
      <c r="Q63" t="str">
        <f>IFERROR(VLOOKUP(D63,'Team Data'!C:AB,15,FALSE),"")</f>
        <v/>
      </c>
      <c r="R63" t="str">
        <f>IFERROR(VLOOKUP('OB Format'!D63,'Team Data'!C:AB,24,FALSE),"")</f>
        <v/>
      </c>
      <c r="S63" t="str">
        <f>IFERROR(VLOOKUP('OB Format'!D63,'Team Data'!C:AC,25,FALSE),"")</f>
        <v/>
      </c>
    </row>
    <row r="64" spans="5:19" x14ac:dyDescent="0.25">
      <c r="E64" t="str">
        <f>IFERROR(VLOOKUP(D64,'Team Data'!C:AB,4,FALSE),"")</f>
        <v/>
      </c>
      <c r="F64" t="str">
        <f>IFERROR(VLOOKUP(D64,'Team Data'!C:AB,5,FALSE),"")</f>
        <v/>
      </c>
      <c r="G64" t="str">
        <f>IFERROR(VLOOKUP('OB Format'!D64,'Team Data'!C:AB,17,FALSE),"")</f>
        <v/>
      </c>
      <c r="H64" t="str">
        <f>IFERROR(VLOOKUP(D64,'Team Data'!C:AB,7,FALSE),"")</f>
        <v/>
      </c>
      <c r="I64" t="str">
        <f>IFERROR(VLOOKUP(D64,'Team Data'!C:AB,14,FALSE),"")</f>
        <v/>
      </c>
      <c r="J64" t="str">
        <f>IFERROR(VLOOKUP(D64,'Team Data'!C:AB,8,FALSE),"")</f>
        <v/>
      </c>
      <c r="K64" t="str">
        <f>IFERROR(VLOOKUP(D64,'Team Data'!C:AB,9,FALSE),"")</f>
        <v/>
      </c>
      <c r="L64" t="str">
        <f>IFERROR(VLOOKUP(D64,'Team Data'!C:AB,10,FALSE),"")</f>
        <v/>
      </c>
      <c r="M64" t="str">
        <f t="shared" si="2"/>
        <v/>
      </c>
      <c r="N64" t="str">
        <f>IFERROR(VLOOKUP(D64,'Team Data'!C:AB,23,FALSE),"")</f>
        <v/>
      </c>
      <c r="O64" t="str">
        <f>IFERROR(VLOOKUP(D64,'Team Data'!C:AB,22,FALSE),"")</f>
        <v/>
      </c>
      <c r="P64" t="str">
        <f t="shared" si="3"/>
        <v/>
      </c>
      <c r="Q64" t="str">
        <f>IFERROR(VLOOKUP(D64,'Team Data'!C:AB,15,FALSE),"")</f>
        <v/>
      </c>
      <c r="R64" t="str">
        <f>IFERROR(VLOOKUP('OB Format'!D64,'Team Data'!C:AB,24,FALSE),"")</f>
        <v/>
      </c>
      <c r="S64" t="str">
        <f>IFERROR(VLOOKUP('OB Format'!D64,'Team Data'!C:AC,25,FALSE),"")</f>
        <v/>
      </c>
    </row>
    <row r="65" spans="5:19" x14ac:dyDescent="0.25">
      <c r="E65" t="str">
        <f>IFERROR(VLOOKUP(D65,'Team Data'!C:AB,4,FALSE),"")</f>
        <v/>
      </c>
      <c r="F65" t="str">
        <f>IFERROR(VLOOKUP(D65,'Team Data'!C:AB,5,FALSE),"")</f>
        <v/>
      </c>
      <c r="G65" t="str">
        <f>IFERROR(VLOOKUP('OB Format'!D65,'Team Data'!C:AB,17,FALSE),"")</f>
        <v/>
      </c>
      <c r="H65" t="str">
        <f>IFERROR(VLOOKUP(D65,'Team Data'!C:AB,7,FALSE),"")</f>
        <v/>
      </c>
      <c r="I65" t="str">
        <f>IFERROR(VLOOKUP(D65,'Team Data'!C:AB,14,FALSE),"")</f>
        <v/>
      </c>
      <c r="J65" t="str">
        <f>IFERROR(VLOOKUP(D65,'Team Data'!C:AB,8,FALSE),"")</f>
        <v/>
      </c>
      <c r="K65" t="str">
        <f>IFERROR(VLOOKUP(D65,'Team Data'!C:AB,9,FALSE),"")</f>
        <v/>
      </c>
      <c r="L65" t="str">
        <f>IFERROR(VLOOKUP(D65,'Team Data'!C:AB,10,FALSE),"")</f>
        <v/>
      </c>
      <c r="M65" t="str">
        <f t="shared" si="2"/>
        <v/>
      </c>
      <c r="N65" t="str">
        <f>IFERROR(VLOOKUP(D65,'Team Data'!C:AB,23,FALSE),"")</f>
        <v/>
      </c>
      <c r="O65" t="str">
        <f>IFERROR(VLOOKUP(D65,'Team Data'!C:AB,22,FALSE),"")</f>
        <v/>
      </c>
      <c r="P65" t="str">
        <f t="shared" si="3"/>
        <v/>
      </c>
      <c r="Q65" t="str">
        <f>IFERROR(VLOOKUP(D65,'Team Data'!C:AB,15,FALSE),"")</f>
        <v/>
      </c>
      <c r="R65" t="str">
        <f>IFERROR(VLOOKUP('OB Format'!D65,'Team Data'!C:AB,24,FALSE),"")</f>
        <v/>
      </c>
      <c r="S65" t="str">
        <f>IFERROR(VLOOKUP('OB Format'!D65,'Team Data'!C:AC,25,FALSE),"")</f>
        <v/>
      </c>
    </row>
    <row r="66" spans="5:19" x14ac:dyDescent="0.25">
      <c r="E66" t="str">
        <f>IFERROR(VLOOKUP(D66,'Team Data'!C:AB,4,FALSE),"")</f>
        <v/>
      </c>
      <c r="F66" t="str">
        <f>IFERROR(VLOOKUP(D66,'Team Data'!C:AB,5,FALSE),"")</f>
        <v/>
      </c>
      <c r="G66" t="str">
        <f>IFERROR(VLOOKUP('OB Format'!D66,'Team Data'!C:AB,17,FALSE),"")</f>
        <v/>
      </c>
      <c r="H66" t="str">
        <f>IFERROR(VLOOKUP(D66,'Team Data'!C:AB,7,FALSE),"")</f>
        <v/>
      </c>
      <c r="I66" t="str">
        <f>IFERROR(VLOOKUP(D66,'Team Data'!C:AB,14,FALSE),"")</f>
        <v/>
      </c>
      <c r="J66" t="str">
        <f>IFERROR(VLOOKUP(D66,'Team Data'!C:AB,8,FALSE),"")</f>
        <v/>
      </c>
      <c r="K66" t="str">
        <f>IFERROR(VLOOKUP(D66,'Team Data'!C:AB,9,FALSE),"")</f>
        <v/>
      </c>
      <c r="L66" t="str">
        <f>IFERROR(VLOOKUP(D66,'Team Data'!C:AB,10,FALSE),"")</f>
        <v/>
      </c>
      <c r="M66" t="str">
        <f t="shared" si="2"/>
        <v/>
      </c>
      <c r="N66" t="str">
        <f>IFERROR(VLOOKUP(D66,'Team Data'!C:AB,23,FALSE),"")</f>
        <v/>
      </c>
      <c r="O66" t="str">
        <f>IFERROR(VLOOKUP(D66,'Team Data'!C:AB,22,FALSE),"")</f>
        <v/>
      </c>
      <c r="P66" t="str">
        <f t="shared" si="3"/>
        <v/>
      </c>
      <c r="Q66" t="str">
        <f>IFERROR(VLOOKUP(D66,'Team Data'!C:AB,15,FALSE),"")</f>
        <v/>
      </c>
      <c r="R66" t="str">
        <f>IFERROR(VLOOKUP('OB Format'!D66,'Team Data'!C:AB,24,FALSE),"")</f>
        <v/>
      </c>
      <c r="S66" t="str">
        <f>IFERROR(VLOOKUP('OB Format'!D66,'Team Data'!C:AC,25,FALSE),"")</f>
        <v/>
      </c>
    </row>
    <row r="67" spans="5:19" x14ac:dyDescent="0.25">
      <c r="E67" t="str">
        <f>IFERROR(VLOOKUP(D67,'Team Data'!C:AB,4,FALSE),"")</f>
        <v/>
      </c>
      <c r="F67" t="str">
        <f>IFERROR(VLOOKUP(D67,'Team Data'!C:AB,5,FALSE),"")</f>
        <v/>
      </c>
      <c r="G67" t="str">
        <f>IFERROR(VLOOKUP('OB Format'!D67,'Team Data'!C:AB,17,FALSE),"")</f>
        <v/>
      </c>
      <c r="H67" t="str">
        <f>IFERROR(VLOOKUP(D67,'Team Data'!C:AB,7,FALSE),"")</f>
        <v/>
      </c>
      <c r="I67" t="str">
        <f>IFERROR(VLOOKUP(D67,'Team Data'!C:AB,14,FALSE),"")</f>
        <v/>
      </c>
      <c r="J67" t="str">
        <f>IFERROR(VLOOKUP(D67,'Team Data'!C:AB,8,FALSE),"")</f>
        <v/>
      </c>
      <c r="K67" t="str">
        <f>IFERROR(VLOOKUP(D67,'Team Data'!C:AB,9,FALSE),"")</f>
        <v/>
      </c>
      <c r="L67" t="str">
        <f>IFERROR(VLOOKUP(D67,'Team Data'!C:AB,10,FALSE),"")</f>
        <v/>
      </c>
      <c r="M67" t="str">
        <f t="shared" si="2"/>
        <v/>
      </c>
      <c r="N67" t="str">
        <f>IFERROR(VLOOKUP(D67,'Team Data'!C:AB,23,FALSE),"")</f>
        <v/>
      </c>
      <c r="O67" t="str">
        <f>IFERROR(VLOOKUP(D67,'Team Data'!C:AB,22,FALSE),"")</f>
        <v/>
      </c>
      <c r="P67" t="str">
        <f t="shared" si="3"/>
        <v/>
      </c>
      <c r="Q67" t="str">
        <f>IFERROR(VLOOKUP(D67,'Team Data'!C:AB,15,FALSE),"")</f>
        <v/>
      </c>
      <c r="R67" t="str">
        <f>IFERROR(VLOOKUP('OB Format'!D67,'Team Data'!C:AB,24,FALSE),"")</f>
        <v/>
      </c>
      <c r="S67" t="str">
        <f>IFERROR(VLOOKUP('OB Format'!D67,'Team Data'!C:AC,25,FALSE),"")</f>
        <v/>
      </c>
    </row>
    <row r="68" spans="5:19" x14ac:dyDescent="0.25">
      <c r="E68" t="str">
        <f>IFERROR(VLOOKUP(D68,'Team Data'!C:AB,4,FALSE),"")</f>
        <v/>
      </c>
      <c r="F68" t="str">
        <f>IFERROR(VLOOKUP(D68,'Team Data'!C:AB,5,FALSE),"")</f>
        <v/>
      </c>
      <c r="G68" t="str">
        <f>IFERROR(VLOOKUP('OB Format'!D68,'Team Data'!C:AB,17,FALSE),"")</f>
        <v/>
      </c>
      <c r="H68" t="str">
        <f>IFERROR(VLOOKUP(D68,'Team Data'!C:AB,7,FALSE),"")</f>
        <v/>
      </c>
      <c r="I68" t="str">
        <f>IFERROR(VLOOKUP(D68,'Team Data'!C:AB,14,FALSE),"")</f>
        <v/>
      </c>
      <c r="J68" t="str">
        <f>IFERROR(VLOOKUP(D68,'Team Data'!C:AB,8,FALSE),"")</f>
        <v/>
      </c>
      <c r="K68" t="str">
        <f>IFERROR(VLOOKUP(D68,'Team Data'!C:AB,9,FALSE),"")</f>
        <v/>
      </c>
      <c r="L68" t="str">
        <f>IFERROR(VLOOKUP(D68,'Team Data'!C:AB,10,FALSE),"")</f>
        <v/>
      </c>
      <c r="M68" t="str">
        <f t="shared" si="2"/>
        <v/>
      </c>
      <c r="N68" t="str">
        <f>IFERROR(VLOOKUP(D68,'Team Data'!C:AB,23,FALSE),"")</f>
        <v/>
      </c>
      <c r="O68" t="str">
        <f>IFERROR(VLOOKUP(D68,'Team Data'!C:AB,22,FALSE),"")</f>
        <v/>
      </c>
      <c r="P68" t="str">
        <f t="shared" si="3"/>
        <v/>
      </c>
      <c r="Q68" t="str">
        <f>IFERROR(VLOOKUP(D68,'Team Data'!C:AB,15,FALSE),"")</f>
        <v/>
      </c>
      <c r="R68" t="str">
        <f>IFERROR(VLOOKUP('OB Format'!D68,'Team Data'!C:AB,24,FALSE),"")</f>
        <v/>
      </c>
      <c r="S68" t="str">
        <f>IFERROR(VLOOKUP('OB Format'!D68,'Team Data'!C:AC,25,FALSE),"")</f>
        <v/>
      </c>
    </row>
    <row r="69" spans="5:19" x14ac:dyDescent="0.25">
      <c r="E69" t="str">
        <f>IFERROR(VLOOKUP(D69,'Team Data'!C:AB,4,FALSE),"")</f>
        <v/>
      </c>
      <c r="F69" t="str">
        <f>IFERROR(VLOOKUP(D69,'Team Data'!C:AB,5,FALSE),"")</f>
        <v/>
      </c>
      <c r="G69" t="str">
        <f>IFERROR(VLOOKUP('OB Format'!D69,'Team Data'!C:AB,17,FALSE),"")</f>
        <v/>
      </c>
      <c r="H69" t="str">
        <f>IFERROR(VLOOKUP(D69,'Team Data'!C:AB,7,FALSE),"")</f>
        <v/>
      </c>
      <c r="I69" t="str">
        <f>IFERROR(VLOOKUP(D69,'Team Data'!C:AB,14,FALSE),"")</f>
        <v/>
      </c>
      <c r="J69" t="str">
        <f>IFERROR(VLOOKUP(D69,'Team Data'!C:AB,8,FALSE),"")</f>
        <v/>
      </c>
      <c r="K69" t="str">
        <f>IFERROR(VLOOKUP(D69,'Team Data'!C:AB,9,FALSE),"")</f>
        <v/>
      </c>
      <c r="L69" t="str">
        <f>IFERROR(VLOOKUP(D69,'Team Data'!C:AB,10,FALSE),"")</f>
        <v/>
      </c>
      <c r="M69" t="str">
        <f t="shared" si="2"/>
        <v/>
      </c>
      <c r="N69" t="str">
        <f>IFERROR(VLOOKUP(D69,'Team Data'!C:AB,23,FALSE),"")</f>
        <v/>
      </c>
      <c r="O69" t="str">
        <f>IFERROR(VLOOKUP(D69,'Team Data'!C:AB,22,FALSE),"")</f>
        <v/>
      </c>
      <c r="P69" t="str">
        <f t="shared" si="3"/>
        <v/>
      </c>
      <c r="Q69" t="str">
        <f>IFERROR(VLOOKUP(D69,'Team Data'!C:AB,15,FALSE),"")</f>
        <v/>
      </c>
      <c r="R69" t="str">
        <f>IFERROR(VLOOKUP('OB Format'!D69,'Team Data'!C:AB,24,FALSE),"")</f>
        <v/>
      </c>
      <c r="S69" t="str">
        <f>IFERROR(VLOOKUP('OB Format'!D69,'Team Data'!C:AC,25,FALSE),"")</f>
        <v/>
      </c>
    </row>
    <row r="70" spans="5:19" x14ac:dyDescent="0.25">
      <c r="E70" t="str">
        <f>IFERROR(VLOOKUP(D70,'Team Data'!C:AB,4,FALSE),"")</f>
        <v/>
      </c>
      <c r="F70" t="str">
        <f>IFERROR(VLOOKUP(D70,'Team Data'!C:AB,5,FALSE),"")</f>
        <v/>
      </c>
      <c r="G70" t="str">
        <f>IFERROR(VLOOKUP('OB Format'!D70,'Team Data'!C:AB,17,FALSE),"")</f>
        <v/>
      </c>
      <c r="H70" t="str">
        <f>IFERROR(VLOOKUP(D70,'Team Data'!C:AB,7,FALSE),"")</f>
        <v/>
      </c>
      <c r="I70" t="str">
        <f>IFERROR(VLOOKUP(D70,'Team Data'!C:AB,14,FALSE),"")</f>
        <v/>
      </c>
      <c r="J70" t="str">
        <f>IFERROR(VLOOKUP(D70,'Team Data'!C:AB,8,FALSE),"")</f>
        <v/>
      </c>
      <c r="K70" t="str">
        <f>IFERROR(VLOOKUP(D70,'Team Data'!C:AB,9,FALSE),"")</f>
        <v/>
      </c>
      <c r="L70" t="str">
        <f>IFERROR(VLOOKUP(D70,'Team Data'!C:AB,10,FALSE),"")</f>
        <v/>
      </c>
      <c r="M70" t="str">
        <f t="shared" si="2"/>
        <v/>
      </c>
      <c r="N70" t="str">
        <f>IFERROR(VLOOKUP(D70,'Team Data'!C:AB,23,FALSE),"")</f>
        <v/>
      </c>
      <c r="O70" t="str">
        <f>IFERROR(VLOOKUP(D70,'Team Data'!C:AB,22,FALSE),"")</f>
        <v/>
      </c>
      <c r="P70" t="str">
        <f t="shared" si="3"/>
        <v/>
      </c>
      <c r="Q70" t="str">
        <f>IFERROR(VLOOKUP(D70,'Team Data'!C:AB,15,FALSE),"")</f>
        <v/>
      </c>
      <c r="R70" t="str">
        <f>IFERROR(VLOOKUP('OB Format'!D70,'Team Data'!C:AB,24,FALSE),"")</f>
        <v/>
      </c>
      <c r="S70" t="str">
        <f>IFERROR(VLOOKUP('OB Format'!D70,'Team Data'!C:AC,25,FALSE),"")</f>
        <v/>
      </c>
    </row>
    <row r="71" spans="5:19" x14ac:dyDescent="0.25">
      <c r="E71" t="str">
        <f>IFERROR(VLOOKUP(D71,'Team Data'!C:AB,4,FALSE),"")</f>
        <v/>
      </c>
      <c r="F71" t="str">
        <f>IFERROR(VLOOKUP(D71,'Team Data'!C:AB,5,FALSE),"")</f>
        <v/>
      </c>
      <c r="G71" t="str">
        <f>IFERROR(VLOOKUP('OB Format'!D71,'Team Data'!C:AB,17,FALSE),"")</f>
        <v/>
      </c>
      <c r="H71" t="str">
        <f>IFERROR(VLOOKUP(D71,'Team Data'!C:AB,7,FALSE),"")</f>
        <v/>
      </c>
      <c r="I71" t="str">
        <f>IFERROR(VLOOKUP(D71,'Team Data'!C:AB,14,FALSE),"")</f>
        <v/>
      </c>
      <c r="J71" t="str">
        <f>IFERROR(VLOOKUP(D71,'Team Data'!C:AB,8,FALSE),"")</f>
        <v/>
      </c>
      <c r="K71" t="str">
        <f>IFERROR(VLOOKUP(D71,'Team Data'!C:AB,9,FALSE),"")</f>
        <v/>
      </c>
      <c r="L71" t="str">
        <f>IFERROR(VLOOKUP(D71,'Team Data'!C:AB,10,FALSE),"")</f>
        <v/>
      </c>
      <c r="M71" t="str">
        <f t="shared" si="2"/>
        <v/>
      </c>
      <c r="N71" t="str">
        <f>IFERROR(VLOOKUP(D71,'Team Data'!C:AB,23,FALSE),"")</f>
        <v/>
      </c>
      <c r="O71" t="str">
        <f>IFERROR(VLOOKUP(D71,'Team Data'!C:AB,22,FALSE),"")</f>
        <v/>
      </c>
      <c r="P71" t="str">
        <f t="shared" si="3"/>
        <v/>
      </c>
      <c r="Q71" t="str">
        <f>IFERROR(VLOOKUP(D71,'Team Data'!C:AB,15,FALSE),"")</f>
        <v/>
      </c>
      <c r="R71" t="str">
        <f>IFERROR(VLOOKUP('OB Format'!D71,'Team Data'!C:AB,24,FALSE),"")</f>
        <v/>
      </c>
      <c r="S71" t="str">
        <f>IFERROR(VLOOKUP('OB Format'!D71,'Team Data'!C:AC,25,FALSE),"")</f>
        <v/>
      </c>
    </row>
    <row r="72" spans="5:19" x14ac:dyDescent="0.25">
      <c r="E72" t="str">
        <f>IFERROR(VLOOKUP(D72,'Team Data'!C:AB,4,FALSE),"")</f>
        <v/>
      </c>
      <c r="F72" t="str">
        <f>IFERROR(VLOOKUP(D72,'Team Data'!C:AB,5,FALSE),"")</f>
        <v/>
      </c>
      <c r="G72" t="str">
        <f>IFERROR(VLOOKUP('OB Format'!D72,'Team Data'!C:AB,17,FALSE),"")</f>
        <v/>
      </c>
      <c r="H72" t="str">
        <f>IFERROR(VLOOKUP(D72,'Team Data'!C:AB,7,FALSE),"")</f>
        <v/>
      </c>
      <c r="I72" t="str">
        <f>IFERROR(VLOOKUP(D72,'Team Data'!C:AB,14,FALSE),"")</f>
        <v/>
      </c>
      <c r="J72" t="str">
        <f>IFERROR(VLOOKUP(D72,'Team Data'!C:AB,8,FALSE),"")</f>
        <v/>
      </c>
      <c r="K72" t="str">
        <f>IFERROR(VLOOKUP(D72,'Team Data'!C:AB,9,FALSE),"")</f>
        <v/>
      </c>
      <c r="L72" t="str">
        <f>IFERROR(VLOOKUP(D72,'Team Data'!C:AB,10,FALSE),"")</f>
        <v/>
      </c>
      <c r="M72" t="str">
        <f t="shared" si="2"/>
        <v/>
      </c>
      <c r="N72" t="str">
        <f>IFERROR(VLOOKUP(D72,'Team Data'!C:AB,23,FALSE),"")</f>
        <v/>
      </c>
      <c r="O72" t="str">
        <f>IFERROR(VLOOKUP(D72,'Team Data'!C:AB,22,FALSE),"")</f>
        <v/>
      </c>
      <c r="P72" t="str">
        <f t="shared" si="3"/>
        <v/>
      </c>
      <c r="Q72" t="str">
        <f>IFERROR(VLOOKUP(D72,'Team Data'!C:AB,15,FALSE),"")</f>
        <v/>
      </c>
      <c r="R72" t="str">
        <f>IFERROR(VLOOKUP('OB Format'!D72,'Team Data'!C:AB,24,FALSE),"")</f>
        <v/>
      </c>
      <c r="S72" t="str">
        <f>IFERROR(VLOOKUP('OB Format'!D72,'Team Data'!C:AC,25,FALSE),"")</f>
        <v/>
      </c>
    </row>
    <row r="73" spans="5:19" x14ac:dyDescent="0.25">
      <c r="E73" t="str">
        <f>IFERROR(VLOOKUP(D73,'Team Data'!C:AB,4,FALSE),"")</f>
        <v/>
      </c>
      <c r="F73" t="str">
        <f>IFERROR(VLOOKUP(D73,'Team Data'!C:AB,5,FALSE),"")</f>
        <v/>
      </c>
      <c r="G73" t="str">
        <f>IFERROR(VLOOKUP('OB Format'!D73,'Team Data'!C:AB,17,FALSE),"")</f>
        <v/>
      </c>
      <c r="H73" t="str">
        <f>IFERROR(VLOOKUP(D73,'Team Data'!C:AB,7,FALSE),"")</f>
        <v/>
      </c>
      <c r="I73" t="str">
        <f>IFERROR(VLOOKUP(D73,'Team Data'!C:AB,14,FALSE),"")</f>
        <v/>
      </c>
      <c r="J73" t="str">
        <f>IFERROR(VLOOKUP(D73,'Team Data'!C:AB,8,FALSE),"")</f>
        <v/>
      </c>
      <c r="K73" t="str">
        <f>IFERROR(VLOOKUP(D73,'Team Data'!C:AB,9,FALSE),"")</f>
        <v/>
      </c>
      <c r="L73" t="str">
        <f>IFERROR(VLOOKUP(D73,'Team Data'!C:AB,10,FALSE),"")</f>
        <v/>
      </c>
      <c r="M73" t="str">
        <f t="shared" si="2"/>
        <v/>
      </c>
      <c r="N73" t="str">
        <f>IFERROR(VLOOKUP(D73,'Team Data'!C:AB,23,FALSE),"")</f>
        <v/>
      </c>
      <c r="O73" t="str">
        <f>IFERROR(VLOOKUP(D73,'Team Data'!C:AB,22,FALSE),"")</f>
        <v/>
      </c>
      <c r="P73" t="str">
        <f t="shared" si="3"/>
        <v/>
      </c>
      <c r="Q73" t="str">
        <f>IFERROR(VLOOKUP(D73,'Team Data'!C:AB,15,FALSE),"")</f>
        <v/>
      </c>
      <c r="R73" t="str">
        <f>IFERROR(VLOOKUP('OB Format'!D73,'Team Data'!C:AB,24,FALSE),"")</f>
        <v/>
      </c>
      <c r="S73" t="str">
        <f>IFERROR(VLOOKUP('OB Format'!D73,'Team Data'!C:AC,25,FALSE),"")</f>
        <v/>
      </c>
    </row>
    <row r="74" spans="5:19" x14ac:dyDescent="0.25">
      <c r="E74" t="str">
        <f>IFERROR(VLOOKUP(D74,'Team Data'!C:AB,4,FALSE),"")</f>
        <v/>
      </c>
      <c r="F74" t="str">
        <f>IFERROR(VLOOKUP(D74,'Team Data'!C:AB,5,FALSE),"")</f>
        <v/>
      </c>
      <c r="G74" t="str">
        <f>IFERROR(VLOOKUP('OB Format'!D74,'Team Data'!C:AB,17,FALSE),"")</f>
        <v/>
      </c>
      <c r="H74" t="str">
        <f>IFERROR(VLOOKUP(D74,'Team Data'!C:AB,7,FALSE),"")</f>
        <v/>
      </c>
      <c r="I74" t="str">
        <f>IFERROR(VLOOKUP(D74,'Team Data'!C:AB,14,FALSE),"")</f>
        <v/>
      </c>
      <c r="J74" t="str">
        <f>IFERROR(VLOOKUP(D74,'Team Data'!C:AB,8,FALSE),"")</f>
        <v/>
      </c>
      <c r="K74" t="str">
        <f>IFERROR(VLOOKUP(D74,'Team Data'!C:AB,9,FALSE),"")</f>
        <v/>
      </c>
      <c r="L74" t="str">
        <f>IFERROR(VLOOKUP(D74,'Team Data'!C:AB,10,FALSE),"")</f>
        <v/>
      </c>
      <c r="M74" t="str">
        <f t="shared" si="2"/>
        <v/>
      </c>
      <c r="N74" t="str">
        <f>IFERROR(VLOOKUP(D74,'Team Data'!C:AB,23,FALSE),"")</f>
        <v/>
      </c>
      <c r="O74" t="str">
        <f>IFERROR(VLOOKUP(D74,'Team Data'!C:AB,22,FALSE),"")</f>
        <v/>
      </c>
      <c r="P74" t="str">
        <f t="shared" si="3"/>
        <v/>
      </c>
      <c r="Q74" t="str">
        <f>IFERROR(VLOOKUP(D74,'Team Data'!C:AB,15,FALSE),"")</f>
        <v/>
      </c>
      <c r="R74" t="str">
        <f>IFERROR(VLOOKUP('OB Format'!D74,'Team Data'!C:AB,24,FALSE),"")</f>
        <v/>
      </c>
      <c r="S74" t="str">
        <f>IFERROR(VLOOKUP('OB Format'!D74,'Team Data'!C:AC,25,FALSE),"")</f>
        <v/>
      </c>
    </row>
    <row r="75" spans="5:19" x14ac:dyDescent="0.25">
      <c r="E75" t="str">
        <f>IFERROR(VLOOKUP(D75,'Team Data'!C:AB,4,FALSE),"")</f>
        <v/>
      </c>
      <c r="F75" t="str">
        <f>IFERROR(VLOOKUP(D75,'Team Data'!C:AB,5,FALSE),"")</f>
        <v/>
      </c>
      <c r="G75" t="str">
        <f>IFERROR(VLOOKUP('OB Format'!D75,'Team Data'!C:AB,17,FALSE),"")</f>
        <v/>
      </c>
      <c r="H75" t="str">
        <f>IFERROR(VLOOKUP(D75,'Team Data'!C:AB,7,FALSE),"")</f>
        <v/>
      </c>
      <c r="I75" t="str">
        <f>IFERROR(VLOOKUP(D75,'Team Data'!C:AB,14,FALSE),"")</f>
        <v/>
      </c>
      <c r="J75" t="str">
        <f>IFERROR(VLOOKUP(D75,'Team Data'!C:AB,8,FALSE),"")</f>
        <v/>
      </c>
      <c r="K75" t="str">
        <f>IFERROR(VLOOKUP(D75,'Team Data'!C:AB,9,FALSE),"")</f>
        <v/>
      </c>
      <c r="L75" t="str">
        <f>IFERROR(VLOOKUP(D75,'Team Data'!C:AB,10,FALSE),"")</f>
        <v/>
      </c>
      <c r="M75" t="str">
        <f t="shared" si="2"/>
        <v/>
      </c>
      <c r="N75" t="str">
        <f>IFERROR(VLOOKUP(D75,'Team Data'!C:AB,23,FALSE),"")</f>
        <v/>
      </c>
      <c r="O75" t="str">
        <f>IFERROR(VLOOKUP(D75,'Team Data'!C:AB,22,FALSE),"")</f>
        <v/>
      </c>
      <c r="P75" t="str">
        <f t="shared" si="3"/>
        <v/>
      </c>
      <c r="Q75" t="str">
        <f>IFERROR(VLOOKUP(D75,'Team Data'!C:AB,15,FALSE),"")</f>
        <v/>
      </c>
      <c r="R75" t="str">
        <f>IFERROR(VLOOKUP('OB Format'!D75,'Team Data'!C:AB,24,FALSE),"")</f>
        <v/>
      </c>
      <c r="S75" t="str">
        <f>IFERROR(VLOOKUP('OB Format'!D75,'Team Data'!C:AC,25,FALSE),"")</f>
        <v/>
      </c>
    </row>
    <row r="76" spans="5:19" x14ac:dyDescent="0.25">
      <c r="E76" t="str">
        <f>IFERROR(VLOOKUP(D76,'Team Data'!C:AB,4,FALSE),"")</f>
        <v/>
      </c>
      <c r="F76" t="str">
        <f>IFERROR(VLOOKUP(D76,'Team Data'!C:AB,5,FALSE),"")</f>
        <v/>
      </c>
      <c r="G76" t="str">
        <f>IFERROR(VLOOKUP('OB Format'!D76,'Team Data'!C:AB,17,FALSE),"")</f>
        <v/>
      </c>
      <c r="H76" t="str">
        <f>IFERROR(VLOOKUP(D76,'Team Data'!C:AB,7,FALSE),"")</f>
        <v/>
      </c>
      <c r="I76" t="str">
        <f>IFERROR(VLOOKUP(D76,'Team Data'!C:AB,14,FALSE),"")</f>
        <v/>
      </c>
      <c r="J76" t="str">
        <f>IFERROR(VLOOKUP(D76,'Team Data'!C:AB,8,FALSE),"")</f>
        <v/>
      </c>
      <c r="K76" t="str">
        <f>IFERROR(VLOOKUP(D76,'Team Data'!C:AB,9,FALSE),"")</f>
        <v/>
      </c>
      <c r="L76" t="str">
        <f>IFERROR(VLOOKUP(D76,'Team Data'!C:AB,10,FALSE),"")</f>
        <v/>
      </c>
      <c r="M76" t="str">
        <f t="shared" si="2"/>
        <v/>
      </c>
      <c r="N76" t="str">
        <f>IFERROR(VLOOKUP(D76,'Team Data'!C:AB,23,FALSE),"")</f>
        <v/>
      </c>
      <c r="O76" t="str">
        <f>IFERROR(VLOOKUP(D76,'Team Data'!C:AB,22,FALSE),"")</f>
        <v/>
      </c>
      <c r="P76" t="str">
        <f t="shared" si="3"/>
        <v/>
      </c>
      <c r="Q76" t="str">
        <f>IFERROR(VLOOKUP(D76,'Team Data'!C:AB,15,FALSE),"")</f>
        <v/>
      </c>
      <c r="R76" t="str">
        <f>IFERROR(VLOOKUP('OB Format'!D76,'Team Data'!C:AB,24,FALSE),"")</f>
        <v/>
      </c>
      <c r="S76" t="str">
        <f>IFERROR(VLOOKUP('OB Format'!D76,'Team Data'!C:AC,25,FALSE),"")</f>
        <v/>
      </c>
    </row>
    <row r="77" spans="5:19" x14ac:dyDescent="0.25">
      <c r="E77" t="str">
        <f>IFERROR(VLOOKUP(D77,'Team Data'!C:AB,4,FALSE),"")</f>
        <v/>
      </c>
      <c r="F77" t="str">
        <f>IFERROR(VLOOKUP(D77,'Team Data'!C:AB,5,FALSE),"")</f>
        <v/>
      </c>
      <c r="G77" t="str">
        <f>IFERROR(VLOOKUP('OB Format'!D77,'Team Data'!C:AB,17,FALSE),"")</f>
        <v/>
      </c>
      <c r="H77" t="str">
        <f>IFERROR(VLOOKUP(D77,'Team Data'!C:AB,7,FALSE),"")</f>
        <v/>
      </c>
      <c r="I77" t="str">
        <f>IFERROR(VLOOKUP(D77,'Team Data'!C:AB,14,FALSE),"")</f>
        <v/>
      </c>
      <c r="J77" t="str">
        <f>IFERROR(VLOOKUP(D77,'Team Data'!C:AB,8,FALSE),"")</f>
        <v/>
      </c>
      <c r="K77" t="str">
        <f>IFERROR(VLOOKUP(D77,'Team Data'!C:AB,9,FALSE),"")</f>
        <v/>
      </c>
      <c r="L77" t="str">
        <f>IFERROR(VLOOKUP(D77,'Team Data'!C:AB,10,FALSE),"")</f>
        <v/>
      </c>
      <c r="M77" t="str">
        <f t="shared" ref="M77:M140" si="4">IFERROR(H77-(J77+L77+K77),"")</f>
        <v/>
      </c>
      <c r="N77" t="str">
        <f>IFERROR(VLOOKUP(D77,'Team Data'!C:AB,23,FALSE),"")</f>
        <v/>
      </c>
      <c r="O77" t="str">
        <f>IFERROR(VLOOKUP(D77,'Team Data'!C:AB,22,FALSE),"")</f>
        <v/>
      </c>
      <c r="P77" t="str">
        <f t="shared" ref="P77:P140" si="5">IFERROR(E77-(H77+N77+Q77+I77+O77),"")</f>
        <v/>
      </c>
      <c r="Q77" t="str">
        <f>IFERROR(VLOOKUP(D77,'Team Data'!C:AB,15,FALSE),"")</f>
        <v/>
      </c>
      <c r="R77" t="str">
        <f>IFERROR(VLOOKUP('OB Format'!D77,'Team Data'!C:AB,24,FALSE),"")</f>
        <v/>
      </c>
      <c r="S77" t="str">
        <f>IFERROR(VLOOKUP('OB Format'!D77,'Team Data'!C:AC,25,FALSE),"")</f>
        <v/>
      </c>
    </row>
    <row r="78" spans="5:19" x14ac:dyDescent="0.25">
      <c r="E78" t="str">
        <f>IFERROR(VLOOKUP(D78,'Team Data'!C:AB,4,FALSE),"")</f>
        <v/>
      </c>
      <c r="F78" t="str">
        <f>IFERROR(VLOOKUP(D78,'Team Data'!C:AB,5,FALSE),"")</f>
        <v/>
      </c>
      <c r="G78" t="str">
        <f>IFERROR(VLOOKUP('OB Format'!D78,'Team Data'!C:AB,17,FALSE),"")</f>
        <v/>
      </c>
      <c r="H78" t="str">
        <f>IFERROR(VLOOKUP(D78,'Team Data'!C:AB,7,FALSE),"")</f>
        <v/>
      </c>
      <c r="I78" t="str">
        <f>IFERROR(VLOOKUP(D78,'Team Data'!C:AB,14,FALSE),"")</f>
        <v/>
      </c>
      <c r="J78" t="str">
        <f>IFERROR(VLOOKUP(D78,'Team Data'!C:AB,8,FALSE),"")</f>
        <v/>
      </c>
      <c r="K78" t="str">
        <f>IFERROR(VLOOKUP(D78,'Team Data'!C:AB,9,FALSE),"")</f>
        <v/>
      </c>
      <c r="L78" t="str">
        <f>IFERROR(VLOOKUP(D78,'Team Data'!C:AB,10,FALSE),"")</f>
        <v/>
      </c>
      <c r="M78" t="str">
        <f t="shared" si="4"/>
        <v/>
      </c>
      <c r="N78" t="str">
        <f>IFERROR(VLOOKUP(D78,'Team Data'!C:AB,23,FALSE),"")</f>
        <v/>
      </c>
      <c r="O78" t="str">
        <f>IFERROR(VLOOKUP(D78,'Team Data'!C:AB,22,FALSE),"")</f>
        <v/>
      </c>
      <c r="P78" t="str">
        <f t="shared" si="5"/>
        <v/>
      </c>
      <c r="Q78" t="str">
        <f>IFERROR(VLOOKUP(D78,'Team Data'!C:AB,15,FALSE),"")</f>
        <v/>
      </c>
      <c r="R78" t="str">
        <f>IFERROR(VLOOKUP('OB Format'!D78,'Team Data'!C:AB,24,FALSE),"")</f>
        <v/>
      </c>
      <c r="S78" t="str">
        <f>IFERROR(VLOOKUP('OB Format'!D78,'Team Data'!C:AC,25,FALSE),"")</f>
        <v/>
      </c>
    </row>
    <row r="79" spans="5:19" x14ac:dyDescent="0.25">
      <c r="E79" t="str">
        <f>IFERROR(VLOOKUP(D79,'Team Data'!C:AB,4,FALSE),"")</f>
        <v/>
      </c>
      <c r="F79" t="str">
        <f>IFERROR(VLOOKUP(D79,'Team Data'!C:AB,5,FALSE),"")</f>
        <v/>
      </c>
      <c r="G79" t="str">
        <f>IFERROR(VLOOKUP('OB Format'!D79,'Team Data'!C:AB,17,FALSE),"")</f>
        <v/>
      </c>
      <c r="H79" t="str">
        <f>IFERROR(VLOOKUP(D79,'Team Data'!C:AB,7,FALSE),"")</f>
        <v/>
      </c>
      <c r="I79" t="str">
        <f>IFERROR(VLOOKUP(D79,'Team Data'!C:AB,14,FALSE),"")</f>
        <v/>
      </c>
      <c r="J79" t="str">
        <f>IFERROR(VLOOKUP(D79,'Team Data'!C:AB,8,FALSE),"")</f>
        <v/>
      </c>
      <c r="K79" t="str">
        <f>IFERROR(VLOOKUP(D79,'Team Data'!C:AB,9,FALSE),"")</f>
        <v/>
      </c>
      <c r="L79" t="str">
        <f>IFERROR(VLOOKUP(D79,'Team Data'!C:AB,10,FALSE),"")</f>
        <v/>
      </c>
      <c r="M79" t="str">
        <f t="shared" si="4"/>
        <v/>
      </c>
      <c r="N79" t="str">
        <f>IFERROR(VLOOKUP(D79,'Team Data'!C:AB,23,FALSE),"")</f>
        <v/>
      </c>
      <c r="O79" t="str">
        <f>IFERROR(VLOOKUP(D79,'Team Data'!C:AB,22,FALSE),"")</f>
        <v/>
      </c>
      <c r="P79" t="str">
        <f t="shared" si="5"/>
        <v/>
      </c>
      <c r="Q79" t="str">
        <f>IFERROR(VLOOKUP(D79,'Team Data'!C:AB,15,FALSE),"")</f>
        <v/>
      </c>
      <c r="R79" t="str">
        <f>IFERROR(VLOOKUP('OB Format'!D79,'Team Data'!C:AB,24,FALSE),"")</f>
        <v/>
      </c>
      <c r="S79" t="str">
        <f>IFERROR(VLOOKUP('OB Format'!D79,'Team Data'!C:AC,25,FALSE),"")</f>
        <v/>
      </c>
    </row>
    <row r="80" spans="5:19" x14ac:dyDescent="0.25">
      <c r="E80" t="str">
        <f>IFERROR(VLOOKUP(D80,'Team Data'!C:AB,4,FALSE),"")</f>
        <v/>
      </c>
      <c r="F80" t="str">
        <f>IFERROR(VLOOKUP(D80,'Team Data'!C:AB,5,FALSE),"")</f>
        <v/>
      </c>
      <c r="G80" t="str">
        <f>IFERROR(VLOOKUP('OB Format'!D80,'Team Data'!C:AB,17,FALSE),"")</f>
        <v/>
      </c>
      <c r="H80" t="str">
        <f>IFERROR(VLOOKUP(D80,'Team Data'!C:AB,7,FALSE),"")</f>
        <v/>
      </c>
      <c r="I80" t="str">
        <f>IFERROR(VLOOKUP(D80,'Team Data'!C:AB,14,FALSE),"")</f>
        <v/>
      </c>
      <c r="J80" t="str">
        <f>IFERROR(VLOOKUP(D80,'Team Data'!C:AB,8,FALSE),"")</f>
        <v/>
      </c>
      <c r="K80" t="str">
        <f>IFERROR(VLOOKUP(D80,'Team Data'!C:AB,9,FALSE),"")</f>
        <v/>
      </c>
      <c r="L80" t="str">
        <f>IFERROR(VLOOKUP(D80,'Team Data'!C:AB,10,FALSE),"")</f>
        <v/>
      </c>
      <c r="M80" t="str">
        <f t="shared" si="4"/>
        <v/>
      </c>
      <c r="N80" t="str">
        <f>IFERROR(VLOOKUP(D80,'Team Data'!C:AB,23,FALSE),"")</f>
        <v/>
      </c>
      <c r="O80" t="str">
        <f>IFERROR(VLOOKUP(D80,'Team Data'!C:AB,22,FALSE),"")</f>
        <v/>
      </c>
      <c r="P80" t="str">
        <f t="shared" si="5"/>
        <v/>
      </c>
      <c r="Q80" t="str">
        <f>IFERROR(VLOOKUP(D80,'Team Data'!C:AB,15,FALSE),"")</f>
        <v/>
      </c>
      <c r="R80" t="str">
        <f>IFERROR(VLOOKUP('OB Format'!D80,'Team Data'!C:AB,24,FALSE),"")</f>
        <v/>
      </c>
      <c r="S80" t="str">
        <f>IFERROR(VLOOKUP('OB Format'!D80,'Team Data'!C:AC,25,FALSE),"")</f>
        <v/>
      </c>
    </row>
    <row r="81" spans="5:19" x14ac:dyDescent="0.25">
      <c r="E81" t="str">
        <f>IFERROR(VLOOKUP(D81,'Team Data'!C:AB,4,FALSE),"")</f>
        <v/>
      </c>
      <c r="F81" t="str">
        <f>IFERROR(VLOOKUP(D81,'Team Data'!C:AB,5,FALSE),"")</f>
        <v/>
      </c>
      <c r="G81" t="str">
        <f>IFERROR(VLOOKUP('OB Format'!D81,'Team Data'!C:AB,17,FALSE),"")</f>
        <v/>
      </c>
      <c r="H81" t="str">
        <f>IFERROR(VLOOKUP(D81,'Team Data'!C:AB,7,FALSE),"")</f>
        <v/>
      </c>
      <c r="I81" t="str">
        <f>IFERROR(VLOOKUP(D81,'Team Data'!C:AB,14,FALSE),"")</f>
        <v/>
      </c>
      <c r="J81" t="str">
        <f>IFERROR(VLOOKUP(D81,'Team Data'!C:AB,8,FALSE),"")</f>
        <v/>
      </c>
      <c r="K81" t="str">
        <f>IFERROR(VLOOKUP(D81,'Team Data'!C:AB,9,FALSE),"")</f>
        <v/>
      </c>
      <c r="L81" t="str">
        <f>IFERROR(VLOOKUP(D81,'Team Data'!C:AB,10,FALSE),"")</f>
        <v/>
      </c>
      <c r="M81" t="str">
        <f t="shared" si="4"/>
        <v/>
      </c>
      <c r="N81" t="str">
        <f>IFERROR(VLOOKUP(D81,'Team Data'!C:AB,23,FALSE),"")</f>
        <v/>
      </c>
      <c r="O81" t="str">
        <f>IFERROR(VLOOKUP(D81,'Team Data'!C:AB,22,FALSE),"")</f>
        <v/>
      </c>
      <c r="P81" t="str">
        <f t="shared" si="5"/>
        <v/>
      </c>
      <c r="Q81" t="str">
        <f>IFERROR(VLOOKUP(D81,'Team Data'!C:AB,15,FALSE),"")</f>
        <v/>
      </c>
      <c r="R81" t="str">
        <f>IFERROR(VLOOKUP('OB Format'!D81,'Team Data'!C:AB,24,FALSE),"")</f>
        <v/>
      </c>
      <c r="S81" t="str">
        <f>IFERROR(VLOOKUP('OB Format'!D81,'Team Data'!C:AC,25,FALSE),"")</f>
        <v/>
      </c>
    </row>
    <row r="82" spans="5:19" x14ac:dyDescent="0.25">
      <c r="E82" t="str">
        <f>IFERROR(VLOOKUP(D82,'Team Data'!C:AB,4,FALSE),"")</f>
        <v/>
      </c>
      <c r="F82" t="str">
        <f>IFERROR(VLOOKUP(D82,'Team Data'!C:AB,5,FALSE),"")</f>
        <v/>
      </c>
      <c r="G82" t="str">
        <f>IFERROR(VLOOKUP('OB Format'!D82,'Team Data'!C:AB,17,FALSE),"")</f>
        <v/>
      </c>
      <c r="H82" t="str">
        <f>IFERROR(VLOOKUP(D82,'Team Data'!C:AB,7,FALSE),"")</f>
        <v/>
      </c>
      <c r="I82" t="str">
        <f>IFERROR(VLOOKUP(D82,'Team Data'!C:AB,14,FALSE),"")</f>
        <v/>
      </c>
      <c r="J82" t="str">
        <f>IFERROR(VLOOKUP(D82,'Team Data'!C:AB,8,FALSE),"")</f>
        <v/>
      </c>
      <c r="K82" t="str">
        <f>IFERROR(VLOOKUP(D82,'Team Data'!C:AB,9,FALSE),"")</f>
        <v/>
      </c>
      <c r="L82" t="str">
        <f>IFERROR(VLOOKUP(D82,'Team Data'!C:AB,10,FALSE),"")</f>
        <v/>
      </c>
      <c r="M82" t="str">
        <f t="shared" si="4"/>
        <v/>
      </c>
      <c r="N82" t="str">
        <f>IFERROR(VLOOKUP(D82,'Team Data'!C:AB,23,FALSE),"")</f>
        <v/>
      </c>
      <c r="O82" t="str">
        <f>IFERROR(VLOOKUP(D82,'Team Data'!C:AB,22,FALSE),"")</f>
        <v/>
      </c>
      <c r="P82" t="str">
        <f t="shared" si="5"/>
        <v/>
      </c>
      <c r="Q82" t="str">
        <f>IFERROR(VLOOKUP(D82,'Team Data'!C:AB,15,FALSE),"")</f>
        <v/>
      </c>
      <c r="R82" t="str">
        <f>IFERROR(VLOOKUP('OB Format'!D82,'Team Data'!C:AB,24,FALSE),"")</f>
        <v/>
      </c>
      <c r="S82" t="str">
        <f>IFERROR(VLOOKUP('OB Format'!D82,'Team Data'!C:AC,25,FALSE),"")</f>
        <v/>
      </c>
    </row>
    <row r="83" spans="5:19" x14ac:dyDescent="0.25">
      <c r="E83" t="str">
        <f>IFERROR(VLOOKUP(D83,'Team Data'!C:AB,4,FALSE),"")</f>
        <v/>
      </c>
      <c r="F83" t="str">
        <f>IFERROR(VLOOKUP(D83,'Team Data'!C:AB,5,FALSE),"")</f>
        <v/>
      </c>
      <c r="G83" t="str">
        <f>IFERROR(VLOOKUP('OB Format'!D83,'Team Data'!C:AB,17,FALSE),"")</f>
        <v/>
      </c>
      <c r="H83" t="str">
        <f>IFERROR(VLOOKUP(D83,'Team Data'!C:AB,7,FALSE),"")</f>
        <v/>
      </c>
      <c r="I83" t="str">
        <f>IFERROR(VLOOKUP(D83,'Team Data'!C:AB,14,FALSE),"")</f>
        <v/>
      </c>
      <c r="J83" t="str">
        <f>IFERROR(VLOOKUP(D83,'Team Data'!C:AB,8,FALSE),"")</f>
        <v/>
      </c>
      <c r="K83" t="str">
        <f>IFERROR(VLOOKUP(D83,'Team Data'!C:AB,9,FALSE),"")</f>
        <v/>
      </c>
      <c r="L83" t="str">
        <f>IFERROR(VLOOKUP(D83,'Team Data'!C:AB,10,FALSE),"")</f>
        <v/>
      </c>
      <c r="M83" t="str">
        <f t="shared" si="4"/>
        <v/>
      </c>
      <c r="N83" t="str">
        <f>IFERROR(VLOOKUP(D83,'Team Data'!C:AB,23,FALSE),"")</f>
        <v/>
      </c>
      <c r="O83" t="str">
        <f>IFERROR(VLOOKUP(D83,'Team Data'!C:AB,22,FALSE),"")</f>
        <v/>
      </c>
      <c r="P83" t="str">
        <f t="shared" si="5"/>
        <v/>
      </c>
      <c r="Q83" t="str">
        <f>IFERROR(VLOOKUP(D83,'Team Data'!C:AB,15,FALSE),"")</f>
        <v/>
      </c>
      <c r="R83" t="str">
        <f>IFERROR(VLOOKUP('OB Format'!D83,'Team Data'!C:AB,24,FALSE),"")</f>
        <v/>
      </c>
      <c r="S83" t="str">
        <f>IFERROR(VLOOKUP('OB Format'!D83,'Team Data'!C:AC,25,FALSE),"")</f>
        <v/>
      </c>
    </row>
    <row r="84" spans="5:19" x14ac:dyDescent="0.25">
      <c r="E84" t="str">
        <f>IFERROR(VLOOKUP(D84,'Team Data'!C:AB,4,FALSE),"")</f>
        <v/>
      </c>
      <c r="F84" t="str">
        <f>IFERROR(VLOOKUP(D84,'Team Data'!C:AB,5,FALSE),"")</f>
        <v/>
      </c>
      <c r="G84" t="str">
        <f>IFERROR(VLOOKUP('OB Format'!D84,'Team Data'!C:AB,17,FALSE),"")</f>
        <v/>
      </c>
      <c r="H84" t="str">
        <f>IFERROR(VLOOKUP(D84,'Team Data'!C:AB,7,FALSE),"")</f>
        <v/>
      </c>
      <c r="I84" t="str">
        <f>IFERROR(VLOOKUP(D84,'Team Data'!C:AB,14,FALSE),"")</f>
        <v/>
      </c>
      <c r="J84" t="str">
        <f>IFERROR(VLOOKUP(D84,'Team Data'!C:AB,8,FALSE),"")</f>
        <v/>
      </c>
      <c r="K84" t="str">
        <f>IFERROR(VLOOKUP(D84,'Team Data'!C:AB,9,FALSE),"")</f>
        <v/>
      </c>
      <c r="L84" t="str">
        <f>IFERROR(VLOOKUP(D84,'Team Data'!C:AB,10,FALSE),"")</f>
        <v/>
      </c>
      <c r="M84" t="str">
        <f t="shared" si="4"/>
        <v/>
      </c>
      <c r="N84" t="str">
        <f>IFERROR(VLOOKUP(D84,'Team Data'!C:AB,23,FALSE),"")</f>
        <v/>
      </c>
      <c r="O84" t="str">
        <f>IFERROR(VLOOKUP(D84,'Team Data'!C:AB,22,FALSE),"")</f>
        <v/>
      </c>
      <c r="P84" t="str">
        <f t="shared" si="5"/>
        <v/>
      </c>
      <c r="Q84" t="str">
        <f>IFERROR(VLOOKUP(D84,'Team Data'!C:AB,15,FALSE),"")</f>
        <v/>
      </c>
      <c r="R84" t="str">
        <f>IFERROR(VLOOKUP('OB Format'!D84,'Team Data'!C:AB,24,FALSE),"")</f>
        <v/>
      </c>
      <c r="S84" t="str">
        <f>IFERROR(VLOOKUP('OB Format'!D84,'Team Data'!C:AC,25,FALSE),"")</f>
        <v/>
      </c>
    </row>
    <row r="85" spans="5:19" x14ac:dyDescent="0.25">
      <c r="E85" t="str">
        <f>IFERROR(VLOOKUP(D85,'Team Data'!C:AB,4,FALSE),"")</f>
        <v/>
      </c>
      <c r="F85" t="str">
        <f>IFERROR(VLOOKUP(D85,'Team Data'!C:AB,5,FALSE),"")</f>
        <v/>
      </c>
      <c r="G85" t="str">
        <f>IFERROR(VLOOKUP('OB Format'!D85,'Team Data'!C:AB,17,FALSE),"")</f>
        <v/>
      </c>
      <c r="H85" t="str">
        <f>IFERROR(VLOOKUP(D85,'Team Data'!C:AB,7,FALSE),"")</f>
        <v/>
      </c>
      <c r="I85" t="str">
        <f>IFERROR(VLOOKUP(D85,'Team Data'!C:AB,14,FALSE),"")</f>
        <v/>
      </c>
      <c r="J85" t="str">
        <f>IFERROR(VLOOKUP(D85,'Team Data'!C:AB,8,FALSE),"")</f>
        <v/>
      </c>
      <c r="K85" t="str">
        <f>IFERROR(VLOOKUP(D85,'Team Data'!C:AB,9,FALSE),"")</f>
        <v/>
      </c>
      <c r="L85" t="str">
        <f>IFERROR(VLOOKUP(D85,'Team Data'!C:AB,10,FALSE),"")</f>
        <v/>
      </c>
      <c r="M85" t="str">
        <f t="shared" si="4"/>
        <v/>
      </c>
      <c r="N85" t="str">
        <f>IFERROR(VLOOKUP(D85,'Team Data'!C:AB,23,FALSE),"")</f>
        <v/>
      </c>
      <c r="O85" t="str">
        <f>IFERROR(VLOOKUP(D85,'Team Data'!C:AB,22,FALSE),"")</f>
        <v/>
      </c>
      <c r="P85" t="str">
        <f t="shared" si="5"/>
        <v/>
      </c>
      <c r="Q85" t="str">
        <f>IFERROR(VLOOKUP(D85,'Team Data'!C:AB,15,FALSE),"")</f>
        <v/>
      </c>
      <c r="R85" t="str">
        <f>IFERROR(VLOOKUP('OB Format'!D85,'Team Data'!C:AB,24,FALSE),"")</f>
        <v/>
      </c>
      <c r="S85" t="str">
        <f>IFERROR(VLOOKUP('OB Format'!D85,'Team Data'!C:AC,25,FALSE),"")</f>
        <v/>
      </c>
    </row>
    <row r="86" spans="5:19" x14ac:dyDescent="0.25">
      <c r="E86" t="str">
        <f>IFERROR(VLOOKUP(D86,'Team Data'!C:AB,4,FALSE),"")</f>
        <v/>
      </c>
      <c r="F86" t="str">
        <f>IFERROR(VLOOKUP(D86,'Team Data'!C:AB,5,FALSE),"")</f>
        <v/>
      </c>
      <c r="G86" t="str">
        <f>IFERROR(VLOOKUP('OB Format'!D86,'Team Data'!C:AB,17,FALSE),"")</f>
        <v/>
      </c>
      <c r="H86" t="str">
        <f>IFERROR(VLOOKUP(D86,'Team Data'!C:AB,7,FALSE),"")</f>
        <v/>
      </c>
      <c r="I86" t="str">
        <f>IFERROR(VLOOKUP(D86,'Team Data'!C:AB,14,FALSE),"")</f>
        <v/>
      </c>
      <c r="J86" t="str">
        <f>IFERROR(VLOOKUP(D86,'Team Data'!C:AB,8,FALSE),"")</f>
        <v/>
      </c>
      <c r="K86" t="str">
        <f>IFERROR(VLOOKUP(D86,'Team Data'!C:AB,9,FALSE),"")</f>
        <v/>
      </c>
      <c r="L86" t="str">
        <f>IFERROR(VLOOKUP(D86,'Team Data'!C:AB,10,FALSE),"")</f>
        <v/>
      </c>
      <c r="M86" t="str">
        <f t="shared" si="4"/>
        <v/>
      </c>
      <c r="N86" t="str">
        <f>IFERROR(VLOOKUP(D86,'Team Data'!C:AB,23,FALSE),"")</f>
        <v/>
      </c>
      <c r="O86" t="str">
        <f>IFERROR(VLOOKUP(D86,'Team Data'!C:AB,22,FALSE),"")</f>
        <v/>
      </c>
      <c r="P86" t="str">
        <f t="shared" si="5"/>
        <v/>
      </c>
      <c r="Q86" t="str">
        <f>IFERROR(VLOOKUP(D86,'Team Data'!C:AB,15,FALSE),"")</f>
        <v/>
      </c>
      <c r="R86" t="str">
        <f>IFERROR(VLOOKUP('OB Format'!D86,'Team Data'!C:AB,24,FALSE),"")</f>
        <v/>
      </c>
      <c r="S86" t="str">
        <f>IFERROR(VLOOKUP('OB Format'!D86,'Team Data'!C:AC,25,FALSE),"")</f>
        <v/>
      </c>
    </row>
    <row r="87" spans="5:19" x14ac:dyDescent="0.25">
      <c r="E87" t="str">
        <f>IFERROR(VLOOKUP(D87,'Team Data'!C:AB,4,FALSE),"")</f>
        <v/>
      </c>
      <c r="F87" t="str">
        <f>IFERROR(VLOOKUP(D87,'Team Data'!C:AB,5,FALSE),"")</f>
        <v/>
      </c>
      <c r="G87" t="str">
        <f>IFERROR(VLOOKUP('OB Format'!D87,'Team Data'!C:AB,17,FALSE),"")</f>
        <v/>
      </c>
      <c r="H87" t="str">
        <f>IFERROR(VLOOKUP(D87,'Team Data'!C:AB,7,FALSE),"")</f>
        <v/>
      </c>
      <c r="I87" t="str">
        <f>IFERROR(VLOOKUP(D87,'Team Data'!C:AB,14,FALSE),"")</f>
        <v/>
      </c>
      <c r="J87" t="str">
        <f>IFERROR(VLOOKUP(D87,'Team Data'!C:AB,8,FALSE),"")</f>
        <v/>
      </c>
      <c r="K87" t="str">
        <f>IFERROR(VLOOKUP(D87,'Team Data'!C:AB,9,FALSE),"")</f>
        <v/>
      </c>
      <c r="L87" t="str">
        <f>IFERROR(VLOOKUP(D87,'Team Data'!C:AB,10,FALSE),"")</f>
        <v/>
      </c>
      <c r="M87" t="str">
        <f t="shared" si="4"/>
        <v/>
      </c>
      <c r="N87" t="str">
        <f>IFERROR(VLOOKUP(D87,'Team Data'!C:AB,23,FALSE),"")</f>
        <v/>
      </c>
      <c r="O87" t="str">
        <f>IFERROR(VLOOKUP(D87,'Team Data'!C:AB,22,FALSE),"")</f>
        <v/>
      </c>
      <c r="P87" t="str">
        <f t="shared" si="5"/>
        <v/>
      </c>
      <c r="Q87" t="str">
        <f>IFERROR(VLOOKUP(D87,'Team Data'!C:AB,15,FALSE),"")</f>
        <v/>
      </c>
      <c r="R87" t="str">
        <f>IFERROR(VLOOKUP('OB Format'!D87,'Team Data'!C:AB,24,FALSE),"")</f>
        <v/>
      </c>
      <c r="S87" t="str">
        <f>IFERROR(VLOOKUP('OB Format'!D87,'Team Data'!C:AC,25,FALSE),"")</f>
        <v/>
      </c>
    </row>
    <row r="88" spans="5:19" x14ac:dyDescent="0.25">
      <c r="E88" t="str">
        <f>IFERROR(VLOOKUP(D88,'Team Data'!C:AB,4,FALSE),"")</f>
        <v/>
      </c>
      <c r="F88" t="str">
        <f>IFERROR(VLOOKUP(D88,'Team Data'!C:AB,5,FALSE),"")</f>
        <v/>
      </c>
      <c r="G88" t="str">
        <f>IFERROR(VLOOKUP('OB Format'!D88,'Team Data'!C:AB,17,FALSE),"")</f>
        <v/>
      </c>
      <c r="H88" t="str">
        <f>IFERROR(VLOOKUP(D88,'Team Data'!C:AB,7,FALSE),"")</f>
        <v/>
      </c>
      <c r="I88" t="str">
        <f>IFERROR(VLOOKUP(D88,'Team Data'!C:AB,14,FALSE),"")</f>
        <v/>
      </c>
      <c r="J88" t="str">
        <f>IFERROR(VLOOKUP(D88,'Team Data'!C:AB,8,FALSE),"")</f>
        <v/>
      </c>
      <c r="K88" t="str">
        <f>IFERROR(VLOOKUP(D88,'Team Data'!C:AB,9,FALSE),"")</f>
        <v/>
      </c>
      <c r="L88" t="str">
        <f>IFERROR(VLOOKUP(D88,'Team Data'!C:AB,10,FALSE),"")</f>
        <v/>
      </c>
      <c r="M88" t="str">
        <f t="shared" si="4"/>
        <v/>
      </c>
      <c r="N88" t="str">
        <f>IFERROR(VLOOKUP(D88,'Team Data'!C:AB,23,FALSE),"")</f>
        <v/>
      </c>
      <c r="O88" t="str">
        <f>IFERROR(VLOOKUP(D88,'Team Data'!C:AB,22,FALSE),"")</f>
        <v/>
      </c>
      <c r="P88" t="str">
        <f t="shared" si="5"/>
        <v/>
      </c>
      <c r="Q88" t="str">
        <f>IFERROR(VLOOKUP(D88,'Team Data'!C:AB,15,FALSE),"")</f>
        <v/>
      </c>
      <c r="R88" t="str">
        <f>IFERROR(VLOOKUP('OB Format'!D88,'Team Data'!C:AB,24,FALSE),"")</f>
        <v/>
      </c>
      <c r="S88" t="str">
        <f>IFERROR(VLOOKUP('OB Format'!D88,'Team Data'!C:AC,25,FALSE),"")</f>
        <v/>
      </c>
    </row>
    <row r="89" spans="5:19" x14ac:dyDescent="0.25">
      <c r="E89" t="str">
        <f>IFERROR(VLOOKUP(D89,'Team Data'!C:AB,4,FALSE),"")</f>
        <v/>
      </c>
      <c r="F89" t="str">
        <f>IFERROR(VLOOKUP(D89,'Team Data'!C:AB,5,FALSE),"")</f>
        <v/>
      </c>
      <c r="G89" t="str">
        <f>IFERROR(VLOOKUP('OB Format'!D89,'Team Data'!C:AB,17,FALSE),"")</f>
        <v/>
      </c>
      <c r="H89" t="str">
        <f>IFERROR(VLOOKUP(D89,'Team Data'!C:AB,7,FALSE),"")</f>
        <v/>
      </c>
      <c r="I89" t="str">
        <f>IFERROR(VLOOKUP(D89,'Team Data'!C:AB,14,FALSE),"")</f>
        <v/>
      </c>
      <c r="J89" t="str">
        <f>IFERROR(VLOOKUP(D89,'Team Data'!C:AB,8,FALSE),"")</f>
        <v/>
      </c>
      <c r="K89" t="str">
        <f>IFERROR(VLOOKUP(D89,'Team Data'!C:AB,9,FALSE),"")</f>
        <v/>
      </c>
      <c r="L89" t="str">
        <f>IFERROR(VLOOKUP(D89,'Team Data'!C:AB,10,FALSE),"")</f>
        <v/>
      </c>
      <c r="M89" t="str">
        <f t="shared" si="4"/>
        <v/>
      </c>
      <c r="N89" t="str">
        <f>IFERROR(VLOOKUP(D89,'Team Data'!C:AB,23,FALSE),"")</f>
        <v/>
      </c>
      <c r="O89" t="str">
        <f>IFERROR(VLOOKUP(D89,'Team Data'!C:AB,22,FALSE),"")</f>
        <v/>
      </c>
      <c r="P89" t="str">
        <f t="shared" si="5"/>
        <v/>
      </c>
      <c r="Q89" t="str">
        <f>IFERROR(VLOOKUP(D89,'Team Data'!C:AB,15,FALSE),"")</f>
        <v/>
      </c>
      <c r="R89" t="str">
        <f>IFERROR(VLOOKUP('OB Format'!D89,'Team Data'!C:AB,24,FALSE),"")</f>
        <v/>
      </c>
      <c r="S89" t="str">
        <f>IFERROR(VLOOKUP('OB Format'!D89,'Team Data'!C:AC,25,FALSE),"")</f>
        <v/>
      </c>
    </row>
    <row r="90" spans="5:19" x14ac:dyDescent="0.25">
      <c r="E90" t="str">
        <f>IFERROR(VLOOKUP(D90,'Team Data'!C:AB,4,FALSE),"")</f>
        <v/>
      </c>
      <c r="F90" t="str">
        <f>IFERROR(VLOOKUP(D90,'Team Data'!C:AB,5,FALSE),"")</f>
        <v/>
      </c>
      <c r="G90" t="str">
        <f>IFERROR(VLOOKUP('OB Format'!D90,'Team Data'!C:AB,17,FALSE),"")</f>
        <v/>
      </c>
      <c r="H90" t="str">
        <f>IFERROR(VLOOKUP(D90,'Team Data'!C:AB,7,FALSE),"")</f>
        <v/>
      </c>
      <c r="I90" t="str">
        <f>IFERROR(VLOOKUP(D90,'Team Data'!C:AB,14,FALSE),"")</f>
        <v/>
      </c>
      <c r="J90" t="str">
        <f>IFERROR(VLOOKUP(D90,'Team Data'!C:AB,8,FALSE),"")</f>
        <v/>
      </c>
      <c r="K90" t="str">
        <f>IFERROR(VLOOKUP(D90,'Team Data'!C:AB,9,FALSE),"")</f>
        <v/>
      </c>
      <c r="L90" t="str">
        <f>IFERROR(VLOOKUP(D90,'Team Data'!C:AB,10,FALSE),"")</f>
        <v/>
      </c>
      <c r="M90" t="str">
        <f t="shared" si="4"/>
        <v/>
      </c>
      <c r="N90" t="str">
        <f>IFERROR(VLOOKUP(D90,'Team Data'!C:AB,23,FALSE),"")</f>
        <v/>
      </c>
      <c r="O90" t="str">
        <f>IFERROR(VLOOKUP(D90,'Team Data'!C:AB,22,FALSE),"")</f>
        <v/>
      </c>
      <c r="P90" t="str">
        <f t="shared" si="5"/>
        <v/>
      </c>
      <c r="Q90" t="str">
        <f>IFERROR(VLOOKUP(D90,'Team Data'!C:AB,15,FALSE),"")</f>
        <v/>
      </c>
      <c r="R90" t="str">
        <f>IFERROR(VLOOKUP('OB Format'!D90,'Team Data'!C:AB,24,FALSE),"")</f>
        <v/>
      </c>
      <c r="S90" t="str">
        <f>IFERROR(VLOOKUP('OB Format'!D90,'Team Data'!C:AC,25,FALSE),"")</f>
        <v/>
      </c>
    </row>
    <row r="91" spans="5:19" x14ac:dyDescent="0.25">
      <c r="E91" t="str">
        <f>IFERROR(VLOOKUP(D91,'Team Data'!C:AB,4,FALSE),"")</f>
        <v/>
      </c>
      <c r="F91" t="str">
        <f>IFERROR(VLOOKUP(D91,'Team Data'!C:AB,5,FALSE),"")</f>
        <v/>
      </c>
      <c r="G91" t="str">
        <f>IFERROR(VLOOKUP('OB Format'!D91,'Team Data'!C:AB,17,FALSE),"")</f>
        <v/>
      </c>
      <c r="H91" t="str">
        <f>IFERROR(VLOOKUP(D91,'Team Data'!C:AB,7,FALSE),"")</f>
        <v/>
      </c>
      <c r="I91" t="str">
        <f>IFERROR(VLOOKUP(D91,'Team Data'!C:AB,14,FALSE),"")</f>
        <v/>
      </c>
      <c r="J91" t="str">
        <f>IFERROR(VLOOKUP(D91,'Team Data'!C:AB,8,FALSE),"")</f>
        <v/>
      </c>
      <c r="K91" t="str">
        <f>IFERROR(VLOOKUP(D91,'Team Data'!C:AB,9,FALSE),"")</f>
        <v/>
      </c>
      <c r="L91" t="str">
        <f>IFERROR(VLOOKUP(D91,'Team Data'!C:AB,10,FALSE),"")</f>
        <v/>
      </c>
      <c r="M91" t="str">
        <f t="shared" si="4"/>
        <v/>
      </c>
      <c r="N91" t="str">
        <f>IFERROR(VLOOKUP(D91,'Team Data'!C:AB,23,FALSE),"")</f>
        <v/>
      </c>
      <c r="O91" t="str">
        <f>IFERROR(VLOOKUP(D91,'Team Data'!C:AB,22,FALSE),"")</f>
        <v/>
      </c>
      <c r="P91" t="str">
        <f t="shared" si="5"/>
        <v/>
      </c>
      <c r="Q91" t="str">
        <f>IFERROR(VLOOKUP(D91,'Team Data'!C:AB,15,FALSE),"")</f>
        <v/>
      </c>
      <c r="R91" t="str">
        <f>IFERROR(VLOOKUP('OB Format'!D91,'Team Data'!C:AB,24,FALSE),"")</f>
        <v/>
      </c>
      <c r="S91" t="str">
        <f>IFERROR(VLOOKUP('OB Format'!D91,'Team Data'!C:AC,25,FALSE),"")</f>
        <v/>
      </c>
    </row>
    <row r="92" spans="5:19" x14ac:dyDescent="0.25">
      <c r="E92" t="str">
        <f>IFERROR(VLOOKUP(D92,'Team Data'!C:AB,4,FALSE),"")</f>
        <v/>
      </c>
      <c r="F92" t="str">
        <f>IFERROR(VLOOKUP(D92,'Team Data'!C:AB,5,FALSE),"")</f>
        <v/>
      </c>
      <c r="G92" t="str">
        <f>IFERROR(VLOOKUP('OB Format'!D92,'Team Data'!C:AB,17,FALSE),"")</f>
        <v/>
      </c>
      <c r="H92" t="str">
        <f>IFERROR(VLOOKUP(D92,'Team Data'!C:AB,7,FALSE),"")</f>
        <v/>
      </c>
      <c r="I92" t="str">
        <f>IFERROR(VLOOKUP(D92,'Team Data'!C:AB,14,FALSE),"")</f>
        <v/>
      </c>
      <c r="J92" t="str">
        <f>IFERROR(VLOOKUP(D92,'Team Data'!C:AB,8,FALSE),"")</f>
        <v/>
      </c>
      <c r="K92" t="str">
        <f>IFERROR(VLOOKUP(D92,'Team Data'!C:AB,9,FALSE),"")</f>
        <v/>
      </c>
      <c r="L92" t="str">
        <f>IFERROR(VLOOKUP(D92,'Team Data'!C:AB,10,FALSE),"")</f>
        <v/>
      </c>
      <c r="M92" t="str">
        <f t="shared" si="4"/>
        <v/>
      </c>
      <c r="N92" t="str">
        <f>IFERROR(VLOOKUP(D92,'Team Data'!C:AB,23,FALSE),"")</f>
        <v/>
      </c>
      <c r="O92" t="str">
        <f>IFERROR(VLOOKUP(D92,'Team Data'!C:AB,22,FALSE),"")</f>
        <v/>
      </c>
      <c r="P92" t="str">
        <f t="shared" si="5"/>
        <v/>
      </c>
      <c r="Q92" t="str">
        <f>IFERROR(VLOOKUP(D92,'Team Data'!C:AB,15,FALSE),"")</f>
        <v/>
      </c>
      <c r="R92" t="str">
        <f>IFERROR(VLOOKUP('OB Format'!D92,'Team Data'!C:AB,24,FALSE),"")</f>
        <v/>
      </c>
      <c r="S92" t="str">
        <f>IFERROR(VLOOKUP('OB Format'!D92,'Team Data'!C:AC,25,FALSE),"")</f>
        <v/>
      </c>
    </row>
    <row r="93" spans="5:19" x14ac:dyDescent="0.25">
      <c r="E93" t="str">
        <f>IFERROR(VLOOKUP(D93,'Team Data'!C:AB,4,FALSE),"")</f>
        <v/>
      </c>
      <c r="F93" t="str">
        <f>IFERROR(VLOOKUP(D93,'Team Data'!C:AB,5,FALSE),"")</f>
        <v/>
      </c>
      <c r="G93" t="str">
        <f>IFERROR(VLOOKUP('OB Format'!D93,'Team Data'!C:AB,17,FALSE),"")</f>
        <v/>
      </c>
      <c r="H93" t="str">
        <f>IFERROR(VLOOKUP(D93,'Team Data'!C:AB,7,FALSE),"")</f>
        <v/>
      </c>
      <c r="I93" t="str">
        <f>IFERROR(VLOOKUP(D93,'Team Data'!C:AB,14,FALSE),"")</f>
        <v/>
      </c>
      <c r="J93" t="str">
        <f>IFERROR(VLOOKUP(D93,'Team Data'!C:AB,8,FALSE),"")</f>
        <v/>
      </c>
      <c r="K93" t="str">
        <f>IFERROR(VLOOKUP(D93,'Team Data'!C:AB,9,FALSE),"")</f>
        <v/>
      </c>
      <c r="L93" t="str">
        <f>IFERROR(VLOOKUP(D93,'Team Data'!C:AB,10,FALSE),"")</f>
        <v/>
      </c>
      <c r="M93" t="str">
        <f t="shared" si="4"/>
        <v/>
      </c>
      <c r="N93" t="str">
        <f>IFERROR(VLOOKUP(D93,'Team Data'!C:AB,23,FALSE),"")</f>
        <v/>
      </c>
      <c r="O93" t="str">
        <f>IFERROR(VLOOKUP(D93,'Team Data'!C:AB,22,FALSE),"")</f>
        <v/>
      </c>
      <c r="P93" t="str">
        <f t="shared" si="5"/>
        <v/>
      </c>
      <c r="Q93" t="str">
        <f>IFERROR(VLOOKUP(D93,'Team Data'!C:AB,15,FALSE),"")</f>
        <v/>
      </c>
      <c r="R93" t="str">
        <f>IFERROR(VLOOKUP('OB Format'!D93,'Team Data'!C:AB,24,FALSE),"")</f>
        <v/>
      </c>
      <c r="S93" t="str">
        <f>IFERROR(VLOOKUP('OB Format'!D93,'Team Data'!C:AC,25,FALSE),"")</f>
        <v/>
      </c>
    </row>
    <row r="94" spans="5:19" x14ac:dyDescent="0.25">
      <c r="E94" t="str">
        <f>IFERROR(VLOOKUP(D94,'Team Data'!C:AB,4,FALSE),"")</f>
        <v/>
      </c>
      <c r="F94" t="str">
        <f>IFERROR(VLOOKUP(D94,'Team Data'!C:AB,5,FALSE),"")</f>
        <v/>
      </c>
      <c r="G94" t="str">
        <f>IFERROR(VLOOKUP('OB Format'!D94,'Team Data'!C:AB,17,FALSE),"")</f>
        <v/>
      </c>
      <c r="H94" t="str">
        <f>IFERROR(VLOOKUP(D94,'Team Data'!C:AB,7,FALSE),"")</f>
        <v/>
      </c>
      <c r="I94" t="str">
        <f>IFERROR(VLOOKUP(D94,'Team Data'!C:AB,14,FALSE),"")</f>
        <v/>
      </c>
      <c r="J94" t="str">
        <f>IFERROR(VLOOKUP(D94,'Team Data'!C:AB,8,FALSE),"")</f>
        <v/>
      </c>
      <c r="K94" t="str">
        <f>IFERROR(VLOOKUP(D94,'Team Data'!C:AB,9,FALSE),"")</f>
        <v/>
      </c>
      <c r="L94" t="str">
        <f>IFERROR(VLOOKUP(D94,'Team Data'!C:AB,10,FALSE),"")</f>
        <v/>
      </c>
      <c r="M94" t="str">
        <f t="shared" si="4"/>
        <v/>
      </c>
      <c r="N94" t="str">
        <f>IFERROR(VLOOKUP(D94,'Team Data'!C:AB,23,FALSE),"")</f>
        <v/>
      </c>
      <c r="O94" t="str">
        <f>IFERROR(VLOOKUP(D94,'Team Data'!C:AB,22,FALSE),"")</f>
        <v/>
      </c>
      <c r="P94" t="str">
        <f t="shared" si="5"/>
        <v/>
      </c>
      <c r="Q94" t="str">
        <f>IFERROR(VLOOKUP(D94,'Team Data'!C:AB,15,FALSE),"")</f>
        <v/>
      </c>
      <c r="R94" t="str">
        <f>IFERROR(VLOOKUP('OB Format'!D94,'Team Data'!C:AB,24,FALSE),"")</f>
        <v/>
      </c>
      <c r="S94" t="str">
        <f>IFERROR(VLOOKUP('OB Format'!D94,'Team Data'!C:AC,25,FALSE),"")</f>
        <v/>
      </c>
    </row>
    <row r="95" spans="5:19" x14ac:dyDescent="0.25">
      <c r="E95" t="str">
        <f>IFERROR(VLOOKUP(D95,'Team Data'!C:AB,4,FALSE),"")</f>
        <v/>
      </c>
      <c r="F95" t="str">
        <f>IFERROR(VLOOKUP(D95,'Team Data'!C:AB,5,FALSE),"")</f>
        <v/>
      </c>
      <c r="G95" t="str">
        <f>IFERROR(VLOOKUP('OB Format'!D95,'Team Data'!C:AB,17,FALSE),"")</f>
        <v/>
      </c>
      <c r="H95" t="str">
        <f>IFERROR(VLOOKUP(D95,'Team Data'!C:AB,7,FALSE),"")</f>
        <v/>
      </c>
      <c r="I95" t="str">
        <f>IFERROR(VLOOKUP(D95,'Team Data'!C:AB,14,FALSE),"")</f>
        <v/>
      </c>
      <c r="J95" t="str">
        <f>IFERROR(VLOOKUP(D95,'Team Data'!C:AB,8,FALSE),"")</f>
        <v/>
      </c>
      <c r="K95" t="str">
        <f>IFERROR(VLOOKUP(D95,'Team Data'!C:AB,9,FALSE),"")</f>
        <v/>
      </c>
      <c r="L95" t="str">
        <f>IFERROR(VLOOKUP(D95,'Team Data'!C:AB,10,FALSE),"")</f>
        <v/>
      </c>
      <c r="M95" t="str">
        <f t="shared" si="4"/>
        <v/>
      </c>
      <c r="N95" t="str">
        <f>IFERROR(VLOOKUP(D95,'Team Data'!C:AB,23,FALSE),"")</f>
        <v/>
      </c>
      <c r="O95" t="str">
        <f>IFERROR(VLOOKUP(D95,'Team Data'!C:AB,22,FALSE),"")</f>
        <v/>
      </c>
      <c r="P95" t="str">
        <f t="shared" si="5"/>
        <v/>
      </c>
      <c r="Q95" t="str">
        <f>IFERROR(VLOOKUP(D95,'Team Data'!C:AB,15,FALSE),"")</f>
        <v/>
      </c>
      <c r="R95" t="str">
        <f>IFERROR(VLOOKUP('OB Format'!D95,'Team Data'!C:AB,24,FALSE),"")</f>
        <v/>
      </c>
      <c r="S95" t="str">
        <f>IFERROR(VLOOKUP('OB Format'!D95,'Team Data'!C:AC,25,FALSE),"")</f>
        <v/>
      </c>
    </row>
    <row r="96" spans="5:19" x14ac:dyDescent="0.25">
      <c r="E96" t="str">
        <f>IFERROR(VLOOKUP(D96,'Team Data'!C:AB,4,FALSE),"")</f>
        <v/>
      </c>
      <c r="F96" t="str">
        <f>IFERROR(VLOOKUP(D96,'Team Data'!C:AB,5,FALSE),"")</f>
        <v/>
      </c>
      <c r="G96" t="str">
        <f>IFERROR(VLOOKUP('OB Format'!D96,'Team Data'!C:AB,17,FALSE),"")</f>
        <v/>
      </c>
      <c r="H96" t="str">
        <f>IFERROR(VLOOKUP(D96,'Team Data'!C:AB,7,FALSE),"")</f>
        <v/>
      </c>
      <c r="I96" t="str">
        <f>IFERROR(VLOOKUP(D96,'Team Data'!C:AB,14,FALSE),"")</f>
        <v/>
      </c>
      <c r="J96" t="str">
        <f>IFERROR(VLOOKUP(D96,'Team Data'!C:AB,8,FALSE),"")</f>
        <v/>
      </c>
      <c r="K96" t="str">
        <f>IFERROR(VLOOKUP(D96,'Team Data'!C:AB,9,FALSE),"")</f>
        <v/>
      </c>
      <c r="L96" t="str">
        <f>IFERROR(VLOOKUP(D96,'Team Data'!C:AB,10,FALSE),"")</f>
        <v/>
      </c>
      <c r="M96" t="str">
        <f t="shared" si="4"/>
        <v/>
      </c>
      <c r="N96" t="str">
        <f>IFERROR(VLOOKUP(D96,'Team Data'!C:AB,23,FALSE),"")</f>
        <v/>
      </c>
      <c r="O96" t="str">
        <f>IFERROR(VLOOKUP(D96,'Team Data'!C:AB,22,FALSE),"")</f>
        <v/>
      </c>
      <c r="P96" t="str">
        <f t="shared" si="5"/>
        <v/>
      </c>
      <c r="Q96" t="str">
        <f>IFERROR(VLOOKUP(D96,'Team Data'!C:AB,15,FALSE),"")</f>
        <v/>
      </c>
      <c r="R96" t="str">
        <f>IFERROR(VLOOKUP('OB Format'!D96,'Team Data'!C:AB,24,FALSE),"")</f>
        <v/>
      </c>
      <c r="S96" t="str">
        <f>IFERROR(VLOOKUP('OB Format'!D96,'Team Data'!C:AC,25,FALSE),"")</f>
        <v/>
      </c>
    </row>
    <row r="97" spans="5:19" x14ac:dyDescent="0.25">
      <c r="E97" t="str">
        <f>IFERROR(VLOOKUP(D97,'Team Data'!C:AB,4,FALSE),"")</f>
        <v/>
      </c>
      <c r="F97" t="str">
        <f>IFERROR(VLOOKUP(D97,'Team Data'!C:AB,5,FALSE),"")</f>
        <v/>
      </c>
      <c r="G97" t="str">
        <f>IFERROR(VLOOKUP('OB Format'!D97,'Team Data'!C:AB,17,FALSE),"")</f>
        <v/>
      </c>
      <c r="H97" t="str">
        <f>IFERROR(VLOOKUP(D97,'Team Data'!C:AB,7,FALSE),"")</f>
        <v/>
      </c>
      <c r="I97" t="str">
        <f>IFERROR(VLOOKUP(D97,'Team Data'!C:AB,14,FALSE),"")</f>
        <v/>
      </c>
      <c r="J97" t="str">
        <f>IFERROR(VLOOKUP(D97,'Team Data'!C:AB,8,FALSE),"")</f>
        <v/>
      </c>
      <c r="K97" t="str">
        <f>IFERROR(VLOOKUP(D97,'Team Data'!C:AB,9,FALSE),"")</f>
        <v/>
      </c>
      <c r="L97" t="str">
        <f>IFERROR(VLOOKUP(D97,'Team Data'!C:AB,10,FALSE),"")</f>
        <v/>
      </c>
      <c r="M97" t="str">
        <f t="shared" si="4"/>
        <v/>
      </c>
      <c r="N97" t="str">
        <f>IFERROR(VLOOKUP(D97,'Team Data'!C:AB,23,FALSE),"")</f>
        <v/>
      </c>
      <c r="O97" t="str">
        <f>IFERROR(VLOOKUP(D97,'Team Data'!C:AB,22,FALSE),"")</f>
        <v/>
      </c>
      <c r="P97" t="str">
        <f t="shared" si="5"/>
        <v/>
      </c>
      <c r="Q97" t="str">
        <f>IFERROR(VLOOKUP(D97,'Team Data'!C:AB,15,FALSE),"")</f>
        <v/>
      </c>
      <c r="R97" t="str">
        <f>IFERROR(VLOOKUP('OB Format'!D97,'Team Data'!C:AB,24,FALSE),"")</f>
        <v/>
      </c>
      <c r="S97" t="str">
        <f>IFERROR(VLOOKUP('OB Format'!D97,'Team Data'!C:AC,25,FALSE),"")</f>
        <v/>
      </c>
    </row>
    <row r="98" spans="5:19" x14ac:dyDescent="0.25">
      <c r="E98" t="str">
        <f>IFERROR(VLOOKUP(D98,'Team Data'!C:AB,4,FALSE),"")</f>
        <v/>
      </c>
      <c r="F98" t="str">
        <f>IFERROR(VLOOKUP(D98,'Team Data'!C:AB,5,FALSE),"")</f>
        <v/>
      </c>
      <c r="G98" t="str">
        <f>IFERROR(VLOOKUP('OB Format'!D98,'Team Data'!C:AB,17,FALSE),"")</f>
        <v/>
      </c>
      <c r="H98" t="str">
        <f>IFERROR(VLOOKUP(D98,'Team Data'!C:AB,7,FALSE),"")</f>
        <v/>
      </c>
      <c r="I98" t="str">
        <f>IFERROR(VLOOKUP(D98,'Team Data'!C:AB,14,FALSE),"")</f>
        <v/>
      </c>
      <c r="J98" t="str">
        <f>IFERROR(VLOOKUP(D98,'Team Data'!C:AB,8,FALSE),"")</f>
        <v/>
      </c>
      <c r="K98" t="str">
        <f>IFERROR(VLOOKUP(D98,'Team Data'!C:AB,9,FALSE),"")</f>
        <v/>
      </c>
      <c r="L98" t="str">
        <f>IFERROR(VLOOKUP(D98,'Team Data'!C:AB,10,FALSE),"")</f>
        <v/>
      </c>
      <c r="M98" t="str">
        <f t="shared" si="4"/>
        <v/>
      </c>
      <c r="N98" t="str">
        <f>IFERROR(VLOOKUP(D98,'Team Data'!C:AB,23,FALSE),"")</f>
        <v/>
      </c>
      <c r="O98" t="str">
        <f>IFERROR(VLOOKUP(D98,'Team Data'!C:AB,22,FALSE),"")</f>
        <v/>
      </c>
      <c r="P98" t="str">
        <f t="shared" si="5"/>
        <v/>
      </c>
      <c r="Q98" t="str">
        <f>IFERROR(VLOOKUP(D98,'Team Data'!C:AB,15,FALSE),"")</f>
        <v/>
      </c>
      <c r="R98" t="str">
        <f>IFERROR(VLOOKUP('OB Format'!D98,'Team Data'!C:AB,24,FALSE),"")</f>
        <v/>
      </c>
      <c r="S98" t="str">
        <f>IFERROR(VLOOKUP('OB Format'!D98,'Team Data'!C:AC,25,FALSE),"")</f>
        <v/>
      </c>
    </row>
    <row r="99" spans="5:19" x14ac:dyDescent="0.25">
      <c r="E99" t="str">
        <f>IFERROR(VLOOKUP(D99,'Team Data'!C:AB,4,FALSE),"")</f>
        <v/>
      </c>
      <c r="F99" t="str">
        <f>IFERROR(VLOOKUP(D99,'Team Data'!C:AB,5,FALSE),"")</f>
        <v/>
      </c>
      <c r="G99" t="str">
        <f>IFERROR(VLOOKUP('OB Format'!D99,'Team Data'!C:AB,17,FALSE),"")</f>
        <v/>
      </c>
      <c r="H99" t="str">
        <f>IFERROR(VLOOKUP(D99,'Team Data'!C:AB,7,FALSE),"")</f>
        <v/>
      </c>
      <c r="I99" t="str">
        <f>IFERROR(VLOOKUP(D99,'Team Data'!C:AB,14,FALSE),"")</f>
        <v/>
      </c>
      <c r="J99" t="str">
        <f>IFERROR(VLOOKUP(D99,'Team Data'!C:AB,8,FALSE),"")</f>
        <v/>
      </c>
      <c r="K99" t="str">
        <f>IFERROR(VLOOKUP(D99,'Team Data'!C:AB,9,FALSE),"")</f>
        <v/>
      </c>
      <c r="L99" t="str">
        <f>IFERROR(VLOOKUP(D99,'Team Data'!C:AB,10,FALSE),"")</f>
        <v/>
      </c>
      <c r="M99" t="str">
        <f t="shared" si="4"/>
        <v/>
      </c>
      <c r="N99" t="str">
        <f>IFERROR(VLOOKUP(D99,'Team Data'!C:AB,23,FALSE),"")</f>
        <v/>
      </c>
      <c r="O99" t="str">
        <f>IFERROR(VLOOKUP(D99,'Team Data'!C:AB,22,FALSE),"")</f>
        <v/>
      </c>
      <c r="P99" t="str">
        <f t="shared" si="5"/>
        <v/>
      </c>
      <c r="Q99" t="str">
        <f>IFERROR(VLOOKUP(D99,'Team Data'!C:AB,15,FALSE),"")</f>
        <v/>
      </c>
      <c r="R99" t="str">
        <f>IFERROR(VLOOKUP('OB Format'!D99,'Team Data'!C:AB,24,FALSE),"")</f>
        <v/>
      </c>
      <c r="S99" t="str">
        <f>IFERROR(VLOOKUP('OB Format'!D99,'Team Data'!C:AC,25,FALSE),"")</f>
        <v/>
      </c>
    </row>
    <row r="100" spans="5:19" x14ac:dyDescent="0.25">
      <c r="E100" t="str">
        <f>IFERROR(VLOOKUP(D100,'Team Data'!C:AB,4,FALSE),"")</f>
        <v/>
      </c>
      <c r="F100" t="str">
        <f>IFERROR(VLOOKUP(D100,'Team Data'!C:AB,5,FALSE),"")</f>
        <v/>
      </c>
      <c r="G100" t="str">
        <f>IFERROR(VLOOKUP('OB Format'!D100,'Team Data'!C:AB,17,FALSE),"")</f>
        <v/>
      </c>
      <c r="H100" t="str">
        <f>IFERROR(VLOOKUP(D100,'Team Data'!C:AB,7,FALSE),"")</f>
        <v/>
      </c>
      <c r="I100" t="str">
        <f>IFERROR(VLOOKUP(D100,'Team Data'!C:AB,14,FALSE),"")</f>
        <v/>
      </c>
      <c r="J100" t="str">
        <f>IFERROR(VLOOKUP(D100,'Team Data'!C:AB,8,FALSE),"")</f>
        <v/>
      </c>
      <c r="K100" t="str">
        <f>IFERROR(VLOOKUP(D100,'Team Data'!C:AB,9,FALSE),"")</f>
        <v/>
      </c>
      <c r="L100" t="str">
        <f>IFERROR(VLOOKUP(D100,'Team Data'!C:AB,10,FALSE),"")</f>
        <v/>
      </c>
      <c r="M100" t="str">
        <f t="shared" si="4"/>
        <v/>
      </c>
      <c r="N100" t="str">
        <f>IFERROR(VLOOKUP(D100,'Team Data'!C:AB,23,FALSE),"")</f>
        <v/>
      </c>
      <c r="O100" t="str">
        <f>IFERROR(VLOOKUP(D100,'Team Data'!C:AB,22,FALSE),"")</f>
        <v/>
      </c>
      <c r="P100" t="str">
        <f t="shared" si="5"/>
        <v/>
      </c>
      <c r="Q100" t="str">
        <f>IFERROR(VLOOKUP(D100,'Team Data'!C:AB,15,FALSE),"")</f>
        <v/>
      </c>
      <c r="R100" t="str">
        <f>IFERROR(VLOOKUP('OB Format'!D100,'Team Data'!C:AB,24,FALSE),"")</f>
        <v/>
      </c>
      <c r="S100" t="str">
        <f>IFERROR(VLOOKUP('OB Format'!D100,'Team Data'!C:AC,25,FALSE),"")</f>
        <v/>
      </c>
    </row>
    <row r="101" spans="5:19" x14ac:dyDescent="0.25">
      <c r="E101" t="str">
        <f>IFERROR(VLOOKUP(D101,'Team Data'!C:AB,4,FALSE),"")</f>
        <v/>
      </c>
      <c r="F101" t="str">
        <f>IFERROR(VLOOKUP(D101,'Team Data'!C:AB,5,FALSE),"")</f>
        <v/>
      </c>
      <c r="G101" t="str">
        <f>IFERROR(VLOOKUP('OB Format'!D101,'Team Data'!C:AB,17,FALSE),"")</f>
        <v/>
      </c>
      <c r="H101" t="str">
        <f>IFERROR(VLOOKUP(D101,'Team Data'!C:AB,7,FALSE),"")</f>
        <v/>
      </c>
      <c r="I101" t="str">
        <f>IFERROR(VLOOKUP(D101,'Team Data'!C:AB,14,FALSE),"")</f>
        <v/>
      </c>
      <c r="J101" t="str">
        <f>IFERROR(VLOOKUP(D101,'Team Data'!C:AB,8,FALSE),"")</f>
        <v/>
      </c>
      <c r="K101" t="str">
        <f>IFERROR(VLOOKUP(D101,'Team Data'!C:AB,9,FALSE),"")</f>
        <v/>
      </c>
      <c r="L101" t="str">
        <f>IFERROR(VLOOKUP(D101,'Team Data'!C:AB,10,FALSE),"")</f>
        <v/>
      </c>
      <c r="M101" t="str">
        <f t="shared" si="4"/>
        <v/>
      </c>
      <c r="N101" t="str">
        <f>IFERROR(VLOOKUP(D101,'Team Data'!C:AB,23,FALSE),"")</f>
        <v/>
      </c>
      <c r="O101" t="str">
        <f>IFERROR(VLOOKUP(D101,'Team Data'!C:AB,22,FALSE),"")</f>
        <v/>
      </c>
      <c r="P101" t="str">
        <f t="shared" si="5"/>
        <v/>
      </c>
      <c r="Q101" t="str">
        <f>IFERROR(VLOOKUP(D101,'Team Data'!C:AB,15,FALSE),"")</f>
        <v/>
      </c>
      <c r="R101" t="str">
        <f>IFERROR(VLOOKUP('OB Format'!D101,'Team Data'!C:AB,24,FALSE),"")</f>
        <v/>
      </c>
      <c r="S101" t="str">
        <f>IFERROR(VLOOKUP('OB Format'!D101,'Team Data'!C:AC,25,FALSE),"")</f>
        <v/>
      </c>
    </row>
    <row r="102" spans="5:19" x14ac:dyDescent="0.25">
      <c r="E102" t="str">
        <f>IFERROR(VLOOKUP(D102,'Team Data'!C:AB,4,FALSE),"")</f>
        <v/>
      </c>
      <c r="F102" t="str">
        <f>IFERROR(VLOOKUP(D102,'Team Data'!C:AB,5,FALSE),"")</f>
        <v/>
      </c>
      <c r="G102" t="str">
        <f>IFERROR(VLOOKUP('OB Format'!D102,'Team Data'!C:AB,17,FALSE),"")</f>
        <v/>
      </c>
      <c r="H102" t="str">
        <f>IFERROR(VLOOKUP(D102,'Team Data'!C:AB,7,FALSE),"")</f>
        <v/>
      </c>
      <c r="I102" t="str">
        <f>IFERROR(VLOOKUP(D102,'Team Data'!C:AB,14,FALSE),"")</f>
        <v/>
      </c>
      <c r="J102" t="str">
        <f>IFERROR(VLOOKUP(D102,'Team Data'!C:AB,8,FALSE),"")</f>
        <v/>
      </c>
      <c r="K102" t="str">
        <f>IFERROR(VLOOKUP(D102,'Team Data'!C:AB,9,FALSE),"")</f>
        <v/>
      </c>
      <c r="L102" t="str">
        <f>IFERROR(VLOOKUP(D102,'Team Data'!C:AB,10,FALSE),"")</f>
        <v/>
      </c>
      <c r="M102" t="str">
        <f t="shared" si="4"/>
        <v/>
      </c>
      <c r="N102" t="str">
        <f>IFERROR(VLOOKUP(D102,'Team Data'!C:AB,23,FALSE),"")</f>
        <v/>
      </c>
      <c r="O102" t="str">
        <f>IFERROR(VLOOKUP(D102,'Team Data'!C:AB,22,FALSE),"")</f>
        <v/>
      </c>
      <c r="P102" t="str">
        <f t="shared" si="5"/>
        <v/>
      </c>
      <c r="Q102" t="str">
        <f>IFERROR(VLOOKUP(D102,'Team Data'!C:AB,15,FALSE),"")</f>
        <v/>
      </c>
      <c r="R102" t="str">
        <f>IFERROR(VLOOKUP('OB Format'!D102,'Team Data'!C:AB,24,FALSE),"")</f>
        <v/>
      </c>
      <c r="S102" t="str">
        <f>IFERROR(VLOOKUP('OB Format'!D102,'Team Data'!C:AC,25,FALSE),"")</f>
        <v/>
      </c>
    </row>
    <row r="103" spans="5:19" x14ac:dyDescent="0.25">
      <c r="E103" t="str">
        <f>IFERROR(VLOOKUP(D103,'Team Data'!C:AB,4,FALSE),"")</f>
        <v/>
      </c>
      <c r="F103" t="str">
        <f>IFERROR(VLOOKUP(D103,'Team Data'!C:AB,5,FALSE),"")</f>
        <v/>
      </c>
      <c r="G103" t="str">
        <f>IFERROR(VLOOKUP('OB Format'!D103,'Team Data'!C:AB,17,FALSE),"")</f>
        <v/>
      </c>
      <c r="H103" t="str">
        <f>IFERROR(VLOOKUP(D103,'Team Data'!C:AB,7,FALSE),"")</f>
        <v/>
      </c>
      <c r="I103" t="str">
        <f>IFERROR(VLOOKUP(D103,'Team Data'!C:AB,14,FALSE),"")</f>
        <v/>
      </c>
      <c r="J103" t="str">
        <f>IFERROR(VLOOKUP(D103,'Team Data'!C:AB,8,FALSE),"")</f>
        <v/>
      </c>
      <c r="K103" t="str">
        <f>IFERROR(VLOOKUP(D103,'Team Data'!C:AB,9,FALSE),"")</f>
        <v/>
      </c>
      <c r="L103" t="str">
        <f>IFERROR(VLOOKUP(D103,'Team Data'!C:AB,10,FALSE),"")</f>
        <v/>
      </c>
      <c r="M103" t="str">
        <f t="shared" si="4"/>
        <v/>
      </c>
      <c r="N103" t="str">
        <f>IFERROR(VLOOKUP(D103,'Team Data'!C:AB,23,FALSE),"")</f>
        <v/>
      </c>
      <c r="O103" t="str">
        <f>IFERROR(VLOOKUP(D103,'Team Data'!C:AB,22,FALSE),"")</f>
        <v/>
      </c>
      <c r="P103" t="str">
        <f t="shared" si="5"/>
        <v/>
      </c>
      <c r="Q103" t="str">
        <f>IFERROR(VLOOKUP(D103,'Team Data'!C:AB,15,FALSE),"")</f>
        <v/>
      </c>
      <c r="R103" t="str">
        <f>IFERROR(VLOOKUP('OB Format'!D103,'Team Data'!C:AB,24,FALSE),"")</f>
        <v/>
      </c>
      <c r="S103" t="str">
        <f>IFERROR(VLOOKUP('OB Format'!D103,'Team Data'!C:AC,25,FALSE),"")</f>
        <v/>
      </c>
    </row>
    <row r="104" spans="5:19" x14ac:dyDescent="0.25">
      <c r="E104" t="str">
        <f>IFERROR(VLOOKUP(D104,'Team Data'!C:AB,4,FALSE),"")</f>
        <v/>
      </c>
      <c r="F104" t="str">
        <f>IFERROR(VLOOKUP(D104,'Team Data'!C:AB,5,FALSE),"")</f>
        <v/>
      </c>
      <c r="G104" t="str">
        <f>IFERROR(VLOOKUP('OB Format'!D104,'Team Data'!C:AB,17,FALSE),"")</f>
        <v/>
      </c>
      <c r="H104" t="str">
        <f>IFERROR(VLOOKUP(D104,'Team Data'!C:AB,7,FALSE),"")</f>
        <v/>
      </c>
      <c r="I104" t="str">
        <f>IFERROR(VLOOKUP(D104,'Team Data'!C:AB,14,FALSE),"")</f>
        <v/>
      </c>
      <c r="J104" t="str">
        <f>IFERROR(VLOOKUP(D104,'Team Data'!C:AB,8,FALSE),"")</f>
        <v/>
      </c>
      <c r="K104" t="str">
        <f>IFERROR(VLOOKUP(D104,'Team Data'!C:AB,9,FALSE),"")</f>
        <v/>
      </c>
      <c r="L104" t="str">
        <f>IFERROR(VLOOKUP(D104,'Team Data'!C:AB,10,FALSE),"")</f>
        <v/>
      </c>
      <c r="M104" t="str">
        <f t="shared" si="4"/>
        <v/>
      </c>
      <c r="N104" t="str">
        <f>IFERROR(VLOOKUP(D104,'Team Data'!C:AB,23,FALSE),"")</f>
        <v/>
      </c>
      <c r="O104" t="str">
        <f>IFERROR(VLOOKUP(D104,'Team Data'!C:AB,22,FALSE),"")</f>
        <v/>
      </c>
      <c r="P104" t="str">
        <f t="shared" si="5"/>
        <v/>
      </c>
      <c r="Q104" t="str">
        <f>IFERROR(VLOOKUP(D104,'Team Data'!C:AB,15,FALSE),"")</f>
        <v/>
      </c>
      <c r="R104" t="str">
        <f>IFERROR(VLOOKUP('OB Format'!D104,'Team Data'!C:AB,24,FALSE),"")</f>
        <v/>
      </c>
      <c r="S104" t="str">
        <f>IFERROR(VLOOKUP('OB Format'!D104,'Team Data'!C:AC,25,FALSE),"")</f>
        <v/>
      </c>
    </row>
    <row r="105" spans="5:19" x14ac:dyDescent="0.25">
      <c r="E105" t="str">
        <f>IFERROR(VLOOKUP(D105,'Team Data'!C:AB,4,FALSE),"")</f>
        <v/>
      </c>
      <c r="F105" t="str">
        <f>IFERROR(VLOOKUP(D105,'Team Data'!C:AB,5,FALSE),"")</f>
        <v/>
      </c>
      <c r="G105" t="str">
        <f>IFERROR(VLOOKUP('OB Format'!D105,'Team Data'!C:AB,17,FALSE),"")</f>
        <v/>
      </c>
      <c r="H105" t="str">
        <f>IFERROR(VLOOKUP(D105,'Team Data'!C:AB,7,FALSE),"")</f>
        <v/>
      </c>
      <c r="I105" t="str">
        <f>IFERROR(VLOOKUP(D105,'Team Data'!C:AB,14,FALSE),"")</f>
        <v/>
      </c>
      <c r="J105" t="str">
        <f>IFERROR(VLOOKUP(D105,'Team Data'!C:AB,8,FALSE),"")</f>
        <v/>
      </c>
      <c r="K105" t="str">
        <f>IFERROR(VLOOKUP(D105,'Team Data'!C:AB,9,FALSE),"")</f>
        <v/>
      </c>
      <c r="L105" t="str">
        <f>IFERROR(VLOOKUP(D105,'Team Data'!C:AB,10,FALSE),"")</f>
        <v/>
      </c>
      <c r="M105" t="str">
        <f t="shared" si="4"/>
        <v/>
      </c>
      <c r="N105" t="str">
        <f>IFERROR(VLOOKUP(D105,'Team Data'!C:AB,23,FALSE),"")</f>
        <v/>
      </c>
      <c r="O105" t="str">
        <f>IFERROR(VLOOKUP(D105,'Team Data'!C:AB,22,FALSE),"")</f>
        <v/>
      </c>
      <c r="P105" t="str">
        <f t="shared" si="5"/>
        <v/>
      </c>
      <c r="Q105" t="str">
        <f>IFERROR(VLOOKUP(D105,'Team Data'!C:AB,15,FALSE),"")</f>
        <v/>
      </c>
      <c r="R105" t="str">
        <f>IFERROR(VLOOKUP('OB Format'!D105,'Team Data'!C:AB,24,FALSE),"")</f>
        <v/>
      </c>
      <c r="S105" t="str">
        <f>IFERROR(VLOOKUP('OB Format'!D105,'Team Data'!C:AC,25,FALSE),"")</f>
        <v/>
      </c>
    </row>
    <row r="106" spans="5:19" x14ac:dyDescent="0.25">
      <c r="E106" t="str">
        <f>IFERROR(VLOOKUP(D106,'Team Data'!C:AB,4,FALSE),"")</f>
        <v/>
      </c>
      <c r="F106" t="str">
        <f>IFERROR(VLOOKUP(D106,'Team Data'!C:AB,5,FALSE),"")</f>
        <v/>
      </c>
      <c r="G106" t="str">
        <f>IFERROR(VLOOKUP('OB Format'!D106,'Team Data'!C:AB,17,FALSE),"")</f>
        <v/>
      </c>
      <c r="H106" t="str">
        <f>IFERROR(VLOOKUP(D106,'Team Data'!C:AB,7,FALSE),"")</f>
        <v/>
      </c>
      <c r="I106" t="str">
        <f>IFERROR(VLOOKUP(D106,'Team Data'!C:AB,14,FALSE),"")</f>
        <v/>
      </c>
      <c r="J106" t="str">
        <f>IFERROR(VLOOKUP(D106,'Team Data'!C:AB,8,FALSE),"")</f>
        <v/>
      </c>
      <c r="K106" t="str">
        <f>IFERROR(VLOOKUP(D106,'Team Data'!C:AB,9,FALSE),"")</f>
        <v/>
      </c>
      <c r="L106" t="str">
        <f>IFERROR(VLOOKUP(D106,'Team Data'!C:AB,10,FALSE),"")</f>
        <v/>
      </c>
      <c r="M106" t="str">
        <f t="shared" si="4"/>
        <v/>
      </c>
      <c r="N106" t="str">
        <f>IFERROR(VLOOKUP(D106,'Team Data'!C:AB,23,FALSE),"")</f>
        <v/>
      </c>
      <c r="O106" t="str">
        <f>IFERROR(VLOOKUP(D106,'Team Data'!C:AB,22,FALSE),"")</f>
        <v/>
      </c>
      <c r="P106" t="str">
        <f t="shared" si="5"/>
        <v/>
      </c>
      <c r="Q106" t="str">
        <f>IFERROR(VLOOKUP(D106,'Team Data'!C:AB,15,FALSE),"")</f>
        <v/>
      </c>
      <c r="R106" t="str">
        <f>IFERROR(VLOOKUP('OB Format'!D106,'Team Data'!C:AB,24,FALSE),"")</f>
        <v/>
      </c>
      <c r="S106" t="str">
        <f>IFERROR(VLOOKUP('OB Format'!D106,'Team Data'!C:AC,25,FALSE),"")</f>
        <v/>
      </c>
    </row>
    <row r="107" spans="5:19" x14ac:dyDescent="0.25">
      <c r="E107" t="str">
        <f>IFERROR(VLOOKUP(D107,'Team Data'!C:AB,4,FALSE),"")</f>
        <v/>
      </c>
      <c r="F107" t="str">
        <f>IFERROR(VLOOKUP(D107,'Team Data'!C:AB,5,FALSE),"")</f>
        <v/>
      </c>
      <c r="G107" t="str">
        <f>IFERROR(VLOOKUP('OB Format'!D107,'Team Data'!C:AB,17,FALSE),"")</f>
        <v/>
      </c>
      <c r="H107" t="str">
        <f>IFERROR(VLOOKUP(D107,'Team Data'!C:AB,7,FALSE),"")</f>
        <v/>
      </c>
      <c r="I107" t="str">
        <f>IFERROR(VLOOKUP(D107,'Team Data'!C:AB,14,FALSE),"")</f>
        <v/>
      </c>
      <c r="J107" t="str">
        <f>IFERROR(VLOOKUP(D107,'Team Data'!C:AB,8,FALSE),"")</f>
        <v/>
      </c>
      <c r="K107" t="str">
        <f>IFERROR(VLOOKUP(D107,'Team Data'!C:AB,9,FALSE),"")</f>
        <v/>
      </c>
      <c r="L107" t="str">
        <f>IFERROR(VLOOKUP(D107,'Team Data'!C:AB,10,FALSE),"")</f>
        <v/>
      </c>
      <c r="M107" t="str">
        <f t="shared" si="4"/>
        <v/>
      </c>
      <c r="N107" t="str">
        <f>IFERROR(VLOOKUP(D107,'Team Data'!C:AB,23,FALSE),"")</f>
        <v/>
      </c>
      <c r="O107" t="str">
        <f>IFERROR(VLOOKUP(D107,'Team Data'!C:AB,22,FALSE),"")</f>
        <v/>
      </c>
      <c r="P107" t="str">
        <f t="shared" si="5"/>
        <v/>
      </c>
      <c r="Q107" t="str">
        <f>IFERROR(VLOOKUP(D107,'Team Data'!C:AB,15,FALSE),"")</f>
        <v/>
      </c>
      <c r="R107" t="str">
        <f>IFERROR(VLOOKUP('OB Format'!D107,'Team Data'!C:AB,24,FALSE),"")</f>
        <v/>
      </c>
      <c r="S107" t="str">
        <f>IFERROR(VLOOKUP('OB Format'!D107,'Team Data'!C:AC,25,FALSE),"")</f>
        <v/>
      </c>
    </row>
    <row r="108" spans="5:19" x14ac:dyDescent="0.25">
      <c r="E108" t="str">
        <f>IFERROR(VLOOKUP(D108,'Team Data'!C:AB,4,FALSE),"")</f>
        <v/>
      </c>
      <c r="F108" t="str">
        <f>IFERROR(VLOOKUP(D108,'Team Data'!C:AB,5,FALSE),"")</f>
        <v/>
      </c>
      <c r="G108" t="str">
        <f>IFERROR(VLOOKUP('OB Format'!D108,'Team Data'!C:AB,17,FALSE),"")</f>
        <v/>
      </c>
      <c r="H108" t="str">
        <f>IFERROR(VLOOKUP(D108,'Team Data'!C:AB,7,FALSE),"")</f>
        <v/>
      </c>
      <c r="I108" t="str">
        <f>IFERROR(VLOOKUP(D108,'Team Data'!C:AB,14,FALSE),"")</f>
        <v/>
      </c>
      <c r="J108" t="str">
        <f>IFERROR(VLOOKUP(D108,'Team Data'!C:AB,8,FALSE),"")</f>
        <v/>
      </c>
      <c r="K108" t="str">
        <f>IFERROR(VLOOKUP(D108,'Team Data'!C:AB,9,FALSE),"")</f>
        <v/>
      </c>
      <c r="L108" t="str">
        <f>IFERROR(VLOOKUP(D108,'Team Data'!C:AB,10,FALSE),"")</f>
        <v/>
      </c>
      <c r="M108" t="str">
        <f t="shared" si="4"/>
        <v/>
      </c>
      <c r="N108" t="str">
        <f>IFERROR(VLOOKUP(D108,'Team Data'!C:AB,23,FALSE),"")</f>
        <v/>
      </c>
      <c r="O108" t="str">
        <f>IFERROR(VLOOKUP(D108,'Team Data'!C:AB,22,FALSE),"")</f>
        <v/>
      </c>
      <c r="P108" t="str">
        <f t="shared" si="5"/>
        <v/>
      </c>
      <c r="Q108" t="str">
        <f>IFERROR(VLOOKUP(D108,'Team Data'!C:AB,15,FALSE),"")</f>
        <v/>
      </c>
      <c r="R108" t="str">
        <f>IFERROR(VLOOKUP('OB Format'!D108,'Team Data'!C:AB,24,FALSE),"")</f>
        <v/>
      </c>
      <c r="S108" t="str">
        <f>IFERROR(VLOOKUP('OB Format'!D108,'Team Data'!C:AC,25,FALSE),"")</f>
        <v/>
      </c>
    </row>
    <row r="109" spans="5:19" x14ac:dyDescent="0.25">
      <c r="E109" t="str">
        <f>IFERROR(VLOOKUP(D109,'Team Data'!C:AB,4,FALSE),"")</f>
        <v/>
      </c>
      <c r="F109" t="str">
        <f>IFERROR(VLOOKUP(D109,'Team Data'!C:AB,5,FALSE),"")</f>
        <v/>
      </c>
      <c r="G109" t="str">
        <f>IFERROR(VLOOKUP('OB Format'!D109,'Team Data'!C:AB,17,FALSE),"")</f>
        <v/>
      </c>
      <c r="H109" t="str">
        <f>IFERROR(VLOOKUP(D109,'Team Data'!C:AB,7,FALSE),"")</f>
        <v/>
      </c>
      <c r="I109" t="str">
        <f>IFERROR(VLOOKUP(D109,'Team Data'!C:AB,14,FALSE),"")</f>
        <v/>
      </c>
      <c r="J109" t="str">
        <f>IFERROR(VLOOKUP(D109,'Team Data'!C:AB,8,FALSE),"")</f>
        <v/>
      </c>
      <c r="K109" t="str">
        <f>IFERROR(VLOOKUP(D109,'Team Data'!C:AB,9,FALSE),"")</f>
        <v/>
      </c>
      <c r="L109" t="str">
        <f>IFERROR(VLOOKUP(D109,'Team Data'!C:AB,10,FALSE),"")</f>
        <v/>
      </c>
      <c r="M109" t="str">
        <f t="shared" si="4"/>
        <v/>
      </c>
      <c r="N109" t="str">
        <f>IFERROR(VLOOKUP(D109,'Team Data'!C:AB,23,FALSE),"")</f>
        <v/>
      </c>
      <c r="O109" t="str">
        <f>IFERROR(VLOOKUP(D109,'Team Data'!C:AB,22,FALSE),"")</f>
        <v/>
      </c>
      <c r="P109" t="str">
        <f t="shared" si="5"/>
        <v/>
      </c>
      <c r="Q109" t="str">
        <f>IFERROR(VLOOKUP(D109,'Team Data'!C:AB,15,FALSE),"")</f>
        <v/>
      </c>
      <c r="R109" t="str">
        <f>IFERROR(VLOOKUP('OB Format'!D109,'Team Data'!C:AB,24,FALSE),"")</f>
        <v/>
      </c>
      <c r="S109" t="str">
        <f>IFERROR(VLOOKUP('OB Format'!D109,'Team Data'!C:AC,25,FALSE),"")</f>
        <v/>
      </c>
    </row>
    <row r="110" spans="5:19" x14ac:dyDescent="0.25">
      <c r="E110" t="str">
        <f>IFERROR(VLOOKUP(D110,'Team Data'!C:AB,4,FALSE),"")</f>
        <v/>
      </c>
      <c r="F110" t="str">
        <f>IFERROR(VLOOKUP(D110,'Team Data'!C:AB,5,FALSE),"")</f>
        <v/>
      </c>
      <c r="G110" t="str">
        <f>IFERROR(VLOOKUP('OB Format'!D110,'Team Data'!C:AB,17,FALSE),"")</f>
        <v/>
      </c>
      <c r="H110" t="str">
        <f>IFERROR(VLOOKUP(D110,'Team Data'!C:AB,7,FALSE),"")</f>
        <v/>
      </c>
      <c r="I110" t="str">
        <f>IFERROR(VLOOKUP(D110,'Team Data'!C:AB,14,FALSE),"")</f>
        <v/>
      </c>
      <c r="J110" t="str">
        <f>IFERROR(VLOOKUP(D110,'Team Data'!C:AB,8,FALSE),"")</f>
        <v/>
      </c>
      <c r="K110" t="str">
        <f>IFERROR(VLOOKUP(D110,'Team Data'!C:AB,9,FALSE),"")</f>
        <v/>
      </c>
      <c r="L110" t="str">
        <f>IFERROR(VLOOKUP(D110,'Team Data'!C:AB,10,FALSE),"")</f>
        <v/>
      </c>
      <c r="M110" t="str">
        <f t="shared" si="4"/>
        <v/>
      </c>
      <c r="N110" t="str">
        <f>IFERROR(VLOOKUP(D110,'Team Data'!C:AB,23,FALSE),"")</f>
        <v/>
      </c>
      <c r="O110" t="str">
        <f>IFERROR(VLOOKUP(D110,'Team Data'!C:AB,22,FALSE),"")</f>
        <v/>
      </c>
      <c r="P110" t="str">
        <f t="shared" si="5"/>
        <v/>
      </c>
      <c r="Q110" t="str">
        <f>IFERROR(VLOOKUP(D110,'Team Data'!C:AB,15,FALSE),"")</f>
        <v/>
      </c>
      <c r="R110" t="str">
        <f>IFERROR(VLOOKUP('OB Format'!D110,'Team Data'!C:AB,24,FALSE),"")</f>
        <v/>
      </c>
      <c r="S110" t="str">
        <f>IFERROR(VLOOKUP('OB Format'!D110,'Team Data'!C:AC,25,FALSE),"")</f>
        <v/>
      </c>
    </row>
    <row r="111" spans="5:19" x14ac:dyDescent="0.25">
      <c r="E111" t="str">
        <f>IFERROR(VLOOKUP(D111,'Team Data'!C:AB,4,FALSE),"")</f>
        <v/>
      </c>
      <c r="F111" t="str">
        <f>IFERROR(VLOOKUP(D111,'Team Data'!C:AB,5,FALSE),"")</f>
        <v/>
      </c>
      <c r="G111" t="str">
        <f>IFERROR(VLOOKUP('OB Format'!D111,'Team Data'!C:AB,17,FALSE),"")</f>
        <v/>
      </c>
      <c r="H111" t="str">
        <f>IFERROR(VLOOKUP(D111,'Team Data'!C:AB,7,FALSE),"")</f>
        <v/>
      </c>
      <c r="I111" t="str">
        <f>IFERROR(VLOOKUP(D111,'Team Data'!C:AB,14,FALSE),"")</f>
        <v/>
      </c>
      <c r="J111" t="str">
        <f>IFERROR(VLOOKUP(D111,'Team Data'!C:AB,8,FALSE),"")</f>
        <v/>
      </c>
      <c r="K111" t="str">
        <f>IFERROR(VLOOKUP(D111,'Team Data'!C:AB,9,FALSE),"")</f>
        <v/>
      </c>
      <c r="L111" t="str">
        <f>IFERROR(VLOOKUP(D111,'Team Data'!C:AB,10,FALSE),"")</f>
        <v/>
      </c>
      <c r="M111" t="str">
        <f t="shared" si="4"/>
        <v/>
      </c>
      <c r="N111" t="str">
        <f>IFERROR(VLOOKUP(D111,'Team Data'!C:AB,23,FALSE),"")</f>
        <v/>
      </c>
      <c r="O111" t="str">
        <f>IFERROR(VLOOKUP(D111,'Team Data'!C:AB,22,FALSE),"")</f>
        <v/>
      </c>
      <c r="P111" t="str">
        <f t="shared" si="5"/>
        <v/>
      </c>
      <c r="Q111" t="str">
        <f>IFERROR(VLOOKUP(D111,'Team Data'!C:AB,15,FALSE),"")</f>
        <v/>
      </c>
      <c r="R111" t="str">
        <f>IFERROR(VLOOKUP('OB Format'!D111,'Team Data'!C:AB,24,FALSE),"")</f>
        <v/>
      </c>
      <c r="S111" t="str">
        <f>IFERROR(VLOOKUP('OB Format'!D111,'Team Data'!C:AC,25,FALSE),"")</f>
        <v/>
      </c>
    </row>
    <row r="112" spans="5:19" x14ac:dyDescent="0.25">
      <c r="E112" t="str">
        <f>IFERROR(VLOOKUP(D112,'Team Data'!C:AB,4,FALSE),"")</f>
        <v/>
      </c>
      <c r="F112" t="str">
        <f>IFERROR(VLOOKUP(D112,'Team Data'!C:AB,5,FALSE),"")</f>
        <v/>
      </c>
      <c r="G112" t="str">
        <f>IFERROR(VLOOKUP('OB Format'!D112,'Team Data'!C:AB,17,FALSE),"")</f>
        <v/>
      </c>
      <c r="H112" t="str">
        <f>IFERROR(VLOOKUP(D112,'Team Data'!C:AB,7,FALSE),"")</f>
        <v/>
      </c>
      <c r="I112" t="str">
        <f>IFERROR(VLOOKUP(D112,'Team Data'!C:AB,14,FALSE),"")</f>
        <v/>
      </c>
      <c r="J112" t="str">
        <f>IFERROR(VLOOKUP(D112,'Team Data'!C:AB,8,FALSE),"")</f>
        <v/>
      </c>
      <c r="K112" t="str">
        <f>IFERROR(VLOOKUP(D112,'Team Data'!C:AB,9,FALSE),"")</f>
        <v/>
      </c>
      <c r="L112" t="str">
        <f>IFERROR(VLOOKUP(D112,'Team Data'!C:AB,10,FALSE),"")</f>
        <v/>
      </c>
      <c r="M112" t="str">
        <f t="shared" si="4"/>
        <v/>
      </c>
      <c r="N112" t="str">
        <f>IFERROR(VLOOKUP(D112,'Team Data'!C:AB,23,FALSE),"")</f>
        <v/>
      </c>
      <c r="O112" t="str">
        <f>IFERROR(VLOOKUP(D112,'Team Data'!C:AB,22,FALSE),"")</f>
        <v/>
      </c>
      <c r="P112" t="str">
        <f t="shared" si="5"/>
        <v/>
      </c>
      <c r="Q112" t="str">
        <f>IFERROR(VLOOKUP(D112,'Team Data'!C:AB,15,FALSE),"")</f>
        <v/>
      </c>
      <c r="R112" t="str">
        <f>IFERROR(VLOOKUP('OB Format'!D112,'Team Data'!C:AB,24,FALSE),"")</f>
        <v/>
      </c>
      <c r="S112" t="str">
        <f>IFERROR(VLOOKUP('OB Format'!D112,'Team Data'!C:AC,25,FALSE),"")</f>
        <v/>
      </c>
    </row>
    <row r="113" spans="5:19" x14ac:dyDescent="0.25">
      <c r="E113" t="str">
        <f>IFERROR(VLOOKUP(D113,'Team Data'!C:AB,4,FALSE),"")</f>
        <v/>
      </c>
      <c r="F113" t="str">
        <f>IFERROR(VLOOKUP(D113,'Team Data'!C:AB,5,FALSE),"")</f>
        <v/>
      </c>
      <c r="G113" t="str">
        <f>IFERROR(VLOOKUP('OB Format'!D113,'Team Data'!C:AB,17,FALSE),"")</f>
        <v/>
      </c>
      <c r="H113" t="str">
        <f>IFERROR(VLOOKUP(D113,'Team Data'!C:AB,7,FALSE),"")</f>
        <v/>
      </c>
      <c r="I113" t="str">
        <f>IFERROR(VLOOKUP(D113,'Team Data'!C:AB,14,FALSE),"")</f>
        <v/>
      </c>
      <c r="J113" t="str">
        <f>IFERROR(VLOOKUP(D113,'Team Data'!C:AB,8,FALSE),"")</f>
        <v/>
      </c>
      <c r="K113" t="str">
        <f>IFERROR(VLOOKUP(D113,'Team Data'!C:AB,9,FALSE),"")</f>
        <v/>
      </c>
      <c r="L113" t="str">
        <f>IFERROR(VLOOKUP(D113,'Team Data'!C:AB,10,FALSE),"")</f>
        <v/>
      </c>
      <c r="M113" t="str">
        <f t="shared" si="4"/>
        <v/>
      </c>
      <c r="N113" t="str">
        <f>IFERROR(VLOOKUP(D113,'Team Data'!C:AB,23,FALSE),"")</f>
        <v/>
      </c>
      <c r="O113" t="str">
        <f>IFERROR(VLOOKUP(D113,'Team Data'!C:AB,22,FALSE),"")</f>
        <v/>
      </c>
      <c r="P113" t="str">
        <f t="shared" si="5"/>
        <v/>
      </c>
      <c r="Q113" t="str">
        <f>IFERROR(VLOOKUP(D113,'Team Data'!C:AB,15,FALSE),"")</f>
        <v/>
      </c>
      <c r="R113" t="str">
        <f>IFERROR(VLOOKUP('OB Format'!D113,'Team Data'!C:AB,24,FALSE),"")</f>
        <v/>
      </c>
      <c r="S113" t="str">
        <f>IFERROR(VLOOKUP('OB Format'!D113,'Team Data'!C:AC,25,FALSE),"")</f>
        <v/>
      </c>
    </row>
    <row r="114" spans="5:19" x14ac:dyDescent="0.25">
      <c r="E114" t="str">
        <f>IFERROR(VLOOKUP(D114,'Team Data'!C:AB,4,FALSE),"")</f>
        <v/>
      </c>
      <c r="F114" t="str">
        <f>IFERROR(VLOOKUP(D114,'Team Data'!C:AB,5,FALSE),"")</f>
        <v/>
      </c>
      <c r="G114" t="str">
        <f>IFERROR(VLOOKUP('OB Format'!D114,'Team Data'!C:AB,17,FALSE),"")</f>
        <v/>
      </c>
      <c r="H114" t="str">
        <f>IFERROR(VLOOKUP(D114,'Team Data'!C:AB,7,FALSE),"")</f>
        <v/>
      </c>
      <c r="I114" t="str">
        <f>IFERROR(VLOOKUP(D114,'Team Data'!C:AB,14,FALSE),"")</f>
        <v/>
      </c>
      <c r="J114" t="str">
        <f>IFERROR(VLOOKUP(D114,'Team Data'!C:AB,8,FALSE),"")</f>
        <v/>
      </c>
      <c r="K114" t="str">
        <f>IFERROR(VLOOKUP(D114,'Team Data'!C:AB,9,FALSE),"")</f>
        <v/>
      </c>
      <c r="L114" t="str">
        <f>IFERROR(VLOOKUP(D114,'Team Data'!C:AB,10,FALSE),"")</f>
        <v/>
      </c>
      <c r="M114" t="str">
        <f t="shared" si="4"/>
        <v/>
      </c>
      <c r="N114" t="str">
        <f>IFERROR(VLOOKUP(D114,'Team Data'!C:AB,23,FALSE),"")</f>
        <v/>
      </c>
      <c r="O114" t="str">
        <f>IFERROR(VLOOKUP(D114,'Team Data'!C:AB,22,FALSE),"")</f>
        <v/>
      </c>
      <c r="P114" t="str">
        <f t="shared" si="5"/>
        <v/>
      </c>
      <c r="Q114" t="str">
        <f>IFERROR(VLOOKUP(D114,'Team Data'!C:AB,15,FALSE),"")</f>
        <v/>
      </c>
      <c r="R114" t="str">
        <f>IFERROR(VLOOKUP('OB Format'!D114,'Team Data'!C:AB,24,FALSE),"")</f>
        <v/>
      </c>
      <c r="S114" t="str">
        <f>IFERROR(VLOOKUP('OB Format'!D114,'Team Data'!C:AC,25,FALSE),"")</f>
        <v/>
      </c>
    </row>
    <row r="115" spans="5:19" x14ac:dyDescent="0.25">
      <c r="E115" t="str">
        <f>IFERROR(VLOOKUP(D115,'Team Data'!C:AB,4,FALSE),"")</f>
        <v/>
      </c>
      <c r="F115" t="str">
        <f>IFERROR(VLOOKUP(D115,'Team Data'!C:AB,5,FALSE),"")</f>
        <v/>
      </c>
      <c r="G115" t="str">
        <f>IFERROR(VLOOKUP('OB Format'!D115,'Team Data'!C:AB,17,FALSE),"")</f>
        <v/>
      </c>
      <c r="H115" t="str">
        <f>IFERROR(VLOOKUP(D115,'Team Data'!C:AB,7,FALSE),"")</f>
        <v/>
      </c>
      <c r="I115" t="str">
        <f>IFERROR(VLOOKUP(D115,'Team Data'!C:AB,14,FALSE),"")</f>
        <v/>
      </c>
      <c r="J115" t="str">
        <f>IFERROR(VLOOKUP(D115,'Team Data'!C:AB,8,FALSE),"")</f>
        <v/>
      </c>
      <c r="K115" t="str">
        <f>IFERROR(VLOOKUP(D115,'Team Data'!C:AB,9,FALSE),"")</f>
        <v/>
      </c>
      <c r="L115" t="str">
        <f>IFERROR(VLOOKUP(D115,'Team Data'!C:AB,10,FALSE),"")</f>
        <v/>
      </c>
      <c r="M115" t="str">
        <f t="shared" si="4"/>
        <v/>
      </c>
      <c r="N115" t="str">
        <f>IFERROR(VLOOKUP(D115,'Team Data'!C:AB,23,FALSE),"")</f>
        <v/>
      </c>
      <c r="O115" t="str">
        <f>IFERROR(VLOOKUP(D115,'Team Data'!C:AB,22,FALSE),"")</f>
        <v/>
      </c>
      <c r="P115" t="str">
        <f t="shared" si="5"/>
        <v/>
      </c>
      <c r="Q115" t="str">
        <f>IFERROR(VLOOKUP(D115,'Team Data'!C:AB,15,FALSE),"")</f>
        <v/>
      </c>
      <c r="R115" t="str">
        <f>IFERROR(VLOOKUP('OB Format'!D115,'Team Data'!C:AB,24,FALSE),"")</f>
        <v/>
      </c>
      <c r="S115" t="str">
        <f>IFERROR(VLOOKUP('OB Format'!D115,'Team Data'!C:AC,25,FALSE),"")</f>
        <v/>
      </c>
    </row>
    <row r="116" spans="5:19" x14ac:dyDescent="0.25">
      <c r="E116" t="str">
        <f>IFERROR(VLOOKUP(D116,'Team Data'!C:AB,4,FALSE),"")</f>
        <v/>
      </c>
      <c r="F116" t="str">
        <f>IFERROR(VLOOKUP(D116,'Team Data'!C:AB,5,FALSE),"")</f>
        <v/>
      </c>
      <c r="G116" t="str">
        <f>IFERROR(VLOOKUP('OB Format'!D116,'Team Data'!C:AB,17,FALSE),"")</f>
        <v/>
      </c>
      <c r="H116" t="str">
        <f>IFERROR(VLOOKUP(D116,'Team Data'!C:AB,7,FALSE),"")</f>
        <v/>
      </c>
      <c r="I116" t="str">
        <f>IFERROR(VLOOKUP(D116,'Team Data'!C:AB,14,FALSE),"")</f>
        <v/>
      </c>
      <c r="J116" t="str">
        <f>IFERROR(VLOOKUP(D116,'Team Data'!C:AB,8,FALSE),"")</f>
        <v/>
      </c>
      <c r="K116" t="str">
        <f>IFERROR(VLOOKUP(D116,'Team Data'!C:AB,9,FALSE),"")</f>
        <v/>
      </c>
      <c r="L116" t="str">
        <f>IFERROR(VLOOKUP(D116,'Team Data'!C:AB,10,FALSE),"")</f>
        <v/>
      </c>
      <c r="M116" t="str">
        <f t="shared" si="4"/>
        <v/>
      </c>
      <c r="N116" t="str">
        <f>IFERROR(VLOOKUP(D116,'Team Data'!C:AB,23,FALSE),"")</f>
        <v/>
      </c>
      <c r="O116" t="str">
        <f>IFERROR(VLOOKUP(D116,'Team Data'!C:AB,22,FALSE),"")</f>
        <v/>
      </c>
      <c r="P116" t="str">
        <f t="shared" si="5"/>
        <v/>
      </c>
      <c r="Q116" t="str">
        <f>IFERROR(VLOOKUP(D116,'Team Data'!C:AB,15,FALSE),"")</f>
        <v/>
      </c>
      <c r="R116" t="str">
        <f>IFERROR(VLOOKUP('OB Format'!D116,'Team Data'!C:AB,24,FALSE),"")</f>
        <v/>
      </c>
      <c r="S116" t="str">
        <f>IFERROR(VLOOKUP('OB Format'!D116,'Team Data'!C:AC,25,FALSE),"")</f>
        <v/>
      </c>
    </row>
    <row r="117" spans="5:19" x14ac:dyDescent="0.25">
      <c r="E117" t="str">
        <f>IFERROR(VLOOKUP(D117,'Team Data'!C:AB,4,FALSE),"")</f>
        <v/>
      </c>
      <c r="F117" t="str">
        <f>IFERROR(VLOOKUP(D117,'Team Data'!C:AB,5,FALSE),"")</f>
        <v/>
      </c>
      <c r="G117" t="str">
        <f>IFERROR(VLOOKUP('OB Format'!D117,'Team Data'!C:AB,17,FALSE),"")</f>
        <v/>
      </c>
      <c r="H117" t="str">
        <f>IFERROR(VLOOKUP(D117,'Team Data'!C:AB,7,FALSE),"")</f>
        <v/>
      </c>
      <c r="I117" t="str">
        <f>IFERROR(VLOOKUP(D117,'Team Data'!C:AB,14,FALSE),"")</f>
        <v/>
      </c>
      <c r="J117" t="str">
        <f>IFERROR(VLOOKUP(D117,'Team Data'!C:AB,8,FALSE),"")</f>
        <v/>
      </c>
      <c r="K117" t="str">
        <f>IFERROR(VLOOKUP(D117,'Team Data'!C:AB,9,FALSE),"")</f>
        <v/>
      </c>
      <c r="L117" t="str">
        <f>IFERROR(VLOOKUP(D117,'Team Data'!C:AB,10,FALSE),"")</f>
        <v/>
      </c>
      <c r="M117" t="str">
        <f t="shared" si="4"/>
        <v/>
      </c>
      <c r="N117" t="str">
        <f>IFERROR(VLOOKUP(D117,'Team Data'!C:AB,23,FALSE),"")</f>
        <v/>
      </c>
      <c r="O117" t="str">
        <f>IFERROR(VLOOKUP(D117,'Team Data'!C:AB,22,FALSE),"")</f>
        <v/>
      </c>
      <c r="P117" t="str">
        <f t="shared" si="5"/>
        <v/>
      </c>
      <c r="Q117" t="str">
        <f>IFERROR(VLOOKUP(D117,'Team Data'!C:AB,15,FALSE),"")</f>
        <v/>
      </c>
      <c r="R117" t="str">
        <f>IFERROR(VLOOKUP('OB Format'!D117,'Team Data'!C:AB,24,FALSE),"")</f>
        <v/>
      </c>
      <c r="S117" t="str">
        <f>IFERROR(VLOOKUP('OB Format'!D117,'Team Data'!C:AC,25,FALSE),"")</f>
        <v/>
      </c>
    </row>
    <row r="118" spans="5:19" x14ac:dyDescent="0.25">
      <c r="E118" t="str">
        <f>IFERROR(VLOOKUP(D118,'Team Data'!C:AB,4,FALSE),"")</f>
        <v/>
      </c>
      <c r="F118" t="str">
        <f>IFERROR(VLOOKUP(D118,'Team Data'!C:AB,5,FALSE),"")</f>
        <v/>
      </c>
      <c r="G118" t="str">
        <f>IFERROR(VLOOKUP('OB Format'!D118,'Team Data'!C:AB,17,FALSE),"")</f>
        <v/>
      </c>
      <c r="H118" t="str">
        <f>IFERROR(VLOOKUP(D118,'Team Data'!C:AB,7,FALSE),"")</f>
        <v/>
      </c>
      <c r="I118" t="str">
        <f>IFERROR(VLOOKUP(D118,'Team Data'!C:AB,14,FALSE),"")</f>
        <v/>
      </c>
      <c r="J118" t="str">
        <f>IFERROR(VLOOKUP(D118,'Team Data'!C:AB,8,FALSE),"")</f>
        <v/>
      </c>
      <c r="K118" t="str">
        <f>IFERROR(VLOOKUP(D118,'Team Data'!C:AB,9,FALSE),"")</f>
        <v/>
      </c>
      <c r="L118" t="str">
        <f>IFERROR(VLOOKUP(D118,'Team Data'!C:AB,10,FALSE),"")</f>
        <v/>
      </c>
      <c r="M118" t="str">
        <f t="shared" si="4"/>
        <v/>
      </c>
      <c r="N118" t="str">
        <f>IFERROR(VLOOKUP(D118,'Team Data'!C:AB,23,FALSE),"")</f>
        <v/>
      </c>
      <c r="O118" t="str">
        <f>IFERROR(VLOOKUP(D118,'Team Data'!C:AB,22,FALSE),"")</f>
        <v/>
      </c>
      <c r="P118" t="str">
        <f t="shared" si="5"/>
        <v/>
      </c>
      <c r="Q118" t="str">
        <f>IFERROR(VLOOKUP(D118,'Team Data'!C:AB,15,FALSE),"")</f>
        <v/>
      </c>
      <c r="R118" t="str">
        <f>IFERROR(VLOOKUP('OB Format'!D118,'Team Data'!C:AB,24,FALSE),"")</f>
        <v/>
      </c>
      <c r="S118" t="str">
        <f>IFERROR(VLOOKUP('OB Format'!D118,'Team Data'!C:AC,25,FALSE),"")</f>
        <v/>
      </c>
    </row>
    <row r="119" spans="5:19" x14ac:dyDescent="0.25">
      <c r="E119" t="str">
        <f>IFERROR(VLOOKUP(D119,'Team Data'!C:AB,4,FALSE),"")</f>
        <v/>
      </c>
      <c r="F119" t="str">
        <f>IFERROR(VLOOKUP(D119,'Team Data'!C:AB,5,FALSE),"")</f>
        <v/>
      </c>
      <c r="G119" t="str">
        <f>IFERROR(VLOOKUP('OB Format'!D119,'Team Data'!C:AB,17,FALSE),"")</f>
        <v/>
      </c>
      <c r="H119" t="str">
        <f>IFERROR(VLOOKUP(D119,'Team Data'!C:AB,7,FALSE),"")</f>
        <v/>
      </c>
      <c r="I119" t="str">
        <f>IFERROR(VLOOKUP(D119,'Team Data'!C:AB,14,FALSE),"")</f>
        <v/>
      </c>
      <c r="J119" t="str">
        <f>IFERROR(VLOOKUP(D119,'Team Data'!C:AB,8,FALSE),"")</f>
        <v/>
      </c>
      <c r="K119" t="str">
        <f>IFERROR(VLOOKUP(D119,'Team Data'!C:AB,9,FALSE),"")</f>
        <v/>
      </c>
      <c r="L119" t="str">
        <f>IFERROR(VLOOKUP(D119,'Team Data'!C:AB,10,FALSE),"")</f>
        <v/>
      </c>
      <c r="M119" t="str">
        <f t="shared" si="4"/>
        <v/>
      </c>
      <c r="N119" t="str">
        <f>IFERROR(VLOOKUP(D119,'Team Data'!C:AB,23,FALSE),"")</f>
        <v/>
      </c>
      <c r="O119" t="str">
        <f>IFERROR(VLOOKUP(D119,'Team Data'!C:AB,22,FALSE),"")</f>
        <v/>
      </c>
      <c r="P119" t="str">
        <f t="shared" si="5"/>
        <v/>
      </c>
      <c r="Q119" t="str">
        <f>IFERROR(VLOOKUP(D119,'Team Data'!C:AB,15,FALSE),"")</f>
        <v/>
      </c>
      <c r="R119" t="str">
        <f>IFERROR(VLOOKUP('OB Format'!D119,'Team Data'!C:AB,24,FALSE),"")</f>
        <v/>
      </c>
      <c r="S119" t="str">
        <f>IFERROR(VLOOKUP('OB Format'!D119,'Team Data'!C:AC,25,FALSE),"")</f>
        <v/>
      </c>
    </row>
    <row r="120" spans="5:19" x14ac:dyDescent="0.25">
      <c r="E120" t="str">
        <f>IFERROR(VLOOKUP(D120,'Team Data'!C:AB,4,FALSE),"")</f>
        <v/>
      </c>
      <c r="F120" t="str">
        <f>IFERROR(VLOOKUP(D120,'Team Data'!C:AB,5,FALSE),"")</f>
        <v/>
      </c>
      <c r="G120" t="str">
        <f>IFERROR(VLOOKUP('OB Format'!D120,'Team Data'!C:AB,17,FALSE),"")</f>
        <v/>
      </c>
      <c r="H120" t="str">
        <f>IFERROR(VLOOKUP(D120,'Team Data'!C:AB,7,FALSE),"")</f>
        <v/>
      </c>
      <c r="I120" t="str">
        <f>IFERROR(VLOOKUP(D120,'Team Data'!C:AB,14,FALSE),"")</f>
        <v/>
      </c>
      <c r="J120" t="str">
        <f>IFERROR(VLOOKUP(D120,'Team Data'!C:AB,8,FALSE),"")</f>
        <v/>
      </c>
      <c r="K120" t="str">
        <f>IFERROR(VLOOKUP(D120,'Team Data'!C:AB,9,FALSE),"")</f>
        <v/>
      </c>
      <c r="L120" t="str">
        <f>IFERROR(VLOOKUP(D120,'Team Data'!C:AB,10,FALSE),"")</f>
        <v/>
      </c>
      <c r="M120" t="str">
        <f t="shared" si="4"/>
        <v/>
      </c>
      <c r="N120" t="str">
        <f>IFERROR(VLOOKUP(D120,'Team Data'!C:AB,23,FALSE),"")</f>
        <v/>
      </c>
      <c r="O120" t="str">
        <f>IFERROR(VLOOKUP(D120,'Team Data'!C:AB,22,FALSE),"")</f>
        <v/>
      </c>
      <c r="P120" t="str">
        <f t="shared" si="5"/>
        <v/>
      </c>
      <c r="Q120" t="str">
        <f>IFERROR(VLOOKUP(D120,'Team Data'!C:AB,15,FALSE),"")</f>
        <v/>
      </c>
      <c r="R120" t="str">
        <f>IFERROR(VLOOKUP('OB Format'!D120,'Team Data'!C:AB,24,FALSE),"")</f>
        <v/>
      </c>
      <c r="S120" t="str">
        <f>IFERROR(VLOOKUP('OB Format'!D120,'Team Data'!C:AC,25,FALSE),"")</f>
        <v/>
      </c>
    </row>
    <row r="121" spans="5:19" x14ac:dyDescent="0.25">
      <c r="E121" t="str">
        <f>IFERROR(VLOOKUP(D121,'Team Data'!C:AB,4,FALSE),"")</f>
        <v/>
      </c>
      <c r="F121" t="str">
        <f>IFERROR(VLOOKUP(D121,'Team Data'!C:AB,5,FALSE),"")</f>
        <v/>
      </c>
      <c r="G121" t="str">
        <f>IFERROR(VLOOKUP('OB Format'!D121,'Team Data'!C:AB,17,FALSE),"")</f>
        <v/>
      </c>
      <c r="H121" t="str">
        <f>IFERROR(VLOOKUP(D121,'Team Data'!C:AB,7,FALSE),"")</f>
        <v/>
      </c>
      <c r="I121" t="str">
        <f>IFERROR(VLOOKUP(D121,'Team Data'!C:AB,14,FALSE),"")</f>
        <v/>
      </c>
      <c r="J121" t="str">
        <f>IFERROR(VLOOKUP(D121,'Team Data'!C:AB,8,FALSE),"")</f>
        <v/>
      </c>
      <c r="K121" t="str">
        <f>IFERROR(VLOOKUP(D121,'Team Data'!C:AB,9,FALSE),"")</f>
        <v/>
      </c>
      <c r="L121" t="str">
        <f>IFERROR(VLOOKUP(D121,'Team Data'!C:AB,10,FALSE),"")</f>
        <v/>
      </c>
      <c r="M121" t="str">
        <f t="shared" si="4"/>
        <v/>
      </c>
      <c r="N121" t="str">
        <f>IFERROR(VLOOKUP(D121,'Team Data'!C:AB,23,FALSE),"")</f>
        <v/>
      </c>
      <c r="O121" t="str">
        <f>IFERROR(VLOOKUP(D121,'Team Data'!C:AB,22,FALSE),"")</f>
        <v/>
      </c>
      <c r="P121" t="str">
        <f t="shared" si="5"/>
        <v/>
      </c>
      <c r="Q121" t="str">
        <f>IFERROR(VLOOKUP(D121,'Team Data'!C:AB,15,FALSE),"")</f>
        <v/>
      </c>
      <c r="R121" t="str">
        <f>IFERROR(VLOOKUP('OB Format'!D121,'Team Data'!C:AB,24,FALSE),"")</f>
        <v/>
      </c>
      <c r="S121" t="str">
        <f>IFERROR(VLOOKUP('OB Format'!D121,'Team Data'!C:AC,25,FALSE),"")</f>
        <v/>
      </c>
    </row>
    <row r="122" spans="5:19" x14ac:dyDescent="0.25">
      <c r="E122" t="str">
        <f>IFERROR(VLOOKUP(D122,'Team Data'!C:AB,4,FALSE),"")</f>
        <v/>
      </c>
      <c r="F122" t="str">
        <f>IFERROR(VLOOKUP(D122,'Team Data'!C:AB,5,FALSE),"")</f>
        <v/>
      </c>
      <c r="G122" t="str">
        <f>IFERROR(VLOOKUP('OB Format'!D122,'Team Data'!C:AB,17,FALSE),"")</f>
        <v/>
      </c>
      <c r="H122" t="str">
        <f>IFERROR(VLOOKUP(D122,'Team Data'!C:AB,7,FALSE),"")</f>
        <v/>
      </c>
      <c r="I122" t="str">
        <f>IFERROR(VLOOKUP(D122,'Team Data'!C:AB,14,FALSE),"")</f>
        <v/>
      </c>
      <c r="J122" t="str">
        <f>IFERROR(VLOOKUP(D122,'Team Data'!C:AB,8,FALSE),"")</f>
        <v/>
      </c>
      <c r="K122" t="str">
        <f>IFERROR(VLOOKUP(D122,'Team Data'!C:AB,9,FALSE),"")</f>
        <v/>
      </c>
      <c r="L122" t="str">
        <f>IFERROR(VLOOKUP(D122,'Team Data'!C:AB,10,FALSE),"")</f>
        <v/>
      </c>
      <c r="M122" t="str">
        <f t="shared" si="4"/>
        <v/>
      </c>
      <c r="N122" t="str">
        <f>IFERROR(VLOOKUP(D122,'Team Data'!C:AB,23,FALSE),"")</f>
        <v/>
      </c>
      <c r="O122" t="str">
        <f>IFERROR(VLOOKUP(D122,'Team Data'!C:AB,22,FALSE),"")</f>
        <v/>
      </c>
      <c r="P122" t="str">
        <f t="shared" si="5"/>
        <v/>
      </c>
      <c r="Q122" t="str">
        <f>IFERROR(VLOOKUP(D122,'Team Data'!C:AB,15,FALSE),"")</f>
        <v/>
      </c>
      <c r="R122" t="str">
        <f>IFERROR(VLOOKUP('OB Format'!D122,'Team Data'!C:AB,24,FALSE),"")</f>
        <v/>
      </c>
      <c r="S122" t="str">
        <f>IFERROR(VLOOKUP('OB Format'!D122,'Team Data'!C:AC,25,FALSE),"")</f>
        <v/>
      </c>
    </row>
    <row r="123" spans="5:19" x14ac:dyDescent="0.25">
      <c r="E123" t="str">
        <f>IFERROR(VLOOKUP(D123,'Team Data'!C:AB,4,FALSE),"")</f>
        <v/>
      </c>
      <c r="F123" t="str">
        <f>IFERROR(VLOOKUP(D123,'Team Data'!C:AB,5,FALSE),"")</f>
        <v/>
      </c>
      <c r="G123" t="str">
        <f>IFERROR(VLOOKUP('OB Format'!D123,'Team Data'!C:AB,17,FALSE),"")</f>
        <v/>
      </c>
      <c r="H123" t="str">
        <f>IFERROR(VLOOKUP(D123,'Team Data'!C:AB,7,FALSE),"")</f>
        <v/>
      </c>
      <c r="I123" t="str">
        <f>IFERROR(VLOOKUP(D123,'Team Data'!C:AB,14,FALSE),"")</f>
        <v/>
      </c>
      <c r="J123" t="str">
        <f>IFERROR(VLOOKUP(D123,'Team Data'!C:AB,8,FALSE),"")</f>
        <v/>
      </c>
      <c r="K123" t="str">
        <f>IFERROR(VLOOKUP(D123,'Team Data'!C:AB,9,FALSE),"")</f>
        <v/>
      </c>
      <c r="L123" t="str">
        <f>IFERROR(VLOOKUP(D123,'Team Data'!C:AB,10,FALSE),"")</f>
        <v/>
      </c>
      <c r="M123" t="str">
        <f t="shared" si="4"/>
        <v/>
      </c>
      <c r="N123" t="str">
        <f>IFERROR(VLOOKUP(D123,'Team Data'!C:AB,23,FALSE),"")</f>
        <v/>
      </c>
      <c r="O123" t="str">
        <f>IFERROR(VLOOKUP(D123,'Team Data'!C:AB,22,FALSE),"")</f>
        <v/>
      </c>
      <c r="P123" t="str">
        <f t="shared" si="5"/>
        <v/>
      </c>
      <c r="Q123" t="str">
        <f>IFERROR(VLOOKUP(D123,'Team Data'!C:AB,15,FALSE),"")</f>
        <v/>
      </c>
      <c r="R123" t="str">
        <f>IFERROR(VLOOKUP('OB Format'!D123,'Team Data'!C:AB,24,FALSE),"")</f>
        <v/>
      </c>
      <c r="S123" t="str">
        <f>IFERROR(VLOOKUP('OB Format'!D123,'Team Data'!C:AC,25,FALSE),"")</f>
        <v/>
      </c>
    </row>
    <row r="124" spans="5:19" x14ac:dyDescent="0.25">
      <c r="E124" t="str">
        <f>IFERROR(VLOOKUP(D124,'Team Data'!C:AB,4,FALSE),"")</f>
        <v/>
      </c>
      <c r="F124" t="str">
        <f>IFERROR(VLOOKUP(D124,'Team Data'!C:AB,5,FALSE),"")</f>
        <v/>
      </c>
      <c r="G124" t="str">
        <f>IFERROR(VLOOKUP('OB Format'!D124,'Team Data'!C:AB,17,FALSE),"")</f>
        <v/>
      </c>
      <c r="H124" t="str">
        <f>IFERROR(VLOOKUP(D124,'Team Data'!C:AB,7,FALSE),"")</f>
        <v/>
      </c>
      <c r="I124" t="str">
        <f>IFERROR(VLOOKUP(D124,'Team Data'!C:AB,14,FALSE),"")</f>
        <v/>
      </c>
      <c r="J124" t="str">
        <f>IFERROR(VLOOKUP(D124,'Team Data'!C:AB,8,FALSE),"")</f>
        <v/>
      </c>
      <c r="K124" t="str">
        <f>IFERROR(VLOOKUP(D124,'Team Data'!C:AB,9,FALSE),"")</f>
        <v/>
      </c>
      <c r="L124" t="str">
        <f>IFERROR(VLOOKUP(D124,'Team Data'!C:AB,10,FALSE),"")</f>
        <v/>
      </c>
      <c r="M124" t="str">
        <f t="shared" si="4"/>
        <v/>
      </c>
      <c r="N124" t="str">
        <f>IFERROR(VLOOKUP(D124,'Team Data'!C:AB,23,FALSE),"")</f>
        <v/>
      </c>
      <c r="O124" t="str">
        <f>IFERROR(VLOOKUP(D124,'Team Data'!C:AB,22,FALSE),"")</f>
        <v/>
      </c>
      <c r="P124" t="str">
        <f t="shared" si="5"/>
        <v/>
      </c>
      <c r="Q124" t="str">
        <f>IFERROR(VLOOKUP(D124,'Team Data'!C:AB,15,FALSE),"")</f>
        <v/>
      </c>
      <c r="R124" t="str">
        <f>IFERROR(VLOOKUP('OB Format'!D124,'Team Data'!C:AB,24,FALSE),"")</f>
        <v/>
      </c>
      <c r="S124" t="str">
        <f>IFERROR(VLOOKUP('OB Format'!D124,'Team Data'!C:AC,25,FALSE),"")</f>
        <v/>
      </c>
    </row>
    <row r="125" spans="5:19" x14ac:dyDescent="0.25">
      <c r="E125" t="str">
        <f>IFERROR(VLOOKUP(D125,'Team Data'!C:AB,4,FALSE),"")</f>
        <v/>
      </c>
      <c r="F125" t="str">
        <f>IFERROR(VLOOKUP(D125,'Team Data'!C:AB,5,FALSE),"")</f>
        <v/>
      </c>
      <c r="G125" t="str">
        <f>IFERROR(VLOOKUP('OB Format'!D125,'Team Data'!C:AB,17,FALSE),"")</f>
        <v/>
      </c>
      <c r="H125" t="str">
        <f>IFERROR(VLOOKUP(D125,'Team Data'!C:AB,7,FALSE),"")</f>
        <v/>
      </c>
      <c r="I125" t="str">
        <f>IFERROR(VLOOKUP(D125,'Team Data'!C:AB,14,FALSE),"")</f>
        <v/>
      </c>
      <c r="J125" t="str">
        <f>IFERROR(VLOOKUP(D125,'Team Data'!C:AB,8,FALSE),"")</f>
        <v/>
      </c>
      <c r="K125" t="str">
        <f>IFERROR(VLOOKUP(D125,'Team Data'!C:AB,9,FALSE),"")</f>
        <v/>
      </c>
      <c r="L125" t="str">
        <f>IFERROR(VLOOKUP(D125,'Team Data'!C:AB,10,FALSE),"")</f>
        <v/>
      </c>
      <c r="M125" t="str">
        <f t="shared" si="4"/>
        <v/>
      </c>
      <c r="N125" t="str">
        <f>IFERROR(VLOOKUP(D125,'Team Data'!C:AB,23,FALSE),"")</f>
        <v/>
      </c>
      <c r="O125" t="str">
        <f>IFERROR(VLOOKUP(D125,'Team Data'!C:AB,22,FALSE),"")</f>
        <v/>
      </c>
      <c r="P125" t="str">
        <f t="shared" si="5"/>
        <v/>
      </c>
      <c r="Q125" t="str">
        <f>IFERROR(VLOOKUP(D125,'Team Data'!C:AB,15,FALSE),"")</f>
        <v/>
      </c>
      <c r="R125" t="str">
        <f>IFERROR(VLOOKUP('OB Format'!D125,'Team Data'!C:AB,24,FALSE),"")</f>
        <v/>
      </c>
      <c r="S125" t="str">
        <f>IFERROR(VLOOKUP('OB Format'!D125,'Team Data'!C:AC,25,FALSE),"")</f>
        <v/>
      </c>
    </row>
    <row r="126" spans="5:19" x14ac:dyDescent="0.25">
      <c r="E126" t="str">
        <f>IFERROR(VLOOKUP(D126,'Team Data'!C:AB,4,FALSE),"")</f>
        <v/>
      </c>
      <c r="F126" t="str">
        <f>IFERROR(VLOOKUP(D126,'Team Data'!C:AB,5,FALSE),"")</f>
        <v/>
      </c>
      <c r="G126" t="str">
        <f>IFERROR(VLOOKUP('OB Format'!D126,'Team Data'!C:AB,17,FALSE),"")</f>
        <v/>
      </c>
      <c r="H126" t="str">
        <f>IFERROR(VLOOKUP(D126,'Team Data'!C:AB,7,FALSE),"")</f>
        <v/>
      </c>
      <c r="I126" t="str">
        <f>IFERROR(VLOOKUP(D126,'Team Data'!C:AB,14,FALSE),"")</f>
        <v/>
      </c>
      <c r="J126" t="str">
        <f>IFERROR(VLOOKUP(D126,'Team Data'!C:AB,8,FALSE),"")</f>
        <v/>
      </c>
      <c r="K126" t="str">
        <f>IFERROR(VLOOKUP(D126,'Team Data'!C:AB,9,FALSE),"")</f>
        <v/>
      </c>
      <c r="L126" t="str">
        <f>IFERROR(VLOOKUP(D126,'Team Data'!C:AB,10,FALSE),"")</f>
        <v/>
      </c>
      <c r="M126" t="str">
        <f t="shared" si="4"/>
        <v/>
      </c>
      <c r="N126" t="str">
        <f>IFERROR(VLOOKUP(D126,'Team Data'!C:AB,23,FALSE),"")</f>
        <v/>
      </c>
      <c r="O126" t="str">
        <f>IFERROR(VLOOKUP(D126,'Team Data'!C:AB,22,FALSE),"")</f>
        <v/>
      </c>
      <c r="P126" t="str">
        <f t="shared" si="5"/>
        <v/>
      </c>
      <c r="Q126" t="str">
        <f>IFERROR(VLOOKUP(D126,'Team Data'!C:AB,15,FALSE),"")</f>
        <v/>
      </c>
      <c r="R126" t="str">
        <f>IFERROR(VLOOKUP('OB Format'!D126,'Team Data'!C:AB,24,FALSE),"")</f>
        <v/>
      </c>
      <c r="S126" t="str">
        <f>IFERROR(VLOOKUP('OB Format'!D126,'Team Data'!C:AC,25,FALSE),"")</f>
        <v/>
      </c>
    </row>
    <row r="127" spans="5:19" x14ac:dyDescent="0.25">
      <c r="E127" t="str">
        <f>IFERROR(VLOOKUP(D127,'Team Data'!C:AB,4,FALSE),"")</f>
        <v/>
      </c>
      <c r="F127" t="str">
        <f>IFERROR(VLOOKUP(D127,'Team Data'!C:AB,5,FALSE),"")</f>
        <v/>
      </c>
      <c r="G127" t="str">
        <f>IFERROR(VLOOKUP('OB Format'!D127,'Team Data'!C:AB,17,FALSE),"")</f>
        <v/>
      </c>
      <c r="H127" t="str">
        <f>IFERROR(VLOOKUP(D127,'Team Data'!C:AB,7,FALSE),"")</f>
        <v/>
      </c>
      <c r="I127" t="str">
        <f>IFERROR(VLOOKUP(D127,'Team Data'!C:AB,14,FALSE),"")</f>
        <v/>
      </c>
      <c r="J127" t="str">
        <f>IFERROR(VLOOKUP(D127,'Team Data'!C:AB,8,FALSE),"")</f>
        <v/>
      </c>
      <c r="K127" t="str">
        <f>IFERROR(VLOOKUP(D127,'Team Data'!C:AB,9,FALSE),"")</f>
        <v/>
      </c>
      <c r="L127" t="str">
        <f>IFERROR(VLOOKUP(D127,'Team Data'!C:AB,10,FALSE),"")</f>
        <v/>
      </c>
      <c r="M127" t="str">
        <f t="shared" si="4"/>
        <v/>
      </c>
      <c r="N127" t="str">
        <f>IFERROR(VLOOKUP(D127,'Team Data'!C:AB,23,FALSE),"")</f>
        <v/>
      </c>
      <c r="O127" t="str">
        <f>IFERROR(VLOOKUP(D127,'Team Data'!C:AB,22,FALSE),"")</f>
        <v/>
      </c>
      <c r="P127" t="str">
        <f t="shared" si="5"/>
        <v/>
      </c>
      <c r="Q127" t="str">
        <f>IFERROR(VLOOKUP(D127,'Team Data'!C:AB,15,FALSE),"")</f>
        <v/>
      </c>
      <c r="R127" t="str">
        <f>IFERROR(VLOOKUP('OB Format'!D127,'Team Data'!C:AB,24,FALSE),"")</f>
        <v/>
      </c>
      <c r="S127" t="str">
        <f>IFERROR(VLOOKUP('OB Format'!D127,'Team Data'!C:AC,25,FALSE),"")</f>
        <v/>
      </c>
    </row>
    <row r="128" spans="5:19" x14ac:dyDescent="0.25">
      <c r="E128" t="str">
        <f>IFERROR(VLOOKUP(D128,'Team Data'!C:AB,4,FALSE),"")</f>
        <v/>
      </c>
      <c r="F128" t="str">
        <f>IFERROR(VLOOKUP(D128,'Team Data'!C:AB,5,FALSE),"")</f>
        <v/>
      </c>
      <c r="G128" t="str">
        <f>IFERROR(VLOOKUP('OB Format'!D128,'Team Data'!C:AB,17,FALSE),"")</f>
        <v/>
      </c>
      <c r="H128" t="str">
        <f>IFERROR(VLOOKUP(D128,'Team Data'!C:AB,7,FALSE),"")</f>
        <v/>
      </c>
      <c r="I128" t="str">
        <f>IFERROR(VLOOKUP(D128,'Team Data'!C:AB,14,FALSE),"")</f>
        <v/>
      </c>
      <c r="J128" t="str">
        <f>IFERROR(VLOOKUP(D128,'Team Data'!C:AB,8,FALSE),"")</f>
        <v/>
      </c>
      <c r="K128" t="str">
        <f>IFERROR(VLOOKUP(D128,'Team Data'!C:AB,9,FALSE),"")</f>
        <v/>
      </c>
      <c r="L128" t="str">
        <f>IFERROR(VLOOKUP(D128,'Team Data'!C:AB,10,FALSE),"")</f>
        <v/>
      </c>
      <c r="M128" t="str">
        <f t="shared" si="4"/>
        <v/>
      </c>
      <c r="N128" t="str">
        <f>IFERROR(VLOOKUP(D128,'Team Data'!C:AB,23,FALSE),"")</f>
        <v/>
      </c>
      <c r="O128" t="str">
        <f>IFERROR(VLOOKUP(D128,'Team Data'!C:AB,22,FALSE),"")</f>
        <v/>
      </c>
      <c r="P128" t="str">
        <f t="shared" si="5"/>
        <v/>
      </c>
      <c r="Q128" t="str">
        <f>IFERROR(VLOOKUP(D128,'Team Data'!C:AB,15,FALSE),"")</f>
        <v/>
      </c>
      <c r="R128" t="str">
        <f>IFERROR(VLOOKUP('OB Format'!D128,'Team Data'!C:AB,24,FALSE),"")</f>
        <v/>
      </c>
      <c r="S128" t="str">
        <f>IFERROR(VLOOKUP('OB Format'!D128,'Team Data'!C:AC,25,FALSE),"")</f>
        <v/>
      </c>
    </row>
    <row r="129" spans="5:19" x14ac:dyDescent="0.25">
      <c r="E129" t="str">
        <f>IFERROR(VLOOKUP(D129,'Team Data'!C:AB,4,FALSE),"")</f>
        <v/>
      </c>
      <c r="F129" t="str">
        <f>IFERROR(VLOOKUP(D129,'Team Data'!C:AB,5,FALSE),"")</f>
        <v/>
      </c>
      <c r="G129" t="str">
        <f>IFERROR(VLOOKUP('OB Format'!D129,'Team Data'!C:AB,17,FALSE),"")</f>
        <v/>
      </c>
      <c r="H129" t="str">
        <f>IFERROR(VLOOKUP(D129,'Team Data'!C:AB,7,FALSE),"")</f>
        <v/>
      </c>
      <c r="I129" t="str">
        <f>IFERROR(VLOOKUP(D129,'Team Data'!C:AB,14,FALSE),"")</f>
        <v/>
      </c>
      <c r="J129" t="str">
        <f>IFERROR(VLOOKUP(D129,'Team Data'!C:AB,8,FALSE),"")</f>
        <v/>
      </c>
      <c r="K129" t="str">
        <f>IFERROR(VLOOKUP(D129,'Team Data'!C:AB,9,FALSE),"")</f>
        <v/>
      </c>
      <c r="L129" t="str">
        <f>IFERROR(VLOOKUP(D129,'Team Data'!C:AB,10,FALSE),"")</f>
        <v/>
      </c>
      <c r="M129" t="str">
        <f t="shared" si="4"/>
        <v/>
      </c>
      <c r="N129" t="str">
        <f>IFERROR(VLOOKUP(D129,'Team Data'!C:AB,23,FALSE),"")</f>
        <v/>
      </c>
      <c r="O129" t="str">
        <f>IFERROR(VLOOKUP(D129,'Team Data'!C:AB,22,FALSE),"")</f>
        <v/>
      </c>
      <c r="P129" t="str">
        <f t="shared" si="5"/>
        <v/>
      </c>
      <c r="Q129" t="str">
        <f>IFERROR(VLOOKUP(D129,'Team Data'!C:AB,15,FALSE),"")</f>
        <v/>
      </c>
      <c r="R129" t="str">
        <f>IFERROR(VLOOKUP('OB Format'!D129,'Team Data'!C:AB,24,FALSE),"")</f>
        <v/>
      </c>
      <c r="S129" t="str">
        <f>IFERROR(VLOOKUP('OB Format'!D129,'Team Data'!C:AC,25,FALSE),"")</f>
        <v/>
      </c>
    </row>
    <row r="130" spans="5:19" x14ac:dyDescent="0.25">
      <c r="E130" t="str">
        <f>IFERROR(VLOOKUP(D130,'Team Data'!C:AB,4,FALSE),"")</f>
        <v/>
      </c>
      <c r="F130" t="str">
        <f>IFERROR(VLOOKUP(D130,'Team Data'!C:AB,5,FALSE),"")</f>
        <v/>
      </c>
      <c r="G130" t="str">
        <f>IFERROR(VLOOKUP('OB Format'!D130,'Team Data'!C:AB,17,FALSE),"")</f>
        <v/>
      </c>
      <c r="H130" t="str">
        <f>IFERROR(VLOOKUP(D130,'Team Data'!C:AB,7,FALSE),"")</f>
        <v/>
      </c>
      <c r="I130" t="str">
        <f>IFERROR(VLOOKUP(D130,'Team Data'!C:AB,14,FALSE),"")</f>
        <v/>
      </c>
      <c r="J130" t="str">
        <f>IFERROR(VLOOKUP(D130,'Team Data'!C:AB,8,FALSE),"")</f>
        <v/>
      </c>
      <c r="K130" t="str">
        <f>IFERROR(VLOOKUP(D130,'Team Data'!C:AB,9,FALSE),"")</f>
        <v/>
      </c>
      <c r="L130" t="str">
        <f>IFERROR(VLOOKUP(D130,'Team Data'!C:AB,10,FALSE),"")</f>
        <v/>
      </c>
      <c r="M130" t="str">
        <f t="shared" si="4"/>
        <v/>
      </c>
      <c r="N130" t="str">
        <f>IFERROR(VLOOKUP(D130,'Team Data'!C:AB,23,FALSE),"")</f>
        <v/>
      </c>
      <c r="O130" t="str">
        <f>IFERROR(VLOOKUP(D130,'Team Data'!C:AB,22,FALSE),"")</f>
        <v/>
      </c>
      <c r="P130" t="str">
        <f t="shared" si="5"/>
        <v/>
      </c>
      <c r="Q130" t="str">
        <f>IFERROR(VLOOKUP(D130,'Team Data'!C:AB,15,FALSE),"")</f>
        <v/>
      </c>
      <c r="R130" t="str">
        <f>IFERROR(VLOOKUP('OB Format'!D130,'Team Data'!C:AB,24,FALSE),"")</f>
        <v/>
      </c>
      <c r="S130" t="str">
        <f>IFERROR(VLOOKUP('OB Format'!D130,'Team Data'!C:AC,25,FALSE),"")</f>
        <v/>
      </c>
    </row>
    <row r="131" spans="5:19" x14ac:dyDescent="0.25">
      <c r="E131" t="str">
        <f>IFERROR(VLOOKUP(D131,'Team Data'!C:AB,4,FALSE),"")</f>
        <v/>
      </c>
      <c r="F131" t="str">
        <f>IFERROR(VLOOKUP(D131,'Team Data'!C:AB,5,FALSE),"")</f>
        <v/>
      </c>
      <c r="G131" t="str">
        <f>IFERROR(VLOOKUP('OB Format'!D131,'Team Data'!C:AB,17,FALSE),"")</f>
        <v/>
      </c>
      <c r="H131" t="str">
        <f>IFERROR(VLOOKUP(D131,'Team Data'!C:AB,7,FALSE),"")</f>
        <v/>
      </c>
      <c r="I131" t="str">
        <f>IFERROR(VLOOKUP(D131,'Team Data'!C:AB,14,FALSE),"")</f>
        <v/>
      </c>
      <c r="J131" t="str">
        <f>IFERROR(VLOOKUP(D131,'Team Data'!C:AB,8,FALSE),"")</f>
        <v/>
      </c>
      <c r="K131" t="str">
        <f>IFERROR(VLOOKUP(D131,'Team Data'!C:AB,9,FALSE),"")</f>
        <v/>
      </c>
      <c r="L131" t="str">
        <f>IFERROR(VLOOKUP(D131,'Team Data'!C:AB,10,FALSE),"")</f>
        <v/>
      </c>
      <c r="M131" t="str">
        <f t="shared" si="4"/>
        <v/>
      </c>
      <c r="N131" t="str">
        <f>IFERROR(VLOOKUP(D131,'Team Data'!C:AB,23,FALSE),"")</f>
        <v/>
      </c>
      <c r="O131" t="str">
        <f>IFERROR(VLOOKUP(D131,'Team Data'!C:AB,22,FALSE),"")</f>
        <v/>
      </c>
      <c r="P131" t="str">
        <f t="shared" si="5"/>
        <v/>
      </c>
      <c r="Q131" t="str">
        <f>IFERROR(VLOOKUP(D131,'Team Data'!C:AB,15,FALSE),"")</f>
        <v/>
      </c>
      <c r="R131" t="str">
        <f>IFERROR(VLOOKUP('OB Format'!D131,'Team Data'!C:AB,24,FALSE),"")</f>
        <v/>
      </c>
      <c r="S131" t="str">
        <f>IFERROR(VLOOKUP('OB Format'!D131,'Team Data'!C:AC,25,FALSE),"")</f>
        <v/>
      </c>
    </row>
    <row r="132" spans="5:19" x14ac:dyDescent="0.25">
      <c r="E132" t="str">
        <f>IFERROR(VLOOKUP(D132,'Team Data'!C:AB,4,FALSE),"")</f>
        <v/>
      </c>
      <c r="F132" t="str">
        <f>IFERROR(VLOOKUP(D132,'Team Data'!C:AB,5,FALSE),"")</f>
        <v/>
      </c>
      <c r="G132" t="str">
        <f>IFERROR(VLOOKUP('OB Format'!D132,'Team Data'!C:AB,17,FALSE),"")</f>
        <v/>
      </c>
      <c r="H132" t="str">
        <f>IFERROR(VLOOKUP(D132,'Team Data'!C:AB,7,FALSE),"")</f>
        <v/>
      </c>
      <c r="I132" t="str">
        <f>IFERROR(VLOOKUP(D132,'Team Data'!C:AB,14,FALSE),"")</f>
        <v/>
      </c>
      <c r="J132" t="str">
        <f>IFERROR(VLOOKUP(D132,'Team Data'!C:AB,8,FALSE),"")</f>
        <v/>
      </c>
      <c r="K132" t="str">
        <f>IFERROR(VLOOKUP(D132,'Team Data'!C:AB,9,FALSE),"")</f>
        <v/>
      </c>
      <c r="L132" t="str">
        <f>IFERROR(VLOOKUP(D132,'Team Data'!C:AB,10,FALSE),"")</f>
        <v/>
      </c>
      <c r="M132" t="str">
        <f t="shared" si="4"/>
        <v/>
      </c>
      <c r="N132" t="str">
        <f>IFERROR(VLOOKUP(D132,'Team Data'!C:AB,23,FALSE),"")</f>
        <v/>
      </c>
      <c r="O132" t="str">
        <f>IFERROR(VLOOKUP(D132,'Team Data'!C:AB,22,FALSE),"")</f>
        <v/>
      </c>
      <c r="P132" t="str">
        <f t="shared" si="5"/>
        <v/>
      </c>
      <c r="Q132" t="str">
        <f>IFERROR(VLOOKUP(D132,'Team Data'!C:AB,15,FALSE),"")</f>
        <v/>
      </c>
      <c r="R132" t="str">
        <f>IFERROR(VLOOKUP('OB Format'!D132,'Team Data'!C:AB,24,FALSE),"")</f>
        <v/>
      </c>
      <c r="S132" t="str">
        <f>IFERROR(VLOOKUP('OB Format'!D132,'Team Data'!C:AC,25,FALSE),"")</f>
        <v/>
      </c>
    </row>
    <row r="133" spans="5:19" x14ac:dyDescent="0.25">
      <c r="E133" t="str">
        <f>IFERROR(VLOOKUP(D133,'Team Data'!C:AB,4,FALSE),"")</f>
        <v/>
      </c>
      <c r="F133" t="str">
        <f>IFERROR(VLOOKUP(D133,'Team Data'!C:AB,5,FALSE),"")</f>
        <v/>
      </c>
      <c r="G133" t="str">
        <f>IFERROR(VLOOKUP('OB Format'!D133,'Team Data'!C:AB,17,FALSE),"")</f>
        <v/>
      </c>
      <c r="H133" t="str">
        <f>IFERROR(VLOOKUP(D133,'Team Data'!C:AB,7,FALSE),"")</f>
        <v/>
      </c>
      <c r="I133" t="str">
        <f>IFERROR(VLOOKUP(D133,'Team Data'!C:AB,14,FALSE),"")</f>
        <v/>
      </c>
      <c r="J133" t="str">
        <f>IFERROR(VLOOKUP(D133,'Team Data'!C:AB,8,FALSE),"")</f>
        <v/>
      </c>
      <c r="K133" t="str">
        <f>IFERROR(VLOOKUP(D133,'Team Data'!C:AB,9,FALSE),"")</f>
        <v/>
      </c>
      <c r="L133" t="str">
        <f>IFERROR(VLOOKUP(D133,'Team Data'!C:AB,10,FALSE),"")</f>
        <v/>
      </c>
      <c r="M133" t="str">
        <f t="shared" si="4"/>
        <v/>
      </c>
      <c r="N133" t="str">
        <f>IFERROR(VLOOKUP(D133,'Team Data'!C:AB,23,FALSE),"")</f>
        <v/>
      </c>
      <c r="O133" t="str">
        <f>IFERROR(VLOOKUP(D133,'Team Data'!C:AB,22,FALSE),"")</f>
        <v/>
      </c>
      <c r="P133" t="str">
        <f t="shared" si="5"/>
        <v/>
      </c>
      <c r="Q133" t="str">
        <f>IFERROR(VLOOKUP(D133,'Team Data'!C:AB,15,FALSE),"")</f>
        <v/>
      </c>
      <c r="R133" t="str">
        <f>IFERROR(VLOOKUP('OB Format'!D133,'Team Data'!C:AB,24,FALSE),"")</f>
        <v/>
      </c>
      <c r="S133" t="str">
        <f>IFERROR(VLOOKUP('OB Format'!D133,'Team Data'!C:AC,25,FALSE),"")</f>
        <v/>
      </c>
    </row>
    <row r="134" spans="5:19" x14ac:dyDescent="0.25">
      <c r="E134" t="str">
        <f>IFERROR(VLOOKUP(D134,'Team Data'!C:AB,4,FALSE),"")</f>
        <v/>
      </c>
      <c r="F134" t="str">
        <f>IFERROR(VLOOKUP(D134,'Team Data'!C:AB,5,FALSE),"")</f>
        <v/>
      </c>
      <c r="G134" t="str">
        <f>IFERROR(VLOOKUP('OB Format'!D134,'Team Data'!C:AB,17,FALSE),"")</f>
        <v/>
      </c>
      <c r="H134" t="str">
        <f>IFERROR(VLOOKUP(D134,'Team Data'!C:AB,7,FALSE),"")</f>
        <v/>
      </c>
      <c r="I134" t="str">
        <f>IFERROR(VLOOKUP(D134,'Team Data'!C:AB,14,FALSE),"")</f>
        <v/>
      </c>
      <c r="J134" t="str">
        <f>IFERROR(VLOOKUP(D134,'Team Data'!C:AB,8,FALSE),"")</f>
        <v/>
      </c>
      <c r="K134" t="str">
        <f>IFERROR(VLOOKUP(D134,'Team Data'!C:AB,9,FALSE),"")</f>
        <v/>
      </c>
      <c r="L134" t="str">
        <f>IFERROR(VLOOKUP(D134,'Team Data'!C:AB,10,FALSE),"")</f>
        <v/>
      </c>
      <c r="M134" t="str">
        <f t="shared" si="4"/>
        <v/>
      </c>
      <c r="N134" t="str">
        <f>IFERROR(VLOOKUP(D134,'Team Data'!C:AB,23,FALSE),"")</f>
        <v/>
      </c>
      <c r="O134" t="str">
        <f>IFERROR(VLOOKUP(D134,'Team Data'!C:AB,22,FALSE),"")</f>
        <v/>
      </c>
      <c r="P134" t="str">
        <f t="shared" si="5"/>
        <v/>
      </c>
      <c r="Q134" t="str">
        <f>IFERROR(VLOOKUP(D134,'Team Data'!C:AB,15,FALSE),"")</f>
        <v/>
      </c>
      <c r="R134" t="str">
        <f>IFERROR(VLOOKUP('OB Format'!D134,'Team Data'!C:AB,24,FALSE),"")</f>
        <v/>
      </c>
      <c r="S134" t="str">
        <f>IFERROR(VLOOKUP('OB Format'!D134,'Team Data'!C:AC,25,FALSE),"")</f>
        <v/>
      </c>
    </row>
    <row r="135" spans="5:19" x14ac:dyDescent="0.25">
      <c r="E135" t="str">
        <f>IFERROR(VLOOKUP(D135,'Team Data'!C:AB,4,FALSE),"")</f>
        <v/>
      </c>
      <c r="F135" t="str">
        <f>IFERROR(VLOOKUP(D135,'Team Data'!C:AB,5,FALSE),"")</f>
        <v/>
      </c>
      <c r="G135" t="str">
        <f>IFERROR(VLOOKUP('OB Format'!D135,'Team Data'!C:AB,17,FALSE),"")</f>
        <v/>
      </c>
      <c r="H135" t="str">
        <f>IFERROR(VLOOKUP(D135,'Team Data'!C:AB,7,FALSE),"")</f>
        <v/>
      </c>
      <c r="I135" t="str">
        <f>IFERROR(VLOOKUP(D135,'Team Data'!C:AB,14,FALSE),"")</f>
        <v/>
      </c>
      <c r="J135" t="str">
        <f>IFERROR(VLOOKUP(D135,'Team Data'!C:AB,8,FALSE),"")</f>
        <v/>
      </c>
      <c r="K135" t="str">
        <f>IFERROR(VLOOKUP(D135,'Team Data'!C:AB,9,FALSE),"")</f>
        <v/>
      </c>
      <c r="L135" t="str">
        <f>IFERROR(VLOOKUP(D135,'Team Data'!C:AB,10,FALSE),"")</f>
        <v/>
      </c>
      <c r="M135" t="str">
        <f t="shared" si="4"/>
        <v/>
      </c>
      <c r="N135" t="str">
        <f>IFERROR(VLOOKUP(D135,'Team Data'!C:AB,23,FALSE),"")</f>
        <v/>
      </c>
      <c r="O135" t="str">
        <f>IFERROR(VLOOKUP(D135,'Team Data'!C:AB,22,FALSE),"")</f>
        <v/>
      </c>
      <c r="P135" t="str">
        <f t="shared" si="5"/>
        <v/>
      </c>
      <c r="Q135" t="str">
        <f>IFERROR(VLOOKUP(D135,'Team Data'!C:AB,15,FALSE),"")</f>
        <v/>
      </c>
      <c r="R135" t="str">
        <f>IFERROR(VLOOKUP('OB Format'!D135,'Team Data'!C:AB,24,FALSE),"")</f>
        <v/>
      </c>
      <c r="S135" t="str">
        <f>IFERROR(VLOOKUP('OB Format'!D135,'Team Data'!C:AC,25,FALSE),"")</f>
        <v/>
      </c>
    </row>
    <row r="136" spans="5:19" x14ac:dyDescent="0.25">
      <c r="E136" t="str">
        <f>IFERROR(VLOOKUP(D136,'Team Data'!C:AB,4,FALSE),"")</f>
        <v/>
      </c>
      <c r="F136" t="str">
        <f>IFERROR(VLOOKUP(D136,'Team Data'!C:AB,5,FALSE),"")</f>
        <v/>
      </c>
      <c r="G136" t="str">
        <f>IFERROR(VLOOKUP('OB Format'!D136,'Team Data'!C:AB,17,FALSE),"")</f>
        <v/>
      </c>
      <c r="H136" t="str">
        <f>IFERROR(VLOOKUP(D136,'Team Data'!C:AB,7,FALSE),"")</f>
        <v/>
      </c>
      <c r="I136" t="str">
        <f>IFERROR(VLOOKUP(D136,'Team Data'!C:AB,14,FALSE),"")</f>
        <v/>
      </c>
      <c r="J136" t="str">
        <f>IFERROR(VLOOKUP(D136,'Team Data'!C:AB,8,FALSE),"")</f>
        <v/>
      </c>
      <c r="K136" t="str">
        <f>IFERROR(VLOOKUP(D136,'Team Data'!C:AB,9,FALSE),"")</f>
        <v/>
      </c>
      <c r="L136" t="str">
        <f>IFERROR(VLOOKUP(D136,'Team Data'!C:AB,10,FALSE),"")</f>
        <v/>
      </c>
      <c r="M136" t="str">
        <f t="shared" si="4"/>
        <v/>
      </c>
      <c r="N136" t="str">
        <f>IFERROR(VLOOKUP(D136,'Team Data'!C:AB,23,FALSE),"")</f>
        <v/>
      </c>
      <c r="O136" t="str">
        <f>IFERROR(VLOOKUP(D136,'Team Data'!C:AB,22,FALSE),"")</f>
        <v/>
      </c>
      <c r="P136" t="str">
        <f t="shared" si="5"/>
        <v/>
      </c>
      <c r="Q136" t="str">
        <f>IFERROR(VLOOKUP(D136,'Team Data'!C:AB,15,FALSE),"")</f>
        <v/>
      </c>
      <c r="R136" t="str">
        <f>IFERROR(VLOOKUP('OB Format'!D136,'Team Data'!C:AB,24,FALSE),"")</f>
        <v/>
      </c>
      <c r="S136" t="str">
        <f>IFERROR(VLOOKUP('OB Format'!D136,'Team Data'!C:AC,25,FALSE),"")</f>
        <v/>
      </c>
    </row>
    <row r="137" spans="5:19" x14ac:dyDescent="0.25">
      <c r="E137" t="str">
        <f>IFERROR(VLOOKUP(D137,'Team Data'!C:AB,4,FALSE),"")</f>
        <v/>
      </c>
      <c r="F137" t="str">
        <f>IFERROR(VLOOKUP(D137,'Team Data'!C:AB,5,FALSE),"")</f>
        <v/>
      </c>
      <c r="G137" t="str">
        <f>IFERROR(VLOOKUP('OB Format'!D137,'Team Data'!C:AB,17,FALSE),"")</f>
        <v/>
      </c>
      <c r="H137" t="str">
        <f>IFERROR(VLOOKUP(D137,'Team Data'!C:AB,7,FALSE),"")</f>
        <v/>
      </c>
      <c r="I137" t="str">
        <f>IFERROR(VLOOKUP(D137,'Team Data'!C:AB,14,FALSE),"")</f>
        <v/>
      </c>
      <c r="J137" t="str">
        <f>IFERROR(VLOOKUP(D137,'Team Data'!C:AB,8,FALSE),"")</f>
        <v/>
      </c>
      <c r="K137" t="str">
        <f>IFERROR(VLOOKUP(D137,'Team Data'!C:AB,9,FALSE),"")</f>
        <v/>
      </c>
      <c r="L137" t="str">
        <f>IFERROR(VLOOKUP(D137,'Team Data'!C:AB,10,FALSE),"")</f>
        <v/>
      </c>
      <c r="M137" t="str">
        <f t="shared" si="4"/>
        <v/>
      </c>
      <c r="N137" t="str">
        <f>IFERROR(VLOOKUP(D137,'Team Data'!C:AB,23,FALSE),"")</f>
        <v/>
      </c>
      <c r="O137" t="str">
        <f>IFERROR(VLOOKUP(D137,'Team Data'!C:AB,22,FALSE),"")</f>
        <v/>
      </c>
      <c r="P137" t="str">
        <f t="shared" si="5"/>
        <v/>
      </c>
      <c r="Q137" t="str">
        <f>IFERROR(VLOOKUP(D137,'Team Data'!C:AB,15,FALSE),"")</f>
        <v/>
      </c>
      <c r="R137" t="str">
        <f>IFERROR(VLOOKUP('OB Format'!D137,'Team Data'!C:AB,24,FALSE),"")</f>
        <v/>
      </c>
      <c r="S137" t="str">
        <f>IFERROR(VLOOKUP('OB Format'!D137,'Team Data'!C:AC,25,FALSE),"")</f>
        <v/>
      </c>
    </row>
    <row r="138" spans="5:19" x14ac:dyDescent="0.25">
      <c r="E138" t="str">
        <f>IFERROR(VLOOKUP(D138,'Team Data'!C:AB,4,FALSE),"")</f>
        <v/>
      </c>
      <c r="F138" t="str">
        <f>IFERROR(VLOOKUP(D138,'Team Data'!C:AB,5,FALSE),"")</f>
        <v/>
      </c>
      <c r="G138" t="str">
        <f>IFERROR(VLOOKUP('OB Format'!D138,'Team Data'!C:AB,17,FALSE),"")</f>
        <v/>
      </c>
      <c r="H138" t="str">
        <f>IFERROR(VLOOKUP(D138,'Team Data'!C:AB,7,FALSE),"")</f>
        <v/>
      </c>
      <c r="I138" t="str">
        <f>IFERROR(VLOOKUP(D138,'Team Data'!C:AB,14,FALSE),"")</f>
        <v/>
      </c>
      <c r="J138" t="str">
        <f>IFERROR(VLOOKUP(D138,'Team Data'!C:AB,8,FALSE),"")</f>
        <v/>
      </c>
      <c r="K138" t="str">
        <f>IFERROR(VLOOKUP(D138,'Team Data'!C:AB,9,FALSE),"")</f>
        <v/>
      </c>
      <c r="L138" t="str">
        <f>IFERROR(VLOOKUP(D138,'Team Data'!C:AB,10,FALSE),"")</f>
        <v/>
      </c>
      <c r="M138" t="str">
        <f t="shared" si="4"/>
        <v/>
      </c>
      <c r="N138" t="str">
        <f>IFERROR(VLOOKUP(D138,'Team Data'!C:AB,23,FALSE),"")</f>
        <v/>
      </c>
      <c r="O138" t="str">
        <f>IFERROR(VLOOKUP(D138,'Team Data'!C:AB,22,FALSE),"")</f>
        <v/>
      </c>
      <c r="P138" t="str">
        <f t="shared" si="5"/>
        <v/>
      </c>
      <c r="Q138" t="str">
        <f>IFERROR(VLOOKUP(D138,'Team Data'!C:AB,15,FALSE),"")</f>
        <v/>
      </c>
      <c r="R138" t="str">
        <f>IFERROR(VLOOKUP('OB Format'!D138,'Team Data'!C:AB,24,FALSE),"")</f>
        <v/>
      </c>
      <c r="S138" t="str">
        <f>IFERROR(VLOOKUP('OB Format'!D138,'Team Data'!C:AC,25,FALSE),"")</f>
        <v/>
      </c>
    </row>
    <row r="139" spans="5:19" x14ac:dyDescent="0.25">
      <c r="E139" t="str">
        <f>IFERROR(VLOOKUP(D139,'Team Data'!C:AB,4,FALSE),"")</f>
        <v/>
      </c>
      <c r="F139" t="str">
        <f>IFERROR(VLOOKUP(D139,'Team Data'!C:AB,5,FALSE),"")</f>
        <v/>
      </c>
      <c r="G139" t="str">
        <f>IFERROR(VLOOKUP('OB Format'!D139,'Team Data'!C:AB,17,FALSE),"")</f>
        <v/>
      </c>
      <c r="H139" t="str">
        <f>IFERROR(VLOOKUP(D139,'Team Data'!C:AB,7,FALSE),"")</f>
        <v/>
      </c>
      <c r="I139" t="str">
        <f>IFERROR(VLOOKUP(D139,'Team Data'!C:AB,14,FALSE),"")</f>
        <v/>
      </c>
      <c r="J139" t="str">
        <f>IFERROR(VLOOKUP(D139,'Team Data'!C:AB,8,FALSE),"")</f>
        <v/>
      </c>
      <c r="K139" t="str">
        <f>IFERROR(VLOOKUP(D139,'Team Data'!C:AB,9,FALSE),"")</f>
        <v/>
      </c>
      <c r="L139" t="str">
        <f>IFERROR(VLOOKUP(D139,'Team Data'!C:AB,10,FALSE),"")</f>
        <v/>
      </c>
      <c r="M139" t="str">
        <f t="shared" si="4"/>
        <v/>
      </c>
      <c r="N139" t="str">
        <f>IFERROR(VLOOKUP(D139,'Team Data'!C:AB,23,FALSE),"")</f>
        <v/>
      </c>
      <c r="O139" t="str">
        <f>IFERROR(VLOOKUP(D139,'Team Data'!C:AB,22,FALSE),"")</f>
        <v/>
      </c>
      <c r="P139" t="str">
        <f t="shared" si="5"/>
        <v/>
      </c>
      <c r="Q139" t="str">
        <f>IFERROR(VLOOKUP(D139,'Team Data'!C:AB,15,FALSE),"")</f>
        <v/>
      </c>
      <c r="R139" t="str">
        <f>IFERROR(VLOOKUP('OB Format'!D139,'Team Data'!C:AB,24,FALSE),"")</f>
        <v/>
      </c>
      <c r="S139" t="str">
        <f>IFERROR(VLOOKUP('OB Format'!D139,'Team Data'!C:AC,25,FALSE),"")</f>
        <v/>
      </c>
    </row>
    <row r="140" spans="5:19" x14ac:dyDescent="0.25">
      <c r="E140" t="str">
        <f>IFERROR(VLOOKUP(D140,'Team Data'!C:AB,4,FALSE),"")</f>
        <v/>
      </c>
      <c r="F140" t="str">
        <f>IFERROR(VLOOKUP(D140,'Team Data'!C:AB,5,FALSE),"")</f>
        <v/>
      </c>
      <c r="G140" t="str">
        <f>IFERROR(VLOOKUP('OB Format'!D140,'Team Data'!C:AB,17,FALSE),"")</f>
        <v/>
      </c>
      <c r="H140" t="str">
        <f>IFERROR(VLOOKUP(D140,'Team Data'!C:AB,7,FALSE),"")</f>
        <v/>
      </c>
      <c r="I140" t="str">
        <f>IFERROR(VLOOKUP(D140,'Team Data'!C:AB,14,FALSE),"")</f>
        <v/>
      </c>
      <c r="J140" t="str">
        <f>IFERROR(VLOOKUP(D140,'Team Data'!C:AB,8,FALSE),"")</f>
        <v/>
      </c>
      <c r="K140" t="str">
        <f>IFERROR(VLOOKUP(D140,'Team Data'!C:AB,9,FALSE),"")</f>
        <v/>
      </c>
      <c r="L140" t="str">
        <f>IFERROR(VLOOKUP(D140,'Team Data'!C:AB,10,FALSE),"")</f>
        <v/>
      </c>
      <c r="M140" t="str">
        <f t="shared" si="4"/>
        <v/>
      </c>
      <c r="N140" t="str">
        <f>IFERROR(VLOOKUP(D140,'Team Data'!C:AB,23,FALSE),"")</f>
        <v/>
      </c>
      <c r="O140" t="str">
        <f>IFERROR(VLOOKUP(D140,'Team Data'!C:AB,22,FALSE),"")</f>
        <v/>
      </c>
      <c r="P140" t="str">
        <f t="shared" si="5"/>
        <v/>
      </c>
      <c r="Q140" t="str">
        <f>IFERROR(VLOOKUP(D140,'Team Data'!C:AB,15,FALSE),"")</f>
        <v/>
      </c>
      <c r="R140" t="str">
        <f>IFERROR(VLOOKUP('OB Format'!D140,'Team Data'!C:AB,24,FALSE),"")</f>
        <v/>
      </c>
      <c r="S140" t="str">
        <f>IFERROR(VLOOKUP('OB Format'!D140,'Team Data'!C:AC,25,FALSE),"")</f>
        <v/>
      </c>
    </row>
    <row r="141" spans="5:19" x14ac:dyDescent="0.25">
      <c r="E141" t="str">
        <f>IFERROR(VLOOKUP(D141,'Team Data'!C:AB,4,FALSE),"")</f>
        <v/>
      </c>
      <c r="F141" t="str">
        <f>IFERROR(VLOOKUP(D141,'Team Data'!C:AB,5,FALSE),"")</f>
        <v/>
      </c>
      <c r="G141" t="str">
        <f>IFERROR(VLOOKUP('OB Format'!D141,'Team Data'!C:AB,17,FALSE),"")</f>
        <v/>
      </c>
      <c r="H141" t="str">
        <f>IFERROR(VLOOKUP(D141,'Team Data'!C:AB,7,FALSE),"")</f>
        <v/>
      </c>
      <c r="I141" t="str">
        <f>IFERROR(VLOOKUP(D141,'Team Data'!C:AB,14,FALSE),"")</f>
        <v/>
      </c>
      <c r="J141" t="str">
        <f>IFERROR(VLOOKUP(D141,'Team Data'!C:AB,8,FALSE),"")</f>
        <v/>
      </c>
      <c r="K141" t="str">
        <f>IFERROR(VLOOKUP(D141,'Team Data'!C:AB,9,FALSE),"")</f>
        <v/>
      </c>
      <c r="L141" t="str">
        <f>IFERROR(VLOOKUP(D141,'Team Data'!C:AB,10,FALSE),"")</f>
        <v/>
      </c>
      <c r="M141" t="str">
        <f t="shared" ref="M141:M204" si="6">IFERROR(H141-(J141+L141+K141),"")</f>
        <v/>
      </c>
      <c r="N141" t="str">
        <f>IFERROR(VLOOKUP(D141,'Team Data'!C:AB,23,FALSE),"")</f>
        <v/>
      </c>
      <c r="O141" t="str">
        <f>IFERROR(VLOOKUP(D141,'Team Data'!C:AB,22,FALSE),"")</f>
        <v/>
      </c>
      <c r="P141" t="str">
        <f t="shared" ref="P141:P204" si="7">IFERROR(E141-(H141+N141+Q141+I141+O141),"")</f>
        <v/>
      </c>
      <c r="Q141" t="str">
        <f>IFERROR(VLOOKUP(D141,'Team Data'!C:AB,15,FALSE),"")</f>
        <v/>
      </c>
      <c r="R141" t="str">
        <f>IFERROR(VLOOKUP('OB Format'!D141,'Team Data'!C:AB,24,FALSE),"")</f>
        <v/>
      </c>
      <c r="S141" t="str">
        <f>IFERROR(VLOOKUP('OB Format'!D141,'Team Data'!C:AC,25,FALSE),"")</f>
        <v/>
      </c>
    </row>
    <row r="142" spans="5:19" x14ac:dyDescent="0.25">
      <c r="E142" t="str">
        <f>IFERROR(VLOOKUP(D142,'Team Data'!C:AB,4,FALSE),"")</f>
        <v/>
      </c>
      <c r="F142" t="str">
        <f>IFERROR(VLOOKUP(D142,'Team Data'!C:AB,5,FALSE),"")</f>
        <v/>
      </c>
      <c r="G142" t="str">
        <f>IFERROR(VLOOKUP('OB Format'!D142,'Team Data'!C:AB,17,FALSE),"")</f>
        <v/>
      </c>
      <c r="H142" t="str">
        <f>IFERROR(VLOOKUP(D142,'Team Data'!C:AB,7,FALSE),"")</f>
        <v/>
      </c>
      <c r="I142" t="str">
        <f>IFERROR(VLOOKUP(D142,'Team Data'!C:AB,14,FALSE),"")</f>
        <v/>
      </c>
      <c r="J142" t="str">
        <f>IFERROR(VLOOKUP(D142,'Team Data'!C:AB,8,FALSE),"")</f>
        <v/>
      </c>
      <c r="K142" t="str">
        <f>IFERROR(VLOOKUP(D142,'Team Data'!C:AB,9,FALSE),"")</f>
        <v/>
      </c>
      <c r="L142" t="str">
        <f>IFERROR(VLOOKUP(D142,'Team Data'!C:AB,10,FALSE),"")</f>
        <v/>
      </c>
      <c r="M142" t="str">
        <f t="shared" si="6"/>
        <v/>
      </c>
      <c r="N142" t="str">
        <f>IFERROR(VLOOKUP(D142,'Team Data'!C:AB,23,FALSE),"")</f>
        <v/>
      </c>
      <c r="O142" t="str">
        <f>IFERROR(VLOOKUP(D142,'Team Data'!C:AB,22,FALSE),"")</f>
        <v/>
      </c>
      <c r="P142" t="str">
        <f t="shared" si="7"/>
        <v/>
      </c>
      <c r="Q142" t="str">
        <f>IFERROR(VLOOKUP(D142,'Team Data'!C:AB,15,FALSE),"")</f>
        <v/>
      </c>
      <c r="R142" t="str">
        <f>IFERROR(VLOOKUP('OB Format'!D142,'Team Data'!C:AB,24,FALSE),"")</f>
        <v/>
      </c>
      <c r="S142" t="str">
        <f>IFERROR(VLOOKUP('OB Format'!D142,'Team Data'!C:AC,25,FALSE),"")</f>
        <v/>
      </c>
    </row>
    <row r="143" spans="5:19" x14ac:dyDescent="0.25">
      <c r="E143" t="str">
        <f>IFERROR(VLOOKUP(D143,'Team Data'!C:AB,4,FALSE),"")</f>
        <v/>
      </c>
      <c r="F143" t="str">
        <f>IFERROR(VLOOKUP(D143,'Team Data'!C:AB,5,FALSE),"")</f>
        <v/>
      </c>
      <c r="G143" t="str">
        <f>IFERROR(VLOOKUP('OB Format'!D143,'Team Data'!C:AB,17,FALSE),"")</f>
        <v/>
      </c>
      <c r="H143" t="str">
        <f>IFERROR(VLOOKUP(D143,'Team Data'!C:AB,7,FALSE),"")</f>
        <v/>
      </c>
      <c r="I143" t="str">
        <f>IFERROR(VLOOKUP(D143,'Team Data'!C:AB,14,FALSE),"")</f>
        <v/>
      </c>
      <c r="J143" t="str">
        <f>IFERROR(VLOOKUP(D143,'Team Data'!C:AB,8,FALSE),"")</f>
        <v/>
      </c>
      <c r="K143" t="str">
        <f>IFERROR(VLOOKUP(D143,'Team Data'!C:AB,9,FALSE),"")</f>
        <v/>
      </c>
      <c r="L143" t="str">
        <f>IFERROR(VLOOKUP(D143,'Team Data'!C:AB,10,FALSE),"")</f>
        <v/>
      </c>
      <c r="M143" t="str">
        <f t="shared" si="6"/>
        <v/>
      </c>
      <c r="N143" t="str">
        <f>IFERROR(VLOOKUP(D143,'Team Data'!C:AB,23,FALSE),"")</f>
        <v/>
      </c>
      <c r="O143" t="str">
        <f>IFERROR(VLOOKUP(D143,'Team Data'!C:AB,22,FALSE),"")</f>
        <v/>
      </c>
      <c r="P143" t="str">
        <f t="shared" si="7"/>
        <v/>
      </c>
      <c r="Q143" t="str">
        <f>IFERROR(VLOOKUP(D143,'Team Data'!C:AB,15,FALSE),"")</f>
        <v/>
      </c>
      <c r="R143" t="str">
        <f>IFERROR(VLOOKUP('OB Format'!D143,'Team Data'!C:AB,24,FALSE),"")</f>
        <v/>
      </c>
      <c r="S143" t="str">
        <f>IFERROR(VLOOKUP('OB Format'!D143,'Team Data'!C:AC,25,FALSE),"")</f>
        <v/>
      </c>
    </row>
    <row r="144" spans="5:19" x14ac:dyDescent="0.25">
      <c r="E144" t="str">
        <f>IFERROR(VLOOKUP(D144,'Team Data'!C:AB,4,FALSE),"")</f>
        <v/>
      </c>
      <c r="F144" t="str">
        <f>IFERROR(VLOOKUP(D144,'Team Data'!C:AB,5,FALSE),"")</f>
        <v/>
      </c>
      <c r="G144" t="str">
        <f>IFERROR(VLOOKUP('OB Format'!D144,'Team Data'!C:AB,17,FALSE),"")</f>
        <v/>
      </c>
      <c r="H144" t="str">
        <f>IFERROR(VLOOKUP(D144,'Team Data'!C:AB,7,FALSE),"")</f>
        <v/>
      </c>
      <c r="I144" t="str">
        <f>IFERROR(VLOOKUP(D144,'Team Data'!C:AB,14,FALSE),"")</f>
        <v/>
      </c>
      <c r="J144" t="str">
        <f>IFERROR(VLOOKUP(D144,'Team Data'!C:AB,8,FALSE),"")</f>
        <v/>
      </c>
      <c r="K144" t="str">
        <f>IFERROR(VLOOKUP(D144,'Team Data'!C:AB,9,FALSE),"")</f>
        <v/>
      </c>
      <c r="L144" t="str">
        <f>IFERROR(VLOOKUP(D144,'Team Data'!C:AB,10,FALSE),"")</f>
        <v/>
      </c>
      <c r="M144" t="str">
        <f t="shared" si="6"/>
        <v/>
      </c>
      <c r="N144" t="str">
        <f>IFERROR(VLOOKUP(D144,'Team Data'!C:AB,23,FALSE),"")</f>
        <v/>
      </c>
      <c r="O144" t="str">
        <f>IFERROR(VLOOKUP(D144,'Team Data'!C:AB,22,FALSE),"")</f>
        <v/>
      </c>
      <c r="P144" t="str">
        <f t="shared" si="7"/>
        <v/>
      </c>
      <c r="Q144" t="str">
        <f>IFERROR(VLOOKUP(D144,'Team Data'!C:AB,15,FALSE),"")</f>
        <v/>
      </c>
      <c r="R144" t="str">
        <f>IFERROR(VLOOKUP('OB Format'!D144,'Team Data'!C:AB,24,FALSE),"")</f>
        <v/>
      </c>
      <c r="S144" t="str">
        <f>IFERROR(VLOOKUP('OB Format'!D144,'Team Data'!C:AC,25,FALSE),"")</f>
        <v/>
      </c>
    </row>
    <row r="145" spans="5:19" x14ac:dyDescent="0.25">
      <c r="E145" t="str">
        <f>IFERROR(VLOOKUP(D145,'Team Data'!C:AB,4,FALSE),"")</f>
        <v/>
      </c>
      <c r="F145" t="str">
        <f>IFERROR(VLOOKUP(D145,'Team Data'!C:AB,5,FALSE),"")</f>
        <v/>
      </c>
      <c r="G145" t="str">
        <f>IFERROR(VLOOKUP('OB Format'!D145,'Team Data'!C:AB,17,FALSE),"")</f>
        <v/>
      </c>
      <c r="H145" t="str">
        <f>IFERROR(VLOOKUP(D145,'Team Data'!C:AB,7,FALSE),"")</f>
        <v/>
      </c>
      <c r="I145" t="str">
        <f>IFERROR(VLOOKUP(D145,'Team Data'!C:AB,14,FALSE),"")</f>
        <v/>
      </c>
      <c r="J145" t="str">
        <f>IFERROR(VLOOKUP(D145,'Team Data'!C:AB,8,FALSE),"")</f>
        <v/>
      </c>
      <c r="K145" t="str">
        <f>IFERROR(VLOOKUP(D145,'Team Data'!C:AB,9,FALSE),"")</f>
        <v/>
      </c>
      <c r="L145" t="str">
        <f>IFERROR(VLOOKUP(D145,'Team Data'!C:AB,10,FALSE),"")</f>
        <v/>
      </c>
      <c r="M145" t="str">
        <f t="shared" si="6"/>
        <v/>
      </c>
      <c r="N145" t="str">
        <f>IFERROR(VLOOKUP(D145,'Team Data'!C:AB,23,FALSE),"")</f>
        <v/>
      </c>
      <c r="O145" t="str">
        <f>IFERROR(VLOOKUP(D145,'Team Data'!C:AB,22,FALSE),"")</f>
        <v/>
      </c>
      <c r="P145" t="str">
        <f t="shared" si="7"/>
        <v/>
      </c>
      <c r="Q145" t="str">
        <f>IFERROR(VLOOKUP(D145,'Team Data'!C:AB,15,FALSE),"")</f>
        <v/>
      </c>
      <c r="R145" t="str">
        <f>IFERROR(VLOOKUP('OB Format'!D145,'Team Data'!C:AB,24,FALSE),"")</f>
        <v/>
      </c>
      <c r="S145" t="str">
        <f>IFERROR(VLOOKUP('OB Format'!D145,'Team Data'!C:AC,25,FALSE),"")</f>
        <v/>
      </c>
    </row>
    <row r="146" spans="5:19" x14ac:dyDescent="0.25">
      <c r="E146" t="str">
        <f>IFERROR(VLOOKUP(D146,'Team Data'!C:AB,4,FALSE),"")</f>
        <v/>
      </c>
      <c r="F146" t="str">
        <f>IFERROR(VLOOKUP(D146,'Team Data'!C:AB,5,FALSE),"")</f>
        <v/>
      </c>
      <c r="G146" t="str">
        <f>IFERROR(VLOOKUP('OB Format'!D146,'Team Data'!C:AB,17,FALSE),"")</f>
        <v/>
      </c>
      <c r="H146" t="str">
        <f>IFERROR(VLOOKUP(D146,'Team Data'!C:AB,7,FALSE),"")</f>
        <v/>
      </c>
      <c r="I146" t="str">
        <f>IFERROR(VLOOKUP(D146,'Team Data'!C:AB,14,FALSE),"")</f>
        <v/>
      </c>
      <c r="J146" t="str">
        <f>IFERROR(VLOOKUP(D146,'Team Data'!C:AB,8,FALSE),"")</f>
        <v/>
      </c>
      <c r="K146" t="str">
        <f>IFERROR(VLOOKUP(D146,'Team Data'!C:AB,9,FALSE),"")</f>
        <v/>
      </c>
      <c r="L146" t="str">
        <f>IFERROR(VLOOKUP(D146,'Team Data'!C:AB,10,FALSE),"")</f>
        <v/>
      </c>
      <c r="M146" t="str">
        <f t="shared" si="6"/>
        <v/>
      </c>
      <c r="N146" t="str">
        <f>IFERROR(VLOOKUP(D146,'Team Data'!C:AB,23,FALSE),"")</f>
        <v/>
      </c>
      <c r="O146" t="str">
        <f>IFERROR(VLOOKUP(D146,'Team Data'!C:AB,22,FALSE),"")</f>
        <v/>
      </c>
      <c r="P146" t="str">
        <f t="shared" si="7"/>
        <v/>
      </c>
      <c r="Q146" t="str">
        <f>IFERROR(VLOOKUP(D146,'Team Data'!C:AB,15,FALSE),"")</f>
        <v/>
      </c>
      <c r="R146" t="str">
        <f>IFERROR(VLOOKUP('OB Format'!D146,'Team Data'!C:AB,24,FALSE),"")</f>
        <v/>
      </c>
      <c r="S146" t="str">
        <f>IFERROR(VLOOKUP('OB Format'!D146,'Team Data'!C:AC,25,FALSE),"")</f>
        <v/>
      </c>
    </row>
    <row r="147" spans="5:19" x14ac:dyDescent="0.25">
      <c r="E147" t="str">
        <f>IFERROR(VLOOKUP(D147,'Team Data'!C:AB,4,FALSE),"")</f>
        <v/>
      </c>
      <c r="F147" t="str">
        <f>IFERROR(VLOOKUP(D147,'Team Data'!C:AB,5,FALSE),"")</f>
        <v/>
      </c>
      <c r="G147" t="str">
        <f>IFERROR(VLOOKUP('OB Format'!D147,'Team Data'!C:AB,17,FALSE),"")</f>
        <v/>
      </c>
      <c r="H147" t="str">
        <f>IFERROR(VLOOKUP(D147,'Team Data'!C:AB,7,FALSE),"")</f>
        <v/>
      </c>
      <c r="I147" t="str">
        <f>IFERROR(VLOOKUP(D147,'Team Data'!C:AB,14,FALSE),"")</f>
        <v/>
      </c>
      <c r="J147" t="str">
        <f>IFERROR(VLOOKUP(D147,'Team Data'!C:AB,8,FALSE),"")</f>
        <v/>
      </c>
      <c r="K147" t="str">
        <f>IFERROR(VLOOKUP(D147,'Team Data'!C:AB,9,FALSE),"")</f>
        <v/>
      </c>
      <c r="L147" t="str">
        <f>IFERROR(VLOOKUP(D147,'Team Data'!C:AB,10,FALSE),"")</f>
        <v/>
      </c>
      <c r="M147" t="str">
        <f t="shared" si="6"/>
        <v/>
      </c>
      <c r="N147" t="str">
        <f>IFERROR(VLOOKUP(D147,'Team Data'!C:AB,23,FALSE),"")</f>
        <v/>
      </c>
      <c r="O147" t="str">
        <f>IFERROR(VLOOKUP(D147,'Team Data'!C:AB,22,FALSE),"")</f>
        <v/>
      </c>
      <c r="P147" t="str">
        <f t="shared" si="7"/>
        <v/>
      </c>
      <c r="Q147" t="str">
        <f>IFERROR(VLOOKUP(D147,'Team Data'!C:AB,15,FALSE),"")</f>
        <v/>
      </c>
      <c r="R147" t="str">
        <f>IFERROR(VLOOKUP('OB Format'!D147,'Team Data'!C:AB,24,FALSE),"")</f>
        <v/>
      </c>
      <c r="S147" t="str">
        <f>IFERROR(VLOOKUP('OB Format'!D147,'Team Data'!C:AC,25,FALSE),"")</f>
        <v/>
      </c>
    </row>
    <row r="148" spans="5:19" x14ac:dyDescent="0.25">
      <c r="E148" t="str">
        <f>IFERROR(VLOOKUP(D148,'Team Data'!C:AB,4,FALSE),"")</f>
        <v/>
      </c>
      <c r="F148" t="str">
        <f>IFERROR(VLOOKUP(D148,'Team Data'!C:AB,5,FALSE),"")</f>
        <v/>
      </c>
      <c r="G148" t="str">
        <f>IFERROR(VLOOKUP('OB Format'!D148,'Team Data'!C:AB,17,FALSE),"")</f>
        <v/>
      </c>
      <c r="H148" t="str">
        <f>IFERROR(VLOOKUP(D148,'Team Data'!C:AB,7,FALSE),"")</f>
        <v/>
      </c>
      <c r="I148" t="str">
        <f>IFERROR(VLOOKUP(D148,'Team Data'!C:AB,14,FALSE),"")</f>
        <v/>
      </c>
      <c r="J148" t="str">
        <f>IFERROR(VLOOKUP(D148,'Team Data'!C:AB,8,FALSE),"")</f>
        <v/>
      </c>
      <c r="K148" t="str">
        <f>IFERROR(VLOOKUP(D148,'Team Data'!C:AB,9,FALSE),"")</f>
        <v/>
      </c>
      <c r="L148" t="str">
        <f>IFERROR(VLOOKUP(D148,'Team Data'!C:AB,10,FALSE),"")</f>
        <v/>
      </c>
      <c r="M148" t="str">
        <f t="shared" si="6"/>
        <v/>
      </c>
      <c r="N148" t="str">
        <f>IFERROR(VLOOKUP(D148,'Team Data'!C:AB,23,FALSE),"")</f>
        <v/>
      </c>
      <c r="O148" t="str">
        <f>IFERROR(VLOOKUP(D148,'Team Data'!C:AB,22,FALSE),"")</f>
        <v/>
      </c>
      <c r="P148" t="str">
        <f t="shared" si="7"/>
        <v/>
      </c>
      <c r="Q148" t="str">
        <f>IFERROR(VLOOKUP(D148,'Team Data'!C:AB,15,FALSE),"")</f>
        <v/>
      </c>
      <c r="R148" t="str">
        <f>IFERROR(VLOOKUP('OB Format'!D148,'Team Data'!C:AB,24,FALSE),"")</f>
        <v/>
      </c>
      <c r="S148" t="str">
        <f>IFERROR(VLOOKUP('OB Format'!D148,'Team Data'!C:AC,25,FALSE),"")</f>
        <v/>
      </c>
    </row>
    <row r="149" spans="5:19" x14ac:dyDescent="0.25">
      <c r="E149" t="str">
        <f>IFERROR(VLOOKUP(D149,'Team Data'!C:AB,4,FALSE),"")</f>
        <v/>
      </c>
      <c r="F149" t="str">
        <f>IFERROR(VLOOKUP(D149,'Team Data'!C:AB,5,FALSE),"")</f>
        <v/>
      </c>
      <c r="G149" t="str">
        <f>IFERROR(VLOOKUP('OB Format'!D149,'Team Data'!C:AB,17,FALSE),"")</f>
        <v/>
      </c>
      <c r="H149" t="str">
        <f>IFERROR(VLOOKUP(D149,'Team Data'!C:AB,7,FALSE),"")</f>
        <v/>
      </c>
      <c r="I149" t="str">
        <f>IFERROR(VLOOKUP(D149,'Team Data'!C:AB,14,FALSE),"")</f>
        <v/>
      </c>
      <c r="J149" t="str">
        <f>IFERROR(VLOOKUP(D149,'Team Data'!C:AB,8,FALSE),"")</f>
        <v/>
      </c>
      <c r="K149" t="str">
        <f>IFERROR(VLOOKUP(D149,'Team Data'!C:AB,9,FALSE),"")</f>
        <v/>
      </c>
      <c r="L149" t="str">
        <f>IFERROR(VLOOKUP(D149,'Team Data'!C:AB,10,FALSE),"")</f>
        <v/>
      </c>
      <c r="M149" t="str">
        <f t="shared" si="6"/>
        <v/>
      </c>
      <c r="N149" t="str">
        <f>IFERROR(VLOOKUP(D149,'Team Data'!C:AB,23,FALSE),"")</f>
        <v/>
      </c>
      <c r="O149" t="str">
        <f>IFERROR(VLOOKUP(D149,'Team Data'!C:AB,22,FALSE),"")</f>
        <v/>
      </c>
      <c r="P149" t="str">
        <f t="shared" si="7"/>
        <v/>
      </c>
      <c r="Q149" t="str">
        <f>IFERROR(VLOOKUP(D149,'Team Data'!C:AB,15,FALSE),"")</f>
        <v/>
      </c>
      <c r="R149" t="str">
        <f>IFERROR(VLOOKUP('OB Format'!D149,'Team Data'!C:AB,24,FALSE),"")</f>
        <v/>
      </c>
      <c r="S149" t="str">
        <f>IFERROR(VLOOKUP('OB Format'!D149,'Team Data'!C:AC,25,FALSE),"")</f>
        <v/>
      </c>
    </row>
    <row r="150" spans="5:19" x14ac:dyDescent="0.25">
      <c r="E150" t="str">
        <f>IFERROR(VLOOKUP(D150,'Team Data'!C:AB,4,FALSE),"")</f>
        <v/>
      </c>
      <c r="F150" t="str">
        <f>IFERROR(VLOOKUP(D150,'Team Data'!C:AB,5,FALSE),"")</f>
        <v/>
      </c>
      <c r="G150" t="str">
        <f>IFERROR(VLOOKUP('OB Format'!D150,'Team Data'!C:AB,17,FALSE),"")</f>
        <v/>
      </c>
      <c r="H150" t="str">
        <f>IFERROR(VLOOKUP(D150,'Team Data'!C:AB,7,FALSE),"")</f>
        <v/>
      </c>
      <c r="I150" t="str">
        <f>IFERROR(VLOOKUP(D150,'Team Data'!C:AB,14,FALSE),"")</f>
        <v/>
      </c>
      <c r="J150" t="str">
        <f>IFERROR(VLOOKUP(D150,'Team Data'!C:AB,8,FALSE),"")</f>
        <v/>
      </c>
      <c r="K150" t="str">
        <f>IFERROR(VLOOKUP(D150,'Team Data'!C:AB,9,FALSE),"")</f>
        <v/>
      </c>
      <c r="L150" t="str">
        <f>IFERROR(VLOOKUP(D150,'Team Data'!C:AB,10,FALSE),"")</f>
        <v/>
      </c>
      <c r="M150" t="str">
        <f t="shared" si="6"/>
        <v/>
      </c>
      <c r="N150" t="str">
        <f>IFERROR(VLOOKUP(D150,'Team Data'!C:AB,23,FALSE),"")</f>
        <v/>
      </c>
      <c r="O150" t="str">
        <f>IFERROR(VLOOKUP(D150,'Team Data'!C:AB,22,FALSE),"")</f>
        <v/>
      </c>
      <c r="P150" t="str">
        <f t="shared" si="7"/>
        <v/>
      </c>
      <c r="Q150" t="str">
        <f>IFERROR(VLOOKUP(D150,'Team Data'!C:AB,15,FALSE),"")</f>
        <v/>
      </c>
      <c r="R150" t="str">
        <f>IFERROR(VLOOKUP('OB Format'!D150,'Team Data'!C:AB,24,FALSE),"")</f>
        <v/>
      </c>
      <c r="S150" t="str">
        <f>IFERROR(VLOOKUP('OB Format'!D150,'Team Data'!C:AC,25,FALSE),"")</f>
        <v/>
      </c>
    </row>
    <row r="151" spans="5:19" x14ac:dyDescent="0.25">
      <c r="E151" t="str">
        <f>IFERROR(VLOOKUP(D151,'Team Data'!C:AB,4,FALSE),"")</f>
        <v/>
      </c>
      <c r="F151" t="str">
        <f>IFERROR(VLOOKUP(D151,'Team Data'!C:AB,5,FALSE),"")</f>
        <v/>
      </c>
      <c r="G151" t="str">
        <f>IFERROR(VLOOKUP('OB Format'!D151,'Team Data'!C:AB,17,FALSE),"")</f>
        <v/>
      </c>
      <c r="H151" t="str">
        <f>IFERROR(VLOOKUP(D151,'Team Data'!C:AB,7,FALSE),"")</f>
        <v/>
      </c>
      <c r="I151" t="str">
        <f>IFERROR(VLOOKUP(D151,'Team Data'!C:AB,14,FALSE),"")</f>
        <v/>
      </c>
      <c r="J151" t="str">
        <f>IFERROR(VLOOKUP(D151,'Team Data'!C:AB,8,FALSE),"")</f>
        <v/>
      </c>
      <c r="K151" t="str">
        <f>IFERROR(VLOOKUP(D151,'Team Data'!C:AB,9,FALSE),"")</f>
        <v/>
      </c>
      <c r="L151" t="str">
        <f>IFERROR(VLOOKUP(D151,'Team Data'!C:AB,10,FALSE),"")</f>
        <v/>
      </c>
      <c r="M151" t="str">
        <f t="shared" si="6"/>
        <v/>
      </c>
      <c r="N151" t="str">
        <f>IFERROR(VLOOKUP(D151,'Team Data'!C:AB,23,FALSE),"")</f>
        <v/>
      </c>
      <c r="O151" t="str">
        <f>IFERROR(VLOOKUP(D151,'Team Data'!C:AB,22,FALSE),"")</f>
        <v/>
      </c>
      <c r="P151" t="str">
        <f t="shared" si="7"/>
        <v/>
      </c>
      <c r="Q151" t="str">
        <f>IFERROR(VLOOKUP(D151,'Team Data'!C:AB,15,FALSE),"")</f>
        <v/>
      </c>
      <c r="R151" t="str">
        <f>IFERROR(VLOOKUP('OB Format'!D151,'Team Data'!C:AB,24,FALSE),"")</f>
        <v/>
      </c>
      <c r="S151" t="str">
        <f>IFERROR(VLOOKUP('OB Format'!D151,'Team Data'!C:AC,25,FALSE),"")</f>
        <v/>
      </c>
    </row>
    <row r="152" spans="5:19" x14ac:dyDescent="0.25">
      <c r="E152" t="str">
        <f>IFERROR(VLOOKUP(D152,'Team Data'!C:AB,4,FALSE),"")</f>
        <v/>
      </c>
      <c r="F152" t="str">
        <f>IFERROR(VLOOKUP(D152,'Team Data'!C:AB,5,FALSE),"")</f>
        <v/>
      </c>
      <c r="G152" t="str">
        <f>IFERROR(VLOOKUP('OB Format'!D152,'Team Data'!C:AB,17,FALSE),"")</f>
        <v/>
      </c>
      <c r="H152" t="str">
        <f>IFERROR(VLOOKUP(D152,'Team Data'!C:AB,7,FALSE),"")</f>
        <v/>
      </c>
      <c r="I152" t="str">
        <f>IFERROR(VLOOKUP(D152,'Team Data'!C:AB,14,FALSE),"")</f>
        <v/>
      </c>
      <c r="J152" t="str">
        <f>IFERROR(VLOOKUP(D152,'Team Data'!C:AB,8,FALSE),"")</f>
        <v/>
      </c>
      <c r="K152" t="str">
        <f>IFERROR(VLOOKUP(D152,'Team Data'!C:AB,9,FALSE),"")</f>
        <v/>
      </c>
      <c r="L152" t="str">
        <f>IFERROR(VLOOKUP(D152,'Team Data'!C:AB,10,FALSE),"")</f>
        <v/>
      </c>
      <c r="M152" t="str">
        <f t="shared" si="6"/>
        <v/>
      </c>
      <c r="N152" t="str">
        <f>IFERROR(VLOOKUP(D152,'Team Data'!C:AB,23,FALSE),"")</f>
        <v/>
      </c>
      <c r="O152" t="str">
        <f>IFERROR(VLOOKUP(D152,'Team Data'!C:AB,22,FALSE),"")</f>
        <v/>
      </c>
      <c r="P152" t="str">
        <f t="shared" si="7"/>
        <v/>
      </c>
      <c r="Q152" t="str">
        <f>IFERROR(VLOOKUP(D152,'Team Data'!C:AB,15,FALSE),"")</f>
        <v/>
      </c>
      <c r="R152" t="str">
        <f>IFERROR(VLOOKUP('OB Format'!D152,'Team Data'!C:AB,24,FALSE),"")</f>
        <v/>
      </c>
      <c r="S152" t="str">
        <f>IFERROR(VLOOKUP('OB Format'!D152,'Team Data'!C:AC,25,FALSE),"")</f>
        <v/>
      </c>
    </row>
    <row r="153" spans="5:19" x14ac:dyDescent="0.25">
      <c r="E153" t="str">
        <f>IFERROR(VLOOKUP(D153,'Team Data'!C:AB,4,FALSE),"")</f>
        <v/>
      </c>
      <c r="F153" t="str">
        <f>IFERROR(VLOOKUP(D153,'Team Data'!C:AB,5,FALSE),"")</f>
        <v/>
      </c>
      <c r="G153" t="str">
        <f>IFERROR(VLOOKUP('OB Format'!D153,'Team Data'!C:AB,17,FALSE),"")</f>
        <v/>
      </c>
      <c r="H153" t="str">
        <f>IFERROR(VLOOKUP(D153,'Team Data'!C:AB,7,FALSE),"")</f>
        <v/>
      </c>
      <c r="I153" t="str">
        <f>IFERROR(VLOOKUP(D153,'Team Data'!C:AB,14,FALSE),"")</f>
        <v/>
      </c>
      <c r="J153" t="str">
        <f>IFERROR(VLOOKUP(D153,'Team Data'!C:AB,8,FALSE),"")</f>
        <v/>
      </c>
      <c r="K153" t="str">
        <f>IFERROR(VLOOKUP(D153,'Team Data'!C:AB,9,FALSE),"")</f>
        <v/>
      </c>
      <c r="L153" t="str">
        <f>IFERROR(VLOOKUP(D153,'Team Data'!C:AB,10,FALSE),"")</f>
        <v/>
      </c>
      <c r="M153" t="str">
        <f t="shared" si="6"/>
        <v/>
      </c>
      <c r="N153" t="str">
        <f>IFERROR(VLOOKUP(D153,'Team Data'!C:AB,23,FALSE),"")</f>
        <v/>
      </c>
      <c r="O153" t="str">
        <f>IFERROR(VLOOKUP(D153,'Team Data'!C:AB,22,FALSE),"")</f>
        <v/>
      </c>
      <c r="P153" t="str">
        <f t="shared" si="7"/>
        <v/>
      </c>
      <c r="Q153" t="str">
        <f>IFERROR(VLOOKUP(D153,'Team Data'!C:AB,15,FALSE),"")</f>
        <v/>
      </c>
      <c r="R153" t="str">
        <f>IFERROR(VLOOKUP('OB Format'!D153,'Team Data'!C:AB,24,FALSE),"")</f>
        <v/>
      </c>
      <c r="S153" t="str">
        <f>IFERROR(VLOOKUP('OB Format'!D153,'Team Data'!C:AC,25,FALSE),"")</f>
        <v/>
      </c>
    </row>
    <row r="154" spans="5:19" x14ac:dyDescent="0.25">
      <c r="E154" t="str">
        <f>IFERROR(VLOOKUP(D154,'Team Data'!C:AB,4,FALSE),"")</f>
        <v/>
      </c>
      <c r="F154" t="str">
        <f>IFERROR(VLOOKUP(D154,'Team Data'!C:AB,5,FALSE),"")</f>
        <v/>
      </c>
      <c r="G154" t="str">
        <f>IFERROR(VLOOKUP('OB Format'!D154,'Team Data'!C:AB,17,FALSE),"")</f>
        <v/>
      </c>
      <c r="H154" t="str">
        <f>IFERROR(VLOOKUP(D154,'Team Data'!C:AB,7,FALSE),"")</f>
        <v/>
      </c>
      <c r="I154" t="str">
        <f>IFERROR(VLOOKUP(D154,'Team Data'!C:AB,14,FALSE),"")</f>
        <v/>
      </c>
      <c r="J154" t="str">
        <f>IFERROR(VLOOKUP(D154,'Team Data'!C:AB,8,FALSE),"")</f>
        <v/>
      </c>
      <c r="K154" t="str">
        <f>IFERROR(VLOOKUP(D154,'Team Data'!C:AB,9,FALSE),"")</f>
        <v/>
      </c>
      <c r="L154" t="str">
        <f>IFERROR(VLOOKUP(D154,'Team Data'!C:AB,10,FALSE),"")</f>
        <v/>
      </c>
      <c r="M154" t="str">
        <f t="shared" si="6"/>
        <v/>
      </c>
      <c r="N154" t="str">
        <f>IFERROR(VLOOKUP(D154,'Team Data'!C:AB,23,FALSE),"")</f>
        <v/>
      </c>
      <c r="O154" t="str">
        <f>IFERROR(VLOOKUP(D154,'Team Data'!C:AB,22,FALSE),"")</f>
        <v/>
      </c>
      <c r="P154" t="str">
        <f t="shared" si="7"/>
        <v/>
      </c>
      <c r="Q154" t="str">
        <f>IFERROR(VLOOKUP(D154,'Team Data'!C:AB,15,FALSE),"")</f>
        <v/>
      </c>
      <c r="R154" t="str">
        <f>IFERROR(VLOOKUP('OB Format'!D154,'Team Data'!C:AB,24,FALSE),"")</f>
        <v/>
      </c>
      <c r="S154" t="str">
        <f>IFERROR(VLOOKUP('OB Format'!D154,'Team Data'!C:AC,25,FALSE),"")</f>
        <v/>
      </c>
    </row>
    <row r="155" spans="5:19" x14ac:dyDescent="0.25">
      <c r="E155" t="str">
        <f>IFERROR(VLOOKUP(D155,'Team Data'!C:AB,4,FALSE),"")</f>
        <v/>
      </c>
      <c r="F155" t="str">
        <f>IFERROR(VLOOKUP(D155,'Team Data'!C:AB,5,FALSE),"")</f>
        <v/>
      </c>
      <c r="G155" t="str">
        <f>IFERROR(VLOOKUP('OB Format'!D155,'Team Data'!C:AB,17,FALSE),"")</f>
        <v/>
      </c>
      <c r="H155" t="str">
        <f>IFERROR(VLOOKUP(D155,'Team Data'!C:AB,7,FALSE),"")</f>
        <v/>
      </c>
      <c r="I155" t="str">
        <f>IFERROR(VLOOKUP(D155,'Team Data'!C:AB,14,FALSE),"")</f>
        <v/>
      </c>
      <c r="J155" t="str">
        <f>IFERROR(VLOOKUP(D155,'Team Data'!C:AB,8,FALSE),"")</f>
        <v/>
      </c>
      <c r="K155" t="str">
        <f>IFERROR(VLOOKUP(D155,'Team Data'!C:AB,9,FALSE),"")</f>
        <v/>
      </c>
      <c r="L155" t="str">
        <f>IFERROR(VLOOKUP(D155,'Team Data'!C:AB,10,FALSE),"")</f>
        <v/>
      </c>
      <c r="M155" t="str">
        <f t="shared" si="6"/>
        <v/>
      </c>
      <c r="N155" t="str">
        <f>IFERROR(VLOOKUP(D155,'Team Data'!C:AB,23,FALSE),"")</f>
        <v/>
      </c>
      <c r="O155" t="str">
        <f>IFERROR(VLOOKUP(D155,'Team Data'!C:AB,22,FALSE),"")</f>
        <v/>
      </c>
      <c r="P155" t="str">
        <f t="shared" si="7"/>
        <v/>
      </c>
      <c r="Q155" t="str">
        <f>IFERROR(VLOOKUP(D155,'Team Data'!C:AB,15,FALSE),"")</f>
        <v/>
      </c>
      <c r="R155" t="str">
        <f>IFERROR(VLOOKUP('OB Format'!D155,'Team Data'!C:AB,24,FALSE),"")</f>
        <v/>
      </c>
      <c r="S155" t="str">
        <f>IFERROR(VLOOKUP('OB Format'!D155,'Team Data'!C:AC,25,FALSE),"")</f>
        <v/>
      </c>
    </row>
    <row r="156" spans="5:19" x14ac:dyDescent="0.25">
      <c r="E156" t="str">
        <f>IFERROR(VLOOKUP(D156,'Team Data'!C:AB,4,FALSE),"")</f>
        <v/>
      </c>
      <c r="F156" t="str">
        <f>IFERROR(VLOOKUP(D156,'Team Data'!C:AB,5,FALSE),"")</f>
        <v/>
      </c>
      <c r="G156" t="str">
        <f>IFERROR(VLOOKUP('OB Format'!D156,'Team Data'!C:AB,17,FALSE),"")</f>
        <v/>
      </c>
      <c r="H156" t="str">
        <f>IFERROR(VLOOKUP(D156,'Team Data'!C:AB,7,FALSE),"")</f>
        <v/>
      </c>
      <c r="I156" t="str">
        <f>IFERROR(VLOOKUP(D156,'Team Data'!C:AB,14,FALSE),"")</f>
        <v/>
      </c>
      <c r="J156" t="str">
        <f>IFERROR(VLOOKUP(D156,'Team Data'!C:AB,8,FALSE),"")</f>
        <v/>
      </c>
      <c r="K156" t="str">
        <f>IFERROR(VLOOKUP(D156,'Team Data'!C:AB,9,FALSE),"")</f>
        <v/>
      </c>
      <c r="L156" t="str">
        <f>IFERROR(VLOOKUP(D156,'Team Data'!C:AB,10,FALSE),"")</f>
        <v/>
      </c>
      <c r="M156" t="str">
        <f t="shared" si="6"/>
        <v/>
      </c>
      <c r="N156" t="str">
        <f>IFERROR(VLOOKUP(D156,'Team Data'!C:AB,23,FALSE),"")</f>
        <v/>
      </c>
      <c r="O156" t="str">
        <f>IFERROR(VLOOKUP(D156,'Team Data'!C:AB,22,FALSE),"")</f>
        <v/>
      </c>
      <c r="P156" t="str">
        <f t="shared" si="7"/>
        <v/>
      </c>
      <c r="Q156" t="str">
        <f>IFERROR(VLOOKUP(D156,'Team Data'!C:AB,15,FALSE),"")</f>
        <v/>
      </c>
      <c r="R156" t="str">
        <f>IFERROR(VLOOKUP('OB Format'!D156,'Team Data'!C:AB,24,FALSE),"")</f>
        <v/>
      </c>
      <c r="S156" t="str">
        <f>IFERROR(VLOOKUP('OB Format'!D156,'Team Data'!C:AC,25,FALSE),"")</f>
        <v/>
      </c>
    </row>
    <row r="157" spans="5:19" x14ac:dyDescent="0.25">
      <c r="E157" t="str">
        <f>IFERROR(VLOOKUP(D157,'Team Data'!C:AB,4,FALSE),"")</f>
        <v/>
      </c>
      <c r="F157" t="str">
        <f>IFERROR(VLOOKUP(D157,'Team Data'!C:AB,5,FALSE),"")</f>
        <v/>
      </c>
      <c r="G157" t="str">
        <f>IFERROR(VLOOKUP('OB Format'!D157,'Team Data'!C:AB,17,FALSE),"")</f>
        <v/>
      </c>
      <c r="H157" t="str">
        <f>IFERROR(VLOOKUP(D157,'Team Data'!C:AB,7,FALSE),"")</f>
        <v/>
      </c>
      <c r="I157" t="str">
        <f>IFERROR(VLOOKUP(D157,'Team Data'!C:AB,14,FALSE),"")</f>
        <v/>
      </c>
      <c r="J157" t="str">
        <f>IFERROR(VLOOKUP(D157,'Team Data'!C:AB,8,FALSE),"")</f>
        <v/>
      </c>
      <c r="K157" t="str">
        <f>IFERROR(VLOOKUP(D157,'Team Data'!C:AB,9,FALSE),"")</f>
        <v/>
      </c>
      <c r="L157" t="str">
        <f>IFERROR(VLOOKUP(D157,'Team Data'!C:AB,10,FALSE),"")</f>
        <v/>
      </c>
      <c r="M157" t="str">
        <f t="shared" si="6"/>
        <v/>
      </c>
      <c r="N157" t="str">
        <f>IFERROR(VLOOKUP(D157,'Team Data'!C:AB,23,FALSE),"")</f>
        <v/>
      </c>
      <c r="O157" t="str">
        <f>IFERROR(VLOOKUP(D157,'Team Data'!C:AB,22,FALSE),"")</f>
        <v/>
      </c>
      <c r="P157" t="str">
        <f t="shared" si="7"/>
        <v/>
      </c>
      <c r="Q157" t="str">
        <f>IFERROR(VLOOKUP(D157,'Team Data'!C:AB,15,FALSE),"")</f>
        <v/>
      </c>
      <c r="R157" t="str">
        <f>IFERROR(VLOOKUP('OB Format'!D157,'Team Data'!C:AB,24,FALSE),"")</f>
        <v/>
      </c>
      <c r="S157" t="str">
        <f>IFERROR(VLOOKUP('OB Format'!D157,'Team Data'!C:AC,25,FALSE),"")</f>
        <v/>
      </c>
    </row>
    <row r="158" spans="5:19" x14ac:dyDescent="0.25">
      <c r="E158" t="str">
        <f>IFERROR(VLOOKUP(D158,'Team Data'!C:AB,4,FALSE),"")</f>
        <v/>
      </c>
      <c r="F158" t="str">
        <f>IFERROR(VLOOKUP(D158,'Team Data'!C:AB,5,FALSE),"")</f>
        <v/>
      </c>
      <c r="G158" t="str">
        <f>IFERROR(VLOOKUP('OB Format'!D158,'Team Data'!C:AB,17,FALSE),"")</f>
        <v/>
      </c>
      <c r="H158" t="str">
        <f>IFERROR(VLOOKUP(D158,'Team Data'!C:AB,7,FALSE),"")</f>
        <v/>
      </c>
      <c r="I158" t="str">
        <f>IFERROR(VLOOKUP(D158,'Team Data'!C:AB,14,FALSE),"")</f>
        <v/>
      </c>
      <c r="J158" t="str">
        <f>IFERROR(VLOOKUP(D158,'Team Data'!C:AB,8,FALSE),"")</f>
        <v/>
      </c>
      <c r="K158" t="str">
        <f>IFERROR(VLOOKUP(D158,'Team Data'!C:AB,9,FALSE),"")</f>
        <v/>
      </c>
      <c r="L158" t="str">
        <f>IFERROR(VLOOKUP(D158,'Team Data'!C:AB,10,FALSE),"")</f>
        <v/>
      </c>
      <c r="M158" t="str">
        <f t="shared" si="6"/>
        <v/>
      </c>
      <c r="N158" t="str">
        <f>IFERROR(VLOOKUP(D158,'Team Data'!C:AB,23,FALSE),"")</f>
        <v/>
      </c>
      <c r="O158" t="str">
        <f>IFERROR(VLOOKUP(D158,'Team Data'!C:AB,22,FALSE),"")</f>
        <v/>
      </c>
      <c r="P158" t="str">
        <f t="shared" si="7"/>
        <v/>
      </c>
      <c r="Q158" t="str">
        <f>IFERROR(VLOOKUP(D158,'Team Data'!C:AB,15,FALSE),"")</f>
        <v/>
      </c>
      <c r="R158" t="str">
        <f>IFERROR(VLOOKUP('OB Format'!D158,'Team Data'!C:AB,24,FALSE),"")</f>
        <v/>
      </c>
      <c r="S158" t="str">
        <f>IFERROR(VLOOKUP('OB Format'!D158,'Team Data'!C:AC,25,FALSE),"")</f>
        <v/>
      </c>
    </row>
    <row r="159" spans="5:19" x14ac:dyDescent="0.25">
      <c r="E159" t="str">
        <f>IFERROR(VLOOKUP(D159,'Team Data'!C:AB,4,FALSE),"")</f>
        <v/>
      </c>
      <c r="F159" t="str">
        <f>IFERROR(VLOOKUP(D159,'Team Data'!C:AB,5,FALSE),"")</f>
        <v/>
      </c>
      <c r="G159" t="str">
        <f>IFERROR(VLOOKUP('OB Format'!D159,'Team Data'!C:AB,17,FALSE),"")</f>
        <v/>
      </c>
      <c r="H159" t="str">
        <f>IFERROR(VLOOKUP(D159,'Team Data'!C:AB,7,FALSE),"")</f>
        <v/>
      </c>
      <c r="I159" t="str">
        <f>IFERROR(VLOOKUP(D159,'Team Data'!C:AB,14,FALSE),"")</f>
        <v/>
      </c>
      <c r="J159" t="str">
        <f>IFERROR(VLOOKUP(D159,'Team Data'!C:AB,8,FALSE),"")</f>
        <v/>
      </c>
      <c r="K159" t="str">
        <f>IFERROR(VLOOKUP(D159,'Team Data'!C:AB,9,FALSE),"")</f>
        <v/>
      </c>
      <c r="L159" t="str">
        <f>IFERROR(VLOOKUP(D159,'Team Data'!C:AB,10,FALSE),"")</f>
        <v/>
      </c>
      <c r="M159" t="str">
        <f t="shared" si="6"/>
        <v/>
      </c>
      <c r="N159" t="str">
        <f>IFERROR(VLOOKUP(D159,'Team Data'!C:AB,23,FALSE),"")</f>
        <v/>
      </c>
      <c r="O159" t="str">
        <f>IFERROR(VLOOKUP(D159,'Team Data'!C:AB,22,FALSE),"")</f>
        <v/>
      </c>
      <c r="P159" t="str">
        <f t="shared" si="7"/>
        <v/>
      </c>
      <c r="Q159" t="str">
        <f>IFERROR(VLOOKUP(D159,'Team Data'!C:AB,15,FALSE),"")</f>
        <v/>
      </c>
      <c r="R159" t="str">
        <f>IFERROR(VLOOKUP('OB Format'!D159,'Team Data'!C:AB,24,FALSE),"")</f>
        <v/>
      </c>
      <c r="S159" t="str">
        <f>IFERROR(VLOOKUP('OB Format'!D159,'Team Data'!C:AC,25,FALSE),"")</f>
        <v/>
      </c>
    </row>
    <row r="160" spans="5:19" x14ac:dyDescent="0.25">
      <c r="E160" t="str">
        <f>IFERROR(VLOOKUP(D160,'Team Data'!C:AB,4,FALSE),"")</f>
        <v/>
      </c>
      <c r="F160" t="str">
        <f>IFERROR(VLOOKUP(D160,'Team Data'!C:AB,5,FALSE),"")</f>
        <v/>
      </c>
      <c r="G160" t="str">
        <f>IFERROR(VLOOKUP('OB Format'!D160,'Team Data'!C:AB,17,FALSE),"")</f>
        <v/>
      </c>
      <c r="H160" t="str">
        <f>IFERROR(VLOOKUP(D160,'Team Data'!C:AB,7,FALSE),"")</f>
        <v/>
      </c>
      <c r="I160" t="str">
        <f>IFERROR(VLOOKUP(D160,'Team Data'!C:AB,14,FALSE),"")</f>
        <v/>
      </c>
      <c r="J160" t="str">
        <f>IFERROR(VLOOKUP(D160,'Team Data'!C:AB,8,FALSE),"")</f>
        <v/>
      </c>
      <c r="K160" t="str">
        <f>IFERROR(VLOOKUP(D160,'Team Data'!C:AB,9,FALSE),"")</f>
        <v/>
      </c>
      <c r="L160" t="str">
        <f>IFERROR(VLOOKUP(D160,'Team Data'!C:AB,10,FALSE),"")</f>
        <v/>
      </c>
      <c r="M160" t="str">
        <f t="shared" si="6"/>
        <v/>
      </c>
      <c r="N160" t="str">
        <f>IFERROR(VLOOKUP(D160,'Team Data'!C:AB,23,FALSE),"")</f>
        <v/>
      </c>
      <c r="O160" t="str">
        <f>IFERROR(VLOOKUP(D160,'Team Data'!C:AB,22,FALSE),"")</f>
        <v/>
      </c>
      <c r="P160" t="str">
        <f t="shared" si="7"/>
        <v/>
      </c>
      <c r="Q160" t="str">
        <f>IFERROR(VLOOKUP(D160,'Team Data'!C:AB,15,FALSE),"")</f>
        <v/>
      </c>
      <c r="R160" t="str">
        <f>IFERROR(VLOOKUP('OB Format'!D160,'Team Data'!C:AB,24,FALSE),"")</f>
        <v/>
      </c>
      <c r="S160" t="str">
        <f>IFERROR(VLOOKUP('OB Format'!D160,'Team Data'!C:AC,25,FALSE),"")</f>
        <v/>
      </c>
    </row>
    <row r="161" spans="5:19" x14ac:dyDescent="0.25">
      <c r="E161" t="str">
        <f>IFERROR(VLOOKUP(D161,'Team Data'!C:AB,4,FALSE),"")</f>
        <v/>
      </c>
      <c r="F161" t="str">
        <f>IFERROR(VLOOKUP(D161,'Team Data'!C:AB,5,FALSE),"")</f>
        <v/>
      </c>
      <c r="G161" t="str">
        <f>IFERROR(VLOOKUP('OB Format'!D161,'Team Data'!C:AB,17,FALSE),"")</f>
        <v/>
      </c>
      <c r="H161" t="str">
        <f>IFERROR(VLOOKUP(D161,'Team Data'!C:AB,7,FALSE),"")</f>
        <v/>
      </c>
      <c r="I161" t="str">
        <f>IFERROR(VLOOKUP(D161,'Team Data'!C:AB,14,FALSE),"")</f>
        <v/>
      </c>
      <c r="J161" t="str">
        <f>IFERROR(VLOOKUP(D161,'Team Data'!C:AB,8,FALSE),"")</f>
        <v/>
      </c>
      <c r="K161" t="str">
        <f>IFERROR(VLOOKUP(D161,'Team Data'!C:AB,9,FALSE),"")</f>
        <v/>
      </c>
      <c r="L161" t="str">
        <f>IFERROR(VLOOKUP(D161,'Team Data'!C:AB,10,FALSE),"")</f>
        <v/>
      </c>
      <c r="M161" t="str">
        <f t="shared" si="6"/>
        <v/>
      </c>
      <c r="N161" t="str">
        <f>IFERROR(VLOOKUP(D161,'Team Data'!C:AB,23,FALSE),"")</f>
        <v/>
      </c>
      <c r="O161" t="str">
        <f>IFERROR(VLOOKUP(D161,'Team Data'!C:AB,22,FALSE),"")</f>
        <v/>
      </c>
      <c r="P161" t="str">
        <f t="shared" si="7"/>
        <v/>
      </c>
      <c r="Q161" t="str">
        <f>IFERROR(VLOOKUP(D161,'Team Data'!C:AB,15,FALSE),"")</f>
        <v/>
      </c>
      <c r="R161" t="str">
        <f>IFERROR(VLOOKUP('OB Format'!D161,'Team Data'!C:AB,24,FALSE),"")</f>
        <v/>
      </c>
      <c r="S161" t="str">
        <f>IFERROR(VLOOKUP('OB Format'!D161,'Team Data'!C:AC,25,FALSE),"")</f>
        <v/>
      </c>
    </row>
    <row r="162" spans="5:19" x14ac:dyDescent="0.25">
      <c r="E162" t="str">
        <f>IFERROR(VLOOKUP(D162,'Team Data'!C:AB,4,FALSE),"")</f>
        <v/>
      </c>
      <c r="F162" t="str">
        <f>IFERROR(VLOOKUP(D162,'Team Data'!C:AB,5,FALSE),"")</f>
        <v/>
      </c>
      <c r="G162" t="str">
        <f>IFERROR(VLOOKUP('OB Format'!D162,'Team Data'!C:AB,17,FALSE),"")</f>
        <v/>
      </c>
      <c r="H162" t="str">
        <f>IFERROR(VLOOKUP(D162,'Team Data'!C:AB,7,FALSE),"")</f>
        <v/>
      </c>
      <c r="I162" t="str">
        <f>IFERROR(VLOOKUP(D162,'Team Data'!C:AB,14,FALSE),"")</f>
        <v/>
      </c>
      <c r="J162" t="str">
        <f>IFERROR(VLOOKUP(D162,'Team Data'!C:AB,8,FALSE),"")</f>
        <v/>
      </c>
      <c r="K162" t="str">
        <f>IFERROR(VLOOKUP(D162,'Team Data'!C:AB,9,FALSE),"")</f>
        <v/>
      </c>
      <c r="L162" t="str">
        <f>IFERROR(VLOOKUP(D162,'Team Data'!C:AB,10,FALSE),"")</f>
        <v/>
      </c>
      <c r="M162" t="str">
        <f t="shared" si="6"/>
        <v/>
      </c>
      <c r="N162" t="str">
        <f>IFERROR(VLOOKUP(D162,'Team Data'!C:AB,23,FALSE),"")</f>
        <v/>
      </c>
      <c r="O162" t="str">
        <f>IFERROR(VLOOKUP(D162,'Team Data'!C:AB,22,FALSE),"")</f>
        <v/>
      </c>
      <c r="P162" t="str">
        <f t="shared" si="7"/>
        <v/>
      </c>
      <c r="Q162" t="str">
        <f>IFERROR(VLOOKUP(D162,'Team Data'!C:AB,15,FALSE),"")</f>
        <v/>
      </c>
      <c r="R162" t="str">
        <f>IFERROR(VLOOKUP('OB Format'!D162,'Team Data'!C:AB,24,FALSE),"")</f>
        <v/>
      </c>
      <c r="S162" t="str">
        <f>IFERROR(VLOOKUP('OB Format'!D162,'Team Data'!C:AC,25,FALSE),"")</f>
        <v/>
      </c>
    </row>
    <row r="163" spans="5:19" x14ac:dyDescent="0.25">
      <c r="E163" t="str">
        <f>IFERROR(VLOOKUP(D163,'Team Data'!C:AB,4,FALSE),"")</f>
        <v/>
      </c>
      <c r="F163" t="str">
        <f>IFERROR(VLOOKUP(D163,'Team Data'!C:AB,5,FALSE),"")</f>
        <v/>
      </c>
      <c r="G163" t="str">
        <f>IFERROR(VLOOKUP('OB Format'!D163,'Team Data'!C:AB,17,FALSE),"")</f>
        <v/>
      </c>
      <c r="H163" t="str">
        <f>IFERROR(VLOOKUP(D163,'Team Data'!C:AB,7,FALSE),"")</f>
        <v/>
      </c>
      <c r="I163" t="str">
        <f>IFERROR(VLOOKUP(D163,'Team Data'!C:AB,14,FALSE),"")</f>
        <v/>
      </c>
      <c r="J163" t="str">
        <f>IFERROR(VLOOKUP(D163,'Team Data'!C:AB,8,FALSE),"")</f>
        <v/>
      </c>
      <c r="K163" t="str">
        <f>IFERROR(VLOOKUP(D163,'Team Data'!C:AB,9,FALSE),"")</f>
        <v/>
      </c>
      <c r="L163" t="str">
        <f>IFERROR(VLOOKUP(D163,'Team Data'!C:AB,10,FALSE),"")</f>
        <v/>
      </c>
      <c r="M163" t="str">
        <f t="shared" si="6"/>
        <v/>
      </c>
      <c r="N163" t="str">
        <f>IFERROR(VLOOKUP(D163,'Team Data'!C:AB,23,FALSE),"")</f>
        <v/>
      </c>
      <c r="O163" t="str">
        <f>IFERROR(VLOOKUP(D163,'Team Data'!C:AB,22,FALSE),"")</f>
        <v/>
      </c>
      <c r="P163" t="str">
        <f t="shared" si="7"/>
        <v/>
      </c>
      <c r="Q163" t="str">
        <f>IFERROR(VLOOKUP(D163,'Team Data'!C:AB,15,FALSE),"")</f>
        <v/>
      </c>
      <c r="R163" t="str">
        <f>IFERROR(VLOOKUP('OB Format'!D163,'Team Data'!C:AB,24,FALSE),"")</f>
        <v/>
      </c>
      <c r="S163" t="str">
        <f>IFERROR(VLOOKUP('OB Format'!D163,'Team Data'!C:AC,25,FALSE),"")</f>
        <v/>
      </c>
    </row>
    <row r="164" spans="5:19" x14ac:dyDescent="0.25">
      <c r="E164" t="str">
        <f>IFERROR(VLOOKUP(D164,'Team Data'!C:AB,4,FALSE),"")</f>
        <v/>
      </c>
      <c r="F164" t="str">
        <f>IFERROR(VLOOKUP(D164,'Team Data'!C:AB,5,FALSE),"")</f>
        <v/>
      </c>
      <c r="G164" t="str">
        <f>IFERROR(VLOOKUP('OB Format'!D164,'Team Data'!C:AB,17,FALSE),"")</f>
        <v/>
      </c>
      <c r="H164" t="str">
        <f>IFERROR(VLOOKUP(D164,'Team Data'!C:AB,7,FALSE),"")</f>
        <v/>
      </c>
      <c r="I164" t="str">
        <f>IFERROR(VLOOKUP(D164,'Team Data'!C:AB,14,FALSE),"")</f>
        <v/>
      </c>
      <c r="J164" t="str">
        <f>IFERROR(VLOOKUP(D164,'Team Data'!C:AB,8,FALSE),"")</f>
        <v/>
      </c>
      <c r="K164" t="str">
        <f>IFERROR(VLOOKUP(D164,'Team Data'!C:AB,9,FALSE),"")</f>
        <v/>
      </c>
      <c r="L164" t="str">
        <f>IFERROR(VLOOKUP(D164,'Team Data'!C:AB,10,FALSE),"")</f>
        <v/>
      </c>
      <c r="M164" t="str">
        <f t="shared" si="6"/>
        <v/>
      </c>
      <c r="N164" t="str">
        <f>IFERROR(VLOOKUP(D164,'Team Data'!C:AB,23,FALSE),"")</f>
        <v/>
      </c>
      <c r="O164" t="str">
        <f>IFERROR(VLOOKUP(D164,'Team Data'!C:AB,22,FALSE),"")</f>
        <v/>
      </c>
      <c r="P164" t="str">
        <f t="shared" si="7"/>
        <v/>
      </c>
      <c r="Q164" t="str">
        <f>IFERROR(VLOOKUP(D164,'Team Data'!C:AB,15,FALSE),"")</f>
        <v/>
      </c>
      <c r="R164" t="str">
        <f>IFERROR(VLOOKUP('OB Format'!D164,'Team Data'!C:AB,24,FALSE),"")</f>
        <v/>
      </c>
      <c r="S164" t="str">
        <f>IFERROR(VLOOKUP('OB Format'!D164,'Team Data'!C:AC,25,FALSE),"")</f>
        <v/>
      </c>
    </row>
    <row r="165" spans="5:19" x14ac:dyDescent="0.25">
      <c r="E165" t="str">
        <f>IFERROR(VLOOKUP(D165,'Team Data'!C:AB,4,FALSE),"")</f>
        <v/>
      </c>
      <c r="F165" t="str">
        <f>IFERROR(VLOOKUP(D165,'Team Data'!C:AB,5,FALSE),"")</f>
        <v/>
      </c>
      <c r="G165" t="str">
        <f>IFERROR(VLOOKUP('OB Format'!D165,'Team Data'!C:AB,17,FALSE),"")</f>
        <v/>
      </c>
      <c r="H165" t="str">
        <f>IFERROR(VLOOKUP(D165,'Team Data'!C:AB,7,FALSE),"")</f>
        <v/>
      </c>
      <c r="I165" t="str">
        <f>IFERROR(VLOOKUP(D165,'Team Data'!C:AB,14,FALSE),"")</f>
        <v/>
      </c>
      <c r="J165" t="str">
        <f>IFERROR(VLOOKUP(D165,'Team Data'!C:AB,8,FALSE),"")</f>
        <v/>
      </c>
      <c r="K165" t="str">
        <f>IFERROR(VLOOKUP(D165,'Team Data'!C:AB,9,FALSE),"")</f>
        <v/>
      </c>
      <c r="L165" t="str">
        <f>IFERROR(VLOOKUP(D165,'Team Data'!C:AB,10,FALSE),"")</f>
        <v/>
      </c>
      <c r="M165" t="str">
        <f t="shared" si="6"/>
        <v/>
      </c>
      <c r="N165" t="str">
        <f>IFERROR(VLOOKUP(D165,'Team Data'!C:AB,23,FALSE),"")</f>
        <v/>
      </c>
      <c r="O165" t="str">
        <f>IFERROR(VLOOKUP(D165,'Team Data'!C:AB,22,FALSE),"")</f>
        <v/>
      </c>
      <c r="P165" t="str">
        <f t="shared" si="7"/>
        <v/>
      </c>
      <c r="Q165" t="str">
        <f>IFERROR(VLOOKUP(D165,'Team Data'!C:AB,15,FALSE),"")</f>
        <v/>
      </c>
      <c r="R165" t="str">
        <f>IFERROR(VLOOKUP('OB Format'!D165,'Team Data'!C:AB,24,FALSE),"")</f>
        <v/>
      </c>
      <c r="S165" t="str">
        <f>IFERROR(VLOOKUP('OB Format'!D165,'Team Data'!C:AC,25,FALSE),"")</f>
        <v/>
      </c>
    </row>
    <row r="166" spans="5:19" x14ac:dyDescent="0.25">
      <c r="E166" t="str">
        <f>IFERROR(VLOOKUP(D166,'Team Data'!C:AB,4,FALSE),"")</f>
        <v/>
      </c>
      <c r="F166" t="str">
        <f>IFERROR(VLOOKUP(D166,'Team Data'!C:AB,5,FALSE),"")</f>
        <v/>
      </c>
      <c r="G166" t="str">
        <f>IFERROR(VLOOKUP('OB Format'!D166,'Team Data'!C:AB,17,FALSE),"")</f>
        <v/>
      </c>
      <c r="H166" t="str">
        <f>IFERROR(VLOOKUP(D166,'Team Data'!C:AB,7,FALSE),"")</f>
        <v/>
      </c>
      <c r="I166" t="str">
        <f>IFERROR(VLOOKUP(D166,'Team Data'!C:AB,14,FALSE),"")</f>
        <v/>
      </c>
      <c r="J166" t="str">
        <f>IFERROR(VLOOKUP(D166,'Team Data'!C:AB,8,FALSE),"")</f>
        <v/>
      </c>
      <c r="K166" t="str">
        <f>IFERROR(VLOOKUP(D166,'Team Data'!C:AB,9,FALSE),"")</f>
        <v/>
      </c>
      <c r="L166" t="str">
        <f>IFERROR(VLOOKUP(D166,'Team Data'!C:AB,10,FALSE),"")</f>
        <v/>
      </c>
      <c r="M166" t="str">
        <f t="shared" si="6"/>
        <v/>
      </c>
      <c r="N166" t="str">
        <f>IFERROR(VLOOKUP(D166,'Team Data'!C:AB,23,FALSE),"")</f>
        <v/>
      </c>
      <c r="O166" t="str">
        <f>IFERROR(VLOOKUP(D166,'Team Data'!C:AB,22,FALSE),"")</f>
        <v/>
      </c>
      <c r="P166" t="str">
        <f t="shared" si="7"/>
        <v/>
      </c>
      <c r="Q166" t="str">
        <f>IFERROR(VLOOKUP(D166,'Team Data'!C:AB,15,FALSE),"")</f>
        <v/>
      </c>
      <c r="R166" t="str">
        <f>IFERROR(VLOOKUP('OB Format'!D166,'Team Data'!C:AB,24,FALSE),"")</f>
        <v/>
      </c>
      <c r="S166" t="str">
        <f>IFERROR(VLOOKUP('OB Format'!D166,'Team Data'!C:AC,25,FALSE),"")</f>
        <v/>
      </c>
    </row>
    <row r="167" spans="5:19" x14ac:dyDescent="0.25">
      <c r="E167" t="str">
        <f>IFERROR(VLOOKUP(D167,'Team Data'!C:AB,4,FALSE),"")</f>
        <v/>
      </c>
      <c r="F167" t="str">
        <f>IFERROR(VLOOKUP(D167,'Team Data'!C:AB,5,FALSE),"")</f>
        <v/>
      </c>
      <c r="G167" t="str">
        <f>IFERROR(VLOOKUP('OB Format'!D167,'Team Data'!C:AB,17,FALSE),"")</f>
        <v/>
      </c>
      <c r="H167" t="str">
        <f>IFERROR(VLOOKUP(D167,'Team Data'!C:AB,7,FALSE),"")</f>
        <v/>
      </c>
      <c r="I167" t="str">
        <f>IFERROR(VLOOKUP(D167,'Team Data'!C:AB,14,FALSE),"")</f>
        <v/>
      </c>
      <c r="J167" t="str">
        <f>IFERROR(VLOOKUP(D167,'Team Data'!C:AB,8,FALSE),"")</f>
        <v/>
      </c>
      <c r="K167" t="str">
        <f>IFERROR(VLOOKUP(D167,'Team Data'!C:AB,9,FALSE),"")</f>
        <v/>
      </c>
      <c r="L167" t="str">
        <f>IFERROR(VLOOKUP(D167,'Team Data'!C:AB,10,FALSE),"")</f>
        <v/>
      </c>
      <c r="M167" t="str">
        <f t="shared" si="6"/>
        <v/>
      </c>
      <c r="N167" t="str">
        <f>IFERROR(VLOOKUP(D167,'Team Data'!C:AB,23,FALSE),"")</f>
        <v/>
      </c>
      <c r="O167" t="str">
        <f>IFERROR(VLOOKUP(D167,'Team Data'!C:AB,22,FALSE),"")</f>
        <v/>
      </c>
      <c r="P167" t="str">
        <f t="shared" si="7"/>
        <v/>
      </c>
      <c r="Q167" t="str">
        <f>IFERROR(VLOOKUP(D167,'Team Data'!C:AB,15,FALSE),"")</f>
        <v/>
      </c>
      <c r="R167" t="str">
        <f>IFERROR(VLOOKUP('OB Format'!D167,'Team Data'!C:AB,24,FALSE),"")</f>
        <v/>
      </c>
      <c r="S167" t="str">
        <f>IFERROR(VLOOKUP('OB Format'!D167,'Team Data'!C:AC,25,FALSE),"")</f>
        <v/>
      </c>
    </row>
    <row r="168" spans="5:19" x14ac:dyDescent="0.25">
      <c r="E168" t="str">
        <f>IFERROR(VLOOKUP(D168,'Team Data'!C:AB,4,FALSE),"")</f>
        <v/>
      </c>
      <c r="F168" t="str">
        <f>IFERROR(VLOOKUP(D168,'Team Data'!C:AB,5,FALSE),"")</f>
        <v/>
      </c>
      <c r="G168" t="str">
        <f>IFERROR(VLOOKUP('OB Format'!D168,'Team Data'!C:AB,17,FALSE),"")</f>
        <v/>
      </c>
      <c r="H168" t="str">
        <f>IFERROR(VLOOKUP(D168,'Team Data'!C:AB,7,FALSE),"")</f>
        <v/>
      </c>
      <c r="I168" t="str">
        <f>IFERROR(VLOOKUP(D168,'Team Data'!C:AB,14,FALSE),"")</f>
        <v/>
      </c>
      <c r="J168" t="str">
        <f>IFERROR(VLOOKUP(D168,'Team Data'!C:AB,8,FALSE),"")</f>
        <v/>
      </c>
      <c r="K168" t="str">
        <f>IFERROR(VLOOKUP(D168,'Team Data'!C:AB,9,FALSE),"")</f>
        <v/>
      </c>
      <c r="L168" t="str">
        <f>IFERROR(VLOOKUP(D168,'Team Data'!C:AB,10,FALSE),"")</f>
        <v/>
      </c>
      <c r="M168" t="str">
        <f t="shared" si="6"/>
        <v/>
      </c>
      <c r="N168" t="str">
        <f>IFERROR(VLOOKUP(D168,'Team Data'!C:AB,23,FALSE),"")</f>
        <v/>
      </c>
      <c r="O168" t="str">
        <f>IFERROR(VLOOKUP(D168,'Team Data'!C:AB,22,FALSE),"")</f>
        <v/>
      </c>
      <c r="P168" t="str">
        <f t="shared" si="7"/>
        <v/>
      </c>
      <c r="Q168" t="str">
        <f>IFERROR(VLOOKUP(D168,'Team Data'!C:AB,15,FALSE),"")</f>
        <v/>
      </c>
      <c r="R168" t="str">
        <f>IFERROR(VLOOKUP('OB Format'!D168,'Team Data'!C:AB,24,FALSE),"")</f>
        <v/>
      </c>
      <c r="S168" t="str">
        <f>IFERROR(VLOOKUP('OB Format'!D168,'Team Data'!C:AC,25,FALSE),"")</f>
        <v/>
      </c>
    </row>
    <row r="169" spans="5:19" x14ac:dyDescent="0.25">
      <c r="E169" t="str">
        <f>IFERROR(VLOOKUP(D169,'Team Data'!C:AB,4,FALSE),"")</f>
        <v/>
      </c>
      <c r="F169" t="str">
        <f>IFERROR(VLOOKUP(D169,'Team Data'!C:AB,5,FALSE),"")</f>
        <v/>
      </c>
      <c r="G169" t="str">
        <f>IFERROR(VLOOKUP('OB Format'!D169,'Team Data'!C:AB,17,FALSE),"")</f>
        <v/>
      </c>
      <c r="H169" t="str">
        <f>IFERROR(VLOOKUP(D169,'Team Data'!C:AB,7,FALSE),"")</f>
        <v/>
      </c>
      <c r="I169" t="str">
        <f>IFERROR(VLOOKUP(D169,'Team Data'!C:AB,14,FALSE),"")</f>
        <v/>
      </c>
      <c r="J169" t="str">
        <f>IFERROR(VLOOKUP(D169,'Team Data'!C:AB,8,FALSE),"")</f>
        <v/>
      </c>
      <c r="K169" t="str">
        <f>IFERROR(VLOOKUP(D169,'Team Data'!C:AB,9,FALSE),"")</f>
        <v/>
      </c>
      <c r="L169" t="str">
        <f>IFERROR(VLOOKUP(D169,'Team Data'!C:AB,10,FALSE),"")</f>
        <v/>
      </c>
      <c r="M169" t="str">
        <f t="shared" si="6"/>
        <v/>
      </c>
      <c r="N169" t="str">
        <f>IFERROR(VLOOKUP(D169,'Team Data'!C:AB,23,FALSE),"")</f>
        <v/>
      </c>
      <c r="O169" t="str">
        <f>IFERROR(VLOOKUP(D169,'Team Data'!C:AB,22,FALSE),"")</f>
        <v/>
      </c>
      <c r="P169" t="str">
        <f t="shared" si="7"/>
        <v/>
      </c>
      <c r="Q169" t="str">
        <f>IFERROR(VLOOKUP(D169,'Team Data'!C:AB,15,FALSE),"")</f>
        <v/>
      </c>
      <c r="R169" t="str">
        <f>IFERROR(VLOOKUP('OB Format'!D169,'Team Data'!C:AB,24,FALSE),"")</f>
        <v/>
      </c>
      <c r="S169" t="str">
        <f>IFERROR(VLOOKUP('OB Format'!D169,'Team Data'!C:AC,25,FALSE),"")</f>
        <v/>
      </c>
    </row>
    <row r="170" spans="5:19" x14ac:dyDescent="0.25">
      <c r="E170" t="str">
        <f>IFERROR(VLOOKUP(D170,'Team Data'!C:AB,4,FALSE),"")</f>
        <v/>
      </c>
      <c r="F170" t="str">
        <f>IFERROR(VLOOKUP(D170,'Team Data'!C:AB,5,FALSE),"")</f>
        <v/>
      </c>
      <c r="G170" t="str">
        <f>IFERROR(VLOOKUP('OB Format'!D170,'Team Data'!C:AB,17,FALSE),"")</f>
        <v/>
      </c>
      <c r="H170" t="str">
        <f>IFERROR(VLOOKUP(D170,'Team Data'!C:AB,7,FALSE),"")</f>
        <v/>
      </c>
      <c r="I170" t="str">
        <f>IFERROR(VLOOKUP(D170,'Team Data'!C:AB,14,FALSE),"")</f>
        <v/>
      </c>
      <c r="J170" t="str">
        <f>IFERROR(VLOOKUP(D170,'Team Data'!C:AB,8,FALSE),"")</f>
        <v/>
      </c>
      <c r="K170" t="str">
        <f>IFERROR(VLOOKUP(D170,'Team Data'!C:AB,9,FALSE),"")</f>
        <v/>
      </c>
      <c r="L170" t="str">
        <f>IFERROR(VLOOKUP(D170,'Team Data'!C:AB,10,FALSE),"")</f>
        <v/>
      </c>
      <c r="M170" t="str">
        <f t="shared" si="6"/>
        <v/>
      </c>
      <c r="N170" t="str">
        <f>IFERROR(VLOOKUP(D170,'Team Data'!C:AB,23,FALSE),"")</f>
        <v/>
      </c>
      <c r="O170" t="str">
        <f>IFERROR(VLOOKUP(D170,'Team Data'!C:AB,22,FALSE),"")</f>
        <v/>
      </c>
      <c r="P170" t="str">
        <f t="shared" si="7"/>
        <v/>
      </c>
      <c r="Q170" t="str">
        <f>IFERROR(VLOOKUP(D170,'Team Data'!C:AB,15,FALSE),"")</f>
        <v/>
      </c>
      <c r="R170" t="str">
        <f>IFERROR(VLOOKUP('OB Format'!D170,'Team Data'!C:AB,24,FALSE),"")</f>
        <v/>
      </c>
      <c r="S170" t="str">
        <f>IFERROR(VLOOKUP('OB Format'!D170,'Team Data'!C:AC,25,FALSE),"")</f>
        <v/>
      </c>
    </row>
    <row r="171" spans="5:19" x14ac:dyDescent="0.25">
      <c r="E171" t="str">
        <f>IFERROR(VLOOKUP(D171,'Team Data'!C:AB,4,FALSE),"")</f>
        <v/>
      </c>
      <c r="F171" t="str">
        <f>IFERROR(VLOOKUP(D171,'Team Data'!C:AB,5,FALSE),"")</f>
        <v/>
      </c>
      <c r="G171" t="str">
        <f>IFERROR(VLOOKUP('OB Format'!D171,'Team Data'!C:AB,17,FALSE),"")</f>
        <v/>
      </c>
      <c r="H171" t="str">
        <f>IFERROR(VLOOKUP(D171,'Team Data'!C:AB,7,FALSE),"")</f>
        <v/>
      </c>
      <c r="I171" t="str">
        <f>IFERROR(VLOOKUP(D171,'Team Data'!C:AB,14,FALSE),"")</f>
        <v/>
      </c>
      <c r="J171" t="str">
        <f>IFERROR(VLOOKUP(D171,'Team Data'!C:AB,8,FALSE),"")</f>
        <v/>
      </c>
      <c r="K171" t="str">
        <f>IFERROR(VLOOKUP(D171,'Team Data'!C:AB,9,FALSE),"")</f>
        <v/>
      </c>
      <c r="L171" t="str">
        <f>IFERROR(VLOOKUP(D171,'Team Data'!C:AB,10,FALSE),"")</f>
        <v/>
      </c>
      <c r="M171" t="str">
        <f t="shared" si="6"/>
        <v/>
      </c>
      <c r="N171" t="str">
        <f>IFERROR(VLOOKUP(D171,'Team Data'!C:AB,23,FALSE),"")</f>
        <v/>
      </c>
      <c r="O171" t="str">
        <f>IFERROR(VLOOKUP(D171,'Team Data'!C:AB,22,FALSE),"")</f>
        <v/>
      </c>
      <c r="P171" t="str">
        <f t="shared" si="7"/>
        <v/>
      </c>
      <c r="Q171" t="str">
        <f>IFERROR(VLOOKUP(D171,'Team Data'!C:AB,15,FALSE),"")</f>
        <v/>
      </c>
      <c r="R171" t="str">
        <f>IFERROR(VLOOKUP('OB Format'!D171,'Team Data'!C:AB,24,FALSE),"")</f>
        <v/>
      </c>
      <c r="S171" t="str">
        <f>IFERROR(VLOOKUP('OB Format'!D171,'Team Data'!C:AC,25,FALSE),"")</f>
        <v/>
      </c>
    </row>
    <row r="172" spans="5:19" x14ac:dyDescent="0.25">
      <c r="E172" t="str">
        <f>IFERROR(VLOOKUP(D172,'Team Data'!C:AB,4,FALSE),"")</f>
        <v/>
      </c>
      <c r="F172" t="str">
        <f>IFERROR(VLOOKUP(D172,'Team Data'!C:AB,5,FALSE),"")</f>
        <v/>
      </c>
      <c r="G172" t="str">
        <f>IFERROR(VLOOKUP('OB Format'!D172,'Team Data'!C:AB,17,FALSE),"")</f>
        <v/>
      </c>
      <c r="H172" t="str">
        <f>IFERROR(VLOOKUP(D172,'Team Data'!C:AB,7,FALSE),"")</f>
        <v/>
      </c>
      <c r="I172" t="str">
        <f>IFERROR(VLOOKUP(D172,'Team Data'!C:AB,14,FALSE),"")</f>
        <v/>
      </c>
      <c r="J172" t="str">
        <f>IFERROR(VLOOKUP(D172,'Team Data'!C:AB,8,FALSE),"")</f>
        <v/>
      </c>
      <c r="K172" t="str">
        <f>IFERROR(VLOOKUP(D172,'Team Data'!C:AB,9,FALSE),"")</f>
        <v/>
      </c>
      <c r="L172" t="str">
        <f>IFERROR(VLOOKUP(D172,'Team Data'!C:AB,10,FALSE),"")</f>
        <v/>
      </c>
      <c r="M172" t="str">
        <f t="shared" si="6"/>
        <v/>
      </c>
      <c r="N172" t="str">
        <f>IFERROR(VLOOKUP(D172,'Team Data'!C:AB,23,FALSE),"")</f>
        <v/>
      </c>
      <c r="O172" t="str">
        <f>IFERROR(VLOOKUP(D172,'Team Data'!C:AB,22,FALSE),"")</f>
        <v/>
      </c>
      <c r="P172" t="str">
        <f t="shared" si="7"/>
        <v/>
      </c>
      <c r="Q172" t="str">
        <f>IFERROR(VLOOKUP(D172,'Team Data'!C:AB,15,FALSE),"")</f>
        <v/>
      </c>
      <c r="R172" t="str">
        <f>IFERROR(VLOOKUP('OB Format'!D172,'Team Data'!C:AB,24,FALSE),"")</f>
        <v/>
      </c>
      <c r="S172" t="str">
        <f>IFERROR(VLOOKUP('OB Format'!D172,'Team Data'!C:AC,25,FALSE),"")</f>
        <v/>
      </c>
    </row>
    <row r="173" spans="5:19" x14ac:dyDescent="0.25">
      <c r="E173" t="str">
        <f>IFERROR(VLOOKUP(D173,'Team Data'!C:AB,4,FALSE),"")</f>
        <v/>
      </c>
      <c r="F173" t="str">
        <f>IFERROR(VLOOKUP(D173,'Team Data'!C:AB,5,FALSE),"")</f>
        <v/>
      </c>
      <c r="G173" t="str">
        <f>IFERROR(VLOOKUP('OB Format'!D173,'Team Data'!C:AB,17,FALSE),"")</f>
        <v/>
      </c>
      <c r="H173" t="str">
        <f>IFERROR(VLOOKUP(D173,'Team Data'!C:AB,7,FALSE),"")</f>
        <v/>
      </c>
      <c r="I173" t="str">
        <f>IFERROR(VLOOKUP(D173,'Team Data'!C:AB,14,FALSE),"")</f>
        <v/>
      </c>
      <c r="J173" t="str">
        <f>IFERROR(VLOOKUP(D173,'Team Data'!C:AB,8,FALSE),"")</f>
        <v/>
      </c>
      <c r="K173" t="str">
        <f>IFERROR(VLOOKUP(D173,'Team Data'!C:AB,9,FALSE),"")</f>
        <v/>
      </c>
      <c r="L173" t="str">
        <f>IFERROR(VLOOKUP(D173,'Team Data'!C:AB,10,FALSE),"")</f>
        <v/>
      </c>
      <c r="M173" t="str">
        <f t="shared" si="6"/>
        <v/>
      </c>
      <c r="N173" t="str">
        <f>IFERROR(VLOOKUP(D173,'Team Data'!C:AB,23,FALSE),"")</f>
        <v/>
      </c>
      <c r="O173" t="str">
        <f>IFERROR(VLOOKUP(D173,'Team Data'!C:AB,22,FALSE),"")</f>
        <v/>
      </c>
      <c r="P173" t="str">
        <f t="shared" si="7"/>
        <v/>
      </c>
      <c r="Q173" t="str">
        <f>IFERROR(VLOOKUP(D173,'Team Data'!C:AB,15,FALSE),"")</f>
        <v/>
      </c>
      <c r="R173" t="str">
        <f>IFERROR(VLOOKUP('OB Format'!D173,'Team Data'!C:AB,24,FALSE),"")</f>
        <v/>
      </c>
      <c r="S173" t="str">
        <f>IFERROR(VLOOKUP('OB Format'!D173,'Team Data'!C:AC,25,FALSE),"")</f>
        <v/>
      </c>
    </row>
    <row r="174" spans="5:19" x14ac:dyDescent="0.25">
      <c r="E174" t="str">
        <f>IFERROR(VLOOKUP(D174,'Team Data'!C:AB,4,FALSE),"")</f>
        <v/>
      </c>
      <c r="F174" t="str">
        <f>IFERROR(VLOOKUP(D174,'Team Data'!C:AB,5,FALSE),"")</f>
        <v/>
      </c>
      <c r="G174" t="str">
        <f>IFERROR(VLOOKUP('OB Format'!D174,'Team Data'!C:AB,17,FALSE),"")</f>
        <v/>
      </c>
      <c r="H174" t="str">
        <f>IFERROR(VLOOKUP(D174,'Team Data'!C:AB,7,FALSE),"")</f>
        <v/>
      </c>
      <c r="I174" t="str">
        <f>IFERROR(VLOOKUP(D174,'Team Data'!C:AB,14,FALSE),"")</f>
        <v/>
      </c>
      <c r="J174" t="str">
        <f>IFERROR(VLOOKUP(D174,'Team Data'!C:AB,8,FALSE),"")</f>
        <v/>
      </c>
      <c r="K174" t="str">
        <f>IFERROR(VLOOKUP(D174,'Team Data'!C:AB,9,FALSE),"")</f>
        <v/>
      </c>
      <c r="L174" t="str">
        <f>IFERROR(VLOOKUP(D174,'Team Data'!C:AB,10,FALSE),"")</f>
        <v/>
      </c>
      <c r="M174" t="str">
        <f t="shared" si="6"/>
        <v/>
      </c>
      <c r="N174" t="str">
        <f>IFERROR(VLOOKUP(D174,'Team Data'!C:AB,23,FALSE),"")</f>
        <v/>
      </c>
      <c r="O174" t="str">
        <f>IFERROR(VLOOKUP(D174,'Team Data'!C:AB,22,FALSE),"")</f>
        <v/>
      </c>
      <c r="P174" t="str">
        <f t="shared" si="7"/>
        <v/>
      </c>
      <c r="Q174" t="str">
        <f>IFERROR(VLOOKUP(D174,'Team Data'!C:AB,15,FALSE),"")</f>
        <v/>
      </c>
      <c r="R174" t="str">
        <f>IFERROR(VLOOKUP('OB Format'!D174,'Team Data'!C:AB,24,FALSE),"")</f>
        <v/>
      </c>
      <c r="S174" t="str">
        <f>IFERROR(VLOOKUP('OB Format'!D174,'Team Data'!C:AC,25,FALSE),"")</f>
        <v/>
      </c>
    </row>
    <row r="175" spans="5:19" x14ac:dyDescent="0.25">
      <c r="E175" t="str">
        <f>IFERROR(VLOOKUP(D175,'Team Data'!C:AB,4,FALSE),"")</f>
        <v/>
      </c>
      <c r="F175" t="str">
        <f>IFERROR(VLOOKUP(D175,'Team Data'!C:AB,5,FALSE),"")</f>
        <v/>
      </c>
      <c r="G175" t="str">
        <f>IFERROR(VLOOKUP('OB Format'!D175,'Team Data'!C:AB,17,FALSE),"")</f>
        <v/>
      </c>
      <c r="H175" t="str">
        <f>IFERROR(VLOOKUP(D175,'Team Data'!C:AB,7,FALSE),"")</f>
        <v/>
      </c>
      <c r="I175" t="str">
        <f>IFERROR(VLOOKUP(D175,'Team Data'!C:AB,14,FALSE),"")</f>
        <v/>
      </c>
      <c r="J175" t="str">
        <f>IFERROR(VLOOKUP(D175,'Team Data'!C:AB,8,FALSE),"")</f>
        <v/>
      </c>
      <c r="K175" t="str">
        <f>IFERROR(VLOOKUP(D175,'Team Data'!C:AB,9,FALSE),"")</f>
        <v/>
      </c>
      <c r="L175" t="str">
        <f>IFERROR(VLOOKUP(D175,'Team Data'!C:AB,10,FALSE),"")</f>
        <v/>
      </c>
      <c r="M175" t="str">
        <f t="shared" si="6"/>
        <v/>
      </c>
      <c r="N175" t="str">
        <f>IFERROR(VLOOKUP(D175,'Team Data'!C:AB,23,FALSE),"")</f>
        <v/>
      </c>
      <c r="O175" t="str">
        <f>IFERROR(VLOOKUP(D175,'Team Data'!C:AB,22,FALSE),"")</f>
        <v/>
      </c>
      <c r="P175" t="str">
        <f t="shared" si="7"/>
        <v/>
      </c>
      <c r="Q175" t="str">
        <f>IFERROR(VLOOKUP(D175,'Team Data'!C:AB,15,FALSE),"")</f>
        <v/>
      </c>
      <c r="R175" t="str">
        <f>IFERROR(VLOOKUP('OB Format'!D175,'Team Data'!C:AB,24,FALSE),"")</f>
        <v/>
      </c>
      <c r="S175" t="str">
        <f>IFERROR(VLOOKUP('OB Format'!D175,'Team Data'!C:AC,25,FALSE),"")</f>
        <v/>
      </c>
    </row>
    <row r="176" spans="5:19" x14ac:dyDescent="0.25">
      <c r="E176" t="str">
        <f>IFERROR(VLOOKUP(D176,'Team Data'!C:AB,4,FALSE),"")</f>
        <v/>
      </c>
      <c r="F176" t="str">
        <f>IFERROR(VLOOKUP(D176,'Team Data'!C:AB,5,FALSE),"")</f>
        <v/>
      </c>
      <c r="G176" t="str">
        <f>IFERROR(VLOOKUP('OB Format'!D176,'Team Data'!C:AB,17,FALSE),"")</f>
        <v/>
      </c>
      <c r="H176" t="str">
        <f>IFERROR(VLOOKUP(D176,'Team Data'!C:AB,7,FALSE),"")</f>
        <v/>
      </c>
      <c r="I176" t="str">
        <f>IFERROR(VLOOKUP(D176,'Team Data'!C:AB,14,FALSE),"")</f>
        <v/>
      </c>
      <c r="J176" t="str">
        <f>IFERROR(VLOOKUP(D176,'Team Data'!C:AB,8,FALSE),"")</f>
        <v/>
      </c>
      <c r="K176" t="str">
        <f>IFERROR(VLOOKUP(D176,'Team Data'!C:AB,9,FALSE),"")</f>
        <v/>
      </c>
      <c r="L176" t="str">
        <f>IFERROR(VLOOKUP(D176,'Team Data'!C:AB,10,FALSE),"")</f>
        <v/>
      </c>
      <c r="M176" t="str">
        <f t="shared" si="6"/>
        <v/>
      </c>
      <c r="N176" t="str">
        <f>IFERROR(VLOOKUP(D176,'Team Data'!C:AB,23,FALSE),"")</f>
        <v/>
      </c>
      <c r="O176" t="str">
        <f>IFERROR(VLOOKUP(D176,'Team Data'!C:AB,22,FALSE),"")</f>
        <v/>
      </c>
      <c r="P176" t="str">
        <f t="shared" si="7"/>
        <v/>
      </c>
      <c r="Q176" t="str">
        <f>IFERROR(VLOOKUP(D176,'Team Data'!C:AB,15,FALSE),"")</f>
        <v/>
      </c>
      <c r="R176" t="str">
        <f>IFERROR(VLOOKUP('OB Format'!D176,'Team Data'!C:AB,24,FALSE),"")</f>
        <v/>
      </c>
      <c r="S176" t="str">
        <f>IFERROR(VLOOKUP('OB Format'!D176,'Team Data'!C:AC,25,FALSE),"")</f>
        <v/>
      </c>
    </row>
    <row r="177" spans="5:19" x14ac:dyDescent="0.25">
      <c r="E177" t="str">
        <f>IFERROR(VLOOKUP(D177,'Team Data'!C:AB,4,FALSE),"")</f>
        <v/>
      </c>
      <c r="F177" t="str">
        <f>IFERROR(VLOOKUP(D177,'Team Data'!C:AB,5,FALSE),"")</f>
        <v/>
      </c>
      <c r="G177" t="str">
        <f>IFERROR(VLOOKUP('OB Format'!D177,'Team Data'!C:AB,17,FALSE),"")</f>
        <v/>
      </c>
      <c r="H177" t="str">
        <f>IFERROR(VLOOKUP(D177,'Team Data'!C:AB,7,FALSE),"")</f>
        <v/>
      </c>
      <c r="I177" t="str">
        <f>IFERROR(VLOOKUP(D177,'Team Data'!C:AB,14,FALSE),"")</f>
        <v/>
      </c>
      <c r="J177" t="str">
        <f>IFERROR(VLOOKUP(D177,'Team Data'!C:AB,8,FALSE),"")</f>
        <v/>
      </c>
      <c r="K177" t="str">
        <f>IFERROR(VLOOKUP(D177,'Team Data'!C:AB,9,FALSE),"")</f>
        <v/>
      </c>
      <c r="L177" t="str">
        <f>IFERROR(VLOOKUP(D177,'Team Data'!C:AB,10,FALSE),"")</f>
        <v/>
      </c>
      <c r="M177" t="str">
        <f t="shared" si="6"/>
        <v/>
      </c>
      <c r="N177" t="str">
        <f>IFERROR(VLOOKUP(D177,'Team Data'!C:AB,23,FALSE),"")</f>
        <v/>
      </c>
      <c r="O177" t="str">
        <f>IFERROR(VLOOKUP(D177,'Team Data'!C:AB,22,FALSE),"")</f>
        <v/>
      </c>
      <c r="P177" t="str">
        <f t="shared" si="7"/>
        <v/>
      </c>
      <c r="Q177" t="str">
        <f>IFERROR(VLOOKUP(D177,'Team Data'!C:AB,15,FALSE),"")</f>
        <v/>
      </c>
      <c r="R177" t="str">
        <f>IFERROR(VLOOKUP('OB Format'!D177,'Team Data'!C:AB,24,FALSE),"")</f>
        <v/>
      </c>
      <c r="S177" t="str">
        <f>IFERROR(VLOOKUP('OB Format'!D177,'Team Data'!C:AC,25,FALSE),"")</f>
        <v/>
      </c>
    </row>
    <row r="178" spans="5:19" x14ac:dyDescent="0.25">
      <c r="E178" t="str">
        <f>IFERROR(VLOOKUP(D178,'Team Data'!C:AB,4,FALSE),"")</f>
        <v/>
      </c>
      <c r="F178" t="str">
        <f>IFERROR(VLOOKUP(D178,'Team Data'!C:AB,5,FALSE),"")</f>
        <v/>
      </c>
      <c r="G178" t="str">
        <f>IFERROR(VLOOKUP('OB Format'!D178,'Team Data'!C:AB,17,FALSE),"")</f>
        <v/>
      </c>
      <c r="H178" t="str">
        <f>IFERROR(VLOOKUP(D178,'Team Data'!C:AB,7,FALSE),"")</f>
        <v/>
      </c>
      <c r="I178" t="str">
        <f>IFERROR(VLOOKUP(D178,'Team Data'!C:AB,14,FALSE),"")</f>
        <v/>
      </c>
      <c r="J178" t="str">
        <f>IFERROR(VLOOKUP(D178,'Team Data'!C:AB,8,FALSE),"")</f>
        <v/>
      </c>
      <c r="K178" t="str">
        <f>IFERROR(VLOOKUP(D178,'Team Data'!C:AB,9,FALSE),"")</f>
        <v/>
      </c>
      <c r="L178" t="str">
        <f>IFERROR(VLOOKUP(D178,'Team Data'!C:AB,10,FALSE),"")</f>
        <v/>
      </c>
      <c r="M178" t="str">
        <f t="shared" si="6"/>
        <v/>
      </c>
      <c r="N178" t="str">
        <f>IFERROR(VLOOKUP(D178,'Team Data'!C:AB,23,FALSE),"")</f>
        <v/>
      </c>
      <c r="O178" t="str">
        <f>IFERROR(VLOOKUP(D178,'Team Data'!C:AB,22,FALSE),"")</f>
        <v/>
      </c>
      <c r="P178" t="str">
        <f t="shared" si="7"/>
        <v/>
      </c>
      <c r="Q178" t="str">
        <f>IFERROR(VLOOKUP(D178,'Team Data'!C:AB,15,FALSE),"")</f>
        <v/>
      </c>
      <c r="R178" t="str">
        <f>IFERROR(VLOOKUP('OB Format'!D178,'Team Data'!C:AB,24,FALSE),"")</f>
        <v/>
      </c>
      <c r="S178" t="str">
        <f>IFERROR(VLOOKUP('OB Format'!D178,'Team Data'!C:AC,25,FALSE),"")</f>
        <v/>
      </c>
    </row>
    <row r="179" spans="5:19" x14ac:dyDescent="0.25">
      <c r="E179" t="str">
        <f>IFERROR(VLOOKUP(D179,'Team Data'!C:AB,4,FALSE),"")</f>
        <v/>
      </c>
      <c r="F179" t="str">
        <f>IFERROR(VLOOKUP(D179,'Team Data'!C:AB,5,FALSE),"")</f>
        <v/>
      </c>
      <c r="G179" t="str">
        <f>IFERROR(VLOOKUP('OB Format'!D179,'Team Data'!C:AB,17,FALSE),"")</f>
        <v/>
      </c>
      <c r="H179" t="str">
        <f>IFERROR(VLOOKUP(D179,'Team Data'!C:AB,7,FALSE),"")</f>
        <v/>
      </c>
      <c r="I179" t="str">
        <f>IFERROR(VLOOKUP(D179,'Team Data'!C:AB,14,FALSE),"")</f>
        <v/>
      </c>
      <c r="J179" t="str">
        <f>IFERROR(VLOOKUP(D179,'Team Data'!C:AB,8,FALSE),"")</f>
        <v/>
      </c>
      <c r="K179" t="str">
        <f>IFERROR(VLOOKUP(D179,'Team Data'!C:AB,9,FALSE),"")</f>
        <v/>
      </c>
      <c r="L179" t="str">
        <f>IFERROR(VLOOKUP(D179,'Team Data'!C:AB,10,FALSE),"")</f>
        <v/>
      </c>
      <c r="M179" t="str">
        <f t="shared" si="6"/>
        <v/>
      </c>
      <c r="N179" t="str">
        <f>IFERROR(VLOOKUP(D179,'Team Data'!C:AB,23,FALSE),"")</f>
        <v/>
      </c>
      <c r="O179" t="str">
        <f>IFERROR(VLOOKUP(D179,'Team Data'!C:AB,22,FALSE),"")</f>
        <v/>
      </c>
      <c r="P179" t="str">
        <f t="shared" si="7"/>
        <v/>
      </c>
      <c r="Q179" t="str">
        <f>IFERROR(VLOOKUP(D179,'Team Data'!C:AB,15,FALSE),"")</f>
        <v/>
      </c>
      <c r="R179" t="str">
        <f>IFERROR(VLOOKUP('OB Format'!D179,'Team Data'!C:AB,24,FALSE),"")</f>
        <v/>
      </c>
      <c r="S179" t="str">
        <f>IFERROR(VLOOKUP('OB Format'!D179,'Team Data'!C:AC,25,FALSE),"")</f>
        <v/>
      </c>
    </row>
    <row r="180" spans="5:19" x14ac:dyDescent="0.25">
      <c r="E180" t="str">
        <f>IFERROR(VLOOKUP(D180,'Team Data'!C:AB,4,FALSE),"")</f>
        <v/>
      </c>
      <c r="F180" t="str">
        <f>IFERROR(VLOOKUP(D180,'Team Data'!C:AB,5,FALSE),"")</f>
        <v/>
      </c>
      <c r="G180" t="str">
        <f>IFERROR(VLOOKUP('OB Format'!D180,'Team Data'!C:AB,17,FALSE),"")</f>
        <v/>
      </c>
      <c r="H180" t="str">
        <f>IFERROR(VLOOKUP(D180,'Team Data'!C:AB,7,FALSE),"")</f>
        <v/>
      </c>
      <c r="I180" t="str">
        <f>IFERROR(VLOOKUP(D180,'Team Data'!C:AB,14,FALSE),"")</f>
        <v/>
      </c>
      <c r="J180" t="str">
        <f>IFERROR(VLOOKUP(D180,'Team Data'!C:AB,8,FALSE),"")</f>
        <v/>
      </c>
      <c r="K180" t="str">
        <f>IFERROR(VLOOKUP(D180,'Team Data'!C:AB,9,FALSE),"")</f>
        <v/>
      </c>
      <c r="L180" t="str">
        <f>IFERROR(VLOOKUP(D180,'Team Data'!C:AB,10,FALSE),"")</f>
        <v/>
      </c>
      <c r="M180" t="str">
        <f t="shared" si="6"/>
        <v/>
      </c>
      <c r="N180" t="str">
        <f>IFERROR(VLOOKUP(D180,'Team Data'!C:AB,23,FALSE),"")</f>
        <v/>
      </c>
      <c r="O180" t="str">
        <f>IFERROR(VLOOKUP(D180,'Team Data'!C:AB,22,FALSE),"")</f>
        <v/>
      </c>
      <c r="P180" t="str">
        <f t="shared" si="7"/>
        <v/>
      </c>
      <c r="Q180" t="str">
        <f>IFERROR(VLOOKUP(D180,'Team Data'!C:AB,15,FALSE),"")</f>
        <v/>
      </c>
      <c r="R180" t="str">
        <f>IFERROR(VLOOKUP('OB Format'!D180,'Team Data'!C:AB,24,FALSE),"")</f>
        <v/>
      </c>
      <c r="S180" t="str">
        <f>IFERROR(VLOOKUP('OB Format'!D180,'Team Data'!C:AC,25,FALSE),"")</f>
        <v/>
      </c>
    </row>
    <row r="181" spans="5:19" x14ac:dyDescent="0.25">
      <c r="E181" t="str">
        <f>IFERROR(VLOOKUP(D181,'Team Data'!C:AB,4,FALSE),"")</f>
        <v/>
      </c>
      <c r="F181" t="str">
        <f>IFERROR(VLOOKUP(D181,'Team Data'!C:AB,5,FALSE),"")</f>
        <v/>
      </c>
      <c r="G181" t="str">
        <f>IFERROR(VLOOKUP('OB Format'!D181,'Team Data'!C:AB,17,FALSE),"")</f>
        <v/>
      </c>
      <c r="H181" t="str">
        <f>IFERROR(VLOOKUP(D181,'Team Data'!C:AB,7,FALSE),"")</f>
        <v/>
      </c>
      <c r="I181" t="str">
        <f>IFERROR(VLOOKUP(D181,'Team Data'!C:AB,14,FALSE),"")</f>
        <v/>
      </c>
      <c r="J181" t="str">
        <f>IFERROR(VLOOKUP(D181,'Team Data'!C:AB,8,FALSE),"")</f>
        <v/>
      </c>
      <c r="K181" t="str">
        <f>IFERROR(VLOOKUP(D181,'Team Data'!C:AB,9,FALSE),"")</f>
        <v/>
      </c>
      <c r="L181" t="str">
        <f>IFERROR(VLOOKUP(D181,'Team Data'!C:AB,10,FALSE),"")</f>
        <v/>
      </c>
      <c r="M181" t="str">
        <f t="shared" si="6"/>
        <v/>
      </c>
      <c r="N181" t="str">
        <f>IFERROR(VLOOKUP(D181,'Team Data'!C:AB,23,FALSE),"")</f>
        <v/>
      </c>
      <c r="O181" t="str">
        <f>IFERROR(VLOOKUP(D181,'Team Data'!C:AB,22,FALSE),"")</f>
        <v/>
      </c>
      <c r="P181" t="str">
        <f t="shared" si="7"/>
        <v/>
      </c>
      <c r="Q181" t="str">
        <f>IFERROR(VLOOKUP(D181,'Team Data'!C:AB,15,FALSE),"")</f>
        <v/>
      </c>
      <c r="R181" t="str">
        <f>IFERROR(VLOOKUP('OB Format'!D181,'Team Data'!C:AB,24,FALSE),"")</f>
        <v/>
      </c>
      <c r="S181" t="str">
        <f>IFERROR(VLOOKUP('OB Format'!D181,'Team Data'!C:AC,25,FALSE),"")</f>
        <v/>
      </c>
    </row>
    <row r="182" spans="5:19" x14ac:dyDescent="0.25">
      <c r="E182" t="str">
        <f>IFERROR(VLOOKUP(D182,'Team Data'!C:AB,4,FALSE),"")</f>
        <v/>
      </c>
      <c r="F182" t="str">
        <f>IFERROR(VLOOKUP(D182,'Team Data'!C:AB,5,FALSE),"")</f>
        <v/>
      </c>
      <c r="G182" t="str">
        <f>IFERROR(VLOOKUP('OB Format'!D182,'Team Data'!C:AB,17,FALSE),"")</f>
        <v/>
      </c>
      <c r="H182" t="str">
        <f>IFERROR(VLOOKUP(D182,'Team Data'!C:AB,7,FALSE),"")</f>
        <v/>
      </c>
      <c r="I182" t="str">
        <f>IFERROR(VLOOKUP(D182,'Team Data'!C:AB,14,FALSE),"")</f>
        <v/>
      </c>
      <c r="J182" t="str">
        <f>IFERROR(VLOOKUP(D182,'Team Data'!C:AB,8,FALSE),"")</f>
        <v/>
      </c>
      <c r="K182" t="str">
        <f>IFERROR(VLOOKUP(D182,'Team Data'!C:AB,9,FALSE),"")</f>
        <v/>
      </c>
      <c r="L182" t="str">
        <f>IFERROR(VLOOKUP(D182,'Team Data'!C:AB,10,FALSE),"")</f>
        <v/>
      </c>
      <c r="M182" t="str">
        <f t="shared" si="6"/>
        <v/>
      </c>
      <c r="N182" t="str">
        <f>IFERROR(VLOOKUP(D182,'Team Data'!C:AB,23,FALSE),"")</f>
        <v/>
      </c>
      <c r="O182" t="str">
        <f>IFERROR(VLOOKUP(D182,'Team Data'!C:AB,22,FALSE),"")</f>
        <v/>
      </c>
      <c r="P182" t="str">
        <f t="shared" si="7"/>
        <v/>
      </c>
      <c r="Q182" t="str">
        <f>IFERROR(VLOOKUP(D182,'Team Data'!C:AB,15,FALSE),"")</f>
        <v/>
      </c>
      <c r="R182" t="str">
        <f>IFERROR(VLOOKUP('OB Format'!D182,'Team Data'!C:AB,24,FALSE),"")</f>
        <v/>
      </c>
      <c r="S182" t="str">
        <f>IFERROR(VLOOKUP('OB Format'!D182,'Team Data'!C:AC,25,FALSE),"")</f>
        <v/>
      </c>
    </row>
    <row r="183" spans="5:19" x14ac:dyDescent="0.25">
      <c r="E183" t="str">
        <f>IFERROR(VLOOKUP(D183,'Team Data'!C:AB,4,FALSE),"")</f>
        <v/>
      </c>
      <c r="F183" t="str">
        <f>IFERROR(VLOOKUP(D183,'Team Data'!C:AB,5,FALSE),"")</f>
        <v/>
      </c>
      <c r="G183" t="str">
        <f>IFERROR(VLOOKUP('OB Format'!D183,'Team Data'!C:AB,17,FALSE),"")</f>
        <v/>
      </c>
      <c r="H183" t="str">
        <f>IFERROR(VLOOKUP(D183,'Team Data'!C:AB,7,FALSE),"")</f>
        <v/>
      </c>
      <c r="I183" t="str">
        <f>IFERROR(VLOOKUP(D183,'Team Data'!C:AB,14,FALSE),"")</f>
        <v/>
      </c>
      <c r="J183" t="str">
        <f>IFERROR(VLOOKUP(D183,'Team Data'!C:AB,8,FALSE),"")</f>
        <v/>
      </c>
      <c r="K183" t="str">
        <f>IFERROR(VLOOKUP(D183,'Team Data'!C:AB,9,FALSE),"")</f>
        <v/>
      </c>
      <c r="L183" t="str">
        <f>IFERROR(VLOOKUP(D183,'Team Data'!C:AB,10,FALSE),"")</f>
        <v/>
      </c>
      <c r="M183" t="str">
        <f t="shared" si="6"/>
        <v/>
      </c>
      <c r="N183" t="str">
        <f>IFERROR(VLOOKUP(D183,'Team Data'!C:AB,23,FALSE),"")</f>
        <v/>
      </c>
      <c r="O183" t="str">
        <f>IFERROR(VLOOKUP(D183,'Team Data'!C:AB,22,FALSE),"")</f>
        <v/>
      </c>
      <c r="P183" t="str">
        <f t="shared" si="7"/>
        <v/>
      </c>
      <c r="Q183" t="str">
        <f>IFERROR(VLOOKUP(D183,'Team Data'!C:AB,15,FALSE),"")</f>
        <v/>
      </c>
      <c r="R183" t="str">
        <f>IFERROR(VLOOKUP('OB Format'!D183,'Team Data'!C:AB,24,FALSE),"")</f>
        <v/>
      </c>
      <c r="S183" t="str">
        <f>IFERROR(VLOOKUP('OB Format'!D183,'Team Data'!C:AC,25,FALSE),"")</f>
        <v/>
      </c>
    </row>
    <row r="184" spans="5:19" x14ac:dyDescent="0.25">
      <c r="E184" t="str">
        <f>IFERROR(VLOOKUP(D184,'Team Data'!C:AB,4,FALSE),"")</f>
        <v/>
      </c>
      <c r="F184" t="str">
        <f>IFERROR(VLOOKUP(D184,'Team Data'!C:AB,5,FALSE),"")</f>
        <v/>
      </c>
      <c r="G184" t="str">
        <f>IFERROR(VLOOKUP('OB Format'!D184,'Team Data'!C:AB,17,FALSE),"")</f>
        <v/>
      </c>
      <c r="H184" t="str">
        <f>IFERROR(VLOOKUP(D184,'Team Data'!C:AB,7,FALSE),"")</f>
        <v/>
      </c>
      <c r="I184" t="str">
        <f>IFERROR(VLOOKUP(D184,'Team Data'!C:AB,14,FALSE),"")</f>
        <v/>
      </c>
      <c r="J184" t="str">
        <f>IFERROR(VLOOKUP(D184,'Team Data'!C:AB,8,FALSE),"")</f>
        <v/>
      </c>
      <c r="K184" t="str">
        <f>IFERROR(VLOOKUP(D184,'Team Data'!C:AB,9,FALSE),"")</f>
        <v/>
      </c>
      <c r="L184" t="str">
        <f>IFERROR(VLOOKUP(D184,'Team Data'!C:AB,10,FALSE),"")</f>
        <v/>
      </c>
      <c r="M184" t="str">
        <f t="shared" si="6"/>
        <v/>
      </c>
      <c r="N184" t="str">
        <f>IFERROR(VLOOKUP(D184,'Team Data'!C:AB,23,FALSE),"")</f>
        <v/>
      </c>
      <c r="O184" t="str">
        <f>IFERROR(VLOOKUP(D184,'Team Data'!C:AB,22,FALSE),"")</f>
        <v/>
      </c>
      <c r="P184" t="str">
        <f t="shared" si="7"/>
        <v/>
      </c>
      <c r="Q184" t="str">
        <f>IFERROR(VLOOKUP(D184,'Team Data'!C:AB,15,FALSE),"")</f>
        <v/>
      </c>
      <c r="R184" t="str">
        <f>IFERROR(VLOOKUP('OB Format'!D184,'Team Data'!C:AB,24,FALSE),"")</f>
        <v/>
      </c>
      <c r="S184" t="str">
        <f>IFERROR(VLOOKUP('OB Format'!D184,'Team Data'!C:AC,25,FALSE),"")</f>
        <v/>
      </c>
    </row>
    <row r="185" spans="5:19" x14ac:dyDescent="0.25">
      <c r="E185" t="str">
        <f>IFERROR(VLOOKUP(D185,'Team Data'!C:AB,4,FALSE),"")</f>
        <v/>
      </c>
      <c r="F185" t="str">
        <f>IFERROR(VLOOKUP(D185,'Team Data'!C:AB,5,FALSE),"")</f>
        <v/>
      </c>
      <c r="G185" t="str">
        <f>IFERROR(VLOOKUP('OB Format'!D185,'Team Data'!C:AB,17,FALSE),"")</f>
        <v/>
      </c>
      <c r="H185" t="str">
        <f>IFERROR(VLOOKUP(D185,'Team Data'!C:AB,7,FALSE),"")</f>
        <v/>
      </c>
      <c r="I185" t="str">
        <f>IFERROR(VLOOKUP(D185,'Team Data'!C:AB,14,FALSE),"")</f>
        <v/>
      </c>
      <c r="J185" t="str">
        <f>IFERROR(VLOOKUP(D185,'Team Data'!C:AB,8,FALSE),"")</f>
        <v/>
      </c>
      <c r="K185" t="str">
        <f>IFERROR(VLOOKUP(D185,'Team Data'!C:AB,9,FALSE),"")</f>
        <v/>
      </c>
      <c r="L185" t="str">
        <f>IFERROR(VLOOKUP(D185,'Team Data'!C:AB,10,FALSE),"")</f>
        <v/>
      </c>
      <c r="M185" t="str">
        <f t="shared" si="6"/>
        <v/>
      </c>
      <c r="N185" t="str">
        <f>IFERROR(VLOOKUP(D185,'Team Data'!C:AB,23,FALSE),"")</f>
        <v/>
      </c>
      <c r="O185" t="str">
        <f>IFERROR(VLOOKUP(D185,'Team Data'!C:AB,22,FALSE),"")</f>
        <v/>
      </c>
      <c r="P185" t="str">
        <f t="shared" si="7"/>
        <v/>
      </c>
      <c r="Q185" t="str">
        <f>IFERROR(VLOOKUP(D185,'Team Data'!C:AB,15,FALSE),"")</f>
        <v/>
      </c>
      <c r="R185" t="str">
        <f>IFERROR(VLOOKUP('OB Format'!D185,'Team Data'!C:AB,24,FALSE),"")</f>
        <v/>
      </c>
      <c r="S185" t="str">
        <f>IFERROR(VLOOKUP('OB Format'!D185,'Team Data'!C:AC,25,FALSE),"")</f>
        <v/>
      </c>
    </row>
    <row r="186" spans="5:19" x14ac:dyDescent="0.25">
      <c r="E186" t="str">
        <f>IFERROR(VLOOKUP(D186,'Team Data'!C:AB,4,FALSE),"")</f>
        <v/>
      </c>
      <c r="F186" t="str">
        <f>IFERROR(VLOOKUP(D186,'Team Data'!C:AB,5,FALSE),"")</f>
        <v/>
      </c>
      <c r="G186" t="str">
        <f>IFERROR(VLOOKUP('OB Format'!D186,'Team Data'!C:AB,17,FALSE),"")</f>
        <v/>
      </c>
      <c r="H186" t="str">
        <f>IFERROR(VLOOKUP(D186,'Team Data'!C:AB,7,FALSE),"")</f>
        <v/>
      </c>
      <c r="I186" t="str">
        <f>IFERROR(VLOOKUP(D186,'Team Data'!C:AB,14,FALSE),"")</f>
        <v/>
      </c>
      <c r="J186" t="str">
        <f>IFERROR(VLOOKUP(D186,'Team Data'!C:AB,8,FALSE),"")</f>
        <v/>
      </c>
      <c r="K186" t="str">
        <f>IFERROR(VLOOKUP(D186,'Team Data'!C:AB,9,FALSE),"")</f>
        <v/>
      </c>
      <c r="L186" t="str">
        <f>IFERROR(VLOOKUP(D186,'Team Data'!C:AB,10,FALSE),"")</f>
        <v/>
      </c>
      <c r="M186" t="str">
        <f t="shared" si="6"/>
        <v/>
      </c>
      <c r="N186" t="str">
        <f>IFERROR(VLOOKUP(D186,'Team Data'!C:AB,23,FALSE),"")</f>
        <v/>
      </c>
      <c r="O186" t="str">
        <f>IFERROR(VLOOKUP(D186,'Team Data'!C:AB,22,FALSE),"")</f>
        <v/>
      </c>
      <c r="P186" t="str">
        <f t="shared" si="7"/>
        <v/>
      </c>
      <c r="Q186" t="str">
        <f>IFERROR(VLOOKUP(D186,'Team Data'!C:AB,15,FALSE),"")</f>
        <v/>
      </c>
      <c r="R186" t="str">
        <f>IFERROR(VLOOKUP('OB Format'!D186,'Team Data'!C:AB,24,FALSE),"")</f>
        <v/>
      </c>
      <c r="S186" t="str">
        <f>IFERROR(VLOOKUP('OB Format'!D186,'Team Data'!C:AC,25,FALSE),"")</f>
        <v/>
      </c>
    </row>
    <row r="187" spans="5:19" x14ac:dyDescent="0.25">
      <c r="E187" t="str">
        <f>IFERROR(VLOOKUP(D187,'Team Data'!C:AB,4,FALSE),"")</f>
        <v/>
      </c>
      <c r="F187" t="str">
        <f>IFERROR(VLOOKUP(D187,'Team Data'!C:AB,5,FALSE),"")</f>
        <v/>
      </c>
      <c r="G187" t="str">
        <f>IFERROR(VLOOKUP('OB Format'!D187,'Team Data'!C:AB,17,FALSE),"")</f>
        <v/>
      </c>
      <c r="H187" t="str">
        <f>IFERROR(VLOOKUP(D187,'Team Data'!C:AB,7,FALSE),"")</f>
        <v/>
      </c>
      <c r="I187" t="str">
        <f>IFERROR(VLOOKUP(D187,'Team Data'!C:AB,14,FALSE),"")</f>
        <v/>
      </c>
      <c r="J187" t="str">
        <f>IFERROR(VLOOKUP(D187,'Team Data'!C:AB,8,FALSE),"")</f>
        <v/>
      </c>
      <c r="K187" t="str">
        <f>IFERROR(VLOOKUP(D187,'Team Data'!C:AB,9,FALSE),"")</f>
        <v/>
      </c>
      <c r="L187" t="str">
        <f>IFERROR(VLOOKUP(D187,'Team Data'!C:AB,10,FALSE),"")</f>
        <v/>
      </c>
      <c r="M187" t="str">
        <f t="shared" si="6"/>
        <v/>
      </c>
      <c r="N187" t="str">
        <f>IFERROR(VLOOKUP(D187,'Team Data'!C:AB,23,FALSE),"")</f>
        <v/>
      </c>
      <c r="O187" t="str">
        <f>IFERROR(VLOOKUP(D187,'Team Data'!C:AB,22,FALSE),"")</f>
        <v/>
      </c>
      <c r="P187" t="str">
        <f t="shared" si="7"/>
        <v/>
      </c>
      <c r="Q187" t="str">
        <f>IFERROR(VLOOKUP(D187,'Team Data'!C:AB,15,FALSE),"")</f>
        <v/>
      </c>
      <c r="R187" t="str">
        <f>IFERROR(VLOOKUP('OB Format'!D187,'Team Data'!C:AB,24,FALSE),"")</f>
        <v/>
      </c>
      <c r="S187" t="str">
        <f>IFERROR(VLOOKUP('OB Format'!D187,'Team Data'!C:AC,25,FALSE),"")</f>
        <v/>
      </c>
    </row>
    <row r="188" spans="5:19" x14ac:dyDescent="0.25">
      <c r="E188" t="str">
        <f>IFERROR(VLOOKUP(D188,'Team Data'!C:AB,4,FALSE),"")</f>
        <v/>
      </c>
      <c r="F188" t="str">
        <f>IFERROR(VLOOKUP(D188,'Team Data'!C:AB,5,FALSE),"")</f>
        <v/>
      </c>
      <c r="G188" t="str">
        <f>IFERROR(VLOOKUP('OB Format'!D188,'Team Data'!C:AB,17,FALSE),"")</f>
        <v/>
      </c>
      <c r="H188" t="str">
        <f>IFERROR(VLOOKUP(D188,'Team Data'!C:AB,7,FALSE),"")</f>
        <v/>
      </c>
      <c r="I188" t="str">
        <f>IFERROR(VLOOKUP(D188,'Team Data'!C:AB,14,FALSE),"")</f>
        <v/>
      </c>
      <c r="J188" t="str">
        <f>IFERROR(VLOOKUP(D188,'Team Data'!C:AB,8,FALSE),"")</f>
        <v/>
      </c>
      <c r="K188" t="str">
        <f>IFERROR(VLOOKUP(D188,'Team Data'!C:AB,9,FALSE),"")</f>
        <v/>
      </c>
      <c r="L188" t="str">
        <f>IFERROR(VLOOKUP(D188,'Team Data'!C:AB,10,FALSE),"")</f>
        <v/>
      </c>
      <c r="M188" t="str">
        <f t="shared" si="6"/>
        <v/>
      </c>
      <c r="N188" t="str">
        <f>IFERROR(VLOOKUP(D188,'Team Data'!C:AB,23,FALSE),"")</f>
        <v/>
      </c>
      <c r="O188" t="str">
        <f>IFERROR(VLOOKUP(D188,'Team Data'!C:AB,22,FALSE),"")</f>
        <v/>
      </c>
      <c r="P188" t="str">
        <f t="shared" si="7"/>
        <v/>
      </c>
      <c r="Q188" t="str">
        <f>IFERROR(VLOOKUP(D188,'Team Data'!C:AB,15,FALSE),"")</f>
        <v/>
      </c>
      <c r="R188" t="str">
        <f>IFERROR(VLOOKUP('OB Format'!D188,'Team Data'!C:AB,24,FALSE),"")</f>
        <v/>
      </c>
      <c r="S188" t="str">
        <f>IFERROR(VLOOKUP('OB Format'!D188,'Team Data'!C:AC,25,FALSE),"")</f>
        <v/>
      </c>
    </row>
    <row r="189" spans="5:19" x14ac:dyDescent="0.25">
      <c r="E189" t="str">
        <f>IFERROR(VLOOKUP(D189,'Team Data'!C:AB,4,FALSE),"")</f>
        <v/>
      </c>
      <c r="F189" t="str">
        <f>IFERROR(VLOOKUP(D189,'Team Data'!C:AB,5,FALSE),"")</f>
        <v/>
      </c>
      <c r="G189" t="str">
        <f>IFERROR(VLOOKUP('OB Format'!D189,'Team Data'!C:AB,17,FALSE),"")</f>
        <v/>
      </c>
      <c r="H189" t="str">
        <f>IFERROR(VLOOKUP(D189,'Team Data'!C:AB,7,FALSE),"")</f>
        <v/>
      </c>
      <c r="I189" t="str">
        <f>IFERROR(VLOOKUP(D189,'Team Data'!C:AB,14,FALSE),"")</f>
        <v/>
      </c>
      <c r="J189" t="str">
        <f>IFERROR(VLOOKUP(D189,'Team Data'!C:AB,8,FALSE),"")</f>
        <v/>
      </c>
      <c r="K189" t="str">
        <f>IFERROR(VLOOKUP(D189,'Team Data'!C:AB,9,FALSE),"")</f>
        <v/>
      </c>
      <c r="L189" t="str">
        <f>IFERROR(VLOOKUP(D189,'Team Data'!C:AB,10,FALSE),"")</f>
        <v/>
      </c>
      <c r="M189" t="str">
        <f t="shared" si="6"/>
        <v/>
      </c>
      <c r="N189" t="str">
        <f>IFERROR(VLOOKUP(D189,'Team Data'!C:AB,23,FALSE),"")</f>
        <v/>
      </c>
      <c r="O189" t="str">
        <f>IFERROR(VLOOKUP(D189,'Team Data'!C:AB,22,FALSE),"")</f>
        <v/>
      </c>
      <c r="P189" t="str">
        <f t="shared" si="7"/>
        <v/>
      </c>
      <c r="Q189" t="str">
        <f>IFERROR(VLOOKUP(D189,'Team Data'!C:AB,15,FALSE),"")</f>
        <v/>
      </c>
      <c r="R189" t="str">
        <f>IFERROR(VLOOKUP('OB Format'!D189,'Team Data'!C:AB,24,FALSE),"")</f>
        <v/>
      </c>
      <c r="S189" t="str">
        <f>IFERROR(VLOOKUP('OB Format'!D189,'Team Data'!C:AC,25,FALSE),"")</f>
        <v/>
      </c>
    </row>
    <row r="190" spans="5:19" x14ac:dyDescent="0.25">
      <c r="E190" t="str">
        <f>IFERROR(VLOOKUP(D190,'Team Data'!C:AB,4,FALSE),"")</f>
        <v/>
      </c>
      <c r="F190" t="str">
        <f>IFERROR(VLOOKUP(D190,'Team Data'!C:AB,5,FALSE),"")</f>
        <v/>
      </c>
      <c r="G190" t="str">
        <f>IFERROR(VLOOKUP('OB Format'!D190,'Team Data'!C:AB,17,FALSE),"")</f>
        <v/>
      </c>
      <c r="H190" t="str">
        <f>IFERROR(VLOOKUP(D190,'Team Data'!C:AB,7,FALSE),"")</f>
        <v/>
      </c>
      <c r="I190" t="str">
        <f>IFERROR(VLOOKUP(D190,'Team Data'!C:AB,14,FALSE),"")</f>
        <v/>
      </c>
      <c r="J190" t="str">
        <f>IFERROR(VLOOKUP(D190,'Team Data'!C:AB,8,FALSE),"")</f>
        <v/>
      </c>
      <c r="K190" t="str">
        <f>IFERROR(VLOOKUP(D190,'Team Data'!C:AB,9,FALSE),"")</f>
        <v/>
      </c>
      <c r="L190" t="str">
        <f>IFERROR(VLOOKUP(D190,'Team Data'!C:AB,10,FALSE),"")</f>
        <v/>
      </c>
      <c r="M190" t="str">
        <f t="shared" si="6"/>
        <v/>
      </c>
      <c r="N190" t="str">
        <f>IFERROR(VLOOKUP(D190,'Team Data'!C:AB,23,FALSE),"")</f>
        <v/>
      </c>
      <c r="O190" t="str">
        <f>IFERROR(VLOOKUP(D190,'Team Data'!C:AB,22,FALSE),"")</f>
        <v/>
      </c>
      <c r="P190" t="str">
        <f t="shared" si="7"/>
        <v/>
      </c>
      <c r="Q190" t="str">
        <f>IFERROR(VLOOKUP(D190,'Team Data'!C:AB,15,FALSE),"")</f>
        <v/>
      </c>
      <c r="R190" t="str">
        <f>IFERROR(VLOOKUP('OB Format'!D190,'Team Data'!C:AB,24,FALSE),"")</f>
        <v/>
      </c>
      <c r="S190" t="str">
        <f>IFERROR(VLOOKUP('OB Format'!D190,'Team Data'!C:AC,25,FALSE),"")</f>
        <v/>
      </c>
    </row>
    <row r="191" spans="5:19" x14ac:dyDescent="0.25">
      <c r="E191" t="str">
        <f>IFERROR(VLOOKUP(D191,'Team Data'!C:AB,4,FALSE),"")</f>
        <v/>
      </c>
      <c r="F191" t="str">
        <f>IFERROR(VLOOKUP(D191,'Team Data'!C:AB,5,FALSE),"")</f>
        <v/>
      </c>
      <c r="G191" t="str">
        <f>IFERROR(VLOOKUP('OB Format'!D191,'Team Data'!C:AB,17,FALSE),"")</f>
        <v/>
      </c>
      <c r="H191" t="str">
        <f>IFERROR(VLOOKUP(D191,'Team Data'!C:AB,7,FALSE),"")</f>
        <v/>
      </c>
      <c r="I191" t="str">
        <f>IFERROR(VLOOKUP(D191,'Team Data'!C:AB,14,FALSE),"")</f>
        <v/>
      </c>
      <c r="J191" t="str">
        <f>IFERROR(VLOOKUP(D191,'Team Data'!C:AB,8,FALSE),"")</f>
        <v/>
      </c>
      <c r="K191" t="str">
        <f>IFERROR(VLOOKUP(D191,'Team Data'!C:AB,9,FALSE),"")</f>
        <v/>
      </c>
      <c r="L191" t="str">
        <f>IFERROR(VLOOKUP(D191,'Team Data'!C:AB,10,FALSE),"")</f>
        <v/>
      </c>
      <c r="M191" t="str">
        <f t="shared" si="6"/>
        <v/>
      </c>
      <c r="N191" t="str">
        <f>IFERROR(VLOOKUP(D191,'Team Data'!C:AB,23,FALSE),"")</f>
        <v/>
      </c>
      <c r="O191" t="str">
        <f>IFERROR(VLOOKUP(D191,'Team Data'!C:AB,22,FALSE),"")</f>
        <v/>
      </c>
      <c r="P191" t="str">
        <f t="shared" si="7"/>
        <v/>
      </c>
      <c r="Q191" t="str">
        <f>IFERROR(VLOOKUP(D191,'Team Data'!C:AB,15,FALSE),"")</f>
        <v/>
      </c>
      <c r="R191" t="str">
        <f>IFERROR(VLOOKUP('OB Format'!D191,'Team Data'!C:AB,24,FALSE),"")</f>
        <v/>
      </c>
      <c r="S191" t="str">
        <f>IFERROR(VLOOKUP('OB Format'!D191,'Team Data'!C:AC,25,FALSE),"")</f>
        <v/>
      </c>
    </row>
    <row r="192" spans="5:19" x14ac:dyDescent="0.25">
      <c r="E192" t="str">
        <f>IFERROR(VLOOKUP(D192,'Team Data'!C:AB,4,FALSE),"")</f>
        <v/>
      </c>
      <c r="F192" t="str">
        <f>IFERROR(VLOOKUP(D192,'Team Data'!C:AB,5,FALSE),"")</f>
        <v/>
      </c>
      <c r="G192" t="str">
        <f>IFERROR(VLOOKUP('OB Format'!D192,'Team Data'!C:AB,17,FALSE),"")</f>
        <v/>
      </c>
      <c r="H192" t="str">
        <f>IFERROR(VLOOKUP(D192,'Team Data'!C:AB,7,FALSE),"")</f>
        <v/>
      </c>
      <c r="I192" t="str">
        <f>IFERROR(VLOOKUP(D192,'Team Data'!C:AB,14,FALSE),"")</f>
        <v/>
      </c>
      <c r="J192" t="str">
        <f>IFERROR(VLOOKUP(D192,'Team Data'!C:AB,8,FALSE),"")</f>
        <v/>
      </c>
      <c r="K192" t="str">
        <f>IFERROR(VLOOKUP(D192,'Team Data'!C:AB,9,FALSE),"")</f>
        <v/>
      </c>
      <c r="L192" t="str">
        <f>IFERROR(VLOOKUP(D192,'Team Data'!C:AB,10,FALSE),"")</f>
        <v/>
      </c>
      <c r="M192" t="str">
        <f t="shared" si="6"/>
        <v/>
      </c>
      <c r="N192" t="str">
        <f>IFERROR(VLOOKUP(D192,'Team Data'!C:AB,23,FALSE),"")</f>
        <v/>
      </c>
      <c r="O192" t="str">
        <f>IFERROR(VLOOKUP(D192,'Team Data'!C:AB,22,FALSE),"")</f>
        <v/>
      </c>
      <c r="P192" t="str">
        <f t="shared" si="7"/>
        <v/>
      </c>
      <c r="Q192" t="str">
        <f>IFERROR(VLOOKUP(D192,'Team Data'!C:AB,15,FALSE),"")</f>
        <v/>
      </c>
      <c r="R192" t="str">
        <f>IFERROR(VLOOKUP('OB Format'!D192,'Team Data'!C:AB,24,FALSE),"")</f>
        <v/>
      </c>
      <c r="S192" t="str">
        <f>IFERROR(VLOOKUP('OB Format'!D192,'Team Data'!C:AC,25,FALSE),"")</f>
        <v/>
      </c>
    </row>
    <row r="193" spans="5:19" x14ac:dyDescent="0.25">
      <c r="E193" t="str">
        <f>IFERROR(VLOOKUP(D193,'Team Data'!C:AB,4,FALSE),"")</f>
        <v/>
      </c>
      <c r="F193" t="str">
        <f>IFERROR(VLOOKUP(D193,'Team Data'!C:AB,5,FALSE),"")</f>
        <v/>
      </c>
      <c r="G193" t="str">
        <f>IFERROR(VLOOKUP('OB Format'!D193,'Team Data'!C:AB,17,FALSE),"")</f>
        <v/>
      </c>
      <c r="H193" t="str">
        <f>IFERROR(VLOOKUP(D193,'Team Data'!C:AB,7,FALSE),"")</f>
        <v/>
      </c>
      <c r="I193" t="str">
        <f>IFERROR(VLOOKUP(D193,'Team Data'!C:AB,14,FALSE),"")</f>
        <v/>
      </c>
      <c r="J193" t="str">
        <f>IFERROR(VLOOKUP(D193,'Team Data'!C:AB,8,FALSE),"")</f>
        <v/>
      </c>
      <c r="K193" t="str">
        <f>IFERROR(VLOOKUP(D193,'Team Data'!C:AB,9,FALSE),"")</f>
        <v/>
      </c>
      <c r="L193" t="str">
        <f>IFERROR(VLOOKUP(D193,'Team Data'!C:AB,10,FALSE),"")</f>
        <v/>
      </c>
      <c r="M193" t="str">
        <f t="shared" si="6"/>
        <v/>
      </c>
      <c r="N193" t="str">
        <f>IFERROR(VLOOKUP(D193,'Team Data'!C:AB,23,FALSE),"")</f>
        <v/>
      </c>
      <c r="O193" t="str">
        <f>IFERROR(VLOOKUP(D193,'Team Data'!C:AB,22,FALSE),"")</f>
        <v/>
      </c>
      <c r="P193" t="str">
        <f t="shared" si="7"/>
        <v/>
      </c>
      <c r="Q193" t="str">
        <f>IFERROR(VLOOKUP(D193,'Team Data'!C:AB,15,FALSE),"")</f>
        <v/>
      </c>
      <c r="R193" t="str">
        <f>IFERROR(VLOOKUP('OB Format'!D193,'Team Data'!C:AB,24,FALSE),"")</f>
        <v/>
      </c>
      <c r="S193" t="str">
        <f>IFERROR(VLOOKUP('OB Format'!D193,'Team Data'!C:AC,25,FALSE),"")</f>
        <v/>
      </c>
    </row>
    <row r="194" spans="5:19" x14ac:dyDescent="0.25">
      <c r="E194" t="str">
        <f>IFERROR(VLOOKUP(D194,'Team Data'!C:AB,4,FALSE),"")</f>
        <v/>
      </c>
      <c r="F194" t="str">
        <f>IFERROR(VLOOKUP(D194,'Team Data'!C:AB,5,FALSE),"")</f>
        <v/>
      </c>
      <c r="G194" t="str">
        <f>IFERROR(VLOOKUP('OB Format'!D194,'Team Data'!C:AB,17,FALSE),"")</f>
        <v/>
      </c>
      <c r="H194" t="str">
        <f>IFERROR(VLOOKUP(D194,'Team Data'!C:AB,7,FALSE),"")</f>
        <v/>
      </c>
      <c r="I194" t="str">
        <f>IFERROR(VLOOKUP(D194,'Team Data'!C:AB,14,FALSE),"")</f>
        <v/>
      </c>
      <c r="J194" t="str">
        <f>IFERROR(VLOOKUP(D194,'Team Data'!C:AB,8,FALSE),"")</f>
        <v/>
      </c>
      <c r="K194" t="str">
        <f>IFERROR(VLOOKUP(D194,'Team Data'!C:AB,9,FALSE),"")</f>
        <v/>
      </c>
      <c r="L194" t="str">
        <f>IFERROR(VLOOKUP(D194,'Team Data'!C:AB,10,FALSE),"")</f>
        <v/>
      </c>
      <c r="M194" t="str">
        <f t="shared" si="6"/>
        <v/>
      </c>
      <c r="N194" t="str">
        <f>IFERROR(VLOOKUP(D194,'Team Data'!C:AB,23,FALSE),"")</f>
        <v/>
      </c>
      <c r="O194" t="str">
        <f>IFERROR(VLOOKUP(D194,'Team Data'!C:AB,22,FALSE),"")</f>
        <v/>
      </c>
      <c r="P194" t="str">
        <f t="shared" si="7"/>
        <v/>
      </c>
      <c r="Q194" t="str">
        <f>IFERROR(VLOOKUP(D194,'Team Data'!C:AB,15,FALSE),"")</f>
        <v/>
      </c>
      <c r="R194" t="str">
        <f>IFERROR(VLOOKUP('OB Format'!D194,'Team Data'!C:AB,24,FALSE),"")</f>
        <v/>
      </c>
      <c r="S194" t="str">
        <f>IFERROR(VLOOKUP('OB Format'!D194,'Team Data'!C:AC,25,FALSE),"")</f>
        <v/>
      </c>
    </row>
    <row r="195" spans="5:19" x14ac:dyDescent="0.25">
      <c r="E195" t="str">
        <f>IFERROR(VLOOKUP(D195,'Team Data'!C:AB,4,FALSE),"")</f>
        <v/>
      </c>
      <c r="F195" t="str">
        <f>IFERROR(VLOOKUP(D195,'Team Data'!C:AB,5,FALSE),"")</f>
        <v/>
      </c>
      <c r="G195" t="str">
        <f>IFERROR(VLOOKUP('OB Format'!D195,'Team Data'!C:AB,17,FALSE),"")</f>
        <v/>
      </c>
      <c r="H195" t="str">
        <f>IFERROR(VLOOKUP(D195,'Team Data'!C:AB,7,FALSE),"")</f>
        <v/>
      </c>
      <c r="I195" t="str">
        <f>IFERROR(VLOOKUP(D195,'Team Data'!C:AB,14,FALSE),"")</f>
        <v/>
      </c>
      <c r="J195" t="str">
        <f>IFERROR(VLOOKUP(D195,'Team Data'!C:AB,8,FALSE),"")</f>
        <v/>
      </c>
      <c r="K195" t="str">
        <f>IFERROR(VLOOKUP(D195,'Team Data'!C:AB,9,FALSE),"")</f>
        <v/>
      </c>
      <c r="L195" t="str">
        <f>IFERROR(VLOOKUP(D195,'Team Data'!C:AB,10,FALSE),"")</f>
        <v/>
      </c>
      <c r="M195" t="str">
        <f t="shared" si="6"/>
        <v/>
      </c>
      <c r="N195" t="str">
        <f>IFERROR(VLOOKUP(D195,'Team Data'!C:AB,23,FALSE),"")</f>
        <v/>
      </c>
      <c r="O195" t="str">
        <f>IFERROR(VLOOKUP(D195,'Team Data'!C:AB,22,FALSE),"")</f>
        <v/>
      </c>
      <c r="P195" t="str">
        <f t="shared" si="7"/>
        <v/>
      </c>
      <c r="Q195" t="str">
        <f>IFERROR(VLOOKUP(D195,'Team Data'!C:AB,15,FALSE),"")</f>
        <v/>
      </c>
      <c r="R195" t="str">
        <f>IFERROR(VLOOKUP('OB Format'!D195,'Team Data'!C:AB,24,FALSE),"")</f>
        <v/>
      </c>
      <c r="S195" t="str">
        <f>IFERROR(VLOOKUP('OB Format'!D195,'Team Data'!C:AC,25,FALSE),"")</f>
        <v/>
      </c>
    </row>
    <row r="196" spans="5:19" x14ac:dyDescent="0.25">
      <c r="E196" t="str">
        <f>IFERROR(VLOOKUP(D196,'Team Data'!C:AB,4,FALSE),"")</f>
        <v/>
      </c>
      <c r="F196" t="str">
        <f>IFERROR(VLOOKUP(D196,'Team Data'!C:AB,5,FALSE),"")</f>
        <v/>
      </c>
      <c r="G196" t="str">
        <f>IFERROR(VLOOKUP('OB Format'!D196,'Team Data'!C:AB,17,FALSE),"")</f>
        <v/>
      </c>
      <c r="H196" t="str">
        <f>IFERROR(VLOOKUP(D196,'Team Data'!C:AB,7,FALSE),"")</f>
        <v/>
      </c>
      <c r="I196" t="str">
        <f>IFERROR(VLOOKUP(D196,'Team Data'!C:AB,14,FALSE),"")</f>
        <v/>
      </c>
      <c r="J196" t="str">
        <f>IFERROR(VLOOKUP(D196,'Team Data'!C:AB,8,FALSE),"")</f>
        <v/>
      </c>
      <c r="K196" t="str">
        <f>IFERROR(VLOOKUP(D196,'Team Data'!C:AB,9,FALSE),"")</f>
        <v/>
      </c>
      <c r="L196" t="str">
        <f>IFERROR(VLOOKUP(D196,'Team Data'!C:AB,10,FALSE),"")</f>
        <v/>
      </c>
      <c r="M196" t="str">
        <f t="shared" si="6"/>
        <v/>
      </c>
      <c r="N196" t="str">
        <f>IFERROR(VLOOKUP(D196,'Team Data'!C:AB,23,FALSE),"")</f>
        <v/>
      </c>
      <c r="O196" t="str">
        <f>IFERROR(VLOOKUP(D196,'Team Data'!C:AB,22,FALSE),"")</f>
        <v/>
      </c>
      <c r="P196" t="str">
        <f t="shared" si="7"/>
        <v/>
      </c>
      <c r="Q196" t="str">
        <f>IFERROR(VLOOKUP(D196,'Team Data'!C:AB,15,FALSE),"")</f>
        <v/>
      </c>
      <c r="R196" t="str">
        <f>IFERROR(VLOOKUP('OB Format'!D196,'Team Data'!C:AB,24,FALSE),"")</f>
        <v/>
      </c>
      <c r="S196" t="str">
        <f>IFERROR(VLOOKUP('OB Format'!D196,'Team Data'!C:AC,25,FALSE),"")</f>
        <v/>
      </c>
    </row>
    <row r="197" spans="5:19" x14ac:dyDescent="0.25">
      <c r="E197" t="str">
        <f>IFERROR(VLOOKUP(D197,'Team Data'!C:AB,4,FALSE),"")</f>
        <v/>
      </c>
      <c r="F197" t="str">
        <f>IFERROR(VLOOKUP(D197,'Team Data'!C:AB,5,FALSE),"")</f>
        <v/>
      </c>
      <c r="G197" t="str">
        <f>IFERROR(VLOOKUP('OB Format'!D197,'Team Data'!C:AB,17,FALSE),"")</f>
        <v/>
      </c>
      <c r="H197" t="str">
        <f>IFERROR(VLOOKUP(D197,'Team Data'!C:AB,7,FALSE),"")</f>
        <v/>
      </c>
      <c r="I197" t="str">
        <f>IFERROR(VLOOKUP(D197,'Team Data'!C:AB,14,FALSE),"")</f>
        <v/>
      </c>
      <c r="J197" t="str">
        <f>IFERROR(VLOOKUP(D197,'Team Data'!C:AB,8,FALSE),"")</f>
        <v/>
      </c>
      <c r="K197" t="str">
        <f>IFERROR(VLOOKUP(D197,'Team Data'!C:AB,9,FALSE),"")</f>
        <v/>
      </c>
      <c r="L197" t="str">
        <f>IFERROR(VLOOKUP(D197,'Team Data'!C:AB,10,FALSE),"")</f>
        <v/>
      </c>
      <c r="M197" t="str">
        <f t="shared" si="6"/>
        <v/>
      </c>
      <c r="N197" t="str">
        <f>IFERROR(VLOOKUP(D197,'Team Data'!C:AB,23,FALSE),"")</f>
        <v/>
      </c>
      <c r="O197" t="str">
        <f>IFERROR(VLOOKUP(D197,'Team Data'!C:AB,22,FALSE),"")</f>
        <v/>
      </c>
      <c r="P197" t="str">
        <f t="shared" si="7"/>
        <v/>
      </c>
      <c r="Q197" t="str">
        <f>IFERROR(VLOOKUP(D197,'Team Data'!C:AB,15,FALSE),"")</f>
        <v/>
      </c>
      <c r="R197" t="str">
        <f>IFERROR(VLOOKUP('OB Format'!D197,'Team Data'!C:AB,24,FALSE),"")</f>
        <v/>
      </c>
      <c r="S197" t="str">
        <f>IFERROR(VLOOKUP('OB Format'!D197,'Team Data'!C:AC,25,FALSE),"")</f>
        <v/>
      </c>
    </row>
    <row r="198" spans="5:19" x14ac:dyDescent="0.25">
      <c r="E198" t="str">
        <f>IFERROR(VLOOKUP(D198,'Team Data'!C:AB,4,FALSE),"")</f>
        <v/>
      </c>
      <c r="F198" t="str">
        <f>IFERROR(VLOOKUP(D198,'Team Data'!C:AB,5,FALSE),"")</f>
        <v/>
      </c>
      <c r="G198" t="str">
        <f>IFERROR(VLOOKUP('OB Format'!D198,'Team Data'!C:AB,17,FALSE),"")</f>
        <v/>
      </c>
      <c r="H198" t="str">
        <f>IFERROR(VLOOKUP(D198,'Team Data'!C:AB,7,FALSE),"")</f>
        <v/>
      </c>
      <c r="I198" t="str">
        <f>IFERROR(VLOOKUP(D198,'Team Data'!C:AB,14,FALSE),"")</f>
        <v/>
      </c>
      <c r="J198" t="str">
        <f>IFERROR(VLOOKUP(D198,'Team Data'!C:AB,8,FALSE),"")</f>
        <v/>
      </c>
      <c r="K198" t="str">
        <f>IFERROR(VLOOKUP(D198,'Team Data'!C:AB,9,FALSE),"")</f>
        <v/>
      </c>
      <c r="L198" t="str">
        <f>IFERROR(VLOOKUP(D198,'Team Data'!C:AB,10,FALSE),"")</f>
        <v/>
      </c>
      <c r="M198" t="str">
        <f t="shared" si="6"/>
        <v/>
      </c>
      <c r="N198" t="str">
        <f>IFERROR(VLOOKUP(D198,'Team Data'!C:AB,23,FALSE),"")</f>
        <v/>
      </c>
      <c r="O198" t="str">
        <f>IFERROR(VLOOKUP(D198,'Team Data'!C:AB,22,FALSE),"")</f>
        <v/>
      </c>
      <c r="P198" t="str">
        <f t="shared" si="7"/>
        <v/>
      </c>
      <c r="Q198" t="str">
        <f>IFERROR(VLOOKUP(D198,'Team Data'!C:AB,15,FALSE),"")</f>
        <v/>
      </c>
      <c r="R198" t="str">
        <f>IFERROR(VLOOKUP('OB Format'!D198,'Team Data'!C:AB,24,FALSE),"")</f>
        <v/>
      </c>
      <c r="S198" t="str">
        <f>IFERROR(VLOOKUP('OB Format'!D198,'Team Data'!C:AC,25,FALSE),"")</f>
        <v/>
      </c>
    </row>
    <row r="199" spans="5:19" x14ac:dyDescent="0.25">
      <c r="E199" t="str">
        <f>IFERROR(VLOOKUP(D199,'Team Data'!C:AB,4,FALSE),"")</f>
        <v/>
      </c>
      <c r="F199" t="str">
        <f>IFERROR(VLOOKUP(D199,'Team Data'!C:AB,5,FALSE),"")</f>
        <v/>
      </c>
      <c r="G199" t="str">
        <f>IFERROR(VLOOKUP('OB Format'!D199,'Team Data'!C:AB,17,FALSE),"")</f>
        <v/>
      </c>
      <c r="H199" t="str">
        <f>IFERROR(VLOOKUP(D199,'Team Data'!C:AB,7,FALSE),"")</f>
        <v/>
      </c>
      <c r="I199" t="str">
        <f>IFERROR(VLOOKUP(D199,'Team Data'!C:AB,14,FALSE),"")</f>
        <v/>
      </c>
      <c r="J199" t="str">
        <f>IFERROR(VLOOKUP(D199,'Team Data'!C:AB,8,FALSE),"")</f>
        <v/>
      </c>
      <c r="K199" t="str">
        <f>IFERROR(VLOOKUP(D199,'Team Data'!C:AB,9,FALSE),"")</f>
        <v/>
      </c>
      <c r="L199" t="str">
        <f>IFERROR(VLOOKUP(D199,'Team Data'!C:AB,10,FALSE),"")</f>
        <v/>
      </c>
      <c r="M199" t="str">
        <f t="shared" si="6"/>
        <v/>
      </c>
      <c r="N199" t="str">
        <f>IFERROR(VLOOKUP(D199,'Team Data'!C:AB,23,FALSE),"")</f>
        <v/>
      </c>
      <c r="O199" t="str">
        <f>IFERROR(VLOOKUP(D199,'Team Data'!C:AB,22,FALSE),"")</f>
        <v/>
      </c>
      <c r="P199" t="str">
        <f t="shared" si="7"/>
        <v/>
      </c>
      <c r="Q199" t="str">
        <f>IFERROR(VLOOKUP(D199,'Team Data'!C:AB,15,FALSE),"")</f>
        <v/>
      </c>
      <c r="R199" t="str">
        <f>IFERROR(VLOOKUP('OB Format'!D199,'Team Data'!C:AB,24,FALSE),"")</f>
        <v/>
      </c>
      <c r="S199" t="str">
        <f>IFERROR(VLOOKUP('OB Format'!D199,'Team Data'!C:AC,25,FALSE),"")</f>
        <v/>
      </c>
    </row>
    <row r="200" spans="5:19" x14ac:dyDescent="0.25">
      <c r="E200" t="str">
        <f>IFERROR(VLOOKUP(D200,'Team Data'!C:AB,4,FALSE),"")</f>
        <v/>
      </c>
      <c r="F200" t="str">
        <f>IFERROR(VLOOKUP(D200,'Team Data'!C:AB,5,FALSE),"")</f>
        <v/>
      </c>
      <c r="G200" t="str">
        <f>IFERROR(VLOOKUP('OB Format'!D200,'Team Data'!C:AB,17,FALSE),"")</f>
        <v/>
      </c>
      <c r="H200" t="str">
        <f>IFERROR(VLOOKUP(D200,'Team Data'!C:AB,7,FALSE),"")</f>
        <v/>
      </c>
      <c r="I200" t="str">
        <f>IFERROR(VLOOKUP(D200,'Team Data'!C:AB,14,FALSE),"")</f>
        <v/>
      </c>
      <c r="J200" t="str">
        <f>IFERROR(VLOOKUP(D200,'Team Data'!C:AB,8,FALSE),"")</f>
        <v/>
      </c>
      <c r="K200" t="str">
        <f>IFERROR(VLOOKUP(D200,'Team Data'!C:AB,9,FALSE),"")</f>
        <v/>
      </c>
      <c r="L200" t="str">
        <f>IFERROR(VLOOKUP(D200,'Team Data'!C:AB,10,FALSE),"")</f>
        <v/>
      </c>
      <c r="M200" t="str">
        <f t="shared" si="6"/>
        <v/>
      </c>
      <c r="N200" t="str">
        <f>IFERROR(VLOOKUP(D200,'Team Data'!C:AB,23,FALSE),"")</f>
        <v/>
      </c>
      <c r="O200" t="str">
        <f>IFERROR(VLOOKUP(D200,'Team Data'!C:AB,22,FALSE),"")</f>
        <v/>
      </c>
      <c r="P200" t="str">
        <f t="shared" si="7"/>
        <v/>
      </c>
      <c r="Q200" t="str">
        <f>IFERROR(VLOOKUP(D200,'Team Data'!C:AB,15,FALSE),"")</f>
        <v/>
      </c>
      <c r="R200" t="str">
        <f>IFERROR(VLOOKUP('OB Format'!D200,'Team Data'!C:AB,24,FALSE),"")</f>
        <v/>
      </c>
      <c r="S200" t="str">
        <f>IFERROR(VLOOKUP('OB Format'!D200,'Team Data'!C:AC,25,FALSE),"")</f>
        <v/>
      </c>
    </row>
    <row r="201" spans="5:19" x14ac:dyDescent="0.25">
      <c r="E201" t="str">
        <f>IFERROR(VLOOKUP(D201,'Team Data'!C:AB,4,FALSE),"")</f>
        <v/>
      </c>
      <c r="F201" t="str">
        <f>IFERROR(VLOOKUP(D201,'Team Data'!C:AB,5,FALSE),"")</f>
        <v/>
      </c>
      <c r="G201" t="str">
        <f>IFERROR(VLOOKUP('OB Format'!D201,'Team Data'!C:AB,17,FALSE),"")</f>
        <v/>
      </c>
      <c r="H201" t="str">
        <f>IFERROR(VLOOKUP(D201,'Team Data'!C:AB,7,FALSE),"")</f>
        <v/>
      </c>
      <c r="I201" t="str">
        <f>IFERROR(VLOOKUP(D201,'Team Data'!C:AB,14,FALSE),"")</f>
        <v/>
      </c>
      <c r="J201" t="str">
        <f>IFERROR(VLOOKUP(D201,'Team Data'!C:AB,8,FALSE),"")</f>
        <v/>
      </c>
      <c r="K201" t="str">
        <f>IFERROR(VLOOKUP(D201,'Team Data'!C:AB,9,FALSE),"")</f>
        <v/>
      </c>
      <c r="L201" t="str">
        <f>IFERROR(VLOOKUP(D201,'Team Data'!C:AB,10,FALSE),"")</f>
        <v/>
      </c>
      <c r="M201" t="str">
        <f t="shared" si="6"/>
        <v/>
      </c>
      <c r="N201" t="str">
        <f>IFERROR(VLOOKUP(D201,'Team Data'!C:AB,23,FALSE),"")</f>
        <v/>
      </c>
      <c r="O201" t="str">
        <f>IFERROR(VLOOKUP(D201,'Team Data'!C:AB,22,FALSE),"")</f>
        <v/>
      </c>
      <c r="P201" t="str">
        <f t="shared" si="7"/>
        <v/>
      </c>
      <c r="Q201" t="str">
        <f>IFERROR(VLOOKUP(D201,'Team Data'!C:AB,15,FALSE),"")</f>
        <v/>
      </c>
      <c r="R201" t="str">
        <f>IFERROR(VLOOKUP('OB Format'!D201,'Team Data'!C:AB,24,FALSE),"")</f>
        <v/>
      </c>
      <c r="S201" t="str">
        <f>IFERROR(VLOOKUP('OB Format'!D201,'Team Data'!C:AC,25,FALSE),"")</f>
        <v/>
      </c>
    </row>
    <row r="202" spans="5:19" x14ac:dyDescent="0.25">
      <c r="E202" t="str">
        <f>IFERROR(VLOOKUP(D202,'Team Data'!C:AB,4,FALSE),"")</f>
        <v/>
      </c>
      <c r="F202" t="str">
        <f>IFERROR(VLOOKUP(D202,'Team Data'!C:AB,5,FALSE),"")</f>
        <v/>
      </c>
      <c r="G202" t="str">
        <f>IFERROR(VLOOKUP('OB Format'!D202,'Team Data'!C:AB,17,FALSE),"")</f>
        <v/>
      </c>
      <c r="H202" t="str">
        <f>IFERROR(VLOOKUP(D202,'Team Data'!C:AB,7,FALSE),"")</f>
        <v/>
      </c>
      <c r="I202" t="str">
        <f>IFERROR(VLOOKUP(D202,'Team Data'!C:AB,14,FALSE),"")</f>
        <v/>
      </c>
      <c r="J202" t="str">
        <f>IFERROR(VLOOKUP(D202,'Team Data'!C:AB,8,FALSE),"")</f>
        <v/>
      </c>
      <c r="K202" t="str">
        <f>IFERROR(VLOOKUP(D202,'Team Data'!C:AB,9,FALSE),"")</f>
        <v/>
      </c>
      <c r="L202" t="str">
        <f>IFERROR(VLOOKUP(D202,'Team Data'!C:AB,10,FALSE),"")</f>
        <v/>
      </c>
      <c r="M202" t="str">
        <f t="shared" si="6"/>
        <v/>
      </c>
      <c r="N202" t="str">
        <f>IFERROR(VLOOKUP(D202,'Team Data'!C:AB,23,FALSE),"")</f>
        <v/>
      </c>
      <c r="O202" t="str">
        <f>IFERROR(VLOOKUP(D202,'Team Data'!C:AB,22,FALSE),"")</f>
        <v/>
      </c>
      <c r="P202" t="str">
        <f t="shared" si="7"/>
        <v/>
      </c>
      <c r="Q202" t="str">
        <f>IFERROR(VLOOKUP(D202,'Team Data'!C:AB,15,FALSE),"")</f>
        <v/>
      </c>
      <c r="R202" t="str">
        <f>IFERROR(VLOOKUP('OB Format'!D202,'Team Data'!C:AB,24,FALSE),"")</f>
        <v/>
      </c>
      <c r="S202" t="str">
        <f>IFERROR(VLOOKUP('OB Format'!D202,'Team Data'!C:AC,25,FALSE),"")</f>
        <v/>
      </c>
    </row>
    <row r="203" spans="5:19" x14ac:dyDescent="0.25">
      <c r="E203" t="str">
        <f>IFERROR(VLOOKUP(D203,'Team Data'!C:AB,4,FALSE),"")</f>
        <v/>
      </c>
      <c r="F203" t="str">
        <f>IFERROR(VLOOKUP(D203,'Team Data'!C:AB,5,FALSE),"")</f>
        <v/>
      </c>
      <c r="G203" t="str">
        <f>IFERROR(VLOOKUP('OB Format'!D203,'Team Data'!C:AB,17,FALSE),"")</f>
        <v/>
      </c>
      <c r="H203" t="str">
        <f>IFERROR(VLOOKUP(D203,'Team Data'!C:AB,7,FALSE),"")</f>
        <v/>
      </c>
      <c r="I203" t="str">
        <f>IFERROR(VLOOKUP(D203,'Team Data'!C:AB,14,FALSE),"")</f>
        <v/>
      </c>
      <c r="J203" t="str">
        <f>IFERROR(VLOOKUP(D203,'Team Data'!C:AB,8,FALSE),"")</f>
        <v/>
      </c>
      <c r="K203" t="str">
        <f>IFERROR(VLOOKUP(D203,'Team Data'!C:AB,9,FALSE),"")</f>
        <v/>
      </c>
      <c r="L203" t="str">
        <f>IFERROR(VLOOKUP(D203,'Team Data'!C:AB,10,FALSE),"")</f>
        <v/>
      </c>
      <c r="M203" t="str">
        <f t="shared" si="6"/>
        <v/>
      </c>
      <c r="N203" t="str">
        <f>IFERROR(VLOOKUP(D203,'Team Data'!C:AB,23,FALSE),"")</f>
        <v/>
      </c>
      <c r="O203" t="str">
        <f>IFERROR(VLOOKUP(D203,'Team Data'!C:AB,22,FALSE),"")</f>
        <v/>
      </c>
      <c r="P203" t="str">
        <f t="shared" si="7"/>
        <v/>
      </c>
      <c r="Q203" t="str">
        <f>IFERROR(VLOOKUP(D203,'Team Data'!C:AB,15,FALSE),"")</f>
        <v/>
      </c>
      <c r="R203" t="str">
        <f>IFERROR(VLOOKUP('OB Format'!D203,'Team Data'!C:AB,24,FALSE),"")</f>
        <v/>
      </c>
      <c r="S203" t="str">
        <f>IFERROR(VLOOKUP('OB Format'!D203,'Team Data'!C:AC,25,FALSE),"")</f>
        <v/>
      </c>
    </row>
    <row r="204" spans="5:19" x14ac:dyDescent="0.25">
      <c r="E204" t="str">
        <f>IFERROR(VLOOKUP(D204,'Team Data'!C:AB,4,FALSE),"")</f>
        <v/>
      </c>
      <c r="F204" t="str">
        <f>IFERROR(VLOOKUP(D204,'Team Data'!C:AB,5,FALSE),"")</f>
        <v/>
      </c>
      <c r="G204" t="str">
        <f>IFERROR(VLOOKUP('OB Format'!D204,'Team Data'!C:AB,17,FALSE),"")</f>
        <v/>
      </c>
      <c r="H204" t="str">
        <f>IFERROR(VLOOKUP(D204,'Team Data'!C:AB,7,FALSE),"")</f>
        <v/>
      </c>
      <c r="I204" t="str">
        <f>IFERROR(VLOOKUP(D204,'Team Data'!C:AB,14,FALSE),"")</f>
        <v/>
      </c>
      <c r="J204" t="str">
        <f>IFERROR(VLOOKUP(D204,'Team Data'!C:AB,8,FALSE),"")</f>
        <v/>
      </c>
      <c r="K204" t="str">
        <f>IFERROR(VLOOKUP(D204,'Team Data'!C:AB,9,FALSE),"")</f>
        <v/>
      </c>
      <c r="L204" t="str">
        <f>IFERROR(VLOOKUP(D204,'Team Data'!C:AB,10,FALSE),"")</f>
        <v/>
      </c>
      <c r="M204" t="str">
        <f t="shared" si="6"/>
        <v/>
      </c>
      <c r="N204" t="str">
        <f>IFERROR(VLOOKUP(D204,'Team Data'!C:AB,23,FALSE),"")</f>
        <v/>
      </c>
      <c r="O204" t="str">
        <f>IFERROR(VLOOKUP(D204,'Team Data'!C:AB,22,FALSE),"")</f>
        <v/>
      </c>
      <c r="P204" t="str">
        <f t="shared" si="7"/>
        <v/>
      </c>
      <c r="Q204" t="str">
        <f>IFERROR(VLOOKUP(D204,'Team Data'!C:AB,15,FALSE),"")</f>
        <v/>
      </c>
      <c r="R204" t="str">
        <f>IFERROR(VLOOKUP('OB Format'!D204,'Team Data'!C:AB,24,FALSE),"")</f>
        <v/>
      </c>
      <c r="S204" t="str">
        <f>IFERROR(VLOOKUP('OB Format'!D204,'Team Data'!C:AC,25,FALSE),"")</f>
        <v/>
      </c>
    </row>
    <row r="205" spans="5:19" x14ac:dyDescent="0.25">
      <c r="E205" t="str">
        <f>IFERROR(VLOOKUP(D205,'Team Data'!C:AB,4,FALSE),"")</f>
        <v/>
      </c>
      <c r="F205" t="str">
        <f>IFERROR(VLOOKUP(D205,'Team Data'!C:AB,5,FALSE),"")</f>
        <v/>
      </c>
      <c r="G205" t="str">
        <f>IFERROR(VLOOKUP('OB Format'!D205,'Team Data'!C:AB,17,FALSE),"")</f>
        <v/>
      </c>
      <c r="H205" t="str">
        <f>IFERROR(VLOOKUP(D205,'Team Data'!C:AB,7,FALSE),"")</f>
        <v/>
      </c>
      <c r="I205" t="str">
        <f>IFERROR(VLOOKUP(D205,'Team Data'!C:AB,14,FALSE),"")</f>
        <v/>
      </c>
      <c r="J205" t="str">
        <f>IFERROR(VLOOKUP(D205,'Team Data'!C:AB,8,FALSE),"")</f>
        <v/>
      </c>
      <c r="K205" t="str">
        <f>IFERROR(VLOOKUP(D205,'Team Data'!C:AB,9,FALSE),"")</f>
        <v/>
      </c>
      <c r="L205" t="str">
        <f>IFERROR(VLOOKUP(D205,'Team Data'!C:AB,10,FALSE),"")</f>
        <v/>
      </c>
      <c r="M205" t="str">
        <f t="shared" ref="M205:M268" si="8">IFERROR(H205-(J205+L205+K205),"")</f>
        <v/>
      </c>
      <c r="N205" t="str">
        <f>IFERROR(VLOOKUP(D205,'Team Data'!C:AB,23,FALSE),"")</f>
        <v/>
      </c>
      <c r="O205" t="str">
        <f>IFERROR(VLOOKUP(D205,'Team Data'!C:AB,22,FALSE),"")</f>
        <v/>
      </c>
      <c r="P205" t="str">
        <f t="shared" ref="P205:P268" si="9">IFERROR(E205-(H205+N205+Q205+I205+O205),"")</f>
        <v/>
      </c>
      <c r="Q205" t="str">
        <f>IFERROR(VLOOKUP(D205,'Team Data'!C:AB,15,FALSE),"")</f>
        <v/>
      </c>
      <c r="R205" t="str">
        <f>IFERROR(VLOOKUP('OB Format'!D205,'Team Data'!C:AB,24,FALSE),"")</f>
        <v/>
      </c>
      <c r="S205" t="str">
        <f>IFERROR(VLOOKUP('OB Format'!D205,'Team Data'!C:AC,25,FALSE),"")</f>
        <v/>
      </c>
    </row>
    <row r="206" spans="5:19" x14ac:dyDescent="0.25">
      <c r="E206" t="str">
        <f>IFERROR(VLOOKUP(D206,'Team Data'!C:AB,4,FALSE),"")</f>
        <v/>
      </c>
      <c r="F206" t="str">
        <f>IFERROR(VLOOKUP(D206,'Team Data'!C:AB,5,FALSE),"")</f>
        <v/>
      </c>
      <c r="G206" t="str">
        <f>IFERROR(VLOOKUP('OB Format'!D206,'Team Data'!C:AB,17,FALSE),"")</f>
        <v/>
      </c>
      <c r="H206" t="str">
        <f>IFERROR(VLOOKUP(D206,'Team Data'!C:AB,7,FALSE),"")</f>
        <v/>
      </c>
      <c r="I206" t="str">
        <f>IFERROR(VLOOKUP(D206,'Team Data'!C:AB,14,FALSE),"")</f>
        <v/>
      </c>
      <c r="J206" t="str">
        <f>IFERROR(VLOOKUP(D206,'Team Data'!C:AB,8,FALSE),"")</f>
        <v/>
      </c>
      <c r="K206" t="str">
        <f>IFERROR(VLOOKUP(D206,'Team Data'!C:AB,9,FALSE),"")</f>
        <v/>
      </c>
      <c r="L206" t="str">
        <f>IFERROR(VLOOKUP(D206,'Team Data'!C:AB,10,FALSE),"")</f>
        <v/>
      </c>
      <c r="M206" t="str">
        <f t="shared" si="8"/>
        <v/>
      </c>
      <c r="N206" t="str">
        <f>IFERROR(VLOOKUP(D206,'Team Data'!C:AB,23,FALSE),"")</f>
        <v/>
      </c>
      <c r="O206" t="str">
        <f>IFERROR(VLOOKUP(D206,'Team Data'!C:AB,22,FALSE),"")</f>
        <v/>
      </c>
      <c r="P206" t="str">
        <f t="shared" si="9"/>
        <v/>
      </c>
      <c r="Q206" t="str">
        <f>IFERROR(VLOOKUP(D206,'Team Data'!C:AB,15,FALSE),"")</f>
        <v/>
      </c>
      <c r="R206" t="str">
        <f>IFERROR(VLOOKUP('OB Format'!D206,'Team Data'!C:AB,24,FALSE),"")</f>
        <v/>
      </c>
      <c r="S206" t="str">
        <f>IFERROR(VLOOKUP('OB Format'!D206,'Team Data'!C:AC,25,FALSE),"")</f>
        <v/>
      </c>
    </row>
    <row r="207" spans="5:19" x14ac:dyDescent="0.25">
      <c r="E207" t="str">
        <f>IFERROR(VLOOKUP(D207,'Team Data'!C:AB,4,FALSE),"")</f>
        <v/>
      </c>
      <c r="F207" t="str">
        <f>IFERROR(VLOOKUP(D207,'Team Data'!C:AB,5,FALSE),"")</f>
        <v/>
      </c>
      <c r="G207" t="str">
        <f>IFERROR(VLOOKUP('OB Format'!D207,'Team Data'!C:AB,17,FALSE),"")</f>
        <v/>
      </c>
      <c r="H207" t="str">
        <f>IFERROR(VLOOKUP(D207,'Team Data'!C:AB,7,FALSE),"")</f>
        <v/>
      </c>
      <c r="I207" t="str">
        <f>IFERROR(VLOOKUP(D207,'Team Data'!C:AB,14,FALSE),"")</f>
        <v/>
      </c>
      <c r="J207" t="str">
        <f>IFERROR(VLOOKUP(D207,'Team Data'!C:AB,8,FALSE),"")</f>
        <v/>
      </c>
      <c r="K207" t="str">
        <f>IFERROR(VLOOKUP(D207,'Team Data'!C:AB,9,FALSE),"")</f>
        <v/>
      </c>
      <c r="L207" t="str">
        <f>IFERROR(VLOOKUP(D207,'Team Data'!C:AB,10,FALSE),"")</f>
        <v/>
      </c>
      <c r="M207" t="str">
        <f t="shared" si="8"/>
        <v/>
      </c>
      <c r="N207" t="str">
        <f>IFERROR(VLOOKUP(D207,'Team Data'!C:AB,23,FALSE),"")</f>
        <v/>
      </c>
      <c r="O207" t="str">
        <f>IFERROR(VLOOKUP(D207,'Team Data'!C:AB,22,FALSE),"")</f>
        <v/>
      </c>
      <c r="P207" t="str">
        <f t="shared" si="9"/>
        <v/>
      </c>
      <c r="Q207" t="str">
        <f>IFERROR(VLOOKUP(D207,'Team Data'!C:AB,15,FALSE),"")</f>
        <v/>
      </c>
      <c r="R207" t="str">
        <f>IFERROR(VLOOKUP('OB Format'!D207,'Team Data'!C:AB,24,FALSE),"")</f>
        <v/>
      </c>
      <c r="S207" t="str">
        <f>IFERROR(VLOOKUP('OB Format'!D207,'Team Data'!C:AC,25,FALSE),"")</f>
        <v/>
      </c>
    </row>
    <row r="208" spans="5:19" x14ac:dyDescent="0.25">
      <c r="E208" t="str">
        <f>IFERROR(VLOOKUP(D208,'Team Data'!C:AB,4,FALSE),"")</f>
        <v/>
      </c>
      <c r="F208" t="str">
        <f>IFERROR(VLOOKUP(D208,'Team Data'!C:AB,5,FALSE),"")</f>
        <v/>
      </c>
      <c r="G208" t="str">
        <f>IFERROR(VLOOKUP('OB Format'!D208,'Team Data'!C:AB,17,FALSE),"")</f>
        <v/>
      </c>
      <c r="H208" t="str">
        <f>IFERROR(VLOOKUP(D208,'Team Data'!C:AB,7,FALSE),"")</f>
        <v/>
      </c>
      <c r="I208" t="str">
        <f>IFERROR(VLOOKUP(D208,'Team Data'!C:AB,14,FALSE),"")</f>
        <v/>
      </c>
      <c r="J208" t="str">
        <f>IFERROR(VLOOKUP(D208,'Team Data'!C:AB,8,FALSE),"")</f>
        <v/>
      </c>
      <c r="K208" t="str">
        <f>IFERROR(VLOOKUP(D208,'Team Data'!C:AB,9,FALSE),"")</f>
        <v/>
      </c>
      <c r="L208" t="str">
        <f>IFERROR(VLOOKUP(D208,'Team Data'!C:AB,10,FALSE),"")</f>
        <v/>
      </c>
      <c r="M208" t="str">
        <f t="shared" si="8"/>
        <v/>
      </c>
      <c r="N208" t="str">
        <f>IFERROR(VLOOKUP(D208,'Team Data'!C:AB,23,FALSE),"")</f>
        <v/>
      </c>
      <c r="O208" t="str">
        <f>IFERROR(VLOOKUP(D208,'Team Data'!C:AB,22,FALSE),"")</f>
        <v/>
      </c>
      <c r="P208" t="str">
        <f t="shared" si="9"/>
        <v/>
      </c>
      <c r="Q208" t="str">
        <f>IFERROR(VLOOKUP(D208,'Team Data'!C:AB,15,FALSE),"")</f>
        <v/>
      </c>
      <c r="R208" t="str">
        <f>IFERROR(VLOOKUP('OB Format'!D208,'Team Data'!C:AB,24,FALSE),"")</f>
        <v/>
      </c>
      <c r="S208" t="str">
        <f>IFERROR(VLOOKUP('OB Format'!D208,'Team Data'!C:AC,25,FALSE),"")</f>
        <v/>
      </c>
    </row>
    <row r="209" spans="5:19" x14ac:dyDescent="0.25">
      <c r="E209" t="str">
        <f>IFERROR(VLOOKUP(D209,'Team Data'!C:AB,4,FALSE),"")</f>
        <v/>
      </c>
      <c r="F209" t="str">
        <f>IFERROR(VLOOKUP(D209,'Team Data'!C:AB,5,FALSE),"")</f>
        <v/>
      </c>
      <c r="G209" t="str">
        <f>IFERROR(VLOOKUP('OB Format'!D209,'Team Data'!C:AB,17,FALSE),"")</f>
        <v/>
      </c>
      <c r="H209" t="str">
        <f>IFERROR(VLOOKUP(D209,'Team Data'!C:AB,7,FALSE),"")</f>
        <v/>
      </c>
      <c r="I209" t="str">
        <f>IFERROR(VLOOKUP(D209,'Team Data'!C:AB,14,FALSE),"")</f>
        <v/>
      </c>
      <c r="J209" t="str">
        <f>IFERROR(VLOOKUP(D209,'Team Data'!C:AB,8,FALSE),"")</f>
        <v/>
      </c>
      <c r="K209" t="str">
        <f>IFERROR(VLOOKUP(D209,'Team Data'!C:AB,9,FALSE),"")</f>
        <v/>
      </c>
      <c r="L209" t="str">
        <f>IFERROR(VLOOKUP(D209,'Team Data'!C:AB,10,FALSE),"")</f>
        <v/>
      </c>
      <c r="M209" t="str">
        <f t="shared" si="8"/>
        <v/>
      </c>
      <c r="N209" t="str">
        <f>IFERROR(VLOOKUP(D209,'Team Data'!C:AB,23,FALSE),"")</f>
        <v/>
      </c>
      <c r="O209" t="str">
        <f>IFERROR(VLOOKUP(D209,'Team Data'!C:AB,22,FALSE),"")</f>
        <v/>
      </c>
      <c r="P209" t="str">
        <f t="shared" si="9"/>
        <v/>
      </c>
      <c r="Q209" t="str">
        <f>IFERROR(VLOOKUP(D209,'Team Data'!C:AB,15,FALSE),"")</f>
        <v/>
      </c>
      <c r="R209" t="str">
        <f>IFERROR(VLOOKUP('OB Format'!D209,'Team Data'!C:AB,24,FALSE),"")</f>
        <v/>
      </c>
      <c r="S209" t="str">
        <f>IFERROR(VLOOKUP('OB Format'!D209,'Team Data'!C:AC,25,FALSE),"")</f>
        <v/>
      </c>
    </row>
    <row r="210" spans="5:19" x14ac:dyDescent="0.25">
      <c r="E210" t="str">
        <f>IFERROR(VLOOKUP(D210,'Team Data'!C:AB,4,FALSE),"")</f>
        <v/>
      </c>
      <c r="F210" t="str">
        <f>IFERROR(VLOOKUP(D210,'Team Data'!C:AB,5,FALSE),"")</f>
        <v/>
      </c>
      <c r="G210" t="str">
        <f>IFERROR(VLOOKUP('OB Format'!D210,'Team Data'!C:AB,17,FALSE),"")</f>
        <v/>
      </c>
      <c r="H210" t="str">
        <f>IFERROR(VLOOKUP(D210,'Team Data'!C:AB,7,FALSE),"")</f>
        <v/>
      </c>
      <c r="I210" t="str">
        <f>IFERROR(VLOOKUP(D210,'Team Data'!C:AB,14,FALSE),"")</f>
        <v/>
      </c>
      <c r="J210" t="str">
        <f>IFERROR(VLOOKUP(D210,'Team Data'!C:AB,8,FALSE),"")</f>
        <v/>
      </c>
      <c r="K210" t="str">
        <f>IFERROR(VLOOKUP(D210,'Team Data'!C:AB,9,FALSE),"")</f>
        <v/>
      </c>
      <c r="L210" t="str">
        <f>IFERROR(VLOOKUP(D210,'Team Data'!C:AB,10,FALSE),"")</f>
        <v/>
      </c>
      <c r="M210" t="str">
        <f t="shared" si="8"/>
        <v/>
      </c>
      <c r="N210" t="str">
        <f>IFERROR(VLOOKUP(D210,'Team Data'!C:AB,23,FALSE),"")</f>
        <v/>
      </c>
      <c r="O210" t="str">
        <f>IFERROR(VLOOKUP(D210,'Team Data'!C:AB,22,FALSE),"")</f>
        <v/>
      </c>
      <c r="P210" t="str">
        <f t="shared" si="9"/>
        <v/>
      </c>
      <c r="Q210" t="str">
        <f>IFERROR(VLOOKUP(D210,'Team Data'!C:AB,15,FALSE),"")</f>
        <v/>
      </c>
      <c r="R210" t="str">
        <f>IFERROR(VLOOKUP('OB Format'!D210,'Team Data'!C:AB,24,FALSE),"")</f>
        <v/>
      </c>
      <c r="S210" t="str">
        <f>IFERROR(VLOOKUP('OB Format'!D210,'Team Data'!C:AC,25,FALSE),"")</f>
        <v/>
      </c>
    </row>
    <row r="211" spans="5:19" x14ac:dyDescent="0.25">
      <c r="E211" t="str">
        <f>IFERROR(VLOOKUP(D211,'Team Data'!C:AB,4,FALSE),"")</f>
        <v/>
      </c>
      <c r="F211" t="str">
        <f>IFERROR(VLOOKUP(D211,'Team Data'!C:AB,5,FALSE),"")</f>
        <v/>
      </c>
      <c r="G211" t="str">
        <f>IFERROR(VLOOKUP('OB Format'!D211,'Team Data'!C:AB,17,FALSE),"")</f>
        <v/>
      </c>
      <c r="H211" t="str">
        <f>IFERROR(VLOOKUP(D211,'Team Data'!C:AB,7,FALSE),"")</f>
        <v/>
      </c>
      <c r="I211" t="str">
        <f>IFERROR(VLOOKUP(D211,'Team Data'!C:AB,14,FALSE),"")</f>
        <v/>
      </c>
      <c r="J211" t="str">
        <f>IFERROR(VLOOKUP(D211,'Team Data'!C:AB,8,FALSE),"")</f>
        <v/>
      </c>
      <c r="K211" t="str">
        <f>IFERROR(VLOOKUP(D211,'Team Data'!C:AB,9,FALSE),"")</f>
        <v/>
      </c>
      <c r="L211" t="str">
        <f>IFERROR(VLOOKUP(D211,'Team Data'!C:AB,10,FALSE),"")</f>
        <v/>
      </c>
      <c r="M211" t="str">
        <f t="shared" si="8"/>
        <v/>
      </c>
      <c r="N211" t="str">
        <f>IFERROR(VLOOKUP(D211,'Team Data'!C:AB,23,FALSE),"")</f>
        <v/>
      </c>
      <c r="O211" t="str">
        <f>IFERROR(VLOOKUP(D211,'Team Data'!C:AB,22,FALSE),"")</f>
        <v/>
      </c>
      <c r="P211" t="str">
        <f t="shared" si="9"/>
        <v/>
      </c>
      <c r="Q211" t="str">
        <f>IFERROR(VLOOKUP(D211,'Team Data'!C:AB,15,FALSE),"")</f>
        <v/>
      </c>
      <c r="R211" t="str">
        <f>IFERROR(VLOOKUP('OB Format'!D211,'Team Data'!C:AB,24,FALSE),"")</f>
        <v/>
      </c>
      <c r="S211" t="str">
        <f>IFERROR(VLOOKUP('OB Format'!D211,'Team Data'!C:AC,25,FALSE),"")</f>
        <v/>
      </c>
    </row>
    <row r="212" spans="5:19" x14ac:dyDescent="0.25">
      <c r="E212" t="str">
        <f>IFERROR(VLOOKUP(D212,'Team Data'!C:AB,4,FALSE),"")</f>
        <v/>
      </c>
      <c r="F212" t="str">
        <f>IFERROR(VLOOKUP(D212,'Team Data'!C:AB,5,FALSE),"")</f>
        <v/>
      </c>
      <c r="G212" t="str">
        <f>IFERROR(VLOOKUP('OB Format'!D212,'Team Data'!C:AB,17,FALSE),"")</f>
        <v/>
      </c>
      <c r="H212" t="str">
        <f>IFERROR(VLOOKUP(D212,'Team Data'!C:AB,7,FALSE),"")</f>
        <v/>
      </c>
      <c r="I212" t="str">
        <f>IFERROR(VLOOKUP(D212,'Team Data'!C:AB,14,FALSE),"")</f>
        <v/>
      </c>
      <c r="J212" t="str">
        <f>IFERROR(VLOOKUP(D212,'Team Data'!C:AB,8,FALSE),"")</f>
        <v/>
      </c>
      <c r="K212" t="str">
        <f>IFERROR(VLOOKUP(D212,'Team Data'!C:AB,9,FALSE),"")</f>
        <v/>
      </c>
      <c r="L212" t="str">
        <f>IFERROR(VLOOKUP(D212,'Team Data'!C:AB,10,FALSE),"")</f>
        <v/>
      </c>
      <c r="M212" t="str">
        <f t="shared" si="8"/>
        <v/>
      </c>
      <c r="N212" t="str">
        <f>IFERROR(VLOOKUP(D212,'Team Data'!C:AB,23,FALSE),"")</f>
        <v/>
      </c>
      <c r="O212" t="str">
        <f>IFERROR(VLOOKUP(D212,'Team Data'!C:AB,22,FALSE),"")</f>
        <v/>
      </c>
      <c r="P212" t="str">
        <f t="shared" si="9"/>
        <v/>
      </c>
      <c r="Q212" t="str">
        <f>IFERROR(VLOOKUP(D212,'Team Data'!C:AB,15,FALSE),"")</f>
        <v/>
      </c>
      <c r="R212" t="str">
        <f>IFERROR(VLOOKUP('OB Format'!D212,'Team Data'!C:AB,24,FALSE),"")</f>
        <v/>
      </c>
      <c r="S212" t="str">
        <f>IFERROR(VLOOKUP('OB Format'!D212,'Team Data'!C:AC,25,FALSE),"")</f>
        <v/>
      </c>
    </row>
    <row r="213" spans="5:19" x14ac:dyDescent="0.25">
      <c r="E213" t="str">
        <f>IFERROR(VLOOKUP(D213,'Team Data'!C:AB,4,FALSE),"")</f>
        <v/>
      </c>
      <c r="F213" t="str">
        <f>IFERROR(VLOOKUP(D213,'Team Data'!C:AB,5,FALSE),"")</f>
        <v/>
      </c>
      <c r="G213" t="str">
        <f>IFERROR(VLOOKUP('OB Format'!D213,'Team Data'!C:AB,17,FALSE),"")</f>
        <v/>
      </c>
      <c r="H213" t="str">
        <f>IFERROR(VLOOKUP(D213,'Team Data'!C:AB,7,FALSE),"")</f>
        <v/>
      </c>
      <c r="I213" t="str">
        <f>IFERROR(VLOOKUP(D213,'Team Data'!C:AB,14,FALSE),"")</f>
        <v/>
      </c>
      <c r="J213" t="str">
        <f>IFERROR(VLOOKUP(D213,'Team Data'!C:AB,8,FALSE),"")</f>
        <v/>
      </c>
      <c r="K213" t="str">
        <f>IFERROR(VLOOKUP(D213,'Team Data'!C:AB,9,FALSE),"")</f>
        <v/>
      </c>
      <c r="L213" t="str">
        <f>IFERROR(VLOOKUP(D213,'Team Data'!C:AB,10,FALSE),"")</f>
        <v/>
      </c>
      <c r="M213" t="str">
        <f t="shared" si="8"/>
        <v/>
      </c>
      <c r="N213" t="str">
        <f>IFERROR(VLOOKUP(D213,'Team Data'!C:AB,23,FALSE),"")</f>
        <v/>
      </c>
      <c r="O213" t="str">
        <f>IFERROR(VLOOKUP(D213,'Team Data'!C:AB,22,FALSE),"")</f>
        <v/>
      </c>
      <c r="P213" t="str">
        <f t="shared" si="9"/>
        <v/>
      </c>
      <c r="Q213" t="str">
        <f>IFERROR(VLOOKUP(D213,'Team Data'!C:AB,15,FALSE),"")</f>
        <v/>
      </c>
      <c r="R213" t="str">
        <f>IFERROR(VLOOKUP('OB Format'!D213,'Team Data'!C:AB,24,FALSE),"")</f>
        <v/>
      </c>
      <c r="S213" t="str">
        <f>IFERROR(VLOOKUP('OB Format'!D213,'Team Data'!C:AC,25,FALSE),"")</f>
        <v/>
      </c>
    </row>
    <row r="214" spans="5:19" x14ac:dyDescent="0.25">
      <c r="E214" t="str">
        <f>IFERROR(VLOOKUP(D214,'Team Data'!C:AB,4,FALSE),"")</f>
        <v/>
      </c>
      <c r="F214" t="str">
        <f>IFERROR(VLOOKUP(D214,'Team Data'!C:AB,5,FALSE),"")</f>
        <v/>
      </c>
      <c r="G214" t="str">
        <f>IFERROR(VLOOKUP('OB Format'!D214,'Team Data'!C:AB,17,FALSE),"")</f>
        <v/>
      </c>
      <c r="H214" t="str">
        <f>IFERROR(VLOOKUP(D214,'Team Data'!C:AB,7,FALSE),"")</f>
        <v/>
      </c>
      <c r="I214" t="str">
        <f>IFERROR(VLOOKUP(D214,'Team Data'!C:AB,14,FALSE),"")</f>
        <v/>
      </c>
      <c r="J214" t="str">
        <f>IFERROR(VLOOKUP(D214,'Team Data'!C:AB,8,FALSE),"")</f>
        <v/>
      </c>
      <c r="K214" t="str">
        <f>IFERROR(VLOOKUP(D214,'Team Data'!C:AB,9,FALSE),"")</f>
        <v/>
      </c>
      <c r="L214" t="str">
        <f>IFERROR(VLOOKUP(D214,'Team Data'!C:AB,10,FALSE),"")</f>
        <v/>
      </c>
      <c r="M214" t="str">
        <f t="shared" si="8"/>
        <v/>
      </c>
      <c r="N214" t="str">
        <f>IFERROR(VLOOKUP(D214,'Team Data'!C:AB,23,FALSE),"")</f>
        <v/>
      </c>
      <c r="O214" t="str">
        <f>IFERROR(VLOOKUP(D214,'Team Data'!C:AB,22,FALSE),"")</f>
        <v/>
      </c>
      <c r="P214" t="str">
        <f t="shared" si="9"/>
        <v/>
      </c>
      <c r="Q214" t="str">
        <f>IFERROR(VLOOKUP(D214,'Team Data'!C:AB,15,FALSE),"")</f>
        <v/>
      </c>
      <c r="R214" t="str">
        <f>IFERROR(VLOOKUP('OB Format'!D214,'Team Data'!C:AB,24,FALSE),"")</f>
        <v/>
      </c>
      <c r="S214" t="str">
        <f>IFERROR(VLOOKUP('OB Format'!D214,'Team Data'!C:AC,25,FALSE),"")</f>
        <v/>
      </c>
    </row>
    <row r="215" spans="5:19" x14ac:dyDescent="0.25">
      <c r="E215" t="str">
        <f>IFERROR(VLOOKUP(D215,'Team Data'!C:AB,4,FALSE),"")</f>
        <v/>
      </c>
      <c r="F215" t="str">
        <f>IFERROR(VLOOKUP(D215,'Team Data'!C:AB,5,FALSE),"")</f>
        <v/>
      </c>
      <c r="G215" t="str">
        <f>IFERROR(VLOOKUP('OB Format'!D215,'Team Data'!C:AB,17,FALSE),"")</f>
        <v/>
      </c>
      <c r="H215" t="str">
        <f>IFERROR(VLOOKUP(D215,'Team Data'!C:AB,7,FALSE),"")</f>
        <v/>
      </c>
      <c r="I215" t="str">
        <f>IFERROR(VLOOKUP(D215,'Team Data'!C:AB,14,FALSE),"")</f>
        <v/>
      </c>
      <c r="J215" t="str">
        <f>IFERROR(VLOOKUP(D215,'Team Data'!C:AB,8,FALSE),"")</f>
        <v/>
      </c>
      <c r="K215" t="str">
        <f>IFERROR(VLOOKUP(D215,'Team Data'!C:AB,9,FALSE),"")</f>
        <v/>
      </c>
      <c r="L215" t="str">
        <f>IFERROR(VLOOKUP(D215,'Team Data'!C:AB,10,FALSE),"")</f>
        <v/>
      </c>
      <c r="M215" t="str">
        <f t="shared" si="8"/>
        <v/>
      </c>
      <c r="N215" t="str">
        <f>IFERROR(VLOOKUP(D215,'Team Data'!C:AB,23,FALSE),"")</f>
        <v/>
      </c>
      <c r="O215" t="str">
        <f>IFERROR(VLOOKUP(D215,'Team Data'!C:AB,22,FALSE),"")</f>
        <v/>
      </c>
      <c r="P215" t="str">
        <f t="shared" si="9"/>
        <v/>
      </c>
      <c r="Q215" t="str">
        <f>IFERROR(VLOOKUP(D215,'Team Data'!C:AB,15,FALSE),"")</f>
        <v/>
      </c>
      <c r="R215" t="str">
        <f>IFERROR(VLOOKUP('OB Format'!D215,'Team Data'!C:AB,24,FALSE),"")</f>
        <v/>
      </c>
      <c r="S215" t="str">
        <f>IFERROR(VLOOKUP('OB Format'!D215,'Team Data'!C:AC,25,FALSE),"")</f>
        <v/>
      </c>
    </row>
    <row r="216" spans="5:19" x14ac:dyDescent="0.25">
      <c r="E216" t="str">
        <f>IFERROR(VLOOKUP(D216,'Team Data'!C:AB,4,FALSE),"")</f>
        <v/>
      </c>
      <c r="F216" t="str">
        <f>IFERROR(VLOOKUP(D216,'Team Data'!C:AB,5,FALSE),"")</f>
        <v/>
      </c>
      <c r="G216" t="str">
        <f>IFERROR(VLOOKUP('OB Format'!D216,'Team Data'!C:AB,17,FALSE),"")</f>
        <v/>
      </c>
      <c r="H216" t="str">
        <f>IFERROR(VLOOKUP(D216,'Team Data'!C:AB,7,FALSE),"")</f>
        <v/>
      </c>
      <c r="I216" t="str">
        <f>IFERROR(VLOOKUP(D216,'Team Data'!C:AB,14,FALSE),"")</f>
        <v/>
      </c>
      <c r="J216" t="str">
        <f>IFERROR(VLOOKUP(D216,'Team Data'!C:AB,8,FALSE),"")</f>
        <v/>
      </c>
      <c r="K216" t="str">
        <f>IFERROR(VLOOKUP(D216,'Team Data'!C:AB,9,FALSE),"")</f>
        <v/>
      </c>
      <c r="L216" t="str">
        <f>IFERROR(VLOOKUP(D216,'Team Data'!C:AB,10,FALSE),"")</f>
        <v/>
      </c>
      <c r="M216" t="str">
        <f t="shared" si="8"/>
        <v/>
      </c>
      <c r="N216" t="str">
        <f>IFERROR(VLOOKUP(D216,'Team Data'!C:AB,23,FALSE),"")</f>
        <v/>
      </c>
      <c r="O216" t="str">
        <f>IFERROR(VLOOKUP(D216,'Team Data'!C:AB,22,FALSE),"")</f>
        <v/>
      </c>
      <c r="P216" t="str">
        <f t="shared" si="9"/>
        <v/>
      </c>
      <c r="Q216" t="str">
        <f>IFERROR(VLOOKUP(D216,'Team Data'!C:AB,15,FALSE),"")</f>
        <v/>
      </c>
      <c r="R216" t="str">
        <f>IFERROR(VLOOKUP('OB Format'!D216,'Team Data'!C:AB,24,FALSE),"")</f>
        <v/>
      </c>
      <c r="S216" t="str">
        <f>IFERROR(VLOOKUP('OB Format'!D216,'Team Data'!C:AC,25,FALSE),"")</f>
        <v/>
      </c>
    </row>
    <row r="217" spans="5:19" x14ac:dyDescent="0.25">
      <c r="E217" t="str">
        <f>IFERROR(VLOOKUP(D217,'Team Data'!C:AB,4,FALSE),"")</f>
        <v/>
      </c>
      <c r="F217" t="str">
        <f>IFERROR(VLOOKUP(D217,'Team Data'!C:AB,5,FALSE),"")</f>
        <v/>
      </c>
      <c r="G217" t="str">
        <f>IFERROR(VLOOKUP('OB Format'!D217,'Team Data'!C:AB,17,FALSE),"")</f>
        <v/>
      </c>
      <c r="H217" t="str">
        <f>IFERROR(VLOOKUP(D217,'Team Data'!C:AB,7,FALSE),"")</f>
        <v/>
      </c>
      <c r="I217" t="str">
        <f>IFERROR(VLOOKUP(D217,'Team Data'!C:AB,14,FALSE),"")</f>
        <v/>
      </c>
      <c r="J217" t="str">
        <f>IFERROR(VLOOKUP(D217,'Team Data'!C:AB,8,FALSE),"")</f>
        <v/>
      </c>
      <c r="K217" t="str">
        <f>IFERROR(VLOOKUP(D217,'Team Data'!C:AB,9,FALSE),"")</f>
        <v/>
      </c>
      <c r="L217" t="str">
        <f>IFERROR(VLOOKUP(D217,'Team Data'!C:AB,10,FALSE),"")</f>
        <v/>
      </c>
      <c r="M217" t="str">
        <f t="shared" si="8"/>
        <v/>
      </c>
      <c r="N217" t="str">
        <f>IFERROR(VLOOKUP(D217,'Team Data'!C:AB,23,FALSE),"")</f>
        <v/>
      </c>
      <c r="O217" t="str">
        <f>IFERROR(VLOOKUP(D217,'Team Data'!C:AB,22,FALSE),"")</f>
        <v/>
      </c>
      <c r="P217" t="str">
        <f t="shared" si="9"/>
        <v/>
      </c>
      <c r="Q217" t="str">
        <f>IFERROR(VLOOKUP(D217,'Team Data'!C:AB,15,FALSE),"")</f>
        <v/>
      </c>
      <c r="R217" t="str">
        <f>IFERROR(VLOOKUP('OB Format'!D217,'Team Data'!C:AB,24,FALSE),"")</f>
        <v/>
      </c>
      <c r="S217" t="str">
        <f>IFERROR(VLOOKUP('OB Format'!D217,'Team Data'!C:AC,25,FALSE),"")</f>
        <v/>
      </c>
    </row>
    <row r="218" spans="5:19" x14ac:dyDescent="0.25">
      <c r="E218" t="str">
        <f>IFERROR(VLOOKUP(D218,'Team Data'!C:AB,4,FALSE),"")</f>
        <v/>
      </c>
      <c r="F218" t="str">
        <f>IFERROR(VLOOKUP(D218,'Team Data'!C:AB,5,FALSE),"")</f>
        <v/>
      </c>
      <c r="G218" t="str">
        <f>IFERROR(VLOOKUP('OB Format'!D218,'Team Data'!C:AB,17,FALSE),"")</f>
        <v/>
      </c>
      <c r="H218" t="str">
        <f>IFERROR(VLOOKUP(D218,'Team Data'!C:AB,7,FALSE),"")</f>
        <v/>
      </c>
      <c r="I218" t="str">
        <f>IFERROR(VLOOKUP(D218,'Team Data'!C:AB,14,FALSE),"")</f>
        <v/>
      </c>
      <c r="J218" t="str">
        <f>IFERROR(VLOOKUP(D218,'Team Data'!C:AB,8,FALSE),"")</f>
        <v/>
      </c>
      <c r="K218" t="str">
        <f>IFERROR(VLOOKUP(D218,'Team Data'!C:AB,9,FALSE),"")</f>
        <v/>
      </c>
      <c r="L218" t="str">
        <f>IFERROR(VLOOKUP(D218,'Team Data'!C:AB,10,FALSE),"")</f>
        <v/>
      </c>
      <c r="M218" t="str">
        <f t="shared" si="8"/>
        <v/>
      </c>
      <c r="N218" t="str">
        <f>IFERROR(VLOOKUP(D218,'Team Data'!C:AB,23,FALSE),"")</f>
        <v/>
      </c>
      <c r="O218" t="str">
        <f>IFERROR(VLOOKUP(D218,'Team Data'!C:AB,22,FALSE),"")</f>
        <v/>
      </c>
      <c r="P218" t="str">
        <f t="shared" si="9"/>
        <v/>
      </c>
      <c r="Q218" t="str">
        <f>IFERROR(VLOOKUP(D218,'Team Data'!C:AB,15,FALSE),"")</f>
        <v/>
      </c>
      <c r="R218" t="str">
        <f>IFERROR(VLOOKUP('OB Format'!D218,'Team Data'!C:AB,24,FALSE),"")</f>
        <v/>
      </c>
      <c r="S218" t="str">
        <f>IFERROR(VLOOKUP('OB Format'!D218,'Team Data'!C:AC,25,FALSE),"")</f>
        <v/>
      </c>
    </row>
    <row r="219" spans="5:19" x14ac:dyDescent="0.25">
      <c r="E219" t="str">
        <f>IFERROR(VLOOKUP(D219,'Team Data'!C:AB,4,FALSE),"")</f>
        <v/>
      </c>
      <c r="F219" t="str">
        <f>IFERROR(VLOOKUP(D219,'Team Data'!C:AB,5,FALSE),"")</f>
        <v/>
      </c>
      <c r="G219" t="str">
        <f>IFERROR(VLOOKUP('OB Format'!D219,'Team Data'!C:AB,17,FALSE),"")</f>
        <v/>
      </c>
      <c r="H219" t="str">
        <f>IFERROR(VLOOKUP(D219,'Team Data'!C:AB,7,FALSE),"")</f>
        <v/>
      </c>
      <c r="I219" t="str">
        <f>IFERROR(VLOOKUP(D219,'Team Data'!C:AB,14,FALSE),"")</f>
        <v/>
      </c>
      <c r="J219" t="str">
        <f>IFERROR(VLOOKUP(D219,'Team Data'!C:AB,8,FALSE),"")</f>
        <v/>
      </c>
      <c r="K219" t="str">
        <f>IFERROR(VLOOKUP(D219,'Team Data'!C:AB,9,FALSE),"")</f>
        <v/>
      </c>
      <c r="L219" t="str">
        <f>IFERROR(VLOOKUP(D219,'Team Data'!C:AB,10,FALSE),"")</f>
        <v/>
      </c>
      <c r="M219" t="str">
        <f t="shared" si="8"/>
        <v/>
      </c>
      <c r="N219" t="str">
        <f>IFERROR(VLOOKUP(D219,'Team Data'!C:AB,23,FALSE),"")</f>
        <v/>
      </c>
      <c r="O219" t="str">
        <f>IFERROR(VLOOKUP(D219,'Team Data'!C:AB,22,FALSE),"")</f>
        <v/>
      </c>
      <c r="P219" t="str">
        <f t="shared" si="9"/>
        <v/>
      </c>
      <c r="Q219" t="str">
        <f>IFERROR(VLOOKUP(D219,'Team Data'!C:AB,15,FALSE),"")</f>
        <v/>
      </c>
      <c r="R219" t="str">
        <f>IFERROR(VLOOKUP('OB Format'!D219,'Team Data'!C:AB,24,FALSE),"")</f>
        <v/>
      </c>
      <c r="S219" t="str">
        <f>IFERROR(VLOOKUP('OB Format'!D219,'Team Data'!C:AC,25,FALSE),"")</f>
        <v/>
      </c>
    </row>
    <row r="220" spans="5:19" x14ac:dyDescent="0.25">
      <c r="E220" t="str">
        <f>IFERROR(VLOOKUP(D220,'Team Data'!C:AB,4,FALSE),"")</f>
        <v/>
      </c>
      <c r="F220" t="str">
        <f>IFERROR(VLOOKUP(D220,'Team Data'!C:AB,5,FALSE),"")</f>
        <v/>
      </c>
      <c r="G220" t="str">
        <f>IFERROR(VLOOKUP('OB Format'!D220,'Team Data'!C:AB,17,FALSE),"")</f>
        <v/>
      </c>
      <c r="H220" t="str">
        <f>IFERROR(VLOOKUP(D220,'Team Data'!C:AB,7,FALSE),"")</f>
        <v/>
      </c>
      <c r="I220" t="str">
        <f>IFERROR(VLOOKUP(D220,'Team Data'!C:AB,14,FALSE),"")</f>
        <v/>
      </c>
      <c r="J220" t="str">
        <f>IFERROR(VLOOKUP(D220,'Team Data'!C:AB,8,FALSE),"")</f>
        <v/>
      </c>
      <c r="K220" t="str">
        <f>IFERROR(VLOOKUP(D220,'Team Data'!C:AB,9,FALSE),"")</f>
        <v/>
      </c>
      <c r="L220" t="str">
        <f>IFERROR(VLOOKUP(D220,'Team Data'!C:AB,10,FALSE),"")</f>
        <v/>
      </c>
      <c r="M220" t="str">
        <f t="shared" si="8"/>
        <v/>
      </c>
      <c r="N220" t="str">
        <f>IFERROR(VLOOKUP(D220,'Team Data'!C:AB,23,FALSE),"")</f>
        <v/>
      </c>
      <c r="O220" t="str">
        <f>IFERROR(VLOOKUP(D220,'Team Data'!C:AB,22,FALSE),"")</f>
        <v/>
      </c>
      <c r="P220" t="str">
        <f t="shared" si="9"/>
        <v/>
      </c>
      <c r="Q220" t="str">
        <f>IFERROR(VLOOKUP(D220,'Team Data'!C:AB,15,FALSE),"")</f>
        <v/>
      </c>
      <c r="R220" t="str">
        <f>IFERROR(VLOOKUP('OB Format'!D220,'Team Data'!C:AB,24,FALSE),"")</f>
        <v/>
      </c>
      <c r="S220" t="str">
        <f>IFERROR(VLOOKUP('OB Format'!D220,'Team Data'!C:AC,25,FALSE),"")</f>
        <v/>
      </c>
    </row>
    <row r="221" spans="5:19" x14ac:dyDescent="0.25">
      <c r="E221" t="str">
        <f>IFERROR(VLOOKUP(D221,'Team Data'!C:AB,4,FALSE),"")</f>
        <v/>
      </c>
      <c r="F221" t="str">
        <f>IFERROR(VLOOKUP(D221,'Team Data'!C:AB,5,FALSE),"")</f>
        <v/>
      </c>
      <c r="G221" t="str">
        <f>IFERROR(VLOOKUP('OB Format'!D221,'Team Data'!C:AB,17,FALSE),"")</f>
        <v/>
      </c>
      <c r="H221" t="str">
        <f>IFERROR(VLOOKUP(D221,'Team Data'!C:AB,7,FALSE),"")</f>
        <v/>
      </c>
      <c r="I221" t="str">
        <f>IFERROR(VLOOKUP(D221,'Team Data'!C:AB,14,FALSE),"")</f>
        <v/>
      </c>
      <c r="J221" t="str">
        <f>IFERROR(VLOOKUP(D221,'Team Data'!C:AB,8,FALSE),"")</f>
        <v/>
      </c>
      <c r="K221" t="str">
        <f>IFERROR(VLOOKUP(D221,'Team Data'!C:AB,9,FALSE),"")</f>
        <v/>
      </c>
      <c r="L221" t="str">
        <f>IFERROR(VLOOKUP(D221,'Team Data'!C:AB,10,FALSE),"")</f>
        <v/>
      </c>
      <c r="M221" t="str">
        <f t="shared" si="8"/>
        <v/>
      </c>
      <c r="N221" t="str">
        <f>IFERROR(VLOOKUP(D221,'Team Data'!C:AB,23,FALSE),"")</f>
        <v/>
      </c>
      <c r="O221" t="str">
        <f>IFERROR(VLOOKUP(D221,'Team Data'!C:AB,22,FALSE),"")</f>
        <v/>
      </c>
      <c r="P221" t="str">
        <f t="shared" si="9"/>
        <v/>
      </c>
      <c r="Q221" t="str">
        <f>IFERROR(VLOOKUP(D221,'Team Data'!C:AB,15,FALSE),"")</f>
        <v/>
      </c>
      <c r="R221" t="str">
        <f>IFERROR(VLOOKUP('OB Format'!D221,'Team Data'!C:AB,24,FALSE),"")</f>
        <v/>
      </c>
      <c r="S221" t="str">
        <f>IFERROR(VLOOKUP('OB Format'!D221,'Team Data'!C:AC,25,FALSE),"")</f>
        <v/>
      </c>
    </row>
    <row r="222" spans="5:19" x14ac:dyDescent="0.25">
      <c r="E222" t="str">
        <f>IFERROR(VLOOKUP(D222,'Team Data'!C:AB,4,FALSE),"")</f>
        <v/>
      </c>
      <c r="F222" t="str">
        <f>IFERROR(VLOOKUP(D222,'Team Data'!C:AB,5,FALSE),"")</f>
        <v/>
      </c>
      <c r="G222" t="str">
        <f>IFERROR(VLOOKUP('OB Format'!D222,'Team Data'!C:AB,17,FALSE),"")</f>
        <v/>
      </c>
      <c r="H222" t="str">
        <f>IFERROR(VLOOKUP(D222,'Team Data'!C:AB,7,FALSE),"")</f>
        <v/>
      </c>
      <c r="I222" t="str">
        <f>IFERROR(VLOOKUP(D222,'Team Data'!C:AB,14,FALSE),"")</f>
        <v/>
      </c>
      <c r="J222" t="str">
        <f>IFERROR(VLOOKUP(D222,'Team Data'!C:AB,8,FALSE),"")</f>
        <v/>
      </c>
      <c r="K222" t="str">
        <f>IFERROR(VLOOKUP(D222,'Team Data'!C:AB,9,FALSE),"")</f>
        <v/>
      </c>
      <c r="L222" t="str">
        <f>IFERROR(VLOOKUP(D222,'Team Data'!C:AB,10,FALSE),"")</f>
        <v/>
      </c>
      <c r="M222" t="str">
        <f t="shared" si="8"/>
        <v/>
      </c>
      <c r="N222" t="str">
        <f>IFERROR(VLOOKUP(D222,'Team Data'!C:AB,23,FALSE),"")</f>
        <v/>
      </c>
      <c r="O222" t="str">
        <f>IFERROR(VLOOKUP(D222,'Team Data'!C:AB,22,FALSE),"")</f>
        <v/>
      </c>
      <c r="P222" t="str">
        <f t="shared" si="9"/>
        <v/>
      </c>
      <c r="Q222" t="str">
        <f>IFERROR(VLOOKUP(D222,'Team Data'!C:AB,15,FALSE),"")</f>
        <v/>
      </c>
      <c r="R222" t="str">
        <f>IFERROR(VLOOKUP('OB Format'!D222,'Team Data'!C:AB,24,FALSE),"")</f>
        <v/>
      </c>
      <c r="S222" t="str">
        <f>IFERROR(VLOOKUP('OB Format'!D222,'Team Data'!C:AC,25,FALSE),"")</f>
        <v/>
      </c>
    </row>
    <row r="223" spans="5:19" x14ac:dyDescent="0.25">
      <c r="E223" t="str">
        <f>IFERROR(VLOOKUP(D223,'Team Data'!C:AB,4,FALSE),"")</f>
        <v/>
      </c>
      <c r="F223" t="str">
        <f>IFERROR(VLOOKUP(D223,'Team Data'!C:AB,5,FALSE),"")</f>
        <v/>
      </c>
      <c r="G223" t="str">
        <f>IFERROR(VLOOKUP('OB Format'!D223,'Team Data'!C:AB,17,FALSE),"")</f>
        <v/>
      </c>
      <c r="H223" t="str">
        <f>IFERROR(VLOOKUP(D223,'Team Data'!C:AB,7,FALSE),"")</f>
        <v/>
      </c>
      <c r="I223" t="str">
        <f>IFERROR(VLOOKUP(D223,'Team Data'!C:AB,14,FALSE),"")</f>
        <v/>
      </c>
      <c r="J223" t="str">
        <f>IFERROR(VLOOKUP(D223,'Team Data'!C:AB,8,FALSE),"")</f>
        <v/>
      </c>
      <c r="K223" t="str">
        <f>IFERROR(VLOOKUP(D223,'Team Data'!C:AB,9,FALSE),"")</f>
        <v/>
      </c>
      <c r="L223" t="str">
        <f>IFERROR(VLOOKUP(D223,'Team Data'!C:AB,10,FALSE),"")</f>
        <v/>
      </c>
      <c r="M223" t="str">
        <f t="shared" si="8"/>
        <v/>
      </c>
      <c r="N223" t="str">
        <f>IFERROR(VLOOKUP(D223,'Team Data'!C:AB,23,FALSE),"")</f>
        <v/>
      </c>
      <c r="O223" t="str">
        <f>IFERROR(VLOOKUP(D223,'Team Data'!C:AB,22,FALSE),"")</f>
        <v/>
      </c>
      <c r="P223" t="str">
        <f t="shared" si="9"/>
        <v/>
      </c>
      <c r="Q223" t="str">
        <f>IFERROR(VLOOKUP(D223,'Team Data'!C:AB,15,FALSE),"")</f>
        <v/>
      </c>
      <c r="R223" t="str">
        <f>IFERROR(VLOOKUP('OB Format'!D223,'Team Data'!C:AB,24,FALSE),"")</f>
        <v/>
      </c>
      <c r="S223" t="str">
        <f>IFERROR(VLOOKUP('OB Format'!D223,'Team Data'!C:AC,25,FALSE),"")</f>
        <v/>
      </c>
    </row>
    <row r="224" spans="5:19" x14ac:dyDescent="0.25">
      <c r="E224" t="str">
        <f>IFERROR(VLOOKUP(D224,'Team Data'!C:AB,4,FALSE),"")</f>
        <v/>
      </c>
      <c r="F224" t="str">
        <f>IFERROR(VLOOKUP(D224,'Team Data'!C:AB,5,FALSE),"")</f>
        <v/>
      </c>
      <c r="G224" t="str">
        <f>IFERROR(VLOOKUP('OB Format'!D224,'Team Data'!C:AB,17,FALSE),"")</f>
        <v/>
      </c>
      <c r="H224" t="str">
        <f>IFERROR(VLOOKUP(D224,'Team Data'!C:AB,7,FALSE),"")</f>
        <v/>
      </c>
      <c r="I224" t="str">
        <f>IFERROR(VLOOKUP(D224,'Team Data'!C:AB,14,FALSE),"")</f>
        <v/>
      </c>
      <c r="J224" t="str">
        <f>IFERROR(VLOOKUP(D224,'Team Data'!C:AB,8,FALSE),"")</f>
        <v/>
      </c>
      <c r="K224" t="str">
        <f>IFERROR(VLOOKUP(D224,'Team Data'!C:AB,9,FALSE),"")</f>
        <v/>
      </c>
      <c r="L224" t="str">
        <f>IFERROR(VLOOKUP(D224,'Team Data'!C:AB,10,FALSE),"")</f>
        <v/>
      </c>
      <c r="M224" t="str">
        <f t="shared" si="8"/>
        <v/>
      </c>
      <c r="N224" t="str">
        <f>IFERROR(VLOOKUP(D224,'Team Data'!C:AB,23,FALSE),"")</f>
        <v/>
      </c>
      <c r="O224" t="str">
        <f>IFERROR(VLOOKUP(D224,'Team Data'!C:AB,22,FALSE),"")</f>
        <v/>
      </c>
      <c r="P224" t="str">
        <f t="shared" si="9"/>
        <v/>
      </c>
      <c r="Q224" t="str">
        <f>IFERROR(VLOOKUP(D224,'Team Data'!C:AB,15,FALSE),"")</f>
        <v/>
      </c>
      <c r="R224" t="str">
        <f>IFERROR(VLOOKUP('OB Format'!D224,'Team Data'!C:AB,24,FALSE),"")</f>
        <v/>
      </c>
      <c r="S224" t="str">
        <f>IFERROR(VLOOKUP('OB Format'!D224,'Team Data'!C:AC,25,FALSE),"")</f>
        <v/>
      </c>
    </row>
    <row r="225" spans="5:19" x14ac:dyDescent="0.25">
      <c r="E225" t="str">
        <f>IFERROR(VLOOKUP(D225,'Team Data'!C:AB,4,FALSE),"")</f>
        <v/>
      </c>
      <c r="F225" t="str">
        <f>IFERROR(VLOOKUP(D225,'Team Data'!C:AB,5,FALSE),"")</f>
        <v/>
      </c>
      <c r="G225" t="str">
        <f>IFERROR(VLOOKUP('OB Format'!D225,'Team Data'!C:AB,17,FALSE),"")</f>
        <v/>
      </c>
      <c r="H225" t="str">
        <f>IFERROR(VLOOKUP(D225,'Team Data'!C:AB,7,FALSE),"")</f>
        <v/>
      </c>
      <c r="I225" t="str">
        <f>IFERROR(VLOOKUP(D225,'Team Data'!C:AB,14,FALSE),"")</f>
        <v/>
      </c>
      <c r="J225" t="str">
        <f>IFERROR(VLOOKUP(D225,'Team Data'!C:AB,8,FALSE),"")</f>
        <v/>
      </c>
      <c r="K225" t="str">
        <f>IFERROR(VLOOKUP(D225,'Team Data'!C:AB,9,FALSE),"")</f>
        <v/>
      </c>
      <c r="L225" t="str">
        <f>IFERROR(VLOOKUP(D225,'Team Data'!C:AB,10,FALSE),"")</f>
        <v/>
      </c>
      <c r="M225" t="str">
        <f t="shared" si="8"/>
        <v/>
      </c>
      <c r="N225" t="str">
        <f>IFERROR(VLOOKUP(D225,'Team Data'!C:AB,23,FALSE),"")</f>
        <v/>
      </c>
      <c r="O225" t="str">
        <f>IFERROR(VLOOKUP(D225,'Team Data'!C:AB,22,FALSE),"")</f>
        <v/>
      </c>
      <c r="P225" t="str">
        <f t="shared" si="9"/>
        <v/>
      </c>
      <c r="Q225" t="str">
        <f>IFERROR(VLOOKUP(D225,'Team Data'!C:AB,15,FALSE),"")</f>
        <v/>
      </c>
      <c r="R225" t="str">
        <f>IFERROR(VLOOKUP('OB Format'!D225,'Team Data'!C:AB,24,FALSE),"")</f>
        <v/>
      </c>
      <c r="S225" t="str">
        <f>IFERROR(VLOOKUP('OB Format'!D225,'Team Data'!C:AC,25,FALSE),"")</f>
        <v/>
      </c>
    </row>
    <row r="226" spans="5:19" x14ac:dyDescent="0.25">
      <c r="E226" t="str">
        <f>IFERROR(VLOOKUP(D226,'Team Data'!C:AB,4,FALSE),"")</f>
        <v/>
      </c>
      <c r="F226" t="str">
        <f>IFERROR(VLOOKUP(D226,'Team Data'!C:AB,5,FALSE),"")</f>
        <v/>
      </c>
      <c r="G226" t="str">
        <f>IFERROR(VLOOKUP('OB Format'!D226,'Team Data'!C:AB,17,FALSE),"")</f>
        <v/>
      </c>
      <c r="H226" t="str">
        <f>IFERROR(VLOOKUP(D226,'Team Data'!C:AB,7,FALSE),"")</f>
        <v/>
      </c>
      <c r="I226" t="str">
        <f>IFERROR(VLOOKUP(D226,'Team Data'!C:AB,14,FALSE),"")</f>
        <v/>
      </c>
      <c r="J226" t="str">
        <f>IFERROR(VLOOKUP(D226,'Team Data'!C:AB,8,FALSE),"")</f>
        <v/>
      </c>
      <c r="K226" t="str">
        <f>IFERROR(VLOOKUP(D226,'Team Data'!C:AB,9,FALSE),"")</f>
        <v/>
      </c>
      <c r="L226" t="str">
        <f>IFERROR(VLOOKUP(D226,'Team Data'!C:AB,10,FALSE),"")</f>
        <v/>
      </c>
      <c r="M226" t="str">
        <f t="shared" si="8"/>
        <v/>
      </c>
      <c r="N226" t="str">
        <f>IFERROR(VLOOKUP(D226,'Team Data'!C:AB,23,FALSE),"")</f>
        <v/>
      </c>
      <c r="O226" t="str">
        <f>IFERROR(VLOOKUP(D226,'Team Data'!C:AB,22,FALSE),"")</f>
        <v/>
      </c>
      <c r="P226" t="str">
        <f t="shared" si="9"/>
        <v/>
      </c>
      <c r="Q226" t="str">
        <f>IFERROR(VLOOKUP(D226,'Team Data'!C:AB,15,FALSE),"")</f>
        <v/>
      </c>
      <c r="R226" t="str">
        <f>IFERROR(VLOOKUP('OB Format'!D226,'Team Data'!C:AB,24,FALSE),"")</f>
        <v/>
      </c>
      <c r="S226" t="str">
        <f>IFERROR(VLOOKUP('OB Format'!D226,'Team Data'!C:AC,25,FALSE),"")</f>
        <v/>
      </c>
    </row>
    <row r="227" spans="5:19" x14ac:dyDescent="0.25">
      <c r="E227" t="str">
        <f>IFERROR(VLOOKUP(D227,'Team Data'!C:AB,4,FALSE),"")</f>
        <v/>
      </c>
      <c r="F227" t="str">
        <f>IFERROR(VLOOKUP(D227,'Team Data'!C:AB,5,FALSE),"")</f>
        <v/>
      </c>
      <c r="G227" t="str">
        <f>IFERROR(VLOOKUP('OB Format'!D227,'Team Data'!C:AB,17,FALSE),"")</f>
        <v/>
      </c>
      <c r="H227" t="str">
        <f>IFERROR(VLOOKUP(D227,'Team Data'!C:AB,7,FALSE),"")</f>
        <v/>
      </c>
      <c r="I227" t="str">
        <f>IFERROR(VLOOKUP(D227,'Team Data'!C:AB,14,FALSE),"")</f>
        <v/>
      </c>
      <c r="J227" t="str">
        <f>IFERROR(VLOOKUP(D227,'Team Data'!C:AB,8,FALSE),"")</f>
        <v/>
      </c>
      <c r="K227" t="str">
        <f>IFERROR(VLOOKUP(D227,'Team Data'!C:AB,9,FALSE),"")</f>
        <v/>
      </c>
      <c r="L227" t="str">
        <f>IFERROR(VLOOKUP(D227,'Team Data'!C:AB,10,FALSE),"")</f>
        <v/>
      </c>
      <c r="M227" t="str">
        <f t="shared" si="8"/>
        <v/>
      </c>
      <c r="N227" t="str">
        <f>IFERROR(VLOOKUP(D227,'Team Data'!C:AB,23,FALSE),"")</f>
        <v/>
      </c>
      <c r="O227" t="str">
        <f>IFERROR(VLOOKUP(D227,'Team Data'!C:AB,22,FALSE),"")</f>
        <v/>
      </c>
      <c r="P227" t="str">
        <f t="shared" si="9"/>
        <v/>
      </c>
      <c r="Q227" t="str">
        <f>IFERROR(VLOOKUP(D227,'Team Data'!C:AB,15,FALSE),"")</f>
        <v/>
      </c>
      <c r="R227" t="str">
        <f>IFERROR(VLOOKUP('OB Format'!D227,'Team Data'!C:AB,24,FALSE),"")</f>
        <v/>
      </c>
      <c r="S227" t="str">
        <f>IFERROR(VLOOKUP('OB Format'!D227,'Team Data'!C:AC,25,FALSE),"")</f>
        <v/>
      </c>
    </row>
    <row r="228" spans="5:19" x14ac:dyDescent="0.25">
      <c r="E228" t="str">
        <f>IFERROR(VLOOKUP(D228,'Team Data'!C:AB,4,FALSE),"")</f>
        <v/>
      </c>
      <c r="F228" t="str">
        <f>IFERROR(VLOOKUP(D228,'Team Data'!C:AB,5,FALSE),"")</f>
        <v/>
      </c>
      <c r="G228" t="str">
        <f>IFERROR(VLOOKUP('OB Format'!D228,'Team Data'!C:AB,17,FALSE),"")</f>
        <v/>
      </c>
      <c r="H228" t="str">
        <f>IFERROR(VLOOKUP(D228,'Team Data'!C:AB,7,FALSE),"")</f>
        <v/>
      </c>
      <c r="I228" t="str">
        <f>IFERROR(VLOOKUP(D228,'Team Data'!C:AB,14,FALSE),"")</f>
        <v/>
      </c>
      <c r="J228" t="str">
        <f>IFERROR(VLOOKUP(D228,'Team Data'!C:AB,8,FALSE),"")</f>
        <v/>
      </c>
      <c r="K228" t="str">
        <f>IFERROR(VLOOKUP(D228,'Team Data'!C:AB,9,FALSE),"")</f>
        <v/>
      </c>
      <c r="L228" t="str">
        <f>IFERROR(VLOOKUP(D228,'Team Data'!C:AB,10,FALSE),"")</f>
        <v/>
      </c>
      <c r="M228" t="str">
        <f t="shared" si="8"/>
        <v/>
      </c>
      <c r="N228" t="str">
        <f>IFERROR(VLOOKUP(D228,'Team Data'!C:AB,23,FALSE),"")</f>
        <v/>
      </c>
      <c r="O228" t="str">
        <f>IFERROR(VLOOKUP(D228,'Team Data'!C:AB,22,FALSE),"")</f>
        <v/>
      </c>
      <c r="P228" t="str">
        <f t="shared" si="9"/>
        <v/>
      </c>
      <c r="Q228" t="str">
        <f>IFERROR(VLOOKUP(D228,'Team Data'!C:AB,15,FALSE),"")</f>
        <v/>
      </c>
      <c r="R228" t="str">
        <f>IFERROR(VLOOKUP('OB Format'!D228,'Team Data'!C:AB,24,FALSE),"")</f>
        <v/>
      </c>
      <c r="S228" t="str">
        <f>IFERROR(VLOOKUP('OB Format'!D228,'Team Data'!C:AC,25,FALSE),"")</f>
        <v/>
      </c>
    </row>
    <row r="229" spans="5:19" x14ac:dyDescent="0.25">
      <c r="E229" t="str">
        <f>IFERROR(VLOOKUP(D229,'Team Data'!C:AB,4,FALSE),"")</f>
        <v/>
      </c>
      <c r="F229" t="str">
        <f>IFERROR(VLOOKUP(D229,'Team Data'!C:AB,5,FALSE),"")</f>
        <v/>
      </c>
      <c r="G229" t="str">
        <f>IFERROR(VLOOKUP('OB Format'!D229,'Team Data'!C:AB,17,FALSE),"")</f>
        <v/>
      </c>
      <c r="H229" t="str">
        <f>IFERROR(VLOOKUP(D229,'Team Data'!C:AB,7,FALSE),"")</f>
        <v/>
      </c>
      <c r="I229" t="str">
        <f>IFERROR(VLOOKUP(D229,'Team Data'!C:AB,14,FALSE),"")</f>
        <v/>
      </c>
      <c r="J229" t="str">
        <f>IFERROR(VLOOKUP(D229,'Team Data'!C:AB,8,FALSE),"")</f>
        <v/>
      </c>
      <c r="K229" t="str">
        <f>IFERROR(VLOOKUP(D229,'Team Data'!C:AB,9,FALSE),"")</f>
        <v/>
      </c>
      <c r="L229" t="str">
        <f>IFERROR(VLOOKUP(D229,'Team Data'!C:AB,10,FALSE),"")</f>
        <v/>
      </c>
      <c r="M229" t="str">
        <f t="shared" si="8"/>
        <v/>
      </c>
      <c r="N229" t="str">
        <f>IFERROR(VLOOKUP(D229,'Team Data'!C:AB,23,FALSE),"")</f>
        <v/>
      </c>
      <c r="O229" t="str">
        <f>IFERROR(VLOOKUP(D229,'Team Data'!C:AB,22,FALSE),"")</f>
        <v/>
      </c>
      <c r="P229" t="str">
        <f t="shared" si="9"/>
        <v/>
      </c>
      <c r="Q229" t="str">
        <f>IFERROR(VLOOKUP(D229,'Team Data'!C:AB,15,FALSE),"")</f>
        <v/>
      </c>
      <c r="R229" t="str">
        <f>IFERROR(VLOOKUP('OB Format'!D229,'Team Data'!C:AB,24,FALSE),"")</f>
        <v/>
      </c>
      <c r="S229" t="str">
        <f>IFERROR(VLOOKUP('OB Format'!D229,'Team Data'!C:AC,25,FALSE),"")</f>
        <v/>
      </c>
    </row>
    <row r="230" spans="5:19" x14ac:dyDescent="0.25">
      <c r="E230" t="str">
        <f>IFERROR(VLOOKUP(D230,'Team Data'!C:AB,4,FALSE),"")</f>
        <v/>
      </c>
      <c r="F230" t="str">
        <f>IFERROR(VLOOKUP(D230,'Team Data'!C:AB,5,FALSE),"")</f>
        <v/>
      </c>
      <c r="G230" t="str">
        <f>IFERROR(VLOOKUP('OB Format'!D230,'Team Data'!C:AB,17,FALSE),"")</f>
        <v/>
      </c>
      <c r="H230" t="str">
        <f>IFERROR(VLOOKUP(D230,'Team Data'!C:AB,7,FALSE),"")</f>
        <v/>
      </c>
      <c r="I230" t="str">
        <f>IFERROR(VLOOKUP(D230,'Team Data'!C:AB,14,FALSE),"")</f>
        <v/>
      </c>
      <c r="J230" t="str">
        <f>IFERROR(VLOOKUP(D230,'Team Data'!C:AB,8,FALSE),"")</f>
        <v/>
      </c>
      <c r="K230" t="str">
        <f>IFERROR(VLOOKUP(D230,'Team Data'!C:AB,9,FALSE),"")</f>
        <v/>
      </c>
      <c r="L230" t="str">
        <f>IFERROR(VLOOKUP(D230,'Team Data'!C:AB,10,FALSE),"")</f>
        <v/>
      </c>
      <c r="M230" t="str">
        <f t="shared" si="8"/>
        <v/>
      </c>
      <c r="N230" t="str">
        <f>IFERROR(VLOOKUP(D230,'Team Data'!C:AB,23,FALSE),"")</f>
        <v/>
      </c>
      <c r="O230" t="str">
        <f>IFERROR(VLOOKUP(D230,'Team Data'!C:AB,22,FALSE),"")</f>
        <v/>
      </c>
      <c r="P230" t="str">
        <f t="shared" si="9"/>
        <v/>
      </c>
      <c r="Q230" t="str">
        <f>IFERROR(VLOOKUP(D230,'Team Data'!C:AB,15,FALSE),"")</f>
        <v/>
      </c>
      <c r="R230" t="str">
        <f>IFERROR(VLOOKUP('OB Format'!D230,'Team Data'!C:AB,24,FALSE),"")</f>
        <v/>
      </c>
      <c r="S230" t="str">
        <f>IFERROR(VLOOKUP('OB Format'!D230,'Team Data'!C:AC,25,FALSE),"")</f>
        <v/>
      </c>
    </row>
    <row r="231" spans="5:19" x14ac:dyDescent="0.25">
      <c r="E231" t="str">
        <f>IFERROR(VLOOKUP(D231,'Team Data'!C:AB,4,FALSE),"")</f>
        <v/>
      </c>
      <c r="F231" t="str">
        <f>IFERROR(VLOOKUP(D231,'Team Data'!C:AB,5,FALSE),"")</f>
        <v/>
      </c>
      <c r="G231" t="str">
        <f>IFERROR(VLOOKUP('OB Format'!D231,'Team Data'!C:AB,17,FALSE),"")</f>
        <v/>
      </c>
      <c r="H231" t="str">
        <f>IFERROR(VLOOKUP(D231,'Team Data'!C:AB,7,FALSE),"")</f>
        <v/>
      </c>
      <c r="I231" t="str">
        <f>IFERROR(VLOOKUP(D231,'Team Data'!C:AB,14,FALSE),"")</f>
        <v/>
      </c>
      <c r="J231" t="str">
        <f>IFERROR(VLOOKUP(D231,'Team Data'!C:AB,8,FALSE),"")</f>
        <v/>
      </c>
      <c r="K231" t="str">
        <f>IFERROR(VLOOKUP(D231,'Team Data'!C:AB,9,FALSE),"")</f>
        <v/>
      </c>
      <c r="L231" t="str">
        <f>IFERROR(VLOOKUP(D231,'Team Data'!C:AB,10,FALSE),"")</f>
        <v/>
      </c>
      <c r="M231" t="str">
        <f t="shared" si="8"/>
        <v/>
      </c>
      <c r="N231" t="str">
        <f>IFERROR(VLOOKUP(D231,'Team Data'!C:AB,23,FALSE),"")</f>
        <v/>
      </c>
      <c r="O231" t="str">
        <f>IFERROR(VLOOKUP(D231,'Team Data'!C:AB,22,FALSE),"")</f>
        <v/>
      </c>
      <c r="P231" t="str">
        <f t="shared" si="9"/>
        <v/>
      </c>
      <c r="Q231" t="str">
        <f>IFERROR(VLOOKUP(D231,'Team Data'!C:AB,15,FALSE),"")</f>
        <v/>
      </c>
      <c r="R231" t="str">
        <f>IFERROR(VLOOKUP('OB Format'!D231,'Team Data'!C:AB,24,FALSE),"")</f>
        <v/>
      </c>
      <c r="S231" t="str">
        <f>IFERROR(VLOOKUP('OB Format'!D231,'Team Data'!C:AC,25,FALSE),"")</f>
        <v/>
      </c>
    </row>
    <row r="232" spans="5:19" x14ac:dyDescent="0.25">
      <c r="E232" t="str">
        <f>IFERROR(VLOOKUP(D232,'Team Data'!C:AB,4,FALSE),"")</f>
        <v/>
      </c>
      <c r="F232" t="str">
        <f>IFERROR(VLOOKUP(D232,'Team Data'!C:AB,5,FALSE),"")</f>
        <v/>
      </c>
      <c r="G232" t="str">
        <f>IFERROR(VLOOKUP('OB Format'!D232,'Team Data'!C:AB,17,FALSE),"")</f>
        <v/>
      </c>
      <c r="H232" t="str">
        <f>IFERROR(VLOOKUP(D232,'Team Data'!C:AB,7,FALSE),"")</f>
        <v/>
      </c>
      <c r="I232" t="str">
        <f>IFERROR(VLOOKUP(D232,'Team Data'!C:AB,14,FALSE),"")</f>
        <v/>
      </c>
      <c r="J232" t="str">
        <f>IFERROR(VLOOKUP(D232,'Team Data'!C:AB,8,FALSE),"")</f>
        <v/>
      </c>
      <c r="K232" t="str">
        <f>IFERROR(VLOOKUP(D232,'Team Data'!C:AB,9,FALSE),"")</f>
        <v/>
      </c>
      <c r="L232" t="str">
        <f>IFERROR(VLOOKUP(D232,'Team Data'!C:AB,10,FALSE),"")</f>
        <v/>
      </c>
      <c r="M232" t="str">
        <f t="shared" si="8"/>
        <v/>
      </c>
      <c r="N232" t="str">
        <f>IFERROR(VLOOKUP(D232,'Team Data'!C:AB,23,FALSE),"")</f>
        <v/>
      </c>
      <c r="O232" t="str">
        <f>IFERROR(VLOOKUP(D232,'Team Data'!C:AB,22,FALSE),"")</f>
        <v/>
      </c>
      <c r="P232" t="str">
        <f t="shared" si="9"/>
        <v/>
      </c>
      <c r="Q232" t="str">
        <f>IFERROR(VLOOKUP(D232,'Team Data'!C:AB,15,FALSE),"")</f>
        <v/>
      </c>
      <c r="R232" t="str">
        <f>IFERROR(VLOOKUP('OB Format'!D232,'Team Data'!C:AB,24,FALSE),"")</f>
        <v/>
      </c>
      <c r="S232" t="str">
        <f>IFERROR(VLOOKUP('OB Format'!D232,'Team Data'!C:AC,25,FALSE),"")</f>
        <v/>
      </c>
    </row>
    <row r="233" spans="5:19" x14ac:dyDescent="0.25">
      <c r="E233" t="str">
        <f>IFERROR(VLOOKUP(D233,'Team Data'!C:AB,4,FALSE),"")</f>
        <v/>
      </c>
      <c r="F233" t="str">
        <f>IFERROR(VLOOKUP(D233,'Team Data'!C:AB,5,FALSE),"")</f>
        <v/>
      </c>
      <c r="G233" t="str">
        <f>IFERROR(VLOOKUP('OB Format'!D233,'Team Data'!C:AB,17,FALSE),"")</f>
        <v/>
      </c>
      <c r="H233" t="str">
        <f>IFERROR(VLOOKUP(D233,'Team Data'!C:AB,7,FALSE),"")</f>
        <v/>
      </c>
      <c r="I233" t="str">
        <f>IFERROR(VLOOKUP(D233,'Team Data'!C:AB,14,FALSE),"")</f>
        <v/>
      </c>
      <c r="J233" t="str">
        <f>IFERROR(VLOOKUP(D233,'Team Data'!C:AB,8,FALSE),"")</f>
        <v/>
      </c>
      <c r="K233" t="str">
        <f>IFERROR(VLOOKUP(D233,'Team Data'!C:AB,9,FALSE),"")</f>
        <v/>
      </c>
      <c r="L233" t="str">
        <f>IFERROR(VLOOKUP(D233,'Team Data'!C:AB,10,FALSE),"")</f>
        <v/>
      </c>
      <c r="M233" t="str">
        <f t="shared" si="8"/>
        <v/>
      </c>
      <c r="N233" t="str">
        <f>IFERROR(VLOOKUP(D233,'Team Data'!C:AB,23,FALSE),"")</f>
        <v/>
      </c>
      <c r="O233" t="str">
        <f>IFERROR(VLOOKUP(D233,'Team Data'!C:AB,22,FALSE),"")</f>
        <v/>
      </c>
      <c r="P233" t="str">
        <f t="shared" si="9"/>
        <v/>
      </c>
      <c r="Q233" t="str">
        <f>IFERROR(VLOOKUP(D233,'Team Data'!C:AB,15,FALSE),"")</f>
        <v/>
      </c>
      <c r="R233" t="str">
        <f>IFERROR(VLOOKUP('OB Format'!D233,'Team Data'!C:AB,24,FALSE),"")</f>
        <v/>
      </c>
      <c r="S233" t="str">
        <f>IFERROR(VLOOKUP('OB Format'!D233,'Team Data'!C:AC,25,FALSE),"")</f>
        <v/>
      </c>
    </row>
    <row r="234" spans="5:19" x14ac:dyDescent="0.25">
      <c r="E234" t="str">
        <f>IFERROR(VLOOKUP(D234,'Team Data'!C:AB,4,FALSE),"")</f>
        <v/>
      </c>
      <c r="F234" t="str">
        <f>IFERROR(VLOOKUP(D234,'Team Data'!C:AB,5,FALSE),"")</f>
        <v/>
      </c>
      <c r="G234" t="str">
        <f>IFERROR(VLOOKUP('OB Format'!D234,'Team Data'!C:AB,17,FALSE),"")</f>
        <v/>
      </c>
      <c r="H234" t="str">
        <f>IFERROR(VLOOKUP(D234,'Team Data'!C:AB,7,FALSE),"")</f>
        <v/>
      </c>
      <c r="I234" t="str">
        <f>IFERROR(VLOOKUP(D234,'Team Data'!C:AB,14,FALSE),"")</f>
        <v/>
      </c>
      <c r="J234" t="str">
        <f>IFERROR(VLOOKUP(D234,'Team Data'!C:AB,8,FALSE),"")</f>
        <v/>
      </c>
      <c r="K234" t="str">
        <f>IFERROR(VLOOKUP(D234,'Team Data'!C:AB,9,FALSE),"")</f>
        <v/>
      </c>
      <c r="L234" t="str">
        <f>IFERROR(VLOOKUP(D234,'Team Data'!C:AB,10,FALSE),"")</f>
        <v/>
      </c>
      <c r="M234" t="str">
        <f t="shared" si="8"/>
        <v/>
      </c>
      <c r="N234" t="str">
        <f>IFERROR(VLOOKUP(D234,'Team Data'!C:AB,23,FALSE),"")</f>
        <v/>
      </c>
      <c r="O234" t="str">
        <f>IFERROR(VLOOKUP(D234,'Team Data'!C:AB,22,FALSE),"")</f>
        <v/>
      </c>
      <c r="P234" t="str">
        <f t="shared" si="9"/>
        <v/>
      </c>
      <c r="Q234" t="str">
        <f>IFERROR(VLOOKUP(D234,'Team Data'!C:AB,15,FALSE),"")</f>
        <v/>
      </c>
      <c r="R234" t="str">
        <f>IFERROR(VLOOKUP('OB Format'!D234,'Team Data'!C:AB,24,FALSE),"")</f>
        <v/>
      </c>
      <c r="S234" t="str">
        <f>IFERROR(VLOOKUP('OB Format'!D234,'Team Data'!C:AC,25,FALSE),"")</f>
        <v/>
      </c>
    </row>
    <row r="235" spans="5:19" x14ac:dyDescent="0.25">
      <c r="E235" t="str">
        <f>IFERROR(VLOOKUP(D235,'Team Data'!C:AB,4,FALSE),"")</f>
        <v/>
      </c>
      <c r="F235" t="str">
        <f>IFERROR(VLOOKUP(D235,'Team Data'!C:AB,5,FALSE),"")</f>
        <v/>
      </c>
      <c r="G235" t="str">
        <f>IFERROR(VLOOKUP('OB Format'!D235,'Team Data'!C:AB,17,FALSE),"")</f>
        <v/>
      </c>
      <c r="H235" t="str">
        <f>IFERROR(VLOOKUP(D235,'Team Data'!C:AB,7,FALSE),"")</f>
        <v/>
      </c>
      <c r="I235" t="str">
        <f>IFERROR(VLOOKUP(D235,'Team Data'!C:AB,14,FALSE),"")</f>
        <v/>
      </c>
      <c r="J235" t="str">
        <f>IFERROR(VLOOKUP(D235,'Team Data'!C:AB,8,FALSE),"")</f>
        <v/>
      </c>
      <c r="K235" t="str">
        <f>IFERROR(VLOOKUP(D235,'Team Data'!C:AB,9,FALSE),"")</f>
        <v/>
      </c>
      <c r="L235" t="str">
        <f>IFERROR(VLOOKUP(D235,'Team Data'!C:AB,10,FALSE),"")</f>
        <v/>
      </c>
      <c r="M235" t="str">
        <f t="shared" si="8"/>
        <v/>
      </c>
      <c r="N235" t="str">
        <f>IFERROR(VLOOKUP(D235,'Team Data'!C:AB,23,FALSE),"")</f>
        <v/>
      </c>
      <c r="O235" t="str">
        <f>IFERROR(VLOOKUP(D235,'Team Data'!C:AB,22,FALSE),"")</f>
        <v/>
      </c>
      <c r="P235" t="str">
        <f t="shared" si="9"/>
        <v/>
      </c>
      <c r="Q235" t="str">
        <f>IFERROR(VLOOKUP(D235,'Team Data'!C:AB,15,FALSE),"")</f>
        <v/>
      </c>
      <c r="R235" t="str">
        <f>IFERROR(VLOOKUP('OB Format'!D235,'Team Data'!C:AB,24,FALSE),"")</f>
        <v/>
      </c>
      <c r="S235" t="str">
        <f>IFERROR(VLOOKUP('OB Format'!D235,'Team Data'!C:AC,25,FALSE),"")</f>
        <v/>
      </c>
    </row>
    <row r="236" spans="5:19" x14ac:dyDescent="0.25">
      <c r="E236" t="str">
        <f>IFERROR(VLOOKUP(D236,'Team Data'!C:AB,4,FALSE),"")</f>
        <v/>
      </c>
      <c r="F236" t="str">
        <f>IFERROR(VLOOKUP(D236,'Team Data'!C:AB,5,FALSE),"")</f>
        <v/>
      </c>
      <c r="G236" t="str">
        <f>IFERROR(VLOOKUP('OB Format'!D236,'Team Data'!C:AB,17,FALSE),"")</f>
        <v/>
      </c>
      <c r="H236" t="str">
        <f>IFERROR(VLOOKUP(D236,'Team Data'!C:AB,7,FALSE),"")</f>
        <v/>
      </c>
      <c r="I236" t="str">
        <f>IFERROR(VLOOKUP(D236,'Team Data'!C:AB,14,FALSE),"")</f>
        <v/>
      </c>
      <c r="J236" t="str">
        <f>IFERROR(VLOOKUP(D236,'Team Data'!C:AB,8,FALSE),"")</f>
        <v/>
      </c>
      <c r="K236" t="str">
        <f>IFERROR(VLOOKUP(D236,'Team Data'!C:AB,9,FALSE),"")</f>
        <v/>
      </c>
      <c r="L236" t="str">
        <f>IFERROR(VLOOKUP(D236,'Team Data'!C:AB,10,FALSE),"")</f>
        <v/>
      </c>
      <c r="M236" t="str">
        <f t="shared" si="8"/>
        <v/>
      </c>
      <c r="N236" t="str">
        <f>IFERROR(VLOOKUP(D236,'Team Data'!C:AB,23,FALSE),"")</f>
        <v/>
      </c>
      <c r="O236" t="str">
        <f>IFERROR(VLOOKUP(D236,'Team Data'!C:AB,22,FALSE),"")</f>
        <v/>
      </c>
      <c r="P236" t="str">
        <f t="shared" si="9"/>
        <v/>
      </c>
      <c r="Q236" t="str">
        <f>IFERROR(VLOOKUP(D236,'Team Data'!C:AB,15,FALSE),"")</f>
        <v/>
      </c>
      <c r="R236" t="str">
        <f>IFERROR(VLOOKUP('OB Format'!D236,'Team Data'!C:AB,24,FALSE),"")</f>
        <v/>
      </c>
      <c r="S236" t="str">
        <f>IFERROR(VLOOKUP('OB Format'!D236,'Team Data'!C:AC,25,FALSE),"")</f>
        <v/>
      </c>
    </row>
    <row r="237" spans="5:19" x14ac:dyDescent="0.25">
      <c r="E237" t="str">
        <f>IFERROR(VLOOKUP(D237,'Team Data'!C:AB,4,FALSE),"")</f>
        <v/>
      </c>
      <c r="F237" t="str">
        <f>IFERROR(VLOOKUP(D237,'Team Data'!C:AB,5,FALSE),"")</f>
        <v/>
      </c>
      <c r="G237" t="str">
        <f>IFERROR(VLOOKUP('OB Format'!D237,'Team Data'!C:AB,17,FALSE),"")</f>
        <v/>
      </c>
      <c r="H237" t="str">
        <f>IFERROR(VLOOKUP(D237,'Team Data'!C:AB,7,FALSE),"")</f>
        <v/>
      </c>
      <c r="I237" t="str">
        <f>IFERROR(VLOOKUP(D237,'Team Data'!C:AB,14,FALSE),"")</f>
        <v/>
      </c>
      <c r="J237" t="str">
        <f>IFERROR(VLOOKUP(D237,'Team Data'!C:AB,8,FALSE),"")</f>
        <v/>
      </c>
      <c r="K237" t="str">
        <f>IFERROR(VLOOKUP(D237,'Team Data'!C:AB,9,FALSE),"")</f>
        <v/>
      </c>
      <c r="L237" t="str">
        <f>IFERROR(VLOOKUP(D237,'Team Data'!C:AB,10,FALSE),"")</f>
        <v/>
      </c>
      <c r="M237" t="str">
        <f t="shared" si="8"/>
        <v/>
      </c>
      <c r="N237" t="str">
        <f>IFERROR(VLOOKUP(D237,'Team Data'!C:AB,23,FALSE),"")</f>
        <v/>
      </c>
      <c r="O237" t="str">
        <f>IFERROR(VLOOKUP(D237,'Team Data'!C:AB,22,FALSE),"")</f>
        <v/>
      </c>
      <c r="P237" t="str">
        <f t="shared" si="9"/>
        <v/>
      </c>
      <c r="Q237" t="str">
        <f>IFERROR(VLOOKUP(D237,'Team Data'!C:AB,15,FALSE),"")</f>
        <v/>
      </c>
      <c r="R237" t="str">
        <f>IFERROR(VLOOKUP('OB Format'!D237,'Team Data'!C:AB,24,FALSE),"")</f>
        <v/>
      </c>
      <c r="S237" t="str">
        <f>IFERROR(VLOOKUP('OB Format'!D237,'Team Data'!C:AC,25,FALSE),"")</f>
        <v/>
      </c>
    </row>
    <row r="238" spans="5:19" x14ac:dyDescent="0.25">
      <c r="E238" t="str">
        <f>IFERROR(VLOOKUP(D238,'Team Data'!C:AB,4,FALSE),"")</f>
        <v/>
      </c>
      <c r="F238" t="str">
        <f>IFERROR(VLOOKUP(D238,'Team Data'!C:AB,5,FALSE),"")</f>
        <v/>
      </c>
      <c r="G238" t="str">
        <f>IFERROR(VLOOKUP('OB Format'!D238,'Team Data'!C:AB,17,FALSE),"")</f>
        <v/>
      </c>
      <c r="H238" t="str">
        <f>IFERROR(VLOOKUP(D238,'Team Data'!C:AB,7,FALSE),"")</f>
        <v/>
      </c>
      <c r="I238" t="str">
        <f>IFERROR(VLOOKUP(D238,'Team Data'!C:AB,14,FALSE),"")</f>
        <v/>
      </c>
      <c r="J238" t="str">
        <f>IFERROR(VLOOKUP(D238,'Team Data'!C:AB,8,FALSE),"")</f>
        <v/>
      </c>
      <c r="K238" t="str">
        <f>IFERROR(VLOOKUP(D238,'Team Data'!C:AB,9,FALSE),"")</f>
        <v/>
      </c>
      <c r="L238" t="str">
        <f>IFERROR(VLOOKUP(D238,'Team Data'!C:AB,10,FALSE),"")</f>
        <v/>
      </c>
      <c r="M238" t="str">
        <f t="shared" si="8"/>
        <v/>
      </c>
      <c r="N238" t="str">
        <f>IFERROR(VLOOKUP(D238,'Team Data'!C:AB,23,FALSE),"")</f>
        <v/>
      </c>
      <c r="O238" t="str">
        <f>IFERROR(VLOOKUP(D238,'Team Data'!C:AB,22,FALSE),"")</f>
        <v/>
      </c>
      <c r="P238" t="str">
        <f t="shared" si="9"/>
        <v/>
      </c>
      <c r="Q238" t="str">
        <f>IFERROR(VLOOKUP(D238,'Team Data'!C:AB,15,FALSE),"")</f>
        <v/>
      </c>
      <c r="R238" t="str">
        <f>IFERROR(VLOOKUP('OB Format'!D238,'Team Data'!C:AB,24,FALSE),"")</f>
        <v/>
      </c>
      <c r="S238" t="str">
        <f>IFERROR(VLOOKUP('OB Format'!D238,'Team Data'!C:AC,25,FALSE),"")</f>
        <v/>
      </c>
    </row>
    <row r="239" spans="5:19" x14ac:dyDescent="0.25">
      <c r="E239" t="str">
        <f>IFERROR(VLOOKUP(D239,'Team Data'!C:AB,4,FALSE),"")</f>
        <v/>
      </c>
      <c r="F239" t="str">
        <f>IFERROR(VLOOKUP(D239,'Team Data'!C:AB,5,FALSE),"")</f>
        <v/>
      </c>
      <c r="G239" t="str">
        <f>IFERROR(VLOOKUP('OB Format'!D239,'Team Data'!C:AB,17,FALSE),"")</f>
        <v/>
      </c>
      <c r="H239" t="str">
        <f>IFERROR(VLOOKUP(D239,'Team Data'!C:AB,7,FALSE),"")</f>
        <v/>
      </c>
      <c r="I239" t="str">
        <f>IFERROR(VLOOKUP(D239,'Team Data'!C:AB,14,FALSE),"")</f>
        <v/>
      </c>
      <c r="J239" t="str">
        <f>IFERROR(VLOOKUP(D239,'Team Data'!C:AB,8,FALSE),"")</f>
        <v/>
      </c>
      <c r="K239" t="str">
        <f>IFERROR(VLOOKUP(D239,'Team Data'!C:AB,9,FALSE),"")</f>
        <v/>
      </c>
      <c r="L239" t="str">
        <f>IFERROR(VLOOKUP(D239,'Team Data'!C:AB,10,FALSE),"")</f>
        <v/>
      </c>
      <c r="M239" t="str">
        <f t="shared" si="8"/>
        <v/>
      </c>
      <c r="N239" t="str">
        <f>IFERROR(VLOOKUP(D239,'Team Data'!C:AB,23,FALSE),"")</f>
        <v/>
      </c>
      <c r="O239" t="str">
        <f>IFERROR(VLOOKUP(D239,'Team Data'!C:AB,22,FALSE),"")</f>
        <v/>
      </c>
      <c r="P239" t="str">
        <f t="shared" si="9"/>
        <v/>
      </c>
      <c r="Q239" t="str">
        <f>IFERROR(VLOOKUP(D239,'Team Data'!C:AB,15,FALSE),"")</f>
        <v/>
      </c>
      <c r="R239" t="str">
        <f>IFERROR(VLOOKUP('OB Format'!D239,'Team Data'!C:AB,24,FALSE),"")</f>
        <v/>
      </c>
      <c r="S239" t="str">
        <f>IFERROR(VLOOKUP('OB Format'!D239,'Team Data'!C:AC,25,FALSE),"")</f>
        <v/>
      </c>
    </row>
    <row r="240" spans="5:19" x14ac:dyDescent="0.25">
      <c r="E240" t="str">
        <f>IFERROR(VLOOKUP(D240,'Team Data'!C:AB,4,FALSE),"")</f>
        <v/>
      </c>
      <c r="F240" t="str">
        <f>IFERROR(VLOOKUP(D240,'Team Data'!C:AB,5,FALSE),"")</f>
        <v/>
      </c>
      <c r="G240" t="str">
        <f>IFERROR(VLOOKUP('OB Format'!D240,'Team Data'!C:AB,17,FALSE),"")</f>
        <v/>
      </c>
      <c r="H240" t="str">
        <f>IFERROR(VLOOKUP(D240,'Team Data'!C:AB,7,FALSE),"")</f>
        <v/>
      </c>
      <c r="I240" t="str">
        <f>IFERROR(VLOOKUP(D240,'Team Data'!C:AB,14,FALSE),"")</f>
        <v/>
      </c>
      <c r="J240" t="str">
        <f>IFERROR(VLOOKUP(D240,'Team Data'!C:AB,8,FALSE),"")</f>
        <v/>
      </c>
      <c r="K240" t="str">
        <f>IFERROR(VLOOKUP(D240,'Team Data'!C:AB,9,FALSE),"")</f>
        <v/>
      </c>
      <c r="L240" t="str">
        <f>IFERROR(VLOOKUP(D240,'Team Data'!C:AB,10,FALSE),"")</f>
        <v/>
      </c>
      <c r="M240" t="str">
        <f t="shared" si="8"/>
        <v/>
      </c>
      <c r="N240" t="str">
        <f>IFERROR(VLOOKUP(D240,'Team Data'!C:AB,23,FALSE),"")</f>
        <v/>
      </c>
      <c r="O240" t="str">
        <f>IFERROR(VLOOKUP(D240,'Team Data'!C:AB,22,FALSE),"")</f>
        <v/>
      </c>
      <c r="P240" t="str">
        <f t="shared" si="9"/>
        <v/>
      </c>
      <c r="Q240" t="str">
        <f>IFERROR(VLOOKUP(D240,'Team Data'!C:AB,15,FALSE),"")</f>
        <v/>
      </c>
      <c r="R240" t="str">
        <f>IFERROR(VLOOKUP('OB Format'!D240,'Team Data'!C:AB,24,FALSE),"")</f>
        <v/>
      </c>
      <c r="S240" t="str">
        <f>IFERROR(VLOOKUP('OB Format'!D240,'Team Data'!C:AC,25,FALSE),"")</f>
        <v/>
      </c>
    </row>
    <row r="241" spans="5:19" x14ac:dyDescent="0.25">
      <c r="E241" t="str">
        <f>IFERROR(VLOOKUP(D241,'Team Data'!C:AB,4,FALSE),"")</f>
        <v/>
      </c>
      <c r="F241" t="str">
        <f>IFERROR(VLOOKUP(D241,'Team Data'!C:AB,5,FALSE),"")</f>
        <v/>
      </c>
      <c r="G241" t="str">
        <f>IFERROR(VLOOKUP('OB Format'!D241,'Team Data'!C:AB,17,FALSE),"")</f>
        <v/>
      </c>
      <c r="H241" t="str">
        <f>IFERROR(VLOOKUP(D241,'Team Data'!C:AB,7,FALSE),"")</f>
        <v/>
      </c>
      <c r="I241" t="str">
        <f>IFERROR(VLOOKUP(D241,'Team Data'!C:AB,14,FALSE),"")</f>
        <v/>
      </c>
      <c r="J241" t="str">
        <f>IFERROR(VLOOKUP(D241,'Team Data'!C:AB,8,FALSE),"")</f>
        <v/>
      </c>
      <c r="K241" t="str">
        <f>IFERROR(VLOOKUP(D241,'Team Data'!C:AB,9,FALSE),"")</f>
        <v/>
      </c>
      <c r="L241" t="str">
        <f>IFERROR(VLOOKUP(D241,'Team Data'!C:AB,10,FALSE),"")</f>
        <v/>
      </c>
      <c r="M241" t="str">
        <f t="shared" si="8"/>
        <v/>
      </c>
      <c r="N241" t="str">
        <f>IFERROR(VLOOKUP(D241,'Team Data'!C:AB,23,FALSE),"")</f>
        <v/>
      </c>
      <c r="O241" t="str">
        <f>IFERROR(VLOOKUP(D241,'Team Data'!C:AB,22,FALSE),"")</f>
        <v/>
      </c>
      <c r="P241" t="str">
        <f t="shared" si="9"/>
        <v/>
      </c>
      <c r="Q241" t="str">
        <f>IFERROR(VLOOKUP(D241,'Team Data'!C:AB,15,FALSE),"")</f>
        <v/>
      </c>
      <c r="R241" t="str">
        <f>IFERROR(VLOOKUP('OB Format'!D241,'Team Data'!C:AB,24,FALSE),"")</f>
        <v/>
      </c>
      <c r="S241" t="str">
        <f>IFERROR(VLOOKUP('OB Format'!D241,'Team Data'!C:AC,25,FALSE),"")</f>
        <v/>
      </c>
    </row>
    <row r="242" spans="5:19" x14ac:dyDescent="0.25">
      <c r="E242" t="str">
        <f>IFERROR(VLOOKUP(D242,'Team Data'!C:AB,4,FALSE),"")</f>
        <v/>
      </c>
      <c r="F242" t="str">
        <f>IFERROR(VLOOKUP(D242,'Team Data'!C:AB,5,FALSE),"")</f>
        <v/>
      </c>
      <c r="G242" t="str">
        <f>IFERROR(VLOOKUP('OB Format'!D242,'Team Data'!C:AB,17,FALSE),"")</f>
        <v/>
      </c>
      <c r="H242" t="str">
        <f>IFERROR(VLOOKUP(D242,'Team Data'!C:AB,7,FALSE),"")</f>
        <v/>
      </c>
      <c r="I242" t="str">
        <f>IFERROR(VLOOKUP(D242,'Team Data'!C:AB,14,FALSE),"")</f>
        <v/>
      </c>
      <c r="J242" t="str">
        <f>IFERROR(VLOOKUP(D242,'Team Data'!C:AB,8,FALSE),"")</f>
        <v/>
      </c>
      <c r="K242" t="str">
        <f>IFERROR(VLOOKUP(D242,'Team Data'!C:AB,9,FALSE),"")</f>
        <v/>
      </c>
      <c r="L242" t="str">
        <f>IFERROR(VLOOKUP(D242,'Team Data'!C:AB,10,FALSE),"")</f>
        <v/>
      </c>
      <c r="M242" t="str">
        <f t="shared" si="8"/>
        <v/>
      </c>
      <c r="N242" t="str">
        <f>IFERROR(VLOOKUP(D242,'Team Data'!C:AB,23,FALSE),"")</f>
        <v/>
      </c>
      <c r="O242" t="str">
        <f>IFERROR(VLOOKUP(D242,'Team Data'!C:AB,22,FALSE),"")</f>
        <v/>
      </c>
      <c r="P242" t="str">
        <f t="shared" si="9"/>
        <v/>
      </c>
      <c r="Q242" t="str">
        <f>IFERROR(VLOOKUP(D242,'Team Data'!C:AB,15,FALSE),"")</f>
        <v/>
      </c>
      <c r="R242" t="str">
        <f>IFERROR(VLOOKUP('OB Format'!D242,'Team Data'!C:AB,24,FALSE),"")</f>
        <v/>
      </c>
      <c r="S242" t="str">
        <f>IFERROR(VLOOKUP('OB Format'!D242,'Team Data'!C:AC,25,FALSE),"")</f>
        <v/>
      </c>
    </row>
    <row r="243" spans="5:19" x14ac:dyDescent="0.25">
      <c r="E243" t="str">
        <f>IFERROR(VLOOKUP(D243,'Team Data'!C:AB,4,FALSE),"")</f>
        <v/>
      </c>
      <c r="F243" t="str">
        <f>IFERROR(VLOOKUP(D243,'Team Data'!C:AB,5,FALSE),"")</f>
        <v/>
      </c>
      <c r="G243" t="str">
        <f>IFERROR(VLOOKUP('OB Format'!D243,'Team Data'!C:AB,17,FALSE),"")</f>
        <v/>
      </c>
      <c r="H243" t="str">
        <f>IFERROR(VLOOKUP(D243,'Team Data'!C:AB,7,FALSE),"")</f>
        <v/>
      </c>
      <c r="I243" t="str">
        <f>IFERROR(VLOOKUP(D243,'Team Data'!C:AB,14,FALSE),"")</f>
        <v/>
      </c>
      <c r="J243" t="str">
        <f>IFERROR(VLOOKUP(D243,'Team Data'!C:AB,8,FALSE),"")</f>
        <v/>
      </c>
      <c r="K243" t="str">
        <f>IFERROR(VLOOKUP(D243,'Team Data'!C:AB,9,FALSE),"")</f>
        <v/>
      </c>
      <c r="L243" t="str">
        <f>IFERROR(VLOOKUP(D243,'Team Data'!C:AB,10,FALSE),"")</f>
        <v/>
      </c>
      <c r="M243" t="str">
        <f t="shared" si="8"/>
        <v/>
      </c>
      <c r="N243" t="str">
        <f>IFERROR(VLOOKUP(D243,'Team Data'!C:AB,23,FALSE),"")</f>
        <v/>
      </c>
      <c r="O243" t="str">
        <f>IFERROR(VLOOKUP(D243,'Team Data'!C:AB,22,FALSE),"")</f>
        <v/>
      </c>
      <c r="P243" t="str">
        <f t="shared" si="9"/>
        <v/>
      </c>
      <c r="Q243" t="str">
        <f>IFERROR(VLOOKUP(D243,'Team Data'!C:AB,15,FALSE),"")</f>
        <v/>
      </c>
      <c r="R243" t="str">
        <f>IFERROR(VLOOKUP('OB Format'!D243,'Team Data'!C:AB,24,FALSE),"")</f>
        <v/>
      </c>
      <c r="S243" t="str">
        <f>IFERROR(VLOOKUP('OB Format'!D243,'Team Data'!C:AC,25,FALSE),"")</f>
        <v/>
      </c>
    </row>
    <row r="244" spans="5:19" x14ac:dyDescent="0.25">
      <c r="E244" t="str">
        <f>IFERROR(VLOOKUP(D244,'Team Data'!C:AB,4,FALSE),"")</f>
        <v/>
      </c>
      <c r="F244" t="str">
        <f>IFERROR(VLOOKUP(D244,'Team Data'!C:AB,5,FALSE),"")</f>
        <v/>
      </c>
      <c r="G244" t="str">
        <f>IFERROR(VLOOKUP('OB Format'!D244,'Team Data'!C:AB,17,FALSE),"")</f>
        <v/>
      </c>
      <c r="H244" t="str">
        <f>IFERROR(VLOOKUP(D244,'Team Data'!C:AB,7,FALSE),"")</f>
        <v/>
      </c>
      <c r="I244" t="str">
        <f>IFERROR(VLOOKUP(D244,'Team Data'!C:AB,14,FALSE),"")</f>
        <v/>
      </c>
      <c r="J244" t="str">
        <f>IFERROR(VLOOKUP(D244,'Team Data'!C:AB,8,FALSE),"")</f>
        <v/>
      </c>
      <c r="K244" t="str">
        <f>IFERROR(VLOOKUP(D244,'Team Data'!C:AB,9,FALSE),"")</f>
        <v/>
      </c>
      <c r="L244" t="str">
        <f>IFERROR(VLOOKUP(D244,'Team Data'!C:AB,10,FALSE),"")</f>
        <v/>
      </c>
      <c r="M244" t="str">
        <f t="shared" si="8"/>
        <v/>
      </c>
      <c r="N244" t="str">
        <f>IFERROR(VLOOKUP(D244,'Team Data'!C:AB,23,FALSE),"")</f>
        <v/>
      </c>
      <c r="O244" t="str">
        <f>IFERROR(VLOOKUP(D244,'Team Data'!C:AB,22,FALSE),"")</f>
        <v/>
      </c>
      <c r="P244" t="str">
        <f t="shared" si="9"/>
        <v/>
      </c>
      <c r="Q244" t="str">
        <f>IFERROR(VLOOKUP(D244,'Team Data'!C:AB,15,FALSE),"")</f>
        <v/>
      </c>
      <c r="R244" t="str">
        <f>IFERROR(VLOOKUP('OB Format'!D244,'Team Data'!C:AB,24,FALSE),"")</f>
        <v/>
      </c>
      <c r="S244" t="str">
        <f>IFERROR(VLOOKUP('OB Format'!D244,'Team Data'!C:AC,25,FALSE),"")</f>
        <v/>
      </c>
    </row>
    <row r="245" spans="5:19" x14ac:dyDescent="0.25">
      <c r="E245" t="str">
        <f>IFERROR(VLOOKUP(D245,'Team Data'!C:AB,4,FALSE),"")</f>
        <v/>
      </c>
      <c r="F245" t="str">
        <f>IFERROR(VLOOKUP(D245,'Team Data'!C:AB,5,FALSE),"")</f>
        <v/>
      </c>
      <c r="G245" t="str">
        <f>IFERROR(VLOOKUP('OB Format'!D245,'Team Data'!C:AB,17,FALSE),"")</f>
        <v/>
      </c>
      <c r="H245" t="str">
        <f>IFERROR(VLOOKUP(D245,'Team Data'!C:AB,7,FALSE),"")</f>
        <v/>
      </c>
      <c r="I245" t="str">
        <f>IFERROR(VLOOKUP(D245,'Team Data'!C:AB,14,FALSE),"")</f>
        <v/>
      </c>
      <c r="J245" t="str">
        <f>IFERROR(VLOOKUP(D245,'Team Data'!C:AB,8,FALSE),"")</f>
        <v/>
      </c>
      <c r="K245" t="str">
        <f>IFERROR(VLOOKUP(D245,'Team Data'!C:AB,9,FALSE),"")</f>
        <v/>
      </c>
      <c r="L245" t="str">
        <f>IFERROR(VLOOKUP(D245,'Team Data'!C:AB,10,FALSE),"")</f>
        <v/>
      </c>
      <c r="M245" t="str">
        <f t="shared" si="8"/>
        <v/>
      </c>
      <c r="N245" t="str">
        <f>IFERROR(VLOOKUP(D245,'Team Data'!C:AB,23,FALSE),"")</f>
        <v/>
      </c>
      <c r="O245" t="str">
        <f>IFERROR(VLOOKUP(D245,'Team Data'!C:AB,22,FALSE),"")</f>
        <v/>
      </c>
      <c r="P245" t="str">
        <f t="shared" si="9"/>
        <v/>
      </c>
      <c r="Q245" t="str">
        <f>IFERROR(VLOOKUP(D245,'Team Data'!C:AB,15,FALSE),"")</f>
        <v/>
      </c>
      <c r="R245" t="str">
        <f>IFERROR(VLOOKUP('OB Format'!D245,'Team Data'!C:AB,24,FALSE),"")</f>
        <v/>
      </c>
      <c r="S245" t="str">
        <f>IFERROR(VLOOKUP('OB Format'!D245,'Team Data'!C:AC,25,FALSE),"")</f>
        <v/>
      </c>
    </row>
    <row r="246" spans="5:19" x14ac:dyDescent="0.25">
      <c r="E246" t="str">
        <f>IFERROR(VLOOKUP(D246,'Team Data'!C:AB,4,FALSE),"")</f>
        <v/>
      </c>
      <c r="F246" t="str">
        <f>IFERROR(VLOOKUP(D246,'Team Data'!C:AB,5,FALSE),"")</f>
        <v/>
      </c>
      <c r="G246" t="str">
        <f>IFERROR(VLOOKUP('OB Format'!D246,'Team Data'!C:AB,17,FALSE),"")</f>
        <v/>
      </c>
      <c r="H246" t="str">
        <f>IFERROR(VLOOKUP(D246,'Team Data'!C:AB,7,FALSE),"")</f>
        <v/>
      </c>
      <c r="I246" t="str">
        <f>IFERROR(VLOOKUP(D246,'Team Data'!C:AB,14,FALSE),"")</f>
        <v/>
      </c>
      <c r="J246" t="str">
        <f>IFERROR(VLOOKUP(D246,'Team Data'!C:AB,8,FALSE),"")</f>
        <v/>
      </c>
      <c r="K246" t="str">
        <f>IFERROR(VLOOKUP(D246,'Team Data'!C:AB,9,FALSE),"")</f>
        <v/>
      </c>
      <c r="L246" t="str">
        <f>IFERROR(VLOOKUP(D246,'Team Data'!C:AB,10,FALSE),"")</f>
        <v/>
      </c>
      <c r="M246" t="str">
        <f t="shared" si="8"/>
        <v/>
      </c>
      <c r="N246" t="str">
        <f>IFERROR(VLOOKUP(D246,'Team Data'!C:AB,23,FALSE),"")</f>
        <v/>
      </c>
      <c r="O246" t="str">
        <f>IFERROR(VLOOKUP(D246,'Team Data'!C:AB,22,FALSE),"")</f>
        <v/>
      </c>
      <c r="P246" t="str">
        <f t="shared" si="9"/>
        <v/>
      </c>
      <c r="Q246" t="str">
        <f>IFERROR(VLOOKUP(D246,'Team Data'!C:AB,15,FALSE),"")</f>
        <v/>
      </c>
      <c r="R246" t="str">
        <f>IFERROR(VLOOKUP('OB Format'!D246,'Team Data'!C:AB,24,FALSE),"")</f>
        <v/>
      </c>
      <c r="S246" t="str">
        <f>IFERROR(VLOOKUP('OB Format'!D246,'Team Data'!C:AC,25,FALSE),"")</f>
        <v/>
      </c>
    </row>
    <row r="247" spans="5:19" x14ac:dyDescent="0.25">
      <c r="E247" t="str">
        <f>IFERROR(VLOOKUP(D247,'Team Data'!C:AB,4,FALSE),"")</f>
        <v/>
      </c>
      <c r="F247" t="str">
        <f>IFERROR(VLOOKUP(D247,'Team Data'!C:AB,5,FALSE),"")</f>
        <v/>
      </c>
      <c r="G247" t="str">
        <f>IFERROR(VLOOKUP('OB Format'!D247,'Team Data'!C:AB,17,FALSE),"")</f>
        <v/>
      </c>
      <c r="H247" t="str">
        <f>IFERROR(VLOOKUP(D247,'Team Data'!C:AB,7,FALSE),"")</f>
        <v/>
      </c>
      <c r="I247" t="str">
        <f>IFERROR(VLOOKUP(D247,'Team Data'!C:AB,14,FALSE),"")</f>
        <v/>
      </c>
      <c r="J247" t="str">
        <f>IFERROR(VLOOKUP(D247,'Team Data'!C:AB,8,FALSE),"")</f>
        <v/>
      </c>
      <c r="K247" t="str">
        <f>IFERROR(VLOOKUP(D247,'Team Data'!C:AB,9,FALSE),"")</f>
        <v/>
      </c>
      <c r="L247" t="str">
        <f>IFERROR(VLOOKUP(D247,'Team Data'!C:AB,10,FALSE),"")</f>
        <v/>
      </c>
      <c r="M247" t="str">
        <f t="shared" si="8"/>
        <v/>
      </c>
      <c r="N247" t="str">
        <f>IFERROR(VLOOKUP(D247,'Team Data'!C:AB,23,FALSE),"")</f>
        <v/>
      </c>
      <c r="O247" t="str">
        <f>IFERROR(VLOOKUP(D247,'Team Data'!C:AB,22,FALSE),"")</f>
        <v/>
      </c>
      <c r="P247" t="str">
        <f t="shared" si="9"/>
        <v/>
      </c>
      <c r="Q247" t="str">
        <f>IFERROR(VLOOKUP(D247,'Team Data'!C:AB,15,FALSE),"")</f>
        <v/>
      </c>
      <c r="R247" t="str">
        <f>IFERROR(VLOOKUP('OB Format'!D247,'Team Data'!C:AB,24,FALSE),"")</f>
        <v/>
      </c>
      <c r="S247" t="str">
        <f>IFERROR(VLOOKUP('OB Format'!D247,'Team Data'!C:AC,25,FALSE),"")</f>
        <v/>
      </c>
    </row>
    <row r="248" spans="5:19" x14ac:dyDescent="0.25">
      <c r="E248" t="str">
        <f>IFERROR(VLOOKUP(D248,'Team Data'!C:AB,4,FALSE),"")</f>
        <v/>
      </c>
      <c r="F248" t="str">
        <f>IFERROR(VLOOKUP(D248,'Team Data'!C:AB,5,FALSE),"")</f>
        <v/>
      </c>
      <c r="G248" t="str">
        <f>IFERROR(VLOOKUP('OB Format'!D248,'Team Data'!C:AB,17,FALSE),"")</f>
        <v/>
      </c>
      <c r="H248" t="str">
        <f>IFERROR(VLOOKUP(D248,'Team Data'!C:AB,7,FALSE),"")</f>
        <v/>
      </c>
      <c r="I248" t="str">
        <f>IFERROR(VLOOKUP(D248,'Team Data'!C:AB,14,FALSE),"")</f>
        <v/>
      </c>
      <c r="J248" t="str">
        <f>IFERROR(VLOOKUP(D248,'Team Data'!C:AB,8,FALSE),"")</f>
        <v/>
      </c>
      <c r="K248" t="str">
        <f>IFERROR(VLOOKUP(D248,'Team Data'!C:AB,9,FALSE),"")</f>
        <v/>
      </c>
      <c r="L248" t="str">
        <f>IFERROR(VLOOKUP(D248,'Team Data'!C:AB,10,FALSE),"")</f>
        <v/>
      </c>
      <c r="M248" t="str">
        <f t="shared" si="8"/>
        <v/>
      </c>
      <c r="N248" t="str">
        <f>IFERROR(VLOOKUP(D248,'Team Data'!C:AB,23,FALSE),"")</f>
        <v/>
      </c>
      <c r="O248" t="str">
        <f>IFERROR(VLOOKUP(D248,'Team Data'!C:AB,22,FALSE),"")</f>
        <v/>
      </c>
      <c r="P248" t="str">
        <f t="shared" si="9"/>
        <v/>
      </c>
      <c r="Q248" t="str">
        <f>IFERROR(VLOOKUP(D248,'Team Data'!C:AB,15,FALSE),"")</f>
        <v/>
      </c>
      <c r="R248" t="str">
        <f>IFERROR(VLOOKUP('OB Format'!D248,'Team Data'!C:AB,24,FALSE),"")</f>
        <v/>
      </c>
      <c r="S248" t="str">
        <f>IFERROR(VLOOKUP('OB Format'!D248,'Team Data'!C:AC,25,FALSE),"")</f>
        <v/>
      </c>
    </row>
    <row r="249" spans="5:19" x14ac:dyDescent="0.25">
      <c r="E249" t="str">
        <f>IFERROR(VLOOKUP(D249,'Team Data'!C:AB,4,FALSE),"")</f>
        <v/>
      </c>
      <c r="F249" t="str">
        <f>IFERROR(VLOOKUP(D249,'Team Data'!C:AB,5,FALSE),"")</f>
        <v/>
      </c>
      <c r="G249" t="str">
        <f>IFERROR(VLOOKUP('OB Format'!D249,'Team Data'!C:AB,17,FALSE),"")</f>
        <v/>
      </c>
      <c r="H249" t="str">
        <f>IFERROR(VLOOKUP(D249,'Team Data'!C:AB,7,FALSE),"")</f>
        <v/>
      </c>
      <c r="I249" t="str">
        <f>IFERROR(VLOOKUP(D249,'Team Data'!C:AB,14,FALSE),"")</f>
        <v/>
      </c>
      <c r="J249" t="str">
        <f>IFERROR(VLOOKUP(D249,'Team Data'!C:AB,8,FALSE),"")</f>
        <v/>
      </c>
      <c r="K249" t="str">
        <f>IFERROR(VLOOKUP(D249,'Team Data'!C:AB,9,FALSE),"")</f>
        <v/>
      </c>
      <c r="L249" t="str">
        <f>IFERROR(VLOOKUP(D249,'Team Data'!C:AB,10,FALSE),"")</f>
        <v/>
      </c>
      <c r="M249" t="str">
        <f t="shared" si="8"/>
        <v/>
      </c>
      <c r="N249" t="str">
        <f>IFERROR(VLOOKUP(D249,'Team Data'!C:AB,23,FALSE),"")</f>
        <v/>
      </c>
      <c r="O249" t="str">
        <f>IFERROR(VLOOKUP(D249,'Team Data'!C:AB,22,FALSE),"")</f>
        <v/>
      </c>
      <c r="P249" t="str">
        <f t="shared" si="9"/>
        <v/>
      </c>
      <c r="Q249" t="str">
        <f>IFERROR(VLOOKUP(D249,'Team Data'!C:AB,15,FALSE),"")</f>
        <v/>
      </c>
      <c r="R249" t="str">
        <f>IFERROR(VLOOKUP('OB Format'!D249,'Team Data'!C:AB,24,FALSE),"")</f>
        <v/>
      </c>
      <c r="S249" t="str">
        <f>IFERROR(VLOOKUP('OB Format'!D249,'Team Data'!C:AC,25,FALSE),"")</f>
        <v/>
      </c>
    </row>
    <row r="250" spans="5:19" x14ac:dyDescent="0.25">
      <c r="E250" t="str">
        <f>IFERROR(VLOOKUP(D250,'Team Data'!C:AB,4,FALSE),"")</f>
        <v/>
      </c>
      <c r="F250" t="str">
        <f>IFERROR(VLOOKUP(D250,'Team Data'!C:AB,5,FALSE),"")</f>
        <v/>
      </c>
      <c r="G250" t="str">
        <f>IFERROR(VLOOKUP('OB Format'!D250,'Team Data'!C:AB,17,FALSE),"")</f>
        <v/>
      </c>
      <c r="H250" t="str">
        <f>IFERROR(VLOOKUP(D250,'Team Data'!C:AB,7,FALSE),"")</f>
        <v/>
      </c>
      <c r="I250" t="str">
        <f>IFERROR(VLOOKUP(D250,'Team Data'!C:AB,14,FALSE),"")</f>
        <v/>
      </c>
      <c r="J250" t="str">
        <f>IFERROR(VLOOKUP(D250,'Team Data'!C:AB,8,FALSE),"")</f>
        <v/>
      </c>
      <c r="K250" t="str">
        <f>IFERROR(VLOOKUP(D250,'Team Data'!C:AB,9,FALSE),"")</f>
        <v/>
      </c>
      <c r="L250" t="str">
        <f>IFERROR(VLOOKUP(D250,'Team Data'!C:AB,10,FALSE),"")</f>
        <v/>
      </c>
      <c r="M250" t="str">
        <f t="shared" si="8"/>
        <v/>
      </c>
      <c r="N250" t="str">
        <f>IFERROR(VLOOKUP(D250,'Team Data'!C:AB,23,FALSE),"")</f>
        <v/>
      </c>
      <c r="O250" t="str">
        <f>IFERROR(VLOOKUP(D250,'Team Data'!C:AB,22,FALSE),"")</f>
        <v/>
      </c>
      <c r="P250" t="str">
        <f t="shared" si="9"/>
        <v/>
      </c>
      <c r="Q250" t="str">
        <f>IFERROR(VLOOKUP(D250,'Team Data'!C:AB,15,FALSE),"")</f>
        <v/>
      </c>
      <c r="R250" t="str">
        <f>IFERROR(VLOOKUP('OB Format'!D250,'Team Data'!C:AB,24,FALSE),"")</f>
        <v/>
      </c>
      <c r="S250" t="str">
        <f>IFERROR(VLOOKUP('OB Format'!D250,'Team Data'!C:AC,25,FALSE),"")</f>
        <v/>
      </c>
    </row>
    <row r="251" spans="5:19" x14ac:dyDescent="0.25">
      <c r="E251" t="str">
        <f>IFERROR(VLOOKUP(D251,'Team Data'!C:AB,4,FALSE),"")</f>
        <v/>
      </c>
      <c r="F251" t="str">
        <f>IFERROR(VLOOKUP(D251,'Team Data'!C:AB,5,FALSE),"")</f>
        <v/>
      </c>
      <c r="G251" t="str">
        <f>IFERROR(VLOOKUP('OB Format'!D251,'Team Data'!C:AB,17,FALSE),"")</f>
        <v/>
      </c>
      <c r="H251" t="str">
        <f>IFERROR(VLOOKUP(D251,'Team Data'!C:AB,7,FALSE),"")</f>
        <v/>
      </c>
      <c r="I251" t="str">
        <f>IFERROR(VLOOKUP(D251,'Team Data'!C:AB,14,FALSE),"")</f>
        <v/>
      </c>
      <c r="J251" t="str">
        <f>IFERROR(VLOOKUP(D251,'Team Data'!C:AB,8,FALSE),"")</f>
        <v/>
      </c>
      <c r="K251" t="str">
        <f>IFERROR(VLOOKUP(D251,'Team Data'!C:AB,9,FALSE),"")</f>
        <v/>
      </c>
      <c r="L251" t="str">
        <f>IFERROR(VLOOKUP(D251,'Team Data'!C:AB,10,FALSE),"")</f>
        <v/>
      </c>
      <c r="M251" t="str">
        <f t="shared" si="8"/>
        <v/>
      </c>
      <c r="N251" t="str">
        <f>IFERROR(VLOOKUP(D251,'Team Data'!C:AB,23,FALSE),"")</f>
        <v/>
      </c>
      <c r="O251" t="str">
        <f>IFERROR(VLOOKUP(D251,'Team Data'!C:AB,22,FALSE),"")</f>
        <v/>
      </c>
      <c r="P251" t="str">
        <f t="shared" si="9"/>
        <v/>
      </c>
      <c r="Q251" t="str">
        <f>IFERROR(VLOOKUP(D251,'Team Data'!C:AB,15,FALSE),"")</f>
        <v/>
      </c>
      <c r="R251" t="str">
        <f>IFERROR(VLOOKUP('OB Format'!D251,'Team Data'!C:AB,24,FALSE),"")</f>
        <v/>
      </c>
      <c r="S251" t="str">
        <f>IFERROR(VLOOKUP('OB Format'!D251,'Team Data'!C:AC,25,FALSE),"")</f>
        <v/>
      </c>
    </row>
    <row r="252" spans="5:19" x14ac:dyDescent="0.25">
      <c r="E252" t="str">
        <f>IFERROR(VLOOKUP(D252,'Team Data'!C:AB,4,FALSE),"")</f>
        <v/>
      </c>
      <c r="F252" t="str">
        <f>IFERROR(VLOOKUP(D252,'Team Data'!C:AB,5,FALSE),"")</f>
        <v/>
      </c>
      <c r="G252" t="str">
        <f>IFERROR(VLOOKUP('OB Format'!D252,'Team Data'!C:AB,17,FALSE),"")</f>
        <v/>
      </c>
      <c r="H252" t="str">
        <f>IFERROR(VLOOKUP(D252,'Team Data'!C:AB,7,FALSE),"")</f>
        <v/>
      </c>
      <c r="I252" t="str">
        <f>IFERROR(VLOOKUP(D252,'Team Data'!C:AB,14,FALSE),"")</f>
        <v/>
      </c>
      <c r="J252" t="str">
        <f>IFERROR(VLOOKUP(D252,'Team Data'!C:AB,8,FALSE),"")</f>
        <v/>
      </c>
      <c r="K252" t="str">
        <f>IFERROR(VLOOKUP(D252,'Team Data'!C:AB,9,FALSE),"")</f>
        <v/>
      </c>
      <c r="L252" t="str">
        <f>IFERROR(VLOOKUP(D252,'Team Data'!C:AB,10,FALSE),"")</f>
        <v/>
      </c>
      <c r="M252" t="str">
        <f t="shared" si="8"/>
        <v/>
      </c>
      <c r="N252" t="str">
        <f>IFERROR(VLOOKUP(D252,'Team Data'!C:AB,23,FALSE),"")</f>
        <v/>
      </c>
      <c r="O252" t="str">
        <f>IFERROR(VLOOKUP(D252,'Team Data'!C:AB,22,FALSE),"")</f>
        <v/>
      </c>
      <c r="P252" t="str">
        <f t="shared" si="9"/>
        <v/>
      </c>
      <c r="Q252" t="str">
        <f>IFERROR(VLOOKUP(D252,'Team Data'!C:AB,15,FALSE),"")</f>
        <v/>
      </c>
      <c r="R252" t="str">
        <f>IFERROR(VLOOKUP('OB Format'!D252,'Team Data'!C:AB,24,FALSE),"")</f>
        <v/>
      </c>
      <c r="S252" t="str">
        <f>IFERROR(VLOOKUP('OB Format'!D252,'Team Data'!C:AC,25,FALSE),"")</f>
        <v/>
      </c>
    </row>
    <row r="253" spans="5:19" x14ac:dyDescent="0.25">
      <c r="E253" t="str">
        <f>IFERROR(VLOOKUP(D253,'Team Data'!C:AB,4,FALSE),"")</f>
        <v/>
      </c>
      <c r="F253" t="str">
        <f>IFERROR(VLOOKUP(D253,'Team Data'!C:AB,5,FALSE),"")</f>
        <v/>
      </c>
      <c r="G253" t="str">
        <f>IFERROR(VLOOKUP('OB Format'!D253,'Team Data'!C:AB,17,FALSE),"")</f>
        <v/>
      </c>
      <c r="H253" t="str">
        <f>IFERROR(VLOOKUP(D253,'Team Data'!C:AB,7,FALSE),"")</f>
        <v/>
      </c>
      <c r="I253" t="str">
        <f>IFERROR(VLOOKUP(D253,'Team Data'!C:AB,14,FALSE),"")</f>
        <v/>
      </c>
      <c r="J253" t="str">
        <f>IFERROR(VLOOKUP(D253,'Team Data'!C:AB,8,FALSE),"")</f>
        <v/>
      </c>
      <c r="K253" t="str">
        <f>IFERROR(VLOOKUP(D253,'Team Data'!C:AB,9,FALSE),"")</f>
        <v/>
      </c>
      <c r="L253" t="str">
        <f>IFERROR(VLOOKUP(D253,'Team Data'!C:AB,10,FALSE),"")</f>
        <v/>
      </c>
      <c r="M253" t="str">
        <f t="shared" si="8"/>
        <v/>
      </c>
      <c r="N253" t="str">
        <f>IFERROR(VLOOKUP(D253,'Team Data'!C:AB,23,FALSE),"")</f>
        <v/>
      </c>
      <c r="O253" t="str">
        <f>IFERROR(VLOOKUP(D253,'Team Data'!C:AB,22,FALSE),"")</f>
        <v/>
      </c>
      <c r="P253" t="str">
        <f t="shared" si="9"/>
        <v/>
      </c>
      <c r="Q253" t="str">
        <f>IFERROR(VLOOKUP(D253,'Team Data'!C:AB,15,FALSE),"")</f>
        <v/>
      </c>
      <c r="R253" t="str">
        <f>IFERROR(VLOOKUP('OB Format'!D253,'Team Data'!C:AB,24,FALSE),"")</f>
        <v/>
      </c>
      <c r="S253" t="str">
        <f>IFERROR(VLOOKUP('OB Format'!D253,'Team Data'!C:AC,25,FALSE),"")</f>
        <v/>
      </c>
    </row>
    <row r="254" spans="5:19" x14ac:dyDescent="0.25">
      <c r="E254" t="str">
        <f>IFERROR(VLOOKUP(D254,'Team Data'!C:AB,4,FALSE),"")</f>
        <v/>
      </c>
      <c r="F254" t="str">
        <f>IFERROR(VLOOKUP(D254,'Team Data'!C:AB,5,FALSE),"")</f>
        <v/>
      </c>
      <c r="G254" t="str">
        <f>IFERROR(VLOOKUP('OB Format'!D254,'Team Data'!C:AB,17,FALSE),"")</f>
        <v/>
      </c>
      <c r="H254" t="str">
        <f>IFERROR(VLOOKUP(D254,'Team Data'!C:AB,7,FALSE),"")</f>
        <v/>
      </c>
      <c r="I254" t="str">
        <f>IFERROR(VLOOKUP(D254,'Team Data'!C:AB,14,FALSE),"")</f>
        <v/>
      </c>
      <c r="J254" t="str">
        <f>IFERROR(VLOOKUP(D254,'Team Data'!C:AB,8,FALSE),"")</f>
        <v/>
      </c>
      <c r="K254" t="str">
        <f>IFERROR(VLOOKUP(D254,'Team Data'!C:AB,9,FALSE),"")</f>
        <v/>
      </c>
      <c r="L254" t="str">
        <f>IFERROR(VLOOKUP(D254,'Team Data'!C:AB,10,FALSE),"")</f>
        <v/>
      </c>
      <c r="M254" t="str">
        <f t="shared" si="8"/>
        <v/>
      </c>
      <c r="N254" t="str">
        <f>IFERROR(VLOOKUP(D254,'Team Data'!C:AB,23,FALSE),"")</f>
        <v/>
      </c>
      <c r="O254" t="str">
        <f>IFERROR(VLOOKUP(D254,'Team Data'!C:AB,22,FALSE),"")</f>
        <v/>
      </c>
      <c r="P254" t="str">
        <f t="shared" si="9"/>
        <v/>
      </c>
      <c r="Q254" t="str">
        <f>IFERROR(VLOOKUP(D254,'Team Data'!C:AB,15,FALSE),"")</f>
        <v/>
      </c>
      <c r="R254" t="str">
        <f>IFERROR(VLOOKUP('OB Format'!D254,'Team Data'!C:AB,24,FALSE),"")</f>
        <v/>
      </c>
      <c r="S254" t="str">
        <f>IFERROR(VLOOKUP('OB Format'!D254,'Team Data'!C:AC,25,FALSE),"")</f>
        <v/>
      </c>
    </row>
    <row r="255" spans="5:19" x14ac:dyDescent="0.25">
      <c r="E255" t="str">
        <f>IFERROR(VLOOKUP(D255,'Team Data'!C:AB,4,FALSE),"")</f>
        <v/>
      </c>
      <c r="F255" t="str">
        <f>IFERROR(VLOOKUP(D255,'Team Data'!C:AB,5,FALSE),"")</f>
        <v/>
      </c>
      <c r="G255" t="str">
        <f>IFERROR(VLOOKUP('OB Format'!D255,'Team Data'!C:AB,17,FALSE),"")</f>
        <v/>
      </c>
      <c r="H255" t="str">
        <f>IFERROR(VLOOKUP(D255,'Team Data'!C:AB,7,FALSE),"")</f>
        <v/>
      </c>
      <c r="I255" t="str">
        <f>IFERROR(VLOOKUP(D255,'Team Data'!C:AB,14,FALSE),"")</f>
        <v/>
      </c>
      <c r="J255" t="str">
        <f>IFERROR(VLOOKUP(D255,'Team Data'!C:AB,8,FALSE),"")</f>
        <v/>
      </c>
      <c r="K255" t="str">
        <f>IFERROR(VLOOKUP(D255,'Team Data'!C:AB,9,FALSE),"")</f>
        <v/>
      </c>
      <c r="L255" t="str">
        <f>IFERROR(VLOOKUP(D255,'Team Data'!C:AB,10,FALSE),"")</f>
        <v/>
      </c>
      <c r="M255" t="str">
        <f t="shared" si="8"/>
        <v/>
      </c>
      <c r="N255" t="str">
        <f>IFERROR(VLOOKUP(D255,'Team Data'!C:AB,23,FALSE),"")</f>
        <v/>
      </c>
      <c r="O255" t="str">
        <f>IFERROR(VLOOKUP(D255,'Team Data'!C:AB,22,FALSE),"")</f>
        <v/>
      </c>
      <c r="P255" t="str">
        <f t="shared" si="9"/>
        <v/>
      </c>
      <c r="Q255" t="str">
        <f>IFERROR(VLOOKUP(D255,'Team Data'!C:AB,15,FALSE),"")</f>
        <v/>
      </c>
      <c r="R255" t="str">
        <f>IFERROR(VLOOKUP('OB Format'!D255,'Team Data'!C:AB,24,FALSE),"")</f>
        <v/>
      </c>
      <c r="S255" t="str">
        <f>IFERROR(VLOOKUP('OB Format'!D255,'Team Data'!C:AC,25,FALSE),"")</f>
        <v/>
      </c>
    </row>
    <row r="256" spans="5:19" x14ac:dyDescent="0.25">
      <c r="E256" t="str">
        <f>IFERROR(VLOOKUP(D256,'Team Data'!C:AB,4,FALSE),"")</f>
        <v/>
      </c>
      <c r="F256" t="str">
        <f>IFERROR(VLOOKUP(D256,'Team Data'!C:AB,5,FALSE),"")</f>
        <v/>
      </c>
      <c r="G256" t="str">
        <f>IFERROR(VLOOKUP('OB Format'!D256,'Team Data'!C:AB,17,FALSE),"")</f>
        <v/>
      </c>
      <c r="H256" t="str">
        <f>IFERROR(VLOOKUP(D256,'Team Data'!C:AB,7,FALSE),"")</f>
        <v/>
      </c>
      <c r="I256" t="str">
        <f>IFERROR(VLOOKUP(D256,'Team Data'!C:AB,14,FALSE),"")</f>
        <v/>
      </c>
      <c r="J256" t="str">
        <f>IFERROR(VLOOKUP(D256,'Team Data'!C:AB,8,FALSE),"")</f>
        <v/>
      </c>
      <c r="K256" t="str">
        <f>IFERROR(VLOOKUP(D256,'Team Data'!C:AB,9,FALSE),"")</f>
        <v/>
      </c>
      <c r="L256" t="str">
        <f>IFERROR(VLOOKUP(D256,'Team Data'!C:AB,10,FALSE),"")</f>
        <v/>
      </c>
      <c r="M256" t="str">
        <f t="shared" si="8"/>
        <v/>
      </c>
      <c r="N256" t="str">
        <f>IFERROR(VLOOKUP(D256,'Team Data'!C:AB,23,FALSE),"")</f>
        <v/>
      </c>
      <c r="O256" t="str">
        <f>IFERROR(VLOOKUP(D256,'Team Data'!C:AB,22,FALSE),"")</f>
        <v/>
      </c>
      <c r="P256" t="str">
        <f t="shared" si="9"/>
        <v/>
      </c>
      <c r="Q256" t="str">
        <f>IFERROR(VLOOKUP(D256,'Team Data'!C:AB,15,FALSE),"")</f>
        <v/>
      </c>
      <c r="R256" t="str">
        <f>IFERROR(VLOOKUP('OB Format'!D256,'Team Data'!C:AB,24,FALSE),"")</f>
        <v/>
      </c>
      <c r="S256" t="str">
        <f>IFERROR(VLOOKUP('OB Format'!D256,'Team Data'!C:AC,25,FALSE),"")</f>
        <v/>
      </c>
    </row>
    <row r="257" spans="5:19" x14ac:dyDescent="0.25">
      <c r="E257" t="str">
        <f>IFERROR(VLOOKUP(D257,'Team Data'!C:AB,4,FALSE),"")</f>
        <v/>
      </c>
      <c r="F257" t="str">
        <f>IFERROR(VLOOKUP(D257,'Team Data'!C:AB,5,FALSE),"")</f>
        <v/>
      </c>
      <c r="G257" t="str">
        <f>IFERROR(VLOOKUP('OB Format'!D257,'Team Data'!C:AB,17,FALSE),"")</f>
        <v/>
      </c>
      <c r="H257" t="str">
        <f>IFERROR(VLOOKUP(D257,'Team Data'!C:AB,7,FALSE),"")</f>
        <v/>
      </c>
      <c r="I257" t="str">
        <f>IFERROR(VLOOKUP(D257,'Team Data'!C:AB,14,FALSE),"")</f>
        <v/>
      </c>
      <c r="J257" t="str">
        <f>IFERROR(VLOOKUP(D257,'Team Data'!C:AB,8,FALSE),"")</f>
        <v/>
      </c>
      <c r="K257" t="str">
        <f>IFERROR(VLOOKUP(D257,'Team Data'!C:AB,9,FALSE),"")</f>
        <v/>
      </c>
      <c r="L257" t="str">
        <f>IFERROR(VLOOKUP(D257,'Team Data'!C:AB,10,FALSE),"")</f>
        <v/>
      </c>
      <c r="M257" t="str">
        <f t="shared" si="8"/>
        <v/>
      </c>
      <c r="N257" t="str">
        <f>IFERROR(VLOOKUP(D257,'Team Data'!C:AB,23,FALSE),"")</f>
        <v/>
      </c>
      <c r="O257" t="str">
        <f>IFERROR(VLOOKUP(D257,'Team Data'!C:AB,22,FALSE),"")</f>
        <v/>
      </c>
      <c r="P257" t="str">
        <f t="shared" si="9"/>
        <v/>
      </c>
      <c r="Q257" t="str">
        <f>IFERROR(VLOOKUP(D257,'Team Data'!C:AB,15,FALSE),"")</f>
        <v/>
      </c>
      <c r="R257" t="str">
        <f>IFERROR(VLOOKUP('OB Format'!D257,'Team Data'!C:AB,24,FALSE),"")</f>
        <v/>
      </c>
      <c r="S257" t="str">
        <f>IFERROR(VLOOKUP('OB Format'!D257,'Team Data'!C:AC,25,FALSE),"")</f>
        <v/>
      </c>
    </row>
    <row r="258" spans="5:19" x14ac:dyDescent="0.25">
      <c r="E258" t="str">
        <f>IFERROR(VLOOKUP(D258,'Team Data'!C:AB,4,FALSE),"")</f>
        <v/>
      </c>
      <c r="F258" t="str">
        <f>IFERROR(VLOOKUP(D258,'Team Data'!C:AB,5,FALSE),"")</f>
        <v/>
      </c>
      <c r="G258" t="str">
        <f>IFERROR(VLOOKUP('OB Format'!D258,'Team Data'!C:AB,17,FALSE),"")</f>
        <v/>
      </c>
      <c r="H258" t="str">
        <f>IFERROR(VLOOKUP(D258,'Team Data'!C:AB,7,FALSE),"")</f>
        <v/>
      </c>
      <c r="I258" t="str">
        <f>IFERROR(VLOOKUP(D258,'Team Data'!C:AB,14,FALSE),"")</f>
        <v/>
      </c>
      <c r="J258" t="str">
        <f>IFERROR(VLOOKUP(D258,'Team Data'!C:AB,8,FALSE),"")</f>
        <v/>
      </c>
      <c r="K258" t="str">
        <f>IFERROR(VLOOKUP(D258,'Team Data'!C:AB,9,FALSE),"")</f>
        <v/>
      </c>
      <c r="L258" t="str">
        <f>IFERROR(VLOOKUP(D258,'Team Data'!C:AB,10,FALSE),"")</f>
        <v/>
      </c>
      <c r="M258" t="str">
        <f t="shared" si="8"/>
        <v/>
      </c>
      <c r="N258" t="str">
        <f>IFERROR(VLOOKUP(D258,'Team Data'!C:AB,23,FALSE),"")</f>
        <v/>
      </c>
      <c r="O258" t="str">
        <f>IFERROR(VLOOKUP(D258,'Team Data'!C:AB,22,FALSE),"")</f>
        <v/>
      </c>
      <c r="P258" t="str">
        <f t="shared" si="9"/>
        <v/>
      </c>
      <c r="Q258" t="str">
        <f>IFERROR(VLOOKUP(D258,'Team Data'!C:AB,15,FALSE),"")</f>
        <v/>
      </c>
      <c r="R258" t="str">
        <f>IFERROR(VLOOKUP('OB Format'!D258,'Team Data'!C:AB,24,FALSE),"")</f>
        <v/>
      </c>
      <c r="S258" t="str">
        <f>IFERROR(VLOOKUP('OB Format'!D258,'Team Data'!C:AC,25,FALSE),"")</f>
        <v/>
      </c>
    </row>
    <row r="259" spans="5:19" x14ac:dyDescent="0.25">
      <c r="E259" t="str">
        <f>IFERROR(VLOOKUP(D259,'Team Data'!C:AB,4,FALSE),"")</f>
        <v/>
      </c>
      <c r="F259" t="str">
        <f>IFERROR(VLOOKUP(D259,'Team Data'!C:AB,5,FALSE),"")</f>
        <v/>
      </c>
      <c r="G259" t="str">
        <f>IFERROR(VLOOKUP('OB Format'!D259,'Team Data'!C:AB,17,FALSE),"")</f>
        <v/>
      </c>
      <c r="H259" t="str">
        <f>IFERROR(VLOOKUP(D259,'Team Data'!C:AB,7,FALSE),"")</f>
        <v/>
      </c>
      <c r="I259" t="str">
        <f>IFERROR(VLOOKUP(D259,'Team Data'!C:AB,14,FALSE),"")</f>
        <v/>
      </c>
      <c r="J259" t="str">
        <f>IFERROR(VLOOKUP(D259,'Team Data'!C:AB,8,FALSE),"")</f>
        <v/>
      </c>
      <c r="K259" t="str">
        <f>IFERROR(VLOOKUP(D259,'Team Data'!C:AB,9,FALSE),"")</f>
        <v/>
      </c>
      <c r="L259" t="str">
        <f>IFERROR(VLOOKUP(D259,'Team Data'!C:AB,10,FALSE),"")</f>
        <v/>
      </c>
      <c r="M259" t="str">
        <f t="shared" si="8"/>
        <v/>
      </c>
      <c r="N259" t="str">
        <f>IFERROR(VLOOKUP(D259,'Team Data'!C:AB,23,FALSE),"")</f>
        <v/>
      </c>
      <c r="O259" t="str">
        <f>IFERROR(VLOOKUP(D259,'Team Data'!C:AB,22,FALSE),"")</f>
        <v/>
      </c>
      <c r="P259" t="str">
        <f t="shared" si="9"/>
        <v/>
      </c>
      <c r="Q259" t="str">
        <f>IFERROR(VLOOKUP(D259,'Team Data'!C:AB,15,FALSE),"")</f>
        <v/>
      </c>
      <c r="R259" t="str">
        <f>IFERROR(VLOOKUP('OB Format'!D259,'Team Data'!C:AB,24,FALSE),"")</f>
        <v/>
      </c>
      <c r="S259" t="str">
        <f>IFERROR(VLOOKUP('OB Format'!D259,'Team Data'!C:AC,25,FALSE),"")</f>
        <v/>
      </c>
    </row>
    <row r="260" spans="5:19" x14ac:dyDescent="0.25">
      <c r="E260" t="str">
        <f>IFERROR(VLOOKUP(D260,'Team Data'!C:AB,4,FALSE),"")</f>
        <v/>
      </c>
      <c r="F260" t="str">
        <f>IFERROR(VLOOKUP(D260,'Team Data'!C:AB,5,FALSE),"")</f>
        <v/>
      </c>
      <c r="G260" t="str">
        <f>IFERROR(VLOOKUP('OB Format'!D260,'Team Data'!C:AB,17,FALSE),"")</f>
        <v/>
      </c>
      <c r="H260" t="str">
        <f>IFERROR(VLOOKUP(D260,'Team Data'!C:AB,7,FALSE),"")</f>
        <v/>
      </c>
      <c r="I260" t="str">
        <f>IFERROR(VLOOKUP(D260,'Team Data'!C:AB,14,FALSE),"")</f>
        <v/>
      </c>
      <c r="J260" t="str">
        <f>IFERROR(VLOOKUP(D260,'Team Data'!C:AB,8,FALSE),"")</f>
        <v/>
      </c>
      <c r="K260" t="str">
        <f>IFERROR(VLOOKUP(D260,'Team Data'!C:AB,9,FALSE),"")</f>
        <v/>
      </c>
      <c r="L260" t="str">
        <f>IFERROR(VLOOKUP(D260,'Team Data'!C:AB,10,FALSE),"")</f>
        <v/>
      </c>
      <c r="M260" t="str">
        <f t="shared" si="8"/>
        <v/>
      </c>
      <c r="N260" t="str">
        <f>IFERROR(VLOOKUP(D260,'Team Data'!C:AB,23,FALSE),"")</f>
        <v/>
      </c>
      <c r="O260" t="str">
        <f>IFERROR(VLOOKUP(D260,'Team Data'!C:AB,22,FALSE),"")</f>
        <v/>
      </c>
      <c r="P260" t="str">
        <f t="shared" si="9"/>
        <v/>
      </c>
      <c r="Q260" t="str">
        <f>IFERROR(VLOOKUP(D260,'Team Data'!C:AB,15,FALSE),"")</f>
        <v/>
      </c>
      <c r="R260" t="str">
        <f>IFERROR(VLOOKUP('OB Format'!D260,'Team Data'!C:AB,24,FALSE),"")</f>
        <v/>
      </c>
      <c r="S260" t="str">
        <f>IFERROR(VLOOKUP('OB Format'!D260,'Team Data'!C:AC,25,FALSE),"")</f>
        <v/>
      </c>
    </row>
    <row r="261" spans="5:19" x14ac:dyDescent="0.25">
      <c r="E261" t="str">
        <f>IFERROR(VLOOKUP(D261,'Team Data'!C:AB,4,FALSE),"")</f>
        <v/>
      </c>
      <c r="F261" t="str">
        <f>IFERROR(VLOOKUP(D261,'Team Data'!C:AB,5,FALSE),"")</f>
        <v/>
      </c>
      <c r="G261" t="str">
        <f>IFERROR(VLOOKUP('OB Format'!D261,'Team Data'!C:AB,17,FALSE),"")</f>
        <v/>
      </c>
      <c r="H261" t="str">
        <f>IFERROR(VLOOKUP(D261,'Team Data'!C:AB,7,FALSE),"")</f>
        <v/>
      </c>
      <c r="I261" t="str">
        <f>IFERROR(VLOOKUP(D261,'Team Data'!C:AB,14,FALSE),"")</f>
        <v/>
      </c>
      <c r="J261" t="str">
        <f>IFERROR(VLOOKUP(D261,'Team Data'!C:AB,8,FALSE),"")</f>
        <v/>
      </c>
      <c r="K261" t="str">
        <f>IFERROR(VLOOKUP(D261,'Team Data'!C:AB,9,FALSE),"")</f>
        <v/>
      </c>
      <c r="L261" t="str">
        <f>IFERROR(VLOOKUP(D261,'Team Data'!C:AB,10,FALSE),"")</f>
        <v/>
      </c>
      <c r="M261" t="str">
        <f t="shared" si="8"/>
        <v/>
      </c>
      <c r="N261" t="str">
        <f>IFERROR(VLOOKUP(D261,'Team Data'!C:AB,23,FALSE),"")</f>
        <v/>
      </c>
      <c r="O261" t="str">
        <f>IFERROR(VLOOKUP(D261,'Team Data'!C:AB,22,FALSE),"")</f>
        <v/>
      </c>
      <c r="P261" t="str">
        <f t="shared" si="9"/>
        <v/>
      </c>
      <c r="Q261" t="str">
        <f>IFERROR(VLOOKUP(D261,'Team Data'!C:AB,15,FALSE),"")</f>
        <v/>
      </c>
      <c r="R261" t="str">
        <f>IFERROR(VLOOKUP('OB Format'!D261,'Team Data'!C:AB,24,FALSE),"")</f>
        <v/>
      </c>
      <c r="S261" t="str">
        <f>IFERROR(VLOOKUP('OB Format'!D261,'Team Data'!C:AC,25,FALSE),"")</f>
        <v/>
      </c>
    </row>
    <row r="262" spans="5:19" x14ac:dyDescent="0.25">
      <c r="E262" t="str">
        <f>IFERROR(VLOOKUP(D262,'Team Data'!C:AB,4,FALSE),"")</f>
        <v/>
      </c>
      <c r="F262" t="str">
        <f>IFERROR(VLOOKUP(D262,'Team Data'!C:AB,5,FALSE),"")</f>
        <v/>
      </c>
      <c r="G262" t="str">
        <f>IFERROR(VLOOKUP('OB Format'!D262,'Team Data'!C:AB,17,FALSE),"")</f>
        <v/>
      </c>
      <c r="H262" t="str">
        <f>IFERROR(VLOOKUP(D262,'Team Data'!C:AB,7,FALSE),"")</f>
        <v/>
      </c>
      <c r="I262" t="str">
        <f>IFERROR(VLOOKUP(D262,'Team Data'!C:AB,14,FALSE),"")</f>
        <v/>
      </c>
      <c r="J262" t="str">
        <f>IFERROR(VLOOKUP(D262,'Team Data'!C:AB,8,FALSE),"")</f>
        <v/>
      </c>
      <c r="K262" t="str">
        <f>IFERROR(VLOOKUP(D262,'Team Data'!C:AB,9,FALSE),"")</f>
        <v/>
      </c>
      <c r="L262" t="str">
        <f>IFERROR(VLOOKUP(D262,'Team Data'!C:AB,10,FALSE),"")</f>
        <v/>
      </c>
      <c r="M262" t="str">
        <f t="shared" si="8"/>
        <v/>
      </c>
      <c r="N262" t="str">
        <f>IFERROR(VLOOKUP(D262,'Team Data'!C:AB,23,FALSE),"")</f>
        <v/>
      </c>
      <c r="O262" t="str">
        <f>IFERROR(VLOOKUP(D262,'Team Data'!C:AB,22,FALSE),"")</f>
        <v/>
      </c>
      <c r="P262" t="str">
        <f t="shared" si="9"/>
        <v/>
      </c>
      <c r="Q262" t="str">
        <f>IFERROR(VLOOKUP(D262,'Team Data'!C:AB,15,FALSE),"")</f>
        <v/>
      </c>
      <c r="R262" t="str">
        <f>IFERROR(VLOOKUP('OB Format'!D262,'Team Data'!C:AB,24,FALSE),"")</f>
        <v/>
      </c>
      <c r="S262" t="str">
        <f>IFERROR(VLOOKUP('OB Format'!D262,'Team Data'!C:AC,25,FALSE),"")</f>
        <v/>
      </c>
    </row>
    <row r="263" spans="5:19" x14ac:dyDescent="0.25">
      <c r="E263" t="str">
        <f>IFERROR(VLOOKUP(D263,'Team Data'!C:AB,4,FALSE),"")</f>
        <v/>
      </c>
      <c r="F263" t="str">
        <f>IFERROR(VLOOKUP(D263,'Team Data'!C:AB,5,FALSE),"")</f>
        <v/>
      </c>
      <c r="G263" t="str">
        <f>IFERROR(VLOOKUP('OB Format'!D263,'Team Data'!C:AB,17,FALSE),"")</f>
        <v/>
      </c>
      <c r="H263" t="str">
        <f>IFERROR(VLOOKUP(D263,'Team Data'!C:AB,7,FALSE),"")</f>
        <v/>
      </c>
      <c r="I263" t="str">
        <f>IFERROR(VLOOKUP(D263,'Team Data'!C:AB,14,FALSE),"")</f>
        <v/>
      </c>
      <c r="J263" t="str">
        <f>IFERROR(VLOOKUP(D263,'Team Data'!C:AB,8,FALSE),"")</f>
        <v/>
      </c>
      <c r="K263" t="str">
        <f>IFERROR(VLOOKUP(D263,'Team Data'!C:AB,9,FALSE),"")</f>
        <v/>
      </c>
      <c r="L263" t="str">
        <f>IFERROR(VLOOKUP(D263,'Team Data'!C:AB,10,FALSE),"")</f>
        <v/>
      </c>
      <c r="M263" t="str">
        <f t="shared" si="8"/>
        <v/>
      </c>
      <c r="N263" t="str">
        <f>IFERROR(VLOOKUP(D263,'Team Data'!C:AB,23,FALSE),"")</f>
        <v/>
      </c>
      <c r="O263" t="str">
        <f>IFERROR(VLOOKUP(D263,'Team Data'!C:AB,22,FALSE),"")</f>
        <v/>
      </c>
      <c r="P263" t="str">
        <f t="shared" si="9"/>
        <v/>
      </c>
      <c r="Q263" t="str">
        <f>IFERROR(VLOOKUP(D263,'Team Data'!C:AB,15,FALSE),"")</f>
        <v/>
      </c>
      <c r="R263" t="str">
        <f>IFERROR(VLOOKUP('OB Format'!D263,'Team Data'!C:AB,24,FALSE),"")</f>
        <v/>
      </c>
      <c r="S263" t="str">
        <f>IFERROR(VLOOKUP('OB Format'!D263,'Team Data'!C:AC,25,FALSE),"")</f>
        <v/>
      </c>
    </row>
    <row r="264" spans="5:19" x14ac:dyDescent="0.25">
      <c r="E264" t="str">
        <f>IFERROR(VLOOKUP(D264,'Team Data'!C:AB,4,FALSE),"")</f>
        <v/>
      </c>
      <c r="F264" t="str">
        <f>IFERROR(VLOOKUP(D264,'Team Data'!C:AB,5,FALSE),"")</f>
        <v/>
      </c>
      <c r="G264" t="str">
        <f>IFERROR(VLOOKUP('OB Format'!D264,'Team Data'!C:AB,17,FALSE),"")</f>
        <v/>
      </c>
      <c r="H264" t="str">
        <f>IFERROR(VLOOKUP(D264,'Team Data'!C:AB,7,FALSE),"")</f>
        <v/>
      </c>
      <c r="I264" t="str">
        <f>IFERROR(VLOOKUP(D264,'Team Data'!C:AB,14,FALSE),"")</f>
        <v/>
      </c>
      <c r="J264" t="str">
        <f>IFERROR(VLOOKUP(D264,'Team Data'!C:AB,8,FALSE),"")</f>
        <v/>
      </c>
      <c r="K264" t="str">
        <f>IFERROR(VLOOKUP(D264,'Team Data'!C:AB,9,FALSE),"")</f>
        <v/>
      </c>
      <c r="L264" t="str">
        <f>IFERROR(VLOOKUP(D264,'Team Data'!C:AB,10,FALSE),"")</f>
        <v/>
      </c>
      <c r="M264" t="str">
        <f t="shared" si="8"/>
        <v/>
      </c>
      <c r="N264" t="str">
        <f>IFERROR(VLOOKUP(D264,'Team Data'!C:AB,23,FALSE),"")</f>
        <v/>
      </c>
      <c r="O264" t="str">
        <f>IFERROR(VLOOKUP(D264,'Team Data'!C:AB,22,FALSE),"")</f>
        <v/>
      </c>
      <c r="P264" t="str">
        <f t="shared" si="9"/>
        <v/>
      </c>
      <c r="Q264" t="str">
        <f>IFERROR(VLOOKUP(D264,'Team Data'!C:AB,15,FALSE),"")</f>
        <v/>
      </c>
      <c r="R264" t="str">
        <f>IFERROR(VLOOKUP('OB Format'!D264,'Team Data'!C:AB,24,FALSE),"")</f>
        <v/>
      </c>
      <c r="S264" t="str">
        <f>IFERROR(VLOOKUP('OB Format'!D264,'Team Data'!C:AC,25,FALSE),"")</f>
        <v/>
      </c>
    </row>
    <row r="265" spans="5:19" x14ac:dyDescent="0.25">
      <c r="E265" t="str">
        <f>IFERROR(VLOOKUP(D265,'Team Data'!C:AB,4,FALSE),"")</f>
        <v/>
      </c>
      <c r="F265" t="str">
        <f>IFERROR(VLOOKUP(D265,'Team Data'!C:AB,5,FALSE),"")</f>
        <v/>
      </c>
      <c r="G265" t="str">
        <f>IFERROR(VLOOKUP('OB Format'!D265,'Team Data'!C:AB,17,FALSE),"")</f>
        <v/>
      </c>
      <c r="H265" t="str">
        <f>IFERROR(VLOOKUP(D265,'Team Data'!C:AB,7,FALSE),"")</f>
        <v/>
      </c>
      <c r="I265" t="str">
        <f>IFERROR(VLOOKUP(D265,'Team Data'!C:AB,14,FALSE),"")</f>
        <v/>
      </c>
      <c r="J265" t="str">
        <f>IFERROR(VLOOKUP(D265,'Team Data'!C:AB,8,FALSE),"")</f>
        <v/>
      </c>
      <c r="K265" t="str">
        <f>IFERROR(VLOOKUP(D265,'Team Data'!C:AB,9,FALSE),"")</f>
        <v/>
      </c>
      <c r="L265" t="str">
        <f>IFERROR(VLOOKUP(D265,'Team Data'!C:AB,10,FALSE),"")</f>
        <v/>
      </c>
      <c r="M265" t="str">
        <f t="shared" si="8"/>
        <v/>
      </c>
      <c r="N265" t="str">
        <f>IFERROR(VLOOKUP(D265,'Team Data'!C:AB,23,FALSE),"")</f>
        <v/>
      </c>
      <c r="O265" t="str">
        <f>IFERROR(VLOOKUP(D265,'Team Data'!C:AB,22,FALSE),"")</f>
        <v/>
      </c>
      <c r="P265" t="str">
        <f t="shared" si="9"/>
        <v/>
      </c>
      <c r="Q265" t="str">
        <f>IFERROR(VLOOKUP(D265,'Team Data'!C:AB,15,FALSE),"")</f>
        <v/>
      </c>
      <c r="R265" t="str">
        <f>IFERROR(VLOOKUP('OB Format'!D265,'Team Data'!C:AB,24,FALSE),"")</f>
        <v/>
      </c>
      <c r="S265" t="str">
        <f>IFERROR(VLOOKUP('OB Format'!D265,'Team Data'!C:AC,25,FALSE),"")</f>
        <v/>
      </c>
    </row>
    <row r="266" spans="5:19" x14ac:dyDescent="0.25">
      <c r="E266" t="str">
        <f>IFERROR(VLOOKUP(D266,'Team Data'!C:AB,4,FALSE),"")</f>
        <v/>
      </c>
      <c r="F266" t="str">
        <f>IFERROR(VLOOKUP(D266,'Team Data'!C:AB,5,FALSE),"")</f>
        <v/>
      </c>
      <c r="G266" t="str">
        <f>IFERROR(VLOOKUP('OB Format'!D266,'Team Data'!C:AB,17,FALSE),"")</f>
        <v/>
      </c>
      <c r="H266" t="str">
        <f>IFERROR(VLOOKUP(D266,'Team Data'!C:AB,7,FALSE),"")</f>
        <v/>
      </c>
      <c r="I266" t="str">
        <f>IFERROR(VLOOKUP(D266,'Team Data'!C:AB,14,FALSE),"")</f>
        <v/>
      </c>
      <c r="J266" t="str">
        <f>IFERROR(VLOOKUP(D266,'Team Data'!C:AB,8,FALSE),"")</f>
        <v/>
      </c>
      <c r="K266" t="str">
        <f>IFERROR(VLOOKUP(D266,'Team Data'!C:AB,9,FALSE),"")</f>
        <v/>
      </c>
      <c r="L266" t="str">
        <f>IFERROR(VLOOKUP(D266,'Team Data'!C:AB,10,FALSE),"")</f>
        <v/>
      </c>
      <c r="M266" t="str">
        <f t="shared" si="8"/>
        <v/>
      </c>
      <c r="N266" t="str">
        <f>IFERROR(VLOOKUP(D266,'Team Data'!C:AB,23,FALSE),"")</f>
        <v/>
      </c>
      <c r="O266" t="str">
        <f>IFERROR(VLOOKUP(D266,'Team Data'!C:AB,22,FALSE),"")</f>
        <v/>
      </c>
      <c r="P266" t="str">
        <f t="shared" si="9"/>
        <v/>
      </c>
      <c r="Q266" t="str">
        <f>IFERROR(VLOOKUP(D266,'Team Data'!C:AB,15,FALSE),"")</f>
        <v/>
      </c>
      <c r="R266" t="str">
        <f>IFERROR(VLOOKUP('OB Format'!D266,'Team Data'!C:AB,24,FALSE),"")</f>
        <v/>
      </c>
      <c r="S266" t="str">
        <f>IFERROR(VLOOKUP('OB Format'!D266,'Team Data'!C:AC,25,FALSE),"")</f>
        <v/>
      </c>
    </row>
    <row r="267" spans="5:19" x14ac:dyDescent="0.25">
      <c r="E267" t="str">
        <f>IFERROR(VLOOKUP(D267,'Team Data'!C:AB,4,FALSE),"")</f>
        <v/>
      </c>
      <c r="F267" t="str">
        <f>IFERROR(VLOOKUP(D267,'Team Data'!C:AB,5,FALSE),"")</f>
        <v/>
      </c>
      <c r="G267" t="str">
        <f>IFERROR(VLOOKUP('OB Format'!D267,'Team Data'!C:AB,17,FALSE),"")</f>
        <v/>
      </c>
      <c r="H267" t="str">
        <f>IFERROR(VLOOKUP(D267,'Team Data'!C:AB,7,FALSE),"")</f>
        <v/>
      </c>
      <c r="I267" t="str">
        <f>IFERROR(VLOOKUP(D267,'Team Data'!C:AB,14,FALSE),"")</f>
        <v/>
      </c>
      <c r="J267" t="str">
        <f>IFERROR(VLOOKUP(D267,'Team Data'!C:AB,8,FALSE),"")</f>
        <v/>
      </c>
      <c r="K267" t="str">
        <f>IFERROR(VLOOKUP(D267,'Team Data'!C:AB,9,FALSE),"")</f>
        <v/>
      </c>
      <c r="L267" t="str">
        <f>IFERROR(VLOOKUP(D267,'Team Data'!C:AB,10,FALSE),"")</f>
        <v/>
      </c>
      <c r="M267" t="str">
        <f t="shared" si="8"/>
        <v/>
      </c>
      <c r="N267" t="str">
        <f>IFERROR(VLOOKUP(D267,'Team Data'!C:AB,23,FALSE),"")</f>
        <v/>
      </c>
      <c r="O267" t="str">
        <f>IFERROR(VLOOKUP(D267,'Team Data'!C:AB,22,FALSE),"")</f>
        <v/>
      </c>
      <c r="P267" t="str">
        <f t="shared" si="9"/>
        <v/>
      </c>
      <c r="Q267" t="str">
        <f>IFERROR(VLOOKUP(D267,'Team Data'!C:AB,15,FALSE),"")</f>
        <v/>
      </c>
      <c r="R267" t="str">
        <f>IFERROR(VLOOKUP('OB Format'!D267,'Team Data'!C:AB,24,FALSE),"")</f>
        <v/>
      </c>
      <c r="S267" t="str">
        <f>IFERROR(VLOOKUP('OB Format'!D267,'Team Data'!C:AC,25,FALSE),"")</f>
        <v/>
      </c>
    </row>
    <row r="268" spans="5:19" x14ac:dyDescent="0.25">
      <c r="E268" t="str">
        <f>IFERROR(VLOOKUP(D268,'Team Data'!C:AB,4,FALSE),"")</f>
        <v/>
      </c>
      <c r="F268" t="str">
        <f>IFERROR(VLOOKUP(D268,'Team Data'!C:AB,5,FALSE),"")</f>
        <v/>
      </c>
      <c r="G268" t="str">
        <f>IFERROR(VLOOKUP('OB Format'!D268,'Team Data'!C:AB,17,FALSE),"")</f>
        <v/>
      </c>
      <c r="H268" t="str">
        <f>IFERROR(VLOOKUP(D268,'Team Data'!C:AB,7,FALSE),"")</f>
        <v/>
      </c>
      <c r="I268" t="str">
        <f>IFERROR(VLOOKUP(D268,'Team Data'!C:AB,14,FALSE),"")</f>
        <v/>
      </c>
      <c r="J268" t="str">
        <f>IFERROR(VLOOKUP(D268,'Team Data'!C:AB,8,FALSE),"")</f>
        <v/>
      </c>
      <c r="K268" t="str">
        <f>IFERROR(VLOOKUP(D268,'Team Data'!C:AB,9,FALSE),"")</f>
        <v/>
      </c>
      <c r="L268" t="str">
        <f>IFERROR(VLOOKUP(D268,'Team Data'!C:AB,10,FALSE),"")</f>
        <v/>
      </c>
      <c r="M268" t="str">
        <f t="shared" si="8"/>
        <v/>
      </c>
      <c r="N268" t="str">
        <f>IFERROR(VLOOKUP(D268,'Team Data'!C:AB,23,FALSE),"")</f>
        <v/>
      </c>
      <c r="O268" t="str">
        <f>IFERROR(VLOOKUP(D268,'Team Data'!C:AB,22,FALSE),"")</f>
        <v/>
      </c>
      <c r="P268" t="str">
        <f t="shared" si="9"/>
        <v/>
      </c>
      <c r="Q268" t="str">
        <f>IFERROR(VLOOKUP(D268,'Team Data'!C:AB,15,FALSE),"")</f>
        <v/>
      </c>
      <c r="R268" t="str">
        <f>IFERROR(VLOOKUP('OB Format'!D268,'Team Data'!C:AB,24,FALSE),"")</f>
        <v/>
      </c>
      <c r="S268" t="str">
        <f>IFERROR(VLOOKUP('OB Format'!D268,'Team Data'!C:AC,25,FALSE),"")</f>
        <v/>
      </c>
    </row>
    <row r="269" spans="5:19" x14ac:dyDescent="0.25">
      <c r="E269" t="str">
        <f>IFERROR(VLOOKUP(D269,'Team Data'!C:AB,4,FALSE),"")</f>
        <v/>
      </c>
      <c r="F269" t="str">
        <f>IFERROR(VLOOKUP(D269,'Team Data'!C:AB,5,FALSE),"")</f>
        <v/>
      </c>
      <c r="G269" t="str">
        <f>IFERROR(VLOOKUP('OB Format'!D269,'Team Data'!C:AB,17,FALSE),"")</f>
        <v/>
      </c>
      <c r="H269" t="str">
        <f>IFERROR(VLOOKUP(D269,'Team Data'!C:AB,7,FALSE),"")</f>
        <v/>
      </c>
      <c r="I269" t="str">
        <f>IFERROR(VLOOKUP(D269,'Team Data'!C:AB,14,FALSE),"")</f>
        <v/>
      </c>
      <c r="J269" t="str">
        <f>IFERROR(VLOOKUP(D269,'Team Data'!C:AB,8,FALSE),"")</f>
        <v/>
      </c>
      <c r="K269" t="str">
        <f>IFERROR(VLOOKUP(D269,'Team Data'!C:AB,9,FALSE),"")</f>
        <v/>
      </c>
      <c r="L269" t="str">
        <f>IFERROR(VLOOKUP(D269,'Team Data'!C:AB,10,FALSE),"")</f>
        <v/>
      </c>
      <c r="M269" t="str">
        <f t="shared" ref="M269:M332" si="10">IFERROR(H269-(J269+L269+K269),"")</f>
        <v/>
      </c>
      <c r="N269" t="str">
        <f>IFERROR(VLOOKUP(D269,'Team Data'!C:AB,23,FALSE),"")</f>
        <v/>
      </c>
      <c r="O269" t="str">
        <f>IFERROR(VLOOKUP(D269,'Team Data'!C:AB,22,FALSE),"")</f>
        <v/>
      </c>
      <c r="P269" t="str">
        <f t="shared" ref="P269:P332" si="11">IFERROR(E269-(H269+N269+Q269+I269+O269),"")</f>
        <v/>
      </c>
      <c r="Q269" t="str">
        <f>IFERROR(VLOOKUP(D269,'Team Data'!C:AB,15,FALSE),"")</f>
        <v/>
      </c>
      <c r="R269" t="str">
        <f>IFERROR(VLOOKUP('OB Format'!D269,'Team Data'!C:AB,24,FALSE),"")</f>
        <v/>
      </c>
      <c r="S269" t="str">
        <f>IFERROR(VLOOKUP('OB Format'!D269,'Team Data'!C:AC,25,FALSE),"")</f>
        <v/>
      </c>
    </row>
    <row r="270" spans="5:19" x14ac:dyDescent="0.25">
      <c r="E270" t="str">
        <f>IFERROR(VLOOKUP(D270,'Team Data'!C:AB,4,FALSE),"")</f>
        <v/>
      </c>
      <c r="F270" t="str">
        <f>IFERROR(VLOOKUP(D270,'Team Data'!C:AB,5,FALSE),"")</f>
        <v/>
      </c>
      <c r="G270" t="str">
        <f>IFERROR(VLOOKUP('OB Format'!D270,'Team Data'!C:AB,17,FALSE),"")</f>
        <v/>
      </c>
      <c r="H270" t="str">
        <f>IFERROR(VLOOKUP(D270,'Team Data'!C:AB,7,FALSE),"")</f>
        <v/>
      </c>
      <c r="I270" t="str">
        <f>IFERROR(VLOOKUP(D270,'Team Data'!C:AB,14,FALSE),"")</f>
        <v/>
      </c>
      <c r="J270" t="str">
        <f>IFERROR(VLOOKUP(D270,'Team Data'!C:AB,8,FALSE),"")</f>
        <v/>
      </c>
      <c r="K270" t="str">
        <f>IFERROR(VLOOKUP(D270,'Team Data'!C:AB,9,FALSE),"")</f>
        <v/>
      </c>
      <c r="L270" t="str">
        <f>IFERROR(VLOOKUP(D270,'Team Data'!C:AB,10,FALSE),"")</f>
        <v/>
      </c>
      <c r="M270" t="str">
        <f t="shared" si="10"/>
        <v/>
      </c>
      <c r="N270" t="str">
        <f>IFERROR(VLOOKUP(D270,'Team Data'!C:AB,23,FALSE),"")</f>
        <v/>
      </c>
      <c r="O270" t="str">
        <f>IFERROR(VLOOKUP(D270,'Team Data'!C:AB,22,FALSE),"")</f>
        <v/>
      </c>
      <c r="P270" t="str">
        <f t="shared" si="11"/>
        <v/>
      </c>
      <c r="Q270" t="str">
        <f>IFERROR(VLOOKUP(D270,'Team Data'!C:AB,15,FALSE),"")</f>
        <v/>
      </c>
      <c r="R270" t="str">
        <f>IFERROR(VLOOKUP('OB Format'!D270,'Team Data'!C:AB,24,FALSE),"")</f>
        <v/>
      </c>
      <c r="S270" t="str">
        <f>IFERROR(VLOOKUP('OB Format'!D270,'Team Data'!C:AC,25,FALSE),"")</f>
        <v/>
      </c>
    </row>
    <row r="271" spans="5:19" x14ac:dyDescent="0.25">
      <c r="E271" t="str">
        <f>IFERROR(VLOOKUP(D271,'Team Data'!C:AB,4,FALSE),"")</f>
        <v/>
      </c>
      <c r="F271" t="str">
        <f>IFERROR(VLOOKUP(D271,'Team Data'!C:AB,5,FALSE),"")</f>
        <v/>
      </c>
      <c r="G271" t="str">
        <f>IFERROR(VLOOKUP('OB Format'!D271,'Team Data'!C:AB,17,FALSE),"")</f>
        <v/>
      </c>
      <c r="H271" t="str">
        <f>IFERROR(VLOOKUP(D271,'Team Data'!C:AB,7,FALSE),"")</f>
        <v/>
      </c>
      <c r="I271" t="str">
        <f>IFERROR(VLOOKUP(D271,'Team Data'!C:AB,14,FALSE),"")</f>
        <v/>
      </c>
      <c r="J271" t="str">
        <f>IFERROR(VLOOKUP(D271,'Team Data'!C:AB,8,FALSE),"")</f>
        <v/>
      </c>
      <c r="K271" t="str">
        <f>IFERROR(VLOOKUP(D271,'Team Data'!C:AB,9,FALSE),"")</f>
        <v/>
      </c>
      <c r="L271" t="str">
        <f>IFERROR(VLOOKUP(D271,'Team Data'!C:AB,10,FALSE),"")</f>
        <v/>
      </c>
      <c r="M271" t="str">
        <f t="shared" si="10"/>
        <v/>
      </c>
      <c r="N271" t="str">
        <f>IFERROR(VLOOKUP(D271,'Team Data'!C:AB,23,FALSE),"")</f>
        <v/>
      </c>
      <c r="O271" t="str">
        <f>IFERROR(VLOOKUP(D271,'Team Data'!C:AB,22,FALSE),"")</f>
        <v/>
      </c>
      <c r="P271" t="str">
        <f t="shared" si="11"/>
        <v/>
      </c>
      <c r="Q271" t="str">
        <f>IFERROR(VLOOKUP(D271,'Team Data'!C:AB,15,FALSE),"")</f>
        <v/>
      </c>
      <c r="R271" t="str">
        <f>IFERROR(VLOOKUP('OB Format'!D271,'Team Data'!C:AB,24,FALSE),"")</f>
        <v/>
      </c>
      <c r="S271" t="str">
        <f>IFERROR(VLOOKUP('OB Format'!D271,'Team Data'!C:AC,25,FALSE),"")</f>
        <v/>
      </c>
    </row>
    <row r="272" spans="5:19" x14ac:dyDescent="0.25">
      <c r="E272" t="str">
        <f>IFERROR(VLOOKUP(D272,'Team Data'!C:AB,4,FALSE),"")</f>
        <v/>
      </c>
      <c r="F272" t="str">
        <f>IFERROR(VLOOKUP(D272,'Team Data'!C:AB,5,FALSE),"")</f>
        <v/>
      </c>
      <c r="G272" t="str">
        <f>IFERROR(VLOOKUP('OB Format'!D272,'Team Data'!C:AB,17,FALSE),"")</f>
        <v/>
      </c>
      <c r="H272" t="str">
        <f>IFERROR(VLOOKUP(D272,'Team Data'!C:AB,7,FALSE),"")</f>
        <v/>
      </c>
      <c r="I272" t="str">
        <f>IFERROR(VLOOKUP(D272,'Team Data'!C:AB,14,FALSE),"")</f>
        <v/>
      </c>
      <c r="J272" t="str">
        <f>IFERROR(VLOOKUP(D272,'Team Data'!C:AB,8,FALSE),"")</f>
        <v/>
      </c>
      <c r="K272" t="str">
        <f>IFERROR(VLOOKUP(D272,'Team Data'!C:AB,9,FALSE),"")</f>
        <v/>
      </c>
      <c r="L272" t="str">
        <f>IFERROR(VLOOKUP(D272,'Team Data'!C:AB,10,FALSE),"")</f>
        <v/>
      </c>
      <c r="M272" t="str">
        <f t="shared" si="10"/>
        <v/>
      </c>
      <c r="N272" t="str">
        <f>IFERROR(VLOOKUP(D272,'Team Data'!C:AB,23,FALSE),"")</f>
        <v/>
      </c>
      <c r="O272" t="str">
        <f>IFERROR(VLOOKUP(D272,'Team Data'!C:AB,22,FALSE),"")</f>
        <v/>
      </c>
      <c r="P272" t="str">
        <f t="shared" si="11"/>
        <v/>
      </c>
      <c r="Q272" t="str">
        <f>IFERROR(VLOOKUP(D272,'Team Data'!C:AB,15,FALSE),"")</f>
        <v/>
      </c>
      <c r="R272" t="str">
        <f>IFERROR(VLOOKUP('OB Format'!D272,'Team Data'!C:AB,24,FALSE),"")</f>
        <v/>
      </c>
      <c r="S272" t="str">
        <f>IFERROR(VLOOKUP('OB Format'!D272,'Team Data'!C:AC,25,FALSE),"")</f>
        <v/>
      </c>
    </row>
    <row r="273" spans="5:19" x14ac:dyDescent="0.25">
      <c r="E273" t="str">
        <f>IFERROR(VLOOKUP(D273,'Team Data'!C:AB,4,FALSE),"")</f>
        <v/>
      </c>
      <c r="F273" t="str">
        <f>IFERROR(VLOOKUP(D273,'Team Data'!C:AB,5,FALSE),"")</f>
        <v/>
      </c>
      <c r="G273" t="str">
        <f>IFERROR(VLOOKUP('OB Format'!D273,'Team Data'!C:AB,17,FALSE),"")</f>
        <v/>
      </c>
      <c r="H273" t="str">
        <f>IFERROR(VLOOKUP(D273,'Team Data'!C:AB,7,FALSE),"")</f>
        <v/>
      </c>
      <c r="I273" t="str">
        <f>IFERROR(VLOOKUP(D273,'Team Data'!C:AB,14,FALSE),"")</f>
        <v/>
      </c>
      <c r="J273" t="str">
        <f>IFERROR(VLOOKUP(D273,'Team Data'!C:AB,8,FALSE),"")</f>
        <v/>
      </c>
      <c r="K273" t="str">
        <f>IFERROR(VLOOKUP(D273,'Team Data'!C:AB,9,FALSE),"")</f>
        <v/>
      </c>
      <c r="L273" t="str">
        <f>IFERROR(VLOOKUP(D273,'Team Data'!C:AB,10,FALSE),"")</f>
        <v/>
      </c>
      <c r="M273" t="str">
        <f t="shared" si="10"/>
        <v/>
      </c>
      <c r="N273" t="str">
        <f>IFERROR(VLOOKUP(D273,'Team Data'!C:AB,23,FALSE),"")</f>
        <v/>
      </c>
      <c r="O273" t="str">
        <f>IFERROR(VLOOKUP(D273,'Team Data'!C:AB,22,FALSE),"")</f>
        <v/>
      </c>
      <c r="P273" t="str">
        <f t="shared" si="11"/>
        <v/>
      </c>
      <c r="Q273" t="str">
        <f>IFERROR(VLOOKUP(D273,'Team Data'!C:AB,15,FALSE),"")</f>
        <v/>
      </c>
      <c r="R273" t="str">
        <f>IFERROR(VLOOKUP('OB Format'!D273,'Team Data'!C:AB,24,FALSE),"")</f>
        <v/>
      </c>
      <c r="S273" t="str">
        <f>IFERROR(VLOOKUP('OB Format'!D273,'Team Data'!C:AC,25,FALSE),"")</f>
        <v/>
      </c>
    </row>
    <row r="274" spans="5:19" x14ac:dyDescent="0.25">
      <c r="E274" t="str">
        <f>IFERROR(VLOOKUP(D274,'Team Data'!C:AB,4,FALSE),"")</f>
        <v/>
      </c>
      <c r="F274" t="str">
        <f>IFERROR(VLOOKUP(D274,'Team Data'!C:AB,5,FALSE),"")</f>
        <v/>
      </c>
      <c r="G274" t="str">
        <f>IFERROR(VLOOKUP('OB Format'!D274,'Team Data'!C:AB,17,FALSE),"")</f>
        <v/>
      </c>
      <c r="H274" t="str">
        <f>IFERROR(VLOOKUP(D274,'Team Data'!C:AB,7,FALSE),"")</f>
        <v/>
      </c>
      <c r="I274" t="str">
        <f>IFERROR(VLOOKUP(D274,'Team Data'!C:AB,14,FALSE),"")</f>
        <v/>
      </c>
      <c r="J274" t="str">
        <f>IFERROR(VLOOKUP(D274,'Team Data'!C:AB,8,FALSE),"")</f>
        <v/>
      </c>
      <c r="K274" t="str">
        <f>IFERROR(VLOOKUP(D274,'Team Data'!C:AB,9,FALSE),"")</f>
        <v/>
      </c>
      <c r="L274" t="str">
        <f>IFERROR(VLOOKUP(D274,'Team Data'!C:AB,10,FALSE),"")</f>
        <v/>
      </c>
      <c r="M274" t="str">
        <f t="shared" si="10"/>
        <v/>
      </c>
      <c r="N274" t="str">
        <f>IFERROR(VLOOKUP(D274,'Team Data'!C:AB,23,FALSE),"")</f>
        <v/>
      </c>
      <c r="O274" t="str">
        <f>IFERROR(VLOOKUP(D274,'Team Data'!C:AB,22,FALSE),"")</f>
        <v/>
      </c>
      <c r="P274" t="str">
        <f t="shared" si="11"/>
        <v/>
      </c>
      <c r="Q274" t="str">
        <f>IFERROR(VLOOKUP(D274,'Team Data'!C:AB,15,FALSE),"")</f>
        <v/>
      </c>
      <c r="R274" t="str">
        <f>IFERROR(VLOOKUP('OB Format'!D274,'Team Data'!C:AB,24,FALSE),"")</f>
        <v/>
      </c>
      <c r="S274" t="str">
        <f>IFERROR(VLOOKUP('OB Format'!D274,'Team Data'!C:AC,25,FALSE),"")</f>
        <v/>
      </c>
    </row>
    <row r="275" spans="5:19" x14ac:dyDescent="0.25">
      <c r="E275" t="str">
        <f>IFERROR(VLOOKUP(D275,'Team Data'!C:AB,4,FALSE),"")</f>
        <v/>
      </c>
      <c r="F275" t="str">
        <f>IFERROR(VLOOKUP(D275,'Team Data'!C:AB,5,FALSE),"")</f>
        <v/>
      </c>
      <c r="G275" t="str">
        <f>IFERROR(VLOOKUP('OB Format'!D275,'Team Data'!C:AB,17,FALSE),"")</f>
        <v/>
      </c>
      <c r="H275" t="str">
        <f>IFERROR(VLOOKUP(D275,'Team Data'!C:AB,7,FALSE),"")</f>
        <v/>
      </c>
      <c r="I275" t="str">
        <f>IFERROR(VLOOKUP(D275,'Team Data'!C:AB,14,FALSE),"")</f>
        <v/>
      </c>
      <c r="J275" t="str">
        <f>IFERROR(VLOOKUP(D275,'Team Data'!C:AB,8,FALSE),"")</f>
        <v/>
      </c>
      <c r="K275" t="str">
        <f>IFERROR(VLOOKUP(D275,'Team Data'!C:AB,9,FALSE),"")</f>
        <v/>
      </c>
      <c r="L275" t="str">
        <f>IFERROR(VLOOKUP(D275,'Team Data'!C:AB,10,FALSE),"")</f>
        <v/>
      </c>
      <c r="M275" t="str">
        <f t="shared" si="10"/>
        <v/>
      </c>
      <c r="N275" t="str">
        <f>IFERROR(VLOOKUP(D275,'Team Data'!C:AB,23,FALSE),"")</f>
        <v/>
      </c>
      <c r="O275" t="str">
        <f>IFERROR(VLOOKUP(D275,'Team Data'!C:AB,22,FALSE),"")</f>
        <v/>
      </c>
      <c r="P275" t="str">
        <f t="shared" si="11"/>
        <v/>
      </c>
      <c r="Q275" t="str">
        <f>IFERROR(VLOOKUP(D275,'Team Data'!C:AB,15,FALSE),"")</f>
        <v/>
      </c>
      <c r="R275" t="str">
        <f>IFERROR(VLOOKUP('OB Format'!D275,'Team Data'!C:AB,24,FALSE),"")</f>
        <v/>
      </c>
      <c r="S275" t="str">
        <f>IFERROR(VLOOKUP('OB Format'!D275,'Team Data'!C:AC,25,FALSE),"")</f>
        <v/>
      </c>
    </row>
    <row r="276" spans="5:19" x14ac:dyDescent="0.25">
      <c r="E276" t="str">
        <f>IFERROR(VLOOKUP(D276,'Team Data'!C:AB,4,FALSE),"")</f>
        <v/>
      </c>
      <c r="F276" t="str">
        <f>IFERROR(VLOOKUP(D276,'Team Data'!C:AB,5,FALSE),"")</f>
        <v/>
      </c>
      <c r="G276" t="str">
        <f>IFERROR(VLOOKUP('OB Format'!D276,'Team Data'!C:AB,17,FALSE),"")</f>
        <v/>
      </c>
      <c r="H276" t="str">
        <f>IFERROR(VLOOKUP(D276,'Team Data'!C:AB,7,FALSE),"")</f>
        <v/>
      </c>
      <c r="I276" t="str">
        <f>IFERROR(VLOOKUP(D276,'Team Data'!C:AB,14,FALSE),"")</f>
        <v/>
      </c>
      <c r="J276" t="str">
        <f>IFERROR(VLOOKUP(D276,'Team Data'!C:AB,8,FALSE),"")</f>
        <v/>
      </c>
      <c r="K276" t="str">
        <f>IFERROR(VLOOKUP(D276,'Team Data'!C:AB,9,FALSE),"")</f>
        <v/>
      </c>
      <c r="L276" t="str">
        <f>IFERROR(VLOOKUP(D276,'Team Data'!C:AB,10,FALSE),"")</f>
        <v/>
      </c>
      <c r="M276" t="str">
        <f t="shared" si="10"/>
        <v/>
      </c>
      <c r="N276" t="str">
        <f>IFERROR(VLOOKUP(D276,'Team Data'!C:AB,23,FALSE),"")</f>
        <v/>
      </c>
      <c r="O276" t="str">
        <f>IFERROR(VLOOKUP(D276,'Team Data'!C:AB,22,FALSE),"")</f>
        <v/>
      </c>
      <c r="P276" t="str">
        <f t="shared" si="11"/>
        <v/>
      </c>
      <c r="Q276" t="str">
        <f>IFERROR(VLOOKUP(D276,'Team Data'!C:AB,15,FALSE),"")</f>
        <v/>
      </c>
      <c r="R276" t="str">
        <f>IFERROR(VLOOKUP('OB Format'!D276,'Team Data'!C:AB,24,FALSE),"")</f>
        <v/>
      </c>
      <c r="S276" t="str">
        <f>IFERROR(VLOOKUP('OB Format'!D276,'Team Data'!C:AC,25,FALSE),"")</f>
        <v/>
      </c>
    </row>
    <row r="277" spans="5:19" x14ac:dyDescent="0.25">
      <c r="E277" t="str">
        <f>IFERROR(VLOOKUP(D277,'Team Data'!C:AB,4,FALSE),"")</f>
        <v/>
      </c>
      <c r="F277" t="str">
        <f>IFERROR(VLOOKUP(D277,'Team Data'!C:AB,5,FALSE),"")</f>
        <v/>
      </c>
      <c r="G277" t="str">
        <f>IFERROR(VLOOKUP('OB Format'!D277,'Team Data'!C:AB,17,FALSE),"")</f>
        <v/>
      </c>
      <c r="H277" t="str">
        <f>IFERROR(VLOOKUP(D277,'Team Data'!C:AB,7,FALSE),"")</f>
        <v/>
      </c>
      <c r="I277" t="str">
        <f>IFERROR(VLOOKUP(D277,'Team Data'!C:AB,14,FALSE),"")</f>
        <v/>
      </c>
      <c r="J277" t="str">
        <f>IFERROR(VLOOKUP(D277,'Team Data'!C:AB,8,FALSE),"")</f>
        <v/>
      </c>
      <c r="K277" t="str">
        <f>IFERROR(VLOOKUP(D277,'Team Data'!C:AB,9,FALSE),"")</f>
        <v/>
      </c>
      <c r="L277" t="str">
        <f>IFERROR(VLOOKUP(D277,'Team Data'!C:AB,10,FALSE),"")</f>
        <v/>
      </c>
      <c r="M277" t="str">
        <f t="shared" si="10"/>
        <v/>
      </c>
      <c r="N277" t="str">
        <f>IFERROR(VLOOKUP(D277,'Team Data'!C:AB,23,FALSE),"")</f>
        <v/>
      </c>
      <c r="O277" t="str">
        <f>IFERROR(VLOOKUP(D277,'Team Data'!C:AB,22,FALSE),"")</f>
        <v/>
      </c>
      <c r="P277" t="str">
        <f t="shared" si="11"/>
        <v/>
      </c>
      <c r="Q277" t="str">
        <f>IFERROR(VLOOKUP(D277,'Team Data'!C:AB,15,FALSE),"")</f>
        <v/>
      </c>
      <c r="R277" t="str">
        <f>IFERROR(VLOOKUP('OB Format'!D277,'Team Data'!C:AB,24,FALSE),"")</f>
        <v/>
      </c>
      <c r="S277" t="str">
        <f>IFERROR(VLOOKUP('OB Format'!D277,'Team Data'!C:AC,25,FALSE),"")</f>
        <v/>
      </c>
    </row>
    <row r="278" spans="5:19" x14ac:dyDescent="0.25">
      <c r="E278" t="str">
        <f>IFERROR(VLOOKUP(D278,'Team Data'!C:AB,4,FALSE),"")</f>
        <v/>
      </c>
      <c r="F278" t="str">
        <f>IFERROR(VLOOKUP(D278,'Team Data'!C:AB,5,FALSE),"")</f>
        <v/>
      </c>
      <c r="G278" t="str">
        <f>IFERROR(VLOOKUP('OB Format'!D278,'Team Data'!C:AB,17,FALSE),"")</f>
        <v/>
      </c>
      <c r="H278" t="str">
        <f>IFERROR(VLOOKUP(D278,'Team Data'!C:AB,7,FALSE),"")</f>
        <v/>
      </c>
      <c r="I278" t="str">
        <f>IFERROR(VLOOKUP(D278,'Team Data'!C:AB,14,FALSE),"")</f>
        <v/>
      </c>
      <c r="J278" t="str">
        <f>IFERROR(VLOOKUP(D278,'Team Data'!C:AB,8,FALSE),"")</f>
        <v/>
      </c>
      <c r="K278" t="str">
        <f>IFERROR(VLOOKUP(D278,'Team Data'!C:AB,9,FALSE),"")</f>
        <v/>
      </c>
      <c r="L278" t="str">
        <f>IFERROR(VLOOKUP(D278,'Team Data'!C:AB,10,FALSE),"")</f>
        <v/>
      </c>
      <c r="M278" t="str">
        <f t="shared" si="10"/>
        <v/>
      </c>
      <c r="N278" t="str">
        <f>IFERROR(VLOOKUP(D278,'Team Data'!C:AB,23,FALSE),"")</f>
        <v/>
      </c>
      <c r="O278" t="str">
        <f>IFERROR(VLOOKUP(D278,'Team Data'!C:AB,22,FALSE),"")</f>
        <v/>
      </c>
      <c r="P278" t="str">
        <f t="shared" si="11"/>
        <v/>
      </c>
      <c r="Q278" t="str">
        <f>IFERROR(VLOOKUP(D278,'Team Data'!C:AB,15,FALSE),"")</f>
        <v/>
      </c>
      <c r="R278" t="str">
        <f>IFERROR(VLOOKUP('OB Format'!D278,'Team Data'!C:AB,24,FALSE),"")</f>
        <v/>
      </c>
      <c r="S278" t="str">
        <f>IFERROR(VLOOKUP('OB Format'!D278,'Team Data'!C:AC,25,FALSE),"")</f>
        <v/>
      </c>
    </row>
    <row r="279" spans="5:19" x14ac:dyDescent="0.25">
      <c r="E279" t="str">
        <f>IFERROR(VLOOKUP(D279,'Team Data'!C:AB,4,FALSE),"")</f>
        <v/>
      </c>
      <c r="F279" t="str">
        <f>IFERROR(VLOOKUP(D279,'Team Data'!C:AB,5,FALSE),"")</f>
        <v/>
      </c>
      <c r="G279" t="str">
        <f>IFERROR(VLOOKUP('OB Format'!D279,'Team Data'!C:AB,17,FALSE),"")</f>
        <v/>
      </c>
      <c r="H279" t="str">
        <f>IFERROR(VLOOKUP(D279,'Team Data'!C:AB,7,FALSE),"")</f>
        <v/>
      </c>
      <c r="I279" t="str">
        <f>IFERROR(VLOOKUP(D279,'Team Data'!C:AB,14,FALSE),"")</f>
        <v/>
      </c>
      <c r="J279" t="str">
        <f>IFERROR(VLOOKUP(D279,'Team Data'!C:AB,8,FALSE),"")</f>
        <v/>
      </c>
      <c r="K279" t="str">
        <f>IFERROR(VLOOKUP(D279,'Team Data'!C:AB,9,FALSE),"")</f>
        <v/>
      </c>
      <c r="L279" t="str">
        <f>IFERROR(VLOOKUP(D279,'Team Data'!C:AB,10,FALSE),"")</f>
        <v/>
      </c>
      <c r="M279" t="str">
        <f t="shared" si="10"/>
        <v/>
      </c>
      <c r="N279" t="str">
        <f>IFERROR(VLOOKUP(D279,'Team Data'!C:AB,23,FALSE),"")</f>
        <v/>
      </c>
      <c r="O279" t="str">
        <f>IFERROR(VLOOKUP(D279,'Team Data'!C:AB,22,FALSE),"")</f>
        <v/>
      </c>
      <c r="P279" t="str">
        <f t="shared" si="11"/>
        <v/>
      </c>
      <c r="Q279" t="str">
        <f>IFERROR(VLOOKUP(D279,'Team Data'!C:AB,15,FALSE),"")</f>
        <v/>
      </c>
      <c r="R279" t="str">
        <f>IFERROR(VLOOKUP('OB Format'!D279,'Team Data'!C:AB,24,FALSE),"")</f>
        <v/>
      </c>
      <c r="S279" t="str">
        <f>IFERROR(VLOOKUP('OB Format'!D279,'Team Data'!C:AC,25,FALSE),"")</f>
        <v/>
      </c>
    </row>
    <row r="280" spans="5:19" x14ac:dyDescent="0.25">
      <c r="E280" t="str">
        <f>IFERROR(VLOOKUP(D280,'Team Data'!C:AB,4,FALSE),"")</f>
        <v/>
      </c>
      <c r="F280" t="str">
        <f>IFERROR(VLOOKUP(D280,'Team Data'!C:AB,5,FALSE),"")</f>
        <v/>
      </c>
      <c r="G280" t="str">
        <f>IFERROR(VLOOKUP('OB Format'!D280,'Team Data'!C:AB,17,FALSE),"")</f>
        <v/>
      </c>
      <c r="H280" t="str">
        <f>IFERROR(VLOOKUP(D280,'Team Data'!C:AB,7,FALSE),"")</f>
        <v/>
      </c>
      <c r="I280" t="str">
        <f>IFERROR(VLOOKUP(D280,'Team Data'!C:AB,14,FALSE),"")</f>
        <v/>
      </c>
      <c r="J280" t="str">
        <f>IFERROR(VLOOKUP(D280,'Team Data'!C:AB,8,FALSE),"")</f>
        <v/>
      </c>
      <c r="K280" t="str">
        <f>IFERROR(VLOOKUP(D280,'Team Data'!C:AB,9,FALSE),"")</f>
        <v/>
      </c>
      <c r="L280" t="str">
        <f>IFERROR(VLOOKUP(D280,'Team Data'!C:AB,10,FALSE),"")</f>
        <v/>
      </c>
      <c r="M280" t="str">
        <f t="shared" si="10"/>
        <v/>
      </c>
      <c r="N280" t="str">
        <f>IFERROR(VLOOKUP(D280,'Team Data'!C:AB,23,FALSE),"")</f>
        <v/>
      </c>
      <c r="O280" t="str">
        <f>IFERROR(VLOOKUP(D280,'Team Data'!C:AB,22,FALSE),"")</f>
        <v/>
      </c>
      <c r="P280" t="str">
        <f t="shared" si="11"/>
        <v/>
      </c>
      <c r="Q280" t="str">
        <f>IFERROR(VLOOKUP(D280,'Team Data'!C:AB,15,FALSE),"")</f>
        <v/>
      </c>
      <c r="R280" t="str">
        <f>IFERROR(VLOOKUP('OB Format'!D280,'Team Data'!C:AB,24,FALSE),"")</f>
        <v/>
      </c>
      <c r="S280" t="str">
        <f>IFERROR(VLOOKUP('OB Format'!D280,'Team Data'!C:AC,25,FALSE),"")</f>
        <v/>
      </c>
    </row>
    <row r="281" spans="5:19" x14ac:dyDescent="0.25">
      <c r="E281" t="str">
        <f>IFERROR(VLOOKUP(D281,'Team Data'!C:AB,4,FALSE),"")</f>
        <v/>
      </c>
      <c r="F281" t="str">
        <f>IFERROR(VLOOKUP(D281,'Team Data'!C:AB,5,FALSE),"")</f>
        <v/>
      </c>
      <c r="G281" t="str">
        <f>IFERROR(VLOOKUP('OB Format'!D281,'Team Data'!C:AB,17,FALSE),"")</f>
        <v/>
      </c>
      <c r="H281" t="str">
        <f>IFERROR(VLOOKUP(D281,'Team Data'!C:AB,7,FALSE),"")</f>
        <v/>
      </c>
      <c r="I281" t="str">
        <f>IFERROR(VLOOKUP(D281,'Team Data'!C:AB,14,FALSE),"")</f>
        <v/>
      </c>
      <c r="J281" t="str">
        <f>IFERROR(VLOOKUP(D281,'Team Data'!C:AB,8,FALSE),"")</f>
        <v/>
      </c>
      <c r="K281" t="str">
        <f>IFERROR(VLOOKUP(D281,'Team Data'!C:AB,9,FALSE),"")</f>
        <v/>
      </c>
      <c r="L281" t="str">
        <f>IFERROR(VLOOKUP(D281,'Team Data'!C:AB,10,FALSE),"")</f>
        <v/>
      </c>
      <c r="M281" t="str">
        <f t="shared" si="10"/>
        <v/>
      </c>
      <c r="N281" t="str">
        <f>IFERROR(VLOOKUP(D281,'Team Data'!C:AB,23,FALSE),"")</f>
        <v/>
      </c>
      <c r="O281" t="str">
        <f>IFERROR(VLOOKUP(D281,'Team Data'!C:AB,22,FALSE),"")</f>
        <v/>
      </c>
      <c r="P281" t="str">
        <f t="shared" si="11"/>
        <v/>
      </c>
      <c r="Q281" t="str">
        <f>IFERROR(VLOOKUP(D281,'Team Data'!C:AB,15,FALSE),"")</f>
        <v/>
      </c>
      <c r="R281" t="str">
        <f>IFERROR(VLOOKUP('OB Format'!D281,'Team Data'!C:AB,24,FALSE),"")</f>
        <v/>
      </c>
      <c r="S281" t="str">
        <f>IFERROR(VLOOKUP('OB Format'!D281,'Team Data'!C:AC,25,FALSE),"")</f>
        <v/>
      </c>
    </row>
    <row r="282" spans="5:19" x14ac:dyDescent="0.25">
      <c r="E282" t="str">
        <f>IFERROR(VLOOKUP(D282,'Team Data'!C:AB,4,FALSE),"")</f>
        <v/>
      </c>
      <c r="F282" t="str">
        <f>IFERROR(VLOOKUP(D282,'Team Data'!C:AB,5,FALSE),"")</f>
        <v/>
      </c>
      <c r="G282" t="str">
        <f>IFERROR(VLOOKUP('OB Format'!D282,'Team Data'!C:AB,17,FALSE),"")</f>
        <v/>
      </c>
      <c r="H282" t="str">
        <f>IFERROR(VLOOKUP(D282,'Team Data'!C:AB,7,FALSE),"")</f>
        <v/>
      </c>
      <c r="I282" t="str">
        <f>IFERROR(VLOOKUP(D282,'Team Data'!C:AB,14,FALSE),"")</f>
        <v/>
      </c>
      <c r="J282" t="str">
        <f>IFERROR(VLOOKUP(D282,'Team Data'!C:AB,8,FALSE),"")</f>
        <v/>
      </c>
      <c r="K282" t="str">
        <f>IFERROR(VLOOKUP(D282,'Team Data'!C:AB,9,FALSE),"")</f>
        <v/>
      </c>
      <c r="L282" t="str">
        <f>IFERROR(VLOOKUP(D282,'Team Data'!C:AB,10,FALSE),"")</f>
        <v/>
      </c>
      <c r="M282" t="str">
        <f t="shared" si="10"/>
        <v/>
      </c>
      <c r="N282" t="str">
        <f>IFERROR(VLOOKUP(D282,'Team Data'!C:AB,23,FALSE),"")</f>
        <v/>
      </c>
      <c r="O282" t="str">
        <f>IFERROR(VLOOKUP(D282,'Team Data'!C:AB,22,FALSE),"")</f>
        <v/>
      </c>
      <c r="P282" t="str">
        <f t="shared" si="11"/>
        <v/>
      </c>
      <c r="Q282" t="str">
        <f>IFERROR(VLOOKUP(D282,'Team Data'!C:AB,15,FALSE),"")</f>
        <v/>
      </c>
      <c r="R282" t="str">
        <f>IFERROR(VLOOKUP('OB Format'!D282,'Team Data'!C:AB,24,FALSE),"")</f>
        <v/>
      </c>
      <c r="S282" t="str">
        <f>IFERROR(VLOOKUP('OB Format'!D282,'Team Data'!C:AC,25,FALSE),"")</f>
        <v/>
      </c>
    </row>
    <row r="283" spans="5:19" x14ac:dyDescent="0.25">
      <c r="E283" t="str">
        <f>IFERROR(VLOOKUP(D283,'Team Data'!C:AB,4,FALSE),"")</f>
        <v/>
      </c>
      <c r="F283" t="str">
        <f>IFERROR(VLOOKUP(D283,'Team Data'!C:AB,5,FALSE),"")</f>
        <v/>
      </c>
      <c r="G283" t="str">
        <f>IFERROR(VLOOKUP('OB Format'!D283,'Team Data'!C:AB,17,FALSE),"")</f>
        <v/>
      </c>
      <c r="H283" t="str">
        <f>IFERROR(VLOOKUP(D283,'Team Data'!C:AB,7,FALSE),"")</f>
        <v/>
      </c>
      <c r="I283" t="str">
        <f>IFERROR(VLOOKUP(D283,'Team Data'!C:AB,14,FALSE),"")</f>
        <v/>
      </c>
      <c r="J283" t="str">
        <f>IFERROR(VLOOKUP(D283,'Team Data'!C:AB,8,FALSE),"")</f>
        <v/>
      </c>
      <c r="K283" t="str">
        <f>IFERROR(VLOOKUP(D283,'Team Data'!C:AB,9,FALSE),"")</f>
        <v/>
      </c>
      <c r="L283" t="str">
        <f>IFERROR(VLOOKUP(D283,'Team Data'!C:AB,10,FALSE),"")</f>
        <v/>
      </c>
      <c r="M283" t="str">
        <f t="shared" si="10"/>
        <v/>
      </c>
      <c r="N283" t="str">
        <f>IFERROR(VLOOKUP(D283,'Team Data'!C:AB,23,FALSE),"")</f>
        <v/>
      </c>
      <c r="O283" t="str">
        <f>IFERROR(VLOOKUP(D283,'Team Data'!C:AB,22,FALSE),"")</f>
        <v/>
      </c>
      <c r="P283" t="str">
        <f t="shared" si="11"/>
        <v/>
      </c>
      <c r="Q283" t="str">
        <f>IFERROR(VLOOKUP(D283,'Team Data'!C:AB,15,FALSE),"")</f>
        <v/>
      </c>
      <c r="R283" t="str">
        <f>IFERROR(VLOOKUP('OB Format'!D283,'Team Data'!C:AB,24,FALSE),"")</f>
        <v/>
      </c>
      <c r="S283" t="str">
        <f>IFERROR(VLOOKUP('OB Format'!D283,'Team Data'!C:AC,25,FALSE),"")</f>
        <v/>
      </c>
    </row>
    <row r="284" spans="5:19" x14ac:dyDescent="0.25">
      <c r="E284" t="str">
        <f>IFERROR(VLOOKUP(D284,'Team Data'!C:AB,4,FALSE),"")</f>
        <v/>
      </c>
      <c r="F284" t="str">
        <f>IFERROR(VLOOKUP(D284,'Team Data'!C:AB,5,FALSE),"")</f>
        <v/>
      </c>
      <c r="G284" t="str">
        <f>IFERROR(VLOOKUP('OB Format'!D284,'Team Data'!C:AB,17,FALSE),"")</f>
        <v/>
      </c>
      <c r="H284" t="str">
        <f>IFERROR(VLOOKUP(D284,'Team Data'!C:AB,7,FALSE),"")</f>
        <v/>
      </c>
      <c r="I284" t="str">
        <f>IFERROR(VLOOKUP(D284,'Team Data'!C:AB,14,FALSE),"")</f>
        <v/>
      </c>
      <c r="J284" t="str">
        <f>IFERROR(VLOOKUP(D284,'Team Data'!C:AB,8,FALSE),"")</f>
        <v/>
      </c>
      <c r="K284" t="str">
        <f>IFERROR(VLOOKUP(D284,'Team Data'!C:AB,9,FALSE),"")</f>
        <v/>
      </c>
      <c r="L284" t="str">
        <f>IFERROR(VLOOKUP(D284,'Team Data'!C:AB,10,FALSE),"")</f>
        <v/>
      </c>
      <c r="M284" t="str">
        <f t="shared" si="10"/>
        <v/>
      </c>
      <c r="N284" t="str">
        <f>IFERROR(VLOOKUP(D284,'Team Data'!C:AB,23,FALSE),"")</f>
        <v/>
      </c>
      <c r="O284" t="str">
        <f>IFERROR(VLOOKUP(D284,'Team Data'!C:AB,22,FALSE),"")</f>
        <v/>
      </c>
      <c r="P284" t="str">
        <f t="shared" si="11"/>
        <v/>
      </c>
      <c r="Q284" t="str">
        <f>IFERROR(VLOOKUP(D284,'Team Data'!C:AB,15,FALSE),"")</f>
        <v/>
      </c>
      <c r="R284" t="str">
        <f>IFERROR(VLOOKUP('OB Format'!D284,'Team Data'!C:AB,24,FALSE),"")</f>
        <v/>
      </c>
      <c r="S284" t="str">
        <f>IFERROR(VLOOKUP('OB Format'!D284,'Team Data'!C:AC,25,FALSE),"")</f>
        <v/>
      </c>
    </row>
    <row r="285" spans="5:19" x14ac:dyDescent="0.25">
      <c r="E285" t="str">
        <f>IFERROR(VLOOKUP(D285,'Team Data'!C:AB,4,FALSE),"")</f>
        <v/>
      </c>
      <c r="F285" t="str">
        <f>IFERROR(VLOOKUP(D285,'Team Data'!C:AB,5,FALSE),"")</f>
        <v/>
      </c>
      <c r="G285" t="str">
        <f>IFERROR(VLOOKUP('OB Format'!D285,'Team Data'!C:AB,17,FALSE),"")</f>
        <v/>
      </c>
      <c r="H285" t="str">
        <f>IFERROR(VLOOKUP(D285,'Team Data'!C:AB,7,FALSE),"")</f>
        <v/>
      </c>
      <c r="I285" t="str">
        <f>IFERROR(VLOOKUP(D285,'Team Data'!C:AB,14,FALSE),"")</f>
        <v/>
      </c>
      <c r="J285" t="str">
        <f>IFERROR(VLOOKUP(D285,'Team Data'!C:AB,8,FALSE),"")</f>
        <v/>
      </c>
      <c r="K285" t="str">
        <f>IFERROR(VLOOKUP(D285,'Team Data'!C:AB,9,FALSE),"")</f>
        <v/>
      </c>
      <c r="L285" t="str">
        <f>IFERROR(VLOOKUP(D285,'Team Data'!C:AB,10,FALSE),"")</f>
        <v/>
      </c>
      <c r="M285" t="str">
        <f t="shared" si="10"/>
        <v/>
      </c>
      <c r="N285" t="str">
        <f>IFERROR(VLOOKUP(D285,'Team Data'!C:AB,23,FALSE),"")</f>
        <v/>
      </c>
      <c r="O285" t="str">
        <f>IFERROR(VLOOKUP(D285,'Team Data'!C:AB,22,FALSE),"")</f>
        <v/>
      </c>
      <c r="P285" t="str">
        <f t="shared" si="11"/>
        <v/>
      </c>
      <c r="Q285" t="str">
        <f>IFERROR(VLOOKUP(D285,'Team Data'!C:AB,15,FALSE),"")</f>
        <v/>
      </c>
      <c r="R285" t="str">
        <f>IFERROR(VLOOKUP('OB Format'!D285,'Team Data'!C:AB,24,FALSE),"")</f>
        <v/>
      </c>
      <c r="S285" t="str">
        <f>IFERROR(VLOOKUP('OB Format'!D285,'Team Data'!C:AC,25,FALSE),"")</f>
        <v/>
      </c>
    </row>
    <row r="286" spans="5:19" x14ac:dyDescent="0.25">
      <c r="E286" t="str">
        <f>IFERROR(VLOOKUP(D286,'Team Data'!C:AB,4,FALSE),"")</f>
        <v/>
      </c>
      <c r="F286" t="str">
        <f>IFERROR(VLOOKUP(D286,'Team Data'!C:AB,5,FALSE),"")</f>
        <v/>
      </c>
      <c r="G286" t="str">
        <f>IFERROR(VLOOKUP('OB Format'!D286,'Team Data'!C:AB,17,FALSE),"")</f>
        <v/>
      </c>
      <c r="H286" t="str">
        <f>IFERROR(VLOOKUP(D286,'Team Data'!C:AB,7,FALSE),"")</f>
        <v/>
      </c>
      <c r="I286" t="str">
        <f>IFERROR(VLOOKUP(D286,'Team Data'!C:AB,14,FALSE),"")</f>
        <v/>
      </c>
      <c r="J286" t="str">
        <f>IFERROR(VLOOKUP(D286,'Team Data'!C:AB,8,FALSE),"")</f>
        <v/>
      </c>
      <c r="K286" t="str">
        <f>IFERROR(VLOOKUP(D286,'Team Data'!C:AB,9,FALSE),"")</f>
        <v/>
      </c>
      <c r="L286" t="str">
        <f>IFERROR(VLOOKUP(D286,'Team Data'!C:AB,10,FALSE),"")</f>
        <v/>
      </c>
      <c r="M286" t="str">
        <f t="shared" si="10"/>
        <v/>
      </c>
      <c r="N286" t="str">
        <f>IFERROR(VLOOKUP(D286,'Team Data'!C:AB,23,FALSE),"")</f>
        <v/>
      </c>
      <c r="O286" t="str">
        <f>IFERROR(VLOOKUP(D286,'Team Data'!C:AB,22,FALSE),"")</f>
        <v/>
      </c>
      <c r="P286" t="str">
        <f t="shared" si="11"/>
        <v/>
      </c>
      <c r="Q286" t="str">
        <f>IFERROR(VLOOKUP(D286,'Team Data'!C:AB,15,FALSE),"")</f>
        <v/>
      </c>
      <c r="R286" t="str">
        <f>IFERROR(VLOOKUP('OB Format'!D286,'Team Data'!C:AB,24,FALSE),"")</f>
        <v/>
      </c>
      <c r="S286" t="str">
        <f>IFERROR(VLOOKUP('OB Format'!D286,'Team Data'!C:AC,25,FALSE),"")</f>
        <v/>
      </c>
    </row>
    <row r="287" spans="5:19" x14ac:dyDescent="0.25">
      <c r="E287" t="str">
        <f>IFERROR(VLOOKUP(D287,'Team Data'!C:AB,4,FALSE),"")</f>
        <v/>
      </c>
      <c r="F287" t="str">
        <f>IFERROR(VLOOKUP(D287,'Team Data'!C:AB,5,FALSE),"")</f>
        <v/>
      </c>
      <c r="G287" t="str">
        <f>IFERROR(VLOOKUP('OB Format'!D287,'Team Data'!C:AB,17,FALSE),"")</f>
        <v/>
      </c>
      <c r="H287" t="str">
        <f>IFERROR(VLOOKUP(D287,'Team Data'!C:AB,7,FALSE),"")</f>
        <v/>
      </c>
      <c r="I287" t="str">
        <f>IFERROR(VLOOKUP(D287,'Team Data'!C:AB,14,FALSE),"")</f>
        <v/>
      </c>
      <c r="J287" t="str">
        <f>IFERROR(VLOOKUP(D287,'Team Data'!C:AB,8,FALSE),"")</f>
        <v/>
      </c>
      <c r="K287" t="str">
        <f>IFERROR(VLOOKUP(D287,'Team Data'!C:AB,9,FALSE),"")</f>
        <v/>
      </c>
      <c r="L287" t="str">
        <f>IFERROR(VLOOKUP(D287,'Team Data'!C:AB,10,FALSE),"")</f>
        <v/>
      </c>
      <c r="M287" t="str">
        <f t="shared" si="10"/>
        <v/>
      </c>
      <c r="N287" t="str">
        <f>IFERROR(VLOOKUP(D287,'Team Data'!C:AB,23,FALSE),"")</f>
        <v/>
      </c>
      <c r="O287" t="str">
        <f>IFERROR(VLOOKUP(D287,'Team Data'!C:AB,22,FALSE),"")</f>
        <v/>
      </c>
      <c r="P287" t="str">
        <f t="shared" si="11"/>
        <v/>
      </c>
      <c r="Q287" t="str">
        <f>IFERROR(VLOOKUP(D287,'Team Data'!C:AB,15,FALSE),"")</f>
        <v/>
      </c>
      <c r="R287" t="str">
        <f>IFERROR(VLOOKUP('OB Format'!D287,'Team Data'!C:AB,24,FALSE),"")</f>
        <v/>
      </c>
      <c r="S287" t="str">
        <f>IFERROR(VLOOKUP('OB Format'!D287,'Team Data'!C:AC,25,FALSE),"")</f>
        <v/>
      </c>
    </row>
    <row r="288" spans="5:19" x14ac:dyDescent="0.25">
      <c r="E288" t="str">
        <f>IFERROR(VLOOKUP(D288,'Team Data'!C:AB,4,FALSE),"")</f>
        <v/>
      </c>
      <c r="F288" t="str">
        <f>IFERROR(VLOOKUP(D288,'Team Data'!C:AB,5,FALSE),"")</f>
        <v/>
      </c>
      <c r="G288" t="str">
        <f>IFERROR(VLOOKUP('OB Format'!D288,'Team Data'!C:AB,17,FALSE),"")</f>
        <v/>
      </c>
      <c r="H288" t="str">
        <f>IFERROR(VLOOKUP(D288,'Team Data'!C:AB,7,FALSE),"")</f>
        <v/>
      </c>
      <c r="I288" t="str">
        <f>IFERROR(VLOOKUP(D288,'Team Data'!C:AB,14,FALSE),"")</f>
        <v/>
      </c>
      <c r="J288" t="str">
        <f>IFERROR(VLOOKUP(D288,'Team Data'!C:AB,8,FALSE),"")</f>
        <v/>
      </c>
      <c r="K288" t="str">
        <f>IFERROR(VLOOKUP(D288,'Team Data'!C:AB,9,FALSE),"")</f>
        <v/>
      </c>
      <c r="L288" t="str">
        <f>IFERROR(VLOOKUP(D288,'Team Data'!C:AB,10,FALSE),"")</f>
        <v/>
      </c>
      <c r="M288" t="str">
        <f t="shared" si="10"/>
        <v/>
      </c>
      <c r="N288" t="str">
        <f>IFERROR(VLOOKUP(D288,'Team Data'!C:AB,23,FALSE),"")</f>
        <v/>
      </c>
      <c r="O288" t="str">
        <f>IFERROR(VLOOKUP(D288,'Team Data'!C:AB,22,FALSE),"")</f>
        <v/>
      </c>
      <c r="P288" t="str">
        <f t="shared" si="11"/>
        <v/>
      </c>
      <c r="Q288" t="str">
        <f>IFERROR(VLOOKUP(D288,'Team Data'!C:AB,15,FALSE),"")</f>
        <v/>
      </c>
      <c r="R288" t="str">
        <f>IFERROR(VLOOKUP('OB Format'!D288,'Team Data'!C:AB,24,FALSE),"")</f>
        <v/>
      </c>
      <c r="S288" t="str">
        <f>IFERROR(VLOOKUP('OB Format'!D288,'Team Data'!C:AC,25,FALSE),"")</f>
        <v/>
      </c>
    </row>
    <row r="289" spans="5:19" x14ac:dyDescent="0.25">
      <c r="E289" t="str">
        <f>IFERROR(VLOOKUP(D289,'Team Data'!C:AB,4,FALSE),"")</f>
        <v/>
      </c>
      <c r="F289" t="str">
        <f>IFERROR(VLOOKUP(D289,'Team Data'!C:AB,5,FALSE),"")</f>
        <v/>
      </c>
      <c r="G289" t="str">
        <f>IFERROR(VLOOKUP('OB Format'!D289,'Team Data'!C:AB,17,FALSE),"")</f>
        <v/>
      </c>
      <c r="H289" t="str">
        <f>IFERROR(VLOOKUP(D289,'Team Data'!C:AB,7,FALSE),"")</f>
        <v/>
      </c>
      <c r="I289" t="str">
        <f>IFERROR(VLOOKUP(D289,'Team Data'!C:AB,14,FALSE),"")</f>
        <v/>
      </c>
      <c r="J289" t="str">
        <f>IFERROR(VLOOKUP(D289,'Team Data'!C:AB,8,FALSE),"")</f>
        <v/>
      </c>
      <c r="K289" t="str">
        <f>IFERROR(VLOOKUP(D289,'Team Data'!C:AB,9,FALSE),"")</f>
        <v/>
      </c>
      <c r="L289" t="str">
        <f>IFERROR(VLOOKUP(D289,'Team Data'!C:AB,10,FALSE),"")</f>
        <v/>
      </c>
      <c r="M289" t="str">
        <f t="shared" si="10"/>
        <v/>
      </c>
      <c r="N289" t="str">
        <f>IFERROR(VLOOKUP(D289,'Team Data'!C:AB,23,FALSE),"")</f>
        <v/>
      </c>
      <c r="O289" t="str">
        <f>IFERROR(VLOOKUP(D289,'Team Data'!C:AB,22,FALSE),"")</f>
        <v/>
      </c>
      <c r="P289" t="str">
        <f t="shared" si="11"/>
        <v/>
      </c>
      <c r="Q289" t="str">
        <f>IFERROR(VLOOKUP(D289,'Team Data'!C:AB,15,FALSE),"")</f>
        <v/>
      </c>
      <c r="R289" t="str">
        <f>IFERROR(VLOOKUP('OB Format'!D289,'Team Data'!C:AB,24,FALSE),"")</f>
        <v/>
      </c>
      <c r="S289" t="str">
        <f>IFERROR(VLOOKUP('OB Format'!D289,'Team Data'!C:AC,25,FALSE),"")</f>
        <v/>
      </c>
    </row>
    <row r="290" spans="5:19" x14ac:dyDescent="0.25">
      <c r="E290" t="str">
        <f>IFERROR(VLOOKUP(D290,'Team Data'!C:AB,4,FALSE),"")</f>
        <v/>
      </c>
      <c r="F290" t="str">
        <f>IFERROR(VLOOKUP(D290,'Team Data'!C:AB,5,FALSE),"")</f>
        <v/>
      </c>
      <c r="G290" t="str">
        <f>IFERROR(VLOOKUP('OB Format'!D290,'Team Data'!C:AB,17,FALSE),"")</f>
        <v/>
      </c>
      <c r="H290" t="str">
        <f>IFERROR(VLOOKUP(D290,'Team Data'!C:AB,7,FALSE),"")</f>
        <v/>
      </c>
      <c r="I290" t="str">
        <f>IFERROR(VLOOKUP(D290,'Team Data'!C:AB,14,FALSE),"")</f>
        <v/>
      </c>
      <c r="J290" t="str">
        <f>IFERROR(VLOOKUP(D290,'Team Data'!C:AB,8,FALSE),"")</f>
        <v/>
      </c>
      <c r="K290" t="str">
        <f>IFERROR(VLOOKUP(D290,'Team Data'!C:AB,9,FALSE),"")</f>
        <v/>
      </c>
      <c r="L290" t="str">
        <f>IFERROR(VLOOKUP(D290,'Team Data'!C:AB,10,FALSE),"")</f>
        <v/>
      </c>
      <c r="M290" t="str">
        <f t="shared" si="10"/>
        <v/>
      </c>
      <c r="N290" t="str">
        <f>IFERROR(VLOOKUP(D290,'Team Data'!C:AB,23,FALSE),"")</f>
        <v/>
      </c>
      <c r="O290" t="str">
        <f>IFERROR(VLOOKUP(D290,'Team Data'!C:AB,22,FALSE),"")</f>
        <v/>
      </c>
      <c r="P290" t="str">
        <f t="shared" si="11"/>
        <v/>
      </c>
      <c r="Q290" t="str">
        <f>IFERROR(VLOOKUP(D290,'Team Data'!C:AB,15,FALSE),"")</f>
        <v/>
      </c>
      <c r="R290" t="str">
        <f>IFERROR(VLOOKUP('OB Format'!D290,'Team Data'!C:AB,24,FALSE),"")</f>
        <v/>
      </c>
      <c r="S290" t="str">
        <f>IFERROR(VLOOKUP('OB Format'!D290,'Team Data'!C:AC,25,FALSE),"")</f>
        <v/>
      </c>
    </row>
    <row r="291" spans="5:19" x14ac:dyDescent="0.25">
      <c r="E291" t="str">
        <f>IFERROR(VLOOKUP(D291,'Team Data'!C:AB,4,FALSE),"")</f>
        <v/>
      </c>
      <c r="F291" t="str">
        <f>IFERROR(VLOOKUP(D291,'Team Data'!C:AB,5,FALSE),"")</f>
        <v/>
      </c>
      <c r="G291" t="str">
        <f>IFERROR(VLOOKUP('OB Format'!D291,'Team Data'!C:AB,17,FALSE),"")</f>
        <v/>
      </c>
      <c r="H291" t="str">
        <f>IFERROR(VLOOKUP(D291,'Team Data'!C:AB,7,FALSE),"")</f>
        <v/>
      </c>
      <c r="I291" t="str">
        <f>IFERROR(VLOOKUP(D291,'Team Data'!C:AB,14,FALSE),"")</f>
        <v/>
      </c>
      <c r="J291" t="str">
        <f>IFERROR(VLOOKUP(D291,'Team Data'!C:AB,8,FALSE),"")</f>
        <v/>
      </c>
      <c r="K291" t="str">
        <f>IFERROR(VLOOKUP(D291,'Team Data'!C:AB,9,FALSE),"")</f>
        <v/>
      </c>
      <c r="L291" t="str">
        <f>IFERROR(VLOOKUP(D291,'Team Data'!C:AB,10,FALSE),"")</f>
        <v/>
      </c>
      <c r="M291" t="str">
        <f t="shared" si="10"/>
        <v/>
      </c>
      <c r="N291" t="str">
        <f>IFERROR(VLOOKUP(D291,'Team Data'!C:AB,23,FALSE),"")</f>
        <v/>
      </c>
      <c r="O291" t="str">
        <f>IFERROR(VLOOKUP(D291,'Team Data'!C:AB,22,FALSE),"")</f>
        <v/>
      </c>
      <c r="P291" t="str">
        <f t="shared" si="11"/>
        <v/>
      </c>
      <c r="Q291" t="str">
        <f>IFERROR(VLOOKUP(D291,'Team Data'!C:AB,15,FALSE),"")</f>
        <v/>
      </c>
      <c r="R291" t="str">
        <f>IFERROR(VLOOKUP('OB Format'!D291,'Team Data'!C:AB,24,FALSE),"")</f>
        <v/>
      </c>
      <c r="S291" t="str">
        <f>IFERROR(VLOOKUP('OB Format'!D291,'Team Data'!C:AC,25,FALSE),"")</f>
        <v/>
      </c>
    </row>
    <row r="292" spans="5:19" x14ac:dyDescent="0.25">
      <c r="E292" t="str">
        <f>IFERROR(VLOOKUP(D292,'Team Data'!C:AB,4,FALSE),"")</f>
        <v/>
      </c>
      <c r="F292" t="str">
        <f>IFERROR(VLOOKUP(D292,'Team Data'!C:AB,5,FALSE),"")</f>
        <v/>
      </c>
      <c r="G292" t="str">
        <f>IFERROR(VLOOKUP('OB Format'!D292,'Team Data'!C:AB,17,FALSE),"")</f>
        <v/>
      </c>
      <c r="H292" t="str">
        <f>IFERROR(VLOOKUP(D292,'Team Data'!C:AB,7,FALSE),"")</f>
        <v/>
      </c>
      <c r="I292" t="str">
        <f>IFERROR(VLOOKUP(D292,'Team Data'!C:AB,14,FALSE),"")</f>
        <v/>
      </c>
      <c r="J292" t="str">
        <f>IFERROR(VLOOKUP(D292,'Team Data'!C:AB,8,FALSE),"")</f>
        <v/>
      </c>
      <c r="K292" t="str">
        <f>IFERROR(VLOOKUP(D292,'Team Data'!C:AB,9,FALSE),"")</f>
        <v/>
      </c>
      <c r="L292" t="str">
        <f>IFERROR(VLOOKUP(D292,'Team Data'!C:AB,10,FALSE),"")</f>
        <v/>
      </c>
      <c r="M292" t="str">
        <f t="shared" si="10"/>
        <v/>
      </c>
      <c r="N292" t="str">
        <f>IFERROR(VLOOKUP(D292,'Team Data'!C:AB,23,FALSE),"")</f>
        <v/>
      </c>
      <c r="O292" t="str">
        <f>IFERROR(VLOOKUP(D292,'Team Data'!C:AB,22,FALSE),"")</f>
        <v/>
      </c>
      <c r="P292" t="str">
        <f t="shared" si="11"/>
        <v/>
      </c>
      <c r="Q292" t="str">
        <f>IFERROR(VLOOKUP(D292,'Team Data'!C:AB,15,FALSE),"")</f>
        <v/>
      </c>
      <c r="R292" t="str">
        <f>IFERROR(VLOOKUP('OB Format'!D292,'Team Data'!C:AB,24,FALSE),"")</f>
        <v/>
      </c>
      <c r="S292" t="str">
        <f>IFERROR(VLOOKUP('OB Format'!D292,'Team Data'!C:AC,25,FALSE),"")</f>
        <v/>
      </c>
    </row>
    <row r="293" spans="5:19" x14ac:dyDescent="0.25">
      <c r="E293" t="str">
        <f>IFERROR(VLOOKUP(D293,'Team Data'!C:AB,4,FALSE),"")</f>
        <v/>
      </c>
      <c r="F293" t="str">
        <f>IFERROR(VLOOKUP(D293,'Team Data'!C:AB,5,FALSE),"")</f>
        <v/>
      </c>
      <c r="G293" t="str">
        <f>IFERROR(VLOOKUP('OB Format'!D293,'Team Data'!C:AB,17,FALSE),"")</f>
        <v/>
      </c>
      <c r="H293" t="str">
        <f>IFERROR(VLOOKUP(D293,'Team Data'!C:AB,7,FALSE),"")</f>
        <v/>
      </c>
      <c r="I293" t="str">
        <f>IFERROR(VLOOKUP(D293,'Team Data'!C:AB,14,FALSE),"")</f>
        <v/>
      </c>
      <c r="J293" t="str">
        <f>IFERROR(VLOOKUP(D293,'Team Data'!C:AB,8,FALSE),"")</f>
        <v/>
      </c>
      <c r="K293" t="str">
        <f>IFERROR(VLOOKUP(D293,'Team Data'!C:AB,9,FALSE),"")</f>
        <v/>
      </c>
      <c r="L293" t="str">
        <f>IFERROR(VLOOKUP(D293,'Team Data'!C:AB,10,FALSE),"")</f>
        <v/>
      </c>
      <c r="M293" t="str">
        <f t="shared" si="10"/>
        <v/>
      </c>
      <c r="N293" t="str">
        <f>IFERROR(VLOOKUP(D293,'Team Data'!C:AB,23,FALSE),"")</f>
        <v/>
      </c>
      <c r="O293" t="str">
        <f>IFERROR(VLOOKUP(D293,'Team Data'!C:AB,22,FALSE),"")</f>
        <v/>
      </c>
      <c r="P293" t="str">
        <f t="shared" si="11"/>
        <v/>
      </c>
      <c r="Q293" t="str">
        <f>IFERROR(VLOOKUP(D293,'Team Data'!C:AB,15,FALSE),"")</f>
        <v/>
      </c>
      <c r="R293" t="str">
        <f>IFERROR(VLOOKUP('OB Format'!D293,'Team Data'!C:AB,24,FALSE),"")</f>
        <v/>
      </c>
      <c r="S293" t="str">
        <f>IFERROR(VLOOKUP('OB Format'!D293,'Team Data'!C:AC,25,FALSE),"")</f>
        <v/>
      </c>
    </row>
    <row r="294" spans="5:19" x14ac:dyDescent="0.25">
      <c r="E294" t="str">
        <f>IFERROR(VLOOKUP(D294,'Team Data'!C:AB,4,FALSE),"")</f>
        <v/>
      </c>
      <c r="F294" t="str">
        <f>IFERROR(VLOOKUP(D294,'Team Data'!C:AB,5,FALSE),"")</f>
        <v/>
      </c>
      <c r="G294" t="str">
        <f>IFERROR(VLOOKUP('OB Format'!D294,'Team Data'!C:AB,17,FALSE),"")</f>
        <v/>
      </c>
      <c r="H294" t="str">
        <f>IFERROR(VLOOKUP(D294,'Team Data'!C:AB,7,FALSE),"")</f>
        <v/>
      </c>
      <c r="I294" t="str">
        <f>IFERROR(VLOOKUP(D294,'Team Data'!C:AB,14,FALSE),"")</f>
        <v/>
      </c>
      <c r="J294" t="str">
        <f>IFERROR(VLOOKUP(D294,'Team Data'!C:AB,8,FALSE),"")</f>
        <v/>
      </c>
      <c r="K294" t="str">
        <f>IFERROR(VLOOKUP(D294,'Team Data'!C:AB,9,FALSE),"")</f>
        <v/>
      </c>
      <c r="L294" t="str">
        <f>IFERROR(VLOOKUP(D294,'Team Data'!C:AB,10,FALSE),"")</f>
        <v/>
      </c>
      <c r="M294" t="str">
        <f t="shared" si="10"/>
        <v/>
      </c>
      <c r="N294" t="str">
        <f>IFERROR(VLOOKUP(D294,'Team Data'!C:AB,23,FALSE),"")</f>
        <v/>
      </c>
      <c r="O294" t="str">
        <f>IFERROR(VLOOKUP(D294,'Team Data'!C:AB,22,FALSE),"")</f>
        <v/>
      </c>
      <c r="P294" t="str">
        <f t="shared" si="11"/>
        <v/>
      </c>
      <c r="Q294" t="str">
        <f>IFERROR(VLOOKUP(D294,'Team Data'!C:AB,15,FALSE),"")</f>
        <v/>
      </c>
      <c r="R294" t="str">
        <f>IFERROR(VLOOKUP('OB Format'!D294,'Team Data'!C:AB,24,FALSE),"")</f>
        <v/>
      </c>
      <c r="S294" t="str">
        <f>IFERROR(VLOOKUP('OB Format'!D294,'Team Data'!C:AC,25,FALSE),"")</f>
        <v/>
      </c>
    </row>
    <row r="295" spans="5:19" x14ac:dyDescent="0.25">
      <c r="E295" t="str">
        <f>IFERROR(VLOOKUP(D295,'Team Data'!C:AB,4,FALSE),"")</f>
        <v/>
      </c>
      <c r="F295" t="str">
        <f>IFERROR(VLOOKUP(D295,'Team Data'!C:AB,5,FALSE),"")</f>
        <v/>
      </c>
      <c r="G295" t="str">
        <f>IFERROR(VLOOKUP('OB Format'!D295,'Team Data'!C:AB,17,FALSE),"")</f>
        <v/>
      </c>
      <c r="H295" t="str">
        <f>IFERROR(VLOOKUP(D295,'Team Data'!C:AB,7,FALSE),"")</f>
        <v/>
      </c>
      <c r="I295" t="str">
        <f>IFERROR(VLOOKUP(D295,'Team Data'!C:AB,14,FALSE),"")</f>
        <v/>
      </c>
      <c r="J295" t="str">
        <f>IFERROR(VLOOKUP(D295,'Team Data'!C:AB,8,FALSE),"")</f>
        <v/>
      </c>
      <c r="K295" t="str">
        <f>IFERROR(VLOOKUP(D295,'Team Data'!C:AB,9,FALSE),"")</f>
        <v/>
      </c>
      <c r="L295" t="str">
        <f>IFERROR(VLOOKUP(D295,'Team Data'!C:AB,10,FALSE),"")</f>
        <v/>
      </c>
      <c r="M295" t="str">
        <f t="shared" si="10"/>
        <v/>
      </c>
      <c r="N295" t="str">
        <f>IFERROR(VLOOKUP(D295,'Team Data'!C:AB,23,FALSE),"")</f>
        <v/>
      </c>
      <c r="O295" t="str">
        <f>IFERROR(VLOOKUP(D295,'Team Data'!C:AB,22,FALSE),"")</f>
        <v/>
      </c>
      <c r="P295" t="str">
        <f t="shared" si="11"/>
        <v/>
      </c>
      <c r="Q295" t="str">
        <f>IFERROR(VLOOKUP(D295,'Team Data'!C:AB,15,FALSE),"")</f>
        <v/>
      </c>
      <c r="R295" t="str">
        <f>IFERROR(VLOOKUP('OB Format'!D295,'Team Data'!C:AB,24,FALSE),"")</f>
        <v/>
      </c>
      <c r="S295" t="str">
        <f>IFERROR(VLOOKUP('OB Format'!D295,'Team Data'!C:AC,25,FALSE),"")</f>
        <v/>
      </c>
    </row>
    <row r="296" spans="5:19" x14ac:dyDescent="0.25">
      <c r="E296" t="str">
        <f>IFERROR(VLOOKUP(D296,'Team Data'!C:AB,4,FALSE),"")</f>
        <v/>
      </c>
      <c r="F296" t="str">
        <f>IFERROR(VLOOKUP(D296,'Team Data'!C:AB,5,FALSE),"")</f>
        <v/>
      </c>
      <c r="G296" t="str">
        <f>IFERROR(VLOOKUP('OB Format'!D296,'Team Data'!C:AB,17,FALSE),"")</f>
        <v/>
      </c>
      <c r="H296" t="str">
        <f>IFERROR(VLOOKUP(D296,'Team Data'!C:AB,7,FALSE),"")</f>
        <v/>
      </c>
      <c r="I296" t="str">
        <f>IFERROR(VLOOKUP(D296,'Team Data'!C:AB,14,FALSE),"")</f>
        <v/>
      </c>
      <c r="J296" t="str">
        <f>IFERROR(VLOOKUP(D296,'Team Data'!C:AB,8,FALSE),"")</f>
        <v/>
      </c>
      <c r="K296" t="str">
        <f>IFERROR(VLOOKUP(D296,'Team Data'!C:AB,9,FALSE),"")</f>
        <v/>
      </c>
      <c r="L296" t="str">
        <f>IFERROR(VLOOKUP(D296,'Team Data'!C:AB,10,FALSE),"")</f>
        <v/>
      </c>
      <c r="M296" t="str">
        <f t="shared" si="10"/>
        <v/>
      </c>
      <c r="N296" t="str">
        <f>IFERROR(VLOOKUP(D296,'Team Data'!C:AB,23,FALSE),"")</f>
        <v/>
      </c>
      <c r="O296" t="str">
        <f>IFERROR(VLOOKUP(D296,'Team Data'!C:AB,22,FALSE),"")</f>
        <v/>
      </c>
      <c r="P296" t="str">
        <f t="shared" si="11"/>
        <v/>
      </c>
      <c r="Q296" t="str">
        <f>IFERROR(VLOOKUP(D296,'Team Data'!C:AB,15,FALSE),"")</f>
        <v/>
      </c>
      <c r="R296" t="str">
        <f>IFERROR(VLOOKUP('OB Format'!D296,'Team Data'!C:AB,24,FALSE),"")</f>
        <v/>
      </c>
      <c r="S296" t="str">
        <f>IFERROR(VLOOKUP('OB Format'!D296,'Team Data'!C:AC,25,FALSE),"")</f>
        <v/>
      </c>
    </row>
    <row r="297" spans="5:19" x14ac:dyDescent="0.25">
      <c r="E297" t="str">
        <f>IFERROR(VLOOKUP(D297,'Team Data'!C:AB,4,FALSE),"")</f>
        <v/>
      </c>
      <c r="F297" t="str">
        <f>IFERROR(VLOOKUP(D297,'Team Data'!C:AB,5,FALSE),"")</f>
        <v/>
      </c>
      <c r="G297" t="str">
        <f>IFERROR(VLOOKUP('OB Format'!D297,'Team Data'!C:AB,17,FALSE),"")</f>
        <v/>
      </c>
      <c r="H297" t="str">
        <f>IFERROR(VLOOKUP(D297,'Team Data'!C:AB,7,FALSE),"")</f>
        <v/>
      </c>
      <c r="I297" t="str">
        <f>IFERROR(VLOOKUP(D297,'Team Data'!C:AB,14,FALSE),"")</f>
        <v/>
      </c>
      <c r="J297" t="str">
        <f>IFERROR(VLOOKUP(D297,'Team Data'!C:AB,8,FALSE),"")</f>
        <v/>
      </c>
      <c r="K297" t="str">
        <f>IFERROR(VLOOKUP(D297,'Team Data'!C:AB,9,FALSE),"")</f>
        <v/>
      </c>
      <c r="L297" t="str">
        <f>IFERROR(VLOOKUP(D297,'Team Data'!C:AB,10,FALSE),"")</f>
        <v/>
      </c>
      <c r="M297" t="str">
        <f t="shared" si="10"/>
        <v/>
      </c>
      <c r="N297" t="str">
        <f>IFERROR(VLOOKUP(D297,'Team Data'!C:AB,23,FALSE),"")</f>
        <v/>
      </c>
      <c r="O297" t="str">
        <f>IFERROR(VLOOKUP(D297,'Team Data'!C:AB,22,FALSE),"")</f>
        <v/>
      </c>
      <c r="P297" t="str">
        <f t="shared" si="11"/>
        <v/>
      </c>
      <c r="Q297" t="str">
        <f>IFERROR(VLOOKUP(D297,'Team Data'!C:AB,15,FALSE),"")</f>
        <v/>
      </c>
      <c r="R297" t="str">
        <f>IFERROR(VLOOKUP('OB Format'!D297,'Team Data'!C:AB,24,FALSE),"")</f>
        <v/>
      </c>
      <c r="S297" t="str">
        <f>IFERROR(VLOOKUP('OB Format'!D297,'Team Data'!C:AC,25,FALSE),"")</f>
        <v/>
      </c>
    </row>
    <row r="298" spans="5:19" x14ac:dyDescent="0.25">
      <c r="E298" t="str">
        <f>IFERROR(VLOOKUP(D298,'Team Data'!C:AB,4,FALSE),"")</f>
        <v/>
      </c>
      <c r="F298" t="str">
        <f>IFERROR(VLOOKUP(D298,'Team Data'!C:AB,5,FALSE),"")</f>
        <v/>
      </c>
      <c r="G298" t="str">
        <f>IFERROR(VLOOKUP('OB Format'!D298,'Team Data'!C:AB,17,FALSE),"")</f>
        <v/>
      </c>
      <c r="H298" t="str">
        <f>IFERROR(VLOOKUP(D298,'Team Data'!C:AB,7,FALSE),"")</f>
        <v/>
      </c>
      <c r="I298" t="str">
        <f>IFERROR(VLOOKUP(D298,'Team Data'!C:AB,14,FALSE),"")</f>
        <v/>
      </c>
      <c r="J298" t="str">
        <f>IFERROR(VLOOKUP(D298,'Team Data'!C:AB,8,FALSE),"")</f>
        <v/>
      </c>
      <c r="K298" t="str">
        <f>IFERROR(VLOOKUP(D298,'Team Data'!C:AB,9,FALSE),"")</f>
        <v/>
      </c>
      <c r="L298" t="str">
        <f>IFERROR(VLOOKUP(D298,'Team Data'!C:AB,10,FALSE),"")</f>
        <v/>
      </c>
      <c r="M298" t="str">
        <f t="shared" si="10"/>
        <v/>
      </c>
      <c r="N298" t="str">
        <f>IFERROR(VLOOKUP(D298,'Team Data'!C:AB,23,FALSE),"")</f>
        <v/>
      </c>
      <c r="O298" t="str">
        <f>IFERROR(VLOOKUP(D298,'Team Data'!C:AB,22,FALSE),"")</f>
        <v/>
      </c>
      <c r="P298" t="str">
        <f t="shared" si="11"/>
        <v/>
      </c>
      <c r="Q298" t="str">
        <f>IFERROR(VLOOKUP(D298,'Team Data'!C:AB,15,FALSE),"")</f>
        <v/>
      </c>
      <c r="R298" t="str">
        <f>IFERROR(VLOOKUP('OB Format'!D298,'Team Data'!C:AB,24,FALSE),"")</f>
        <v/>
      </c>
      <c r="S298" t="str">
        <f>IFERROR(VLOOKUP('OB Format'!D298,'Team Data'!C:AC,25,FALSE),"")</f>
        <v/>
      </c>
    </row>
    <row r="299" spans="5:19" x14ac:dyDescent="0.25">
      <c r="E299" t="str">
        <f>IFERROR(VLOOKUP(D299,'Team Data'!C:AB,4,FALSE),"")</f>
        <v/>
      </c>
      <c r="F299" t="str">
        <f>IFERROR(VLOOKUP(D299,'Team Data'!C:AB,5,FALSE),"")</f>
        <v/>
      </c>
      <c r="G299" t="str">
        <f>IFERROR(VLOOKUP('OB Format'!D299,'Team Data'!C:AB,17,FALSE),"")</f>
        <v/>
      </c>
      <c r="H299" t="str">
        <f>IFERROR(VLOOKUP(D299,'Team Data'!C:AB,7,FALSE),"")</f>
        <v/>
      </c>
      <c r="I299" t="str">
        <f>IFERROR(VLOOKUP(D299,'Team Data'!C:AB,14,FALSE),"")</f>
        <v/>
      </c>
      <c r="J299" t="str">
        <f>IFERROR(VLOOKUP(D299,'Team Data'!C:AB,8,FALSE),"")</f>
        <v/>
      </c>
      <c r="K299" t="str">
        <f>IFERROR(VLOOKUP(D299,'Team Data'!C:AB,9,FALSE),"")</f>
        <v/>
      </c>
      <c r="L299" t="str">
        <f>IFERROR(VLOOKUP(D299,'Team Data'!C:AB,10,FALSE),"")</f>
        <v/>
      </c>
      <c r="M299" t="str">
        <f t="shared" si="10"/>
        <v/>
      </c>
      <c r="N299" t="str">
        <f>IFERROR(VLOOKUP(D299,'Team Data'!C:AB,23,FALSE),"")</f>
        <v/>
      </c>
      <c r="O299" t="str">
        <f>IFERROR(VLOOKUP(D299,'Team Data'!C:AB,22,FALSE),"")</f>
        <v/>
      </c>
      <c r="P299" t="str">
        <f t="shared" si="11"/>
        <v/>
      </c>
      <c r="Q299" t="str">
        <f>IFERROR(VLOOKUP(D299,'Team Data'!C:AB,15,FALSE),"")</f>
        <v/>
      </c>
      <c r="R299" t="str">
        <f>IFERROR(VLOOKUP('OB Format'!D299,'Team Data'!C:AB,24,FALSE),"")</f>
        <v/>
      </c>
      <c r="S299" t="str">
        <f>IFERROR(VLOOKUP('OB Format'!D299,'Team Data'!C:AC,25,FALSE),"")</f>
        <v/>
      </c>
    </row>
    <row r="300" spans="5:19" x14ac:dyDescent="0.25">
      <c r="E300" t="str">
        <f>IFERROR(VLOOKUP(D300,'Team Data'!C:AB,4,FALSE),"")</f>
        <v/>
      </c>
      <c r="F300" t="str">
        <f>IFERROR(VLOOKUP(D300,'Team Data'!C:AB,5,FALSE),"")</f>
        <v/>
      </c>
      <c r="G300" t="str">
        <f>IFERROR(VLOOKUP('OB Format'!D300,'Team Data'!C:AB,17,FALSE),"")</f>
        <v/>
      </c>
      <c r="H300" t="str">
        <f>IFERROR(VLOOKUP(D300,'Team Data'!C:AB,7,FALSE),"")</f>
        <v/>
      </c>
      <c r="I300" t="str">
        <f>IFERROR(VLOOKUP(D300,'Team Data'!C:AB,14,FALSE),"")</f>
        <v/>
      </c>
      <c r="J300" t="str">
        <f>IFERROR(VLOOKUP(D300,'Team Data'!C:AB,8,FALSE),"")</f>
        <v/>
      </c>
      <c r="K300" t="str">
        <f>IFERROR(VLOOKUP(D300,'Team Data'!C:AB,9,FALSE),"")</f>
        <v/>
      </c>
      <c r="L300" t="str">
        <f>IFERROR(VLOOKUP(D300,'Team Data'!C:AB,10,FALSE),"")</f>
        <v/>
      </c>
      <c r="M300" t="str">
        <f t="shared" si="10"/>
        <v/>
      </c>
      <c r="N300" t="str">
        <f>IFERROR(VLOOKUP(D300,'Team Data'!C:AB,23,FALSE),"")</f>
        <v/>
      </c>
      <c r="O300" t="str">
        <f>IFERROR(VLOOKUP(D300,'Team Data'!C:AB,22,FALSE),"")</f>
        <v/>
      </c>
      <c r="P300" t="str">
        <f t="shared" si="11"/>
        <v/>
      </c>
      <c r="Q300" t="str">
        <f>IFERROR(VLOOKUP(D300,'Team Data'!C:AB,15,FALSE),"")</f>
        <v/>
      </c>
      <c r="R300" t="str">
        <f>IFERROR(VLOOKUP('OB Format'!D300,'Team Data'!C:AB,24,FALSE),"")</f>
        <v/>
      </c>
      <c r="S300" t="str">
        <f>IFERROR(VLOOKUP('OB Format'!D300,'Team Data'!C:AC,25,FALSE),"")</f>
        <v/>
      </c>
    </row>
    <row r="301" spans="5:19" x14ac:dyDescent="0.25">
      <c r="E301" t="str">
        <f>IFERROR(VLOOKUP(D301,'Team Data'!C:AB,4,FALSE),"")</f>
        <v/>
      </c>
      <c r="F301" t="str">
        <f>IFERROR(VLOOKUP(D301,'Team Data'!C:AB,5,FALSE),"")</f>
        <v/>
      </c>
      <c r="G301" t="str">
        <f>IFERROR(VLOOKUP('OB Format'!D301,'Team Data'!C:AB,17,FALSE),"")</f>
        <v/>
      </c>
      <c r="H301" t="str">
        <f>IFERROR(VLOOKUP(D301,'Team Data'!C:AB,7,FALSE),"")</f>
        <v/>
      </c>
      <c r="I301" t="str">
        <f>IFERROR(VLOOKUP(D301,'Team Data'!C:AB,14,FALSE),"")</f>
        <v/>
      </c>
      <c r="J301" t="str">
        <f>IFERROR(VLOOKUP(D301,'Team Data'!C:AB,8,FALSE),"")</f>
        <v/>
      </c>
      <c r="K301" t="str">
        <f>IFERROR(VLOOKUP(D301,'Team Data'!C:AB,9,FALSE),"")</f>
        <v/>
      </c>
      <c r="L301" t="str">
        <f>IFERROR(VLOOKUP(D301,'Team Data'!C:AB,10,FALSE),"")</f>
        <v/>
      </c>
      <c r="M301" t="str">
        <f t="shared" si="10"/>
        <v/>
      </c>
      <c r="N301" t="str">
        <f>IFERROR(VLOOKUP(D301,'Team Data'!C:AB,23,FALSE),"")</f>
        <v/>
      </c>
      <c r="O301" t="str">
        <f>IFERROR(VLOOKUP(D301,'Team Data'!C:AB,22,FALSE),"")</f>
        <v/>
      </c>
      <c r="P301" t="str">
        <f t="shared" si="11"/>
        <v/>
      </c>
      <c r="Q301" t="str">
        <f>IFERROR(VLOOKUP(D301,'Team Data'!C:AB,15,FALSE),"")</f>
        <v/>
      </c>
      <c r="R301" t="str">
        <f>IFERROR(VLOOKUP('OB Format'!D301,'Team Data'!C:AB,24,FALSE),"")</f>
        <v/>
      </c>
      <c r="S301" t="str">
        <f>IFERROR(VLOOKUP('OB Format'!D301,'Team Data'!C:AC,25,FALSE),"")</f>
        <v/>
      </c>
    </row>
    <row r="302" spans="5:19" x14ac:dyDescent="0.25">
      <c r="E302" t="str">
        <f>IFERROR(VLOOKUP(D302,'Team Data'!C:AB,4,FALSE),"")</f>
        <v/>
      </c>
      <c r="F302" t="str">
        <f>IFERROR(VLOOKUP(D302,'Team Data'!C:AB,5,FALSE),"")</f>
        <v/>
      </c>
      <c r="G302" t="str">
        <f>IFERROR(VLOOKUP('OB Format'!D302,'Team Data'!C:AB,17,FALSE),"")</f>
        <v/>
      </c>
      <c r="H302" t="str">
        <f>IFERROR(VLOOKUP(D302,'Team Data'!C:AB,7,FALSE),"")</f>
        <v/>
      </c>
      <c r="I302" t="str">
        <f>IFERROR(VLOOKUP(D302,'Team Data'!C:AB,14,FALSE),"")</f>
        <v/>
      </c>
      <c r="J302" t="str">
        <f>IFERROR(VLOOKUP(D302,'Team Data'!C:AB,8,FALSE),"")</f>
        <v/>
      </c>
      <c r="K302" t="str">
        <f>IFERROR(VLOOKUP(D302,'Team Data'!C:AB,9,FALSE),"")</f>
        <v/>
      </c>
      <c r="L302" t="str">
        <f>IFERROR(VLOOKUP(D302,'Team Data'!C:AB,10,FALSE),"")</f>
        <v/>
      </c>
      <c r="M302" t="str">
        <f t="shared" si="10"/>
        <v/>
      </c>
      <c r="N302" t="str">
        <f>IFERROR(VLOOKUP(D302,'Team Data'!C:AB,23,FALSE),"")</f>
        <v/>
      </c>
      <c r="O302" t="str">
        <f>IFERROR(VLOOKUP(D302,'Team Data'!C:AB,22,FALSE),"")</f>
        <v/>
      </c>
      <c r="P302" t="str">
        <f t="shared" si="11"/>
        <v/>
      </c>
      <c r="Q302" t="str">
        <f>IFERROR(VLOOKUP(D302,'Team Data'!C:AB,15,FALSE),"")</f>
        <v/>
      </c>
      <c r="R302" t="str">
        <f>IFERROR(VLOOKUP('OB Format'!D302,'Team Data'!C:AB,24,FALSE),"")</f>
        <v/>
      </c>
      <c r="S302" t="str">
        <f>IFERROR(VLOOKUP('OB Format'!D302,'Team Data'!C:AC,25,FALSE),"")</f>
        <v/>
      </c>
    </row>
    <row r="303" spans="5:19" x14ac:dyDescent="0.25">
      <c r="E303" t="str">
        <f>IFERROR(VLOOKUP(D303,'Team Data'!C:AB,4,FALSE),"")</f>
        <v/>
      </c>
      <c r="F303" t="str">
        <f>IFERROR(VLOOKUP(D303,'Team Data'!C:AB,5,FALSE),"")</f>
        <v/>
      </c>
      <c r="G303" t="str">
        <f>IFERROR(VLOOKUP('OB Format'!D303,'Team Data'!C:AB,17,FALSE),"")</f>
        <v/>
      </c>
      <c r="H303" t="str">
        <f>IFERROR(VLOOKUP(D303,'Team Data'!C:AB,7,FALSE),"")</f>
        <v/>
      </c>
      <c r="I303" t="str">
        <f>IFERROR(VLOOKUP(D303,'Team Data'!C:AB,14,FALSE),"")</f>
        <v/>
      </c>
      <c r="J303" t="str">
        <f>IFERROR(VLOOKUP(D303,'Team Data'!C:AB,8,FALSE),"")</f>
        <v/>
      </c>
      <c r="K303" t="str">
        <f>IFERROR(VLOOKUP(D303,'Team Data'!C:AB,9,FALSE),"")</f>
        <v/>
      </c>
      <c r="L303" t="str">
        <f>IFERROR(VLOOKUP(D303,'Team Data'!C:AB,10,FALSE),"")</f>
        <v/>
      </c>
      <c r="M303" t="str">
        <f t="shared" si="10"/>
        <v/>
      </c>
      <c r="N303" t="str">
        <f>IFERROR(VLOOKUP(D303,'Team Data'!C:AB,23,FALSE),"")</f>
        <v/>
      </c>
      <c r="O303" t="str">
        <f>IFERROR(VLOOKUP(D303,'Team Data'!C:AB,22,FALSE),"")</f>
        <v/>
      </c>
      <c r="P303" t="str">
        <f t="shared" si="11"/>
        <v/>
      </c>
      <c r="Q303" t="str">
        <f>IFERROR(VLOOKUP(D303,'Team Data'!C:AB,15,FALSE),"")</f>
        <v/>
      </c>
      <c r="R303" t="str">
        <f>IFERROR(VLOOKUP('OB Format'!D303,'Team Data'!C:AB,24,FALSE),"")</f>
        <v/>
      </c>
      <c r="S303" t="str">
        <f>IFERROR(VLOOKUP('OB Format'!D303,'Team Data'!C:AC,25,FALSE),"")</f>
        <v/>
      </c>
    </row>
    <row r="304" spans="5:19" x14ac:dyDescent="0.25">
      <c r="E304" t="str">
        <f>IFERROR(VLOOKUP(D304,'Team Data'!C:AB,4,FALSE),"")</f>
        <v/>
      </c>
      <c r="F304" t="str">
        <f>IFERROR(VLOOKUP(D304,'Team Data'!C:AB,5,FALSE),"")</f>
        <v/>
      </c>
      <c r="G304" t="str">
        <f>IFERROR(VLOOKUP('OB Format'!D304,'Team Data'!C:AB,17,FALSE),"")</f>
        <v/>
      </c>
      <c r="H304" t="str">
        <f>IFERROR(VLOOKUP(D304,'Team Data'!C:AB,7,FALSE),"")</f>
        <v/>
      </c>
      <c r="I304" t="str">
        <f>IFERROR(VLOOKUP(D304,'Team Data'!C:AB,14,FALSE),"")</f>
        <v/>
      </c>
      <c r="J304" t="str">
        <f>IFERROR(VLOOKUP(D304,'Team Data'!C:AB,8,FALSE),"")</f>
        <v/>
      </c>
      <c r="K304" t="str">
        <f>IFERROR(VLOOKUP(D304,'Team Data'!C:AB,9,FALSE),"")</f>
        <v/>
      </c>
      <c r="L304" t="str">
        <f>IFERROR(VLOOKUP(D304,'Team Data'!C:AB,10,FALSE),"")</f>
        <v/>
      </c>
      <c r="M304" t="str">
        <f t="shared" si="10"/>
        <v/>
      </c>
      <c r="N304" t="str">
        <f>IFERROR(VLOOKUP(D304,'Team Data'!C:AB,23,FALSE),"")</f>
        <v/>
      </c>
      <c r="O304" t="str">
        <f>IFERROR(VLOOKUP(D304,'Team Data'!C:AB,22,FALSE),"")</f>
        <v/>
      </c>
      <c r="P304" t="str">
        <f t="shared" si="11"/>
        <v/>
      </c>
      <c r="Q304" t="str">
        <f>IFERROR(VLOOKUP(D304,'Team Data'!C:AB,15,FALSE),"")</f>
        <v/>
      </c>
      <c r="R304" t="str">
        <f>IFERROR(VLOOKUP('OB Format'!D304,'Team Data'!C:AB,24,FALSE),"")</f>
        <v/>
      </c>
      <c r="S304" t="str">
        <f>IFERROR(VLOOKUP('OB Format'!D304,'Team Data'!C:AC,25,FALSE),"")</f>
        <v/>
      </c>
    </row>
    <row r="305" spans="5:19" x14ac:dyDescent="0.25">
      <c r="E305" t="str">
        <f>IFERROR(VLOOKUP(D305,'Team Data'!C:AB,4,FALSE),"")</f>
        <v/>
      </c>
      <c r="F305" t="str">
        <f>IFERROR(VLOOKUP(D305,'Team Data'!C:AB,5,FALSE),"")</f>
        <v/>
      </c>
      <c r="G305" t="str">
        <f>IFERROR(VLOOKUP('OB Format'!D305,'Team Data'!C:AB,17,FALSE),"")</f>
        <v/>
      </c>
      <c r="H305" t="str">
        <f>IFERROR(VLOOKUP(D305,'Team Data'!C:AB,7,FALSE),"")</f>
        <v/>
      </c>
      <c r="I305" t="str">
        <f>IFERROR(VLOOKUP(D305,'Team Data'!C:AB,14,FALSE),"")</f>
        <v/>
      </c>
      <c r="J305" t="str">
        <f>IFERROR(VLOOKUP(D305,'Team Data'!C:AB,8,FALSE),"")</f>
        <v/>
      </c>
      <c r="K305" t="str">
        <f>IFERROR(VLOOKUP(D305,'Team Data'!C:AB,9,FALSE),"")</f>
        <v/>
      </c>
      <c r="L305" t="str">
        <f>IFERROR(VLOOKUP(D305,'Team Data'!C:AB,10,FALSE),"")</f>
        <v/>
      </c>
      <c r="M305" t="str">
        <f t="shared" si="10"/>
        <v/>
      </c>
      <c r="N305" t="str">
        <f>IFERROR(VLOOKUP(D305,'Team Data'!C:AB,23,FALSE),"")</f>
        <v/>
      </c>
      <c r="O305" t="str">
        <f>IFERROR(VLOOKUP(D305,'Team Data'!C:AB,22,FALSE),"")</f>
        <v/>
      </c>
      <c r="P305" t="str">
        <f t="shared" si="11"/>
        <v/>
      </c>
      <c r="Q305" t="str">
        <f>IFERROR(VLOOKUP(D305,'Team Data'!C:AB,15,FALSE),"")</f>
        <v/>
      </c>
      <c r="R305" t="str">
        <f>IFERROR(VLOOKUP('OB Format'!D305,'Team Data'!C:AB,24,FALSE),"")</f>
        <v/>
      </c>
      <c r="S305" t="str">
        <f>IFERROR(VLOOKUP('OB Format'!D305,'Team Data'!C:AC,25,FALSE),"")</f>
        <v/>
      </c>
    </row>
    <row r="306" spans="5:19" x14ac:dyDescent="0.25">
      <c r="E306" t="str">
        <f>IFERROR(VLOOKUP(D306,'Team Data'!C:AB,4,FALSE),"")</f>
        <v/>
      </c>
      <c r="F306" t="str">
        <f>IFERROR(VLOOKUP(D306,'Team Data'!C:AB,5,FALSE),"")</f>
        <v/>
      </c>
      <c r="G306" t="str">
        <f>IFERROR(VLOOKUP('OB Format'!D306,'Team Data'!C:AB,17,FALSE),"")</f>
        <v/>
      </c>
      <c r="H306" t="str">
        <f>IFERROR(VLOOKUP(D306,'Team Data'!C:AB,7,FALSE),"")</f>
        <v/>
      </c>
      <c r="I306" t="str">
        <f>IFERROR(VLOOKUP(D306,'Team Data'!C:AB,14,FALSE),"")</f>
        <v/>
      </c>
      <c r="J306" t="str">
        <f>IFERROR(VLOOKUP(D306,'Team Data'!C:AB,8,FALSE),"")</f>
        <v/>
      </c>
      <c r="K306" t="str">
        <f>IFERROR(VLOOKUP(D306,'Team Data'!C:AB,9,FALSE),"")</f>
        <v/>
      </c>
      <c r="L306" t="str">
        <f>IFERROR(VLOOKUP(D306,'Team Data'!C:AB,10,FALSE),"")</f>
        <v/>
      </c>
      <c r="M306" t="str">
        <f t="shared" si="10"/>
        <v/>
      </c>
      <c r="N306" t="str">
        <f>IFERROR(VLOOKUP(D306,'Team Data'!C:AB,23,FALSE),"")</f>
        <v/>
      </c>
      <c r="O306" t="str">
        <f>IFERROR(VLOOKUP(D306,'Team Data'!C:AB,22,FALSE),"")</f>
        <v/>
      </c>
      <c r="P306" t="str">
        <f t="shared" si="11"/>
        <v/>
      </c>
      <c r="Q306" t="str">
        <f>IFERROR(VLOOKUP(D306,'Team Data'!C:AB,15,FALSE),"")</f>
        <v/>
      </c>
      <c r="R306" t="str">
        <f>IFERROR(VLOOKUP('OB Format'!D306,'Team Data'!C:AB,24,FALSE),"")</f>
        <v/>
      </c>
      <c r="S306" t="str">
        <f>IFERROR(VLOOKUP('OB Format'!D306,'Team Data'!C:AC,25,FALSE),"")</f>
        <v/>
      </c>
    </row>
    <row r="307" spans="5:19" x14ac:dyDescent="0.25">
      <c r="E307" t="str">
        <f>IFERROR(VLOOKUP(D307,'Team Data'!C:AB,4,FALSE),"")</f>
        <v/>
      </c>
      <c r="F307" t="str">
        <f>IFERROR(VLOOKUP(D307,'Team Data'!C:AB,5,FALSE),"")</f>
        <v/>
      </c>
      <c r="G307" t="str">
        <f>IFERROR(VLOOKUP('OB Format'!D307,'Team Data'!C:AB,17,FALSE),"")</f>
        <v/>
      </c>
      <c r="H307" t="str">
        <f>IFERROR(VLOOKUP(D307,'Team Data'!C:AB,7,FALSE),"")</f>
        <v/>
      </c>
      <c r="I307" t="str">
        <f>IFERROR(VLOOKUP(D307,'Team Data'!C:AB,14,FALSE),"")</f>
        <v/>
      </c>
      <c r="J307" t="str">
        <f>IFERROR(VLOOKUP(D307,'Team Data'!C:AB,8,FALSE),"")</f>
        <v/>
      </c>
      <c r="K307" t="str">
        <f>IFERROR(VLOOKUP(D307,'Team Data'!C:AB,9,FALSE),"")</f>
        <v/>
      </c>
      <c r="L307" t="str">
        <f>IFERROR(VLOOKUP(D307,'Team Data'!C:AB,10,FALSE),"")</f>
        <v/>
      </c>
      <c r="M307" t="str">
        <f t="shared" si="10"/>
        <v/>
      </c>
      <c r="N307" t="str">
        <f>IFERROR(VLOOKUP(D307,'Team Data'!C:AB,23,FALSE),"")</f>
        <v/>
      </c>
      <c r="O307" t="str">
        <f>IFERROR(VLOOKUP(D307,'Team Data'!C:AB,22,FALSE),"")</f>
        <v/>
      </c>
      <c r="P307" t="str">
        <f t="shared" si="11"/>
        <v/>
      </c>
      <c r="Q307" t="str">
        <f>IFERROR(VLOOKUP(D307,'Team Data'!C:AB,15,FALSE),"")</f>
        <v/>
      </c>
      <c r="R307" t="str">
        <f>IFERROR(VLOOKUP('OB Format'!D307,'Team Data'!C:AB,24,FALSE),"")</f>
        <v/>
      </c>
      <c r="S307" t="str">
        <f>IFERROR(VLOOKUP('OB Format'!D307,'Team Data'!C:AC,25,FALSE),"")</f>
        <v/>
      </c>
    </row>
    <row r="308" spans="5:19" x14ac:dyDescent="0.25">
      <c r="E308" t="str">
        <f>IFERROR(VLOOKUP(D308,'Team Data'!C:AB,4,FALSE),"")</f>
        <v/>
      </c>
      <c r="F308" t="str">
        <f>IFERROR(VLOOKUP(D308,'Team Data'!C:AB,5,FALSE),"")</f>
        <v/>
      </c>
      <c r="G308" t="str">
        <f>IFERROR(VLOOKUP('OB Format'!D308,'Team Data'!C:AB,17,FALSE),"")</f>
        <v/>
      </c>
      <c r="H308" t="str">
        <f>IFERROR(VLOOKUP(D308,'Team Data'!C:AB,7,FALSE),"")</f>
        <v/>
      </c>
      <c r="I308" t="str">
        <f>IFERROR(VLOOKUP(D308,'Team Data'!C:AB,14,FALSE),"")</f>
        <v/>
      </c>
      <c r="J308" t="str">
        <f>IFERROR(VLOOKUP(D308,'Team Data'!C:AB,8,FALSE),"")</f>
        <v/>
      </c>
      <c r="K308" t="str">
        <f>IFERROR(VLOOKUP(D308,'Team Data'!C:AB,9,FALSE),"")</f>
        <v/>
      </c>
      <c r="L308" t="str">
        <f>IFERROR(VLOOKUP(D308,'Team Data'!C:AB,10,FALSE),"")</f>
        <v/>
      </c>
      <c r="M308" t="str">
        <f t="shared" si="10"/>
        <v/>
      </c>
      <c r="N308" t="str">
        <f>IFERROR(VLOOKUP(D308,'Team Data'!C:AB,23,FALSE),"")</f>
        <v/>
      </c>
      <c r="O308" t="str">
        <f>IFERROR(VLOOKUP(D308,'Team Data'!C:AB,22,FALSE),"")</f>
        <v/>
      </c>
      <c r="P308" t="str">
        <f t="shared" si="11"/>
        <v/>
      </c>
      <c r="Q308" t="str">
        <f>IFERROR(VLOOKUP(D308,'Team Data'!C:AB,15,FALSE),"")</f>
        <v/>
      </c>
      <c r="R308" t="str">
        <f>IFERROR(VLOOKUP('OB Format'!D308,'Team Data'!C:AB,24,FALSE),"")</f>
        <v/>
      </c>
      <c r="S308" t="str">
        <f>IFERROR(VLOOKUP('OB Format'!D308,'Team Data'!C:AC,25,FALSE),"")</f>
        <v/>
      </c>
    </row>
    <row r="309" spans="5:19" x14ac:dyDescent="0.25">
      <c r="E309" t="str">
        <f>IFERROR(VLOOKUP(D309,'Team Data'!C:AB,4,FALSE),"")</f>
        <v/>
      </c>
      <c r="F309" t="str">
        <f>IFERROR(VLOOKUP(D309,'Team Data'!C:AB,5,FALSE),"")</f>
        <v/>
      </c>
      <c r="G309" t="str">
        <f>IFERROR(VLOOKUP('OB Format'!D309,'Team Data'!C:AB,17,FALSE),"")</f>
        <v/>
      </c>
      <c r="H309" t="str">
        <f>IFERROR(VLOOKUP(D309,'Team Data'!C:AB,7,FALSE),"")</f>
        <v/>
      </c>
      <c r="I309" t="str">
        <f>IFERROR(VLOOKUP(D309,'Team Data'!C:AB,14,FALSE),"")</f>
        <v/>
      </c>
      <c r="J309" t="str">
        <f>IFERROR(VLOOKUP(D309,'Team Data'!C:AB,8,FALSE),"")</f>
        <v/>
      </c>
      <c r="K309" t="str">
        <f>IFERROR(VLOOKUP(D309,'Team Data'!C:AB,9,FALSE),"")</f>
        <v/>
      </c>
      <c r="L309" t="str">
        <f>IFERROR(VLOOKUP(D309,'Team Data'!C:AB,10,FALSE),"")</f>
        <v/>
      </c>
      <c r="M309" t="str">
        <f t="shared" si="10"/>
        <v/>
      </c>
      <c r="N309" t="str">
        <f>IFERROR(VLOOKUP(D309,'Team Data'!C:AB,23,FALSE),"")</f>
        <v/>
      </c>
      <c r="O309" t="str">
        <f>IFERROR(VLOOKUP(D309,'Team Data'!C:AB,22,FALSE),"")</f>
        <v/>
      </c>
      <c r="P309" t="str">
        <f t="shared" si="11"/>
        <v/>
      </c>
      <c r="Q309" t="str">
        <f>IFERROR(VLOOKUP(D309,'Team Data'!C:AB,15,FALSE),"")</f>
        <v/>
      </c>
      <c r="R309" t="str">
        <f>IFERROR(VLOOKUP('OB Format'!D309,'Team Data'!C:AB,24,FALSE),"")</f>
        <v/>
      </c>
      <c r="S309" t="str">
        <f>IFERROR(VLOOKUP('OB Format'!D309,'Team Data'!C:AC,25,FALSE),"")</f>
        <v/>
      </c>
    </row>
    <row r="310" spans="5:19" x14ac:dyDescent="0.25">
      <c r="E310" t="str">
        <f>IFERROR(VLOOKUP(D310,'Team Data'!C:AB,4,FALSE),"")</f>
        <v/>
      </c>
      <c r="F310" t="str">
        <f>IFERROR(VLOOKUP(D310,'Team Data'!C:AB,5,FALSE),"")</f>
        <v/>
      </c>
      <c r="G310" t="str">
        <f>IFERROR(VLOOKUP('OB Format'!D310,'Team Data'!C:AB,17,FALSE),"")</f>
        <v/>
      </c>
      <c r="H310" t="str">
        <f>IFERROR(VLOOKUP(D310,'Team Data'!C:AB,7,FALSE),"")</f>
        <v/>
      </c>
      <c r="I310" t="str">
        <f>IFERROR(VLOOKUP(D310,'Team Data'!C:AB,14,FALSE),"")</f>
        <v/>
      </c>
      <c r="J310" t="str">
        <f>IFERROR(VLOOKUP(D310,'Team Data'!C:AB,8,FALSE),"")</f>
        <v/>
      </c>
      <c r="K310" t="str">
        <f>IFERROR(VLOOKUP(D310,'Team Data'!C:AB,9,FALSE),"")</f>
        <v/>
      </c>
      <c r="L310" t="str">
        <f>IFERROR(VLOOKUP(D310,'Team Data'!C:AB,10,FALSE),"")</f>
        <v/>
      </c>
      <c r="M310" t="str">
        <f t="shared" si="10"/>
        <v/>
      </c>
      <c r="N310" t="str">
        <f>IFERROR(VLOOKUP(D310,'Team Data'!C:AB,23,FALSE),"")</f>
        <v/>
      </c>
      <c r="O310" t="str">
        <f>IFERROR(VLOOKUP(D310,'Team Data'!C:AB,22,FALSE),"")</f>
        <v/>
      </c>
      <c r="P310" t="str">
        <f t="shared" si="11"/>
        <v/>
      </c>
      <c r="Q310" t="str">
        <f>IFERROR(VLOOKUP(D310,'Team Data'!C:AB,15,FALSE),"")</f>
        <v/>
      </c>
      <c r="R310" t="str">
        <f>IFERROR(VLOOKUP('OB Format'!D310,'Team Data'!C:AB,24,FALSE),"")</f>
        <v/>
      </c>
      <c r="S310" t="str">
        <f>IFERROR(VLOOKUP('OB Format'!D310,'Team Data'!C:AC,25,FALSE),"")</f>
        <v/>
      </c>
    </row>
    <row r="311" spans="5:19" x14ac:dyDescent="0.25">
      <c r="E311" t="str">
        <f>IFERROR(VLOOKUP(D311,'Team Data'!C:AB,4,FALSE),"")</f>
        <v/>
      </c>
      <c r="F311" t="str">
        <f>IFERROR(VLOOKUP(D311,'Team Data'!C:AB,5,FALSE),"")</f>
        <v/>
      </c>
      <c r="G311" t="str">
        <f>IFERROR(VLOOKUP('OB Format'!D311,'Team Data'!C:AB,17,FALSE),"")</f>
        <v/>
      </c>
      <c r="H311" t="str">
        <f>IFERROR(VLOOKUP(D311,'Team Data'!C:AB,7,FALSE),"")</f>
        <v/>
      </c>
      <c r="I311" t="str">
        <f>IFERROR(VLOOKUP(D311,'Team Data'!C:AB,14,FALSE),"")</f>
        <v/>
      </c>
      <c r="J311" t="str">
        <f>IFERROR(VLOOKUP(D311,'Team Data'!C:AB,8,FALSE),"")</f>
        <v/>
      </c>
      <c r="K311" t="str">
        <f>IFERROR(VLOOKUP(D311,'Team Data'!C:AB,9,FALSE),"")</f>
        <v/>
      </c>
      <c r="L311" t="str">
        <f>IFERROR(VLOOKUP(D311,'Team Data'!C:AB,10,FALSE),"")</f>
        <v/>
      </c>
      <c r="M311" t="str">
        <f t="shared" si="10"/>
        <v/>
      </c>
      <c r="N311" t="str">
        <f>IFERROR(VLOOKUP(D311,'Team Data'!C:AB,23,FALSE),"")</f>
        <v/>
      </c>
      <c r="O311" t="str">
        <f>IFERROR(VLOOKUP(D311,'Team Data'!C:AB,22,FALSE),"")</f>
        <v/>
      </c>
      <c r="P311" t="str">
        <f t="shared" si="11"/>
        <v/>
      </c>
      <c r="Q311" t="str">
        <f>IFERROR(VLOOKUP(D311,'Team Data'!C:AB,15,FALSE),"")</f>
        <v/>
      </c>
      <c r="R311" t="str">
        <f>IFERROR(VLOOKUP('OB Format'!D311,'Team Data'!C:AB,24,FALSE),"")</f>
        <v/>
      </c>
      <c r="S311" t="str">
        <f>IFERROR(VLOOKUP('OB Format'!D311,'Team Data'!C:AC,25,FALSE),"")</f>
        <v/>
      </c>
    </row>
    <row r="312" spans="5:19" x14ac:dyDescent="0.25">
      <c r="E312" t="str">
        <f>IFERROR(VLOOKUP(D312,'Team Data'!C:AB,4,FALSE),"")</f>
        <v/>
      </c>
      <c r="F312" t="str">
        <f>IFERROR(VLOOKUP(D312,'Team Data'!C:AB,5,FALSE),"")</f>
        <v/>
      </c>
      <c r="G312" t="str">
        <f>IFERROR(VLOOKUP('OB Format'!D312,'Team Data'!C:AB,17,FALSE),"")</f>
        <v/>
      </c>
      <c r="H312" t="str">
        <f>IFERROR(VLOOKUP(D312,'Team Data'!C:AB,7,FALSE),"")</f>
        <v/>
      </c>
      <c r="I312" t="str">
        <f>IFERROR(VLOOKUP(D312,'Team Data'!C:AB,14,FALSE),"")</f>
        <v/>
      </c>
      <c r="J312" t="str">
        <f>IFERROR(VLOOKUP(D312,'Team Data'!C:AB,8,FALSE),"")</f>
        <v/>
      </c>
      <c r="K312" t="str">
        <f>IFERROR(VLOOKUP(D312,'Team Data'!C:AB,9,FALSE),"")</f>
        <v/>
      </c>
      <c r="L312" t="str">
        <f>IFERROR(VLOOKUP(D312,'Team Data'!C:AB,10,FALSE),"")</f>
        <v/>
      </c>
      <c r="M312" t="str">
        <f t="shared" si="10"/>
        <v/>
      </c>
      <c r="N312" t="str">
        <f>IFERROR(VLOOKUP(D312,'Team Data'!C:AB,23,FALSE),"")</f>
        <v/>
      </c>
      <c r="O312" t="str">
        <f>IFERROR(VLOOKUP(D312,'Team Data'!C:AB,22,FALSE),"")</f>
        <v/>
      </c>
      <c r="P312" t="str">
        <f t="shared" si="11"/>
        <v/>
      </c>
      <c r="Q312" t="str">
        <f>IFERROR(VLOOKUP(D312,'Team Data'!C:AB,15,FALSE),"")</f>
        <v/>
      </c>
      <c r="R312" t="str">
        <f>IFERROR(VLOOKUP('OB Format'!D312,'Team Data'!C:AB,24,FALSE),"")</f>
        <v/>
      </c>
      <c r="S312" t="str">
        <f>IFERROR(VLOOKUP('OB Format'!D312,'Team Data'!C:AC,25,FALSE),"")</f>
        <v/>
      </c>
    </row>
    <row r="313" spans="5:19" x14ac:dyDescent="0.25">
      <c r="E313" t="str">
        <f>IFERROR(VLOOKUP(D313,'Team Data'!C:AB,4,FALSE),"")</f>
        <v/>
      </c>
      <c r="F313" t="str">
        <f>IFERROR(VLOOKUP(D313,'Team Data'!C:AB,5,FALSE),"")</f>
        <v/>
      </c>
      <c r="G313" t="str">
        <f>IFERROR(VLOOKUP('OB Format'!D313,'Team Data'!C:AB,17,FALSE),"")</f>
        <v/>
      </c>
      <c r="H313" t="str">
        <f>IFERROR(VLOOKUP(D313,'Team Data'!C:AB,7,FALSE),"")</f>
        <v/>
      </c>
      <c r="I313" t="str">
        <f>IFERROR(VLOOKUP(D313,'Team Data'!C:AB,14,FALSE),"")</f>
        <v/>
      </c>
      <c r="J313" t="str">
        <f>IFERROR(VLOOKUP(D313,'Team Data'!C:AB,8,FALSE),"")</f>
        <v/>
      </c>
      <c r="K313" t="str">
        <f>IFERROR(VLOOKUP(D313,'Team Data'!C:AB,9,FALSE),"")</f>
        <v/>
      </c>
      <c r="L313" t="str">
        <f>IFERROR(VLOOKUP(D313,'Team Data'!C:AB,10,FALSE),"")</f>
        <v/>
      </c>
      <c r="M313" t="str">
        <f t="shared" si="10"/>
        <v/>
      </c>
      <c r="N313" t="str">
        <f>IFERROR(VLOOKUP(D313,'Team Data'!C:AB,23,FALSE),"")</f>
        <v/>
      </c>
      <c r="O313" t="str">
        <f>IFERROR(VLOOKUP(D313,'Team Data'!C:AB,22,FALSE),"")</f>
        <v/>
      </c>
      <c r="P313" t="str">
        <f t="shared" si="11"/>
        <v/>
      </c>
      <c r="Q313" t="str">
        <f>IFERROR(VLOOKUP(D313,'Team Data'!C:AB,15,FALSE),"")</f>
        <v/>
      </c>
      <c r="R313" t="str">
        <f>IFERROR(VLOOKUP('OB Format'!D313,'Team Data'!C:AB,24,FALSE),"")</f>
        <v/>
      </c>
      <c r="S313" t="str">
        <f>IFERROR(VLOOKUP('OB Format'!D313,'Team Data'!C:AC,25,FALSE),"")</f>
        <v/>
      </c>
    </row>
    <row r="314" spans="5:19" x14ac:dyDescent="0.25">
      <c r="E314" t="str">
        <f>IFERROR(VLOOKUP(D314,'Team Data'!C:AB,4,FALSE),"")</f>
        <v/>
      </c>
      <c r="F314" t="str">
        <f>IFERROR(VLOOKUP(D314,'Team Data'!C:AB,5,FALSE),"")</f>
        <v/>
      </c>
      <c r="G314" t="str">
        <f>IFERROR(VLOOKUP('OB Format'!D314,'Team Data'!C:AB,17,FALSE),"")</f>
        <v/>
      </c>
      <c r="H314" t="str">
        <f>IFERROR(VLOOKUP(D314,'Team Data'!C:AB,7,FALSE),"")</f>
        <v/>
      </c>
      <c r="I314" t="str">
        <f>IFERROR(VLOOKUP(D314,'Team Data'!C:AB,14,FALSE),"")</f>
        <v/>
      </c>
      <c r="J314" t="str">
        <f>IFERROR(VLOOKUP(D314,'Team Data'!C:AB,8,FALSE),"")</f>
        <v/>
      </c>
      <c r="K314" t="str">
        <f>IFERROR(VLOOKUP(D314,'Team Data'!C:AB,9,FALSE),"")</f>
        <v/>
      </c>
      <c r="L314" t="str">
        <f>IFERROR(VLOOKUP(D314,'Team Data'!C:AB,10,FALSE),"")</f>
        <v/>
      </c>
      <c r="M314" t="str">
        <f t="shared" si="10"/>
        <v/>
      </c>
      <c r="N314" t="str">
        <f>IFERROR(VLOOKUP(D314,'Team Data'!C:AB,23,FALSE),"")</f>
        <v/>
      </c>
      <c r="O314" t="str">
        <f>IFERROR(VLOOKUP(D314,'Team Data'!C:AB,22,FALSE),"")</f>
        <v/>
      </c>
      <c r="P314" t="str">
        <f t="shared" si="11"/>
        <v/>
      </c>
      <c r="Q314" t="str">
        <f>IFERROR(VLOOKUP(D314,'Team Data'!C:AB,15,FALSE),"")</f>
        <v/>
      </c>
      <c r="R314" t="str">
        <f>IFERROR(VLOOKUP('OB Format'!D314,'Team Data'!C:AB,24,FALSE),"")</f>
        <v/>
      </c>
      <c r="S314" t="str">
        <f>IFERROR(VLOOKUP('OB Format'!D314,'Team Data'!C:AC,25,FALSE),"")</f>
        <v/>
      </c>
    </row>
    <row r="315" spans="5:19" x14ac:dyDescent="0.25">
      <c r="E315" t="str">
        <f>IFERROR(VLOOKUP(D315,'Team Data'!C:AB,4,FALSE),"")</f>
        <v/>
      </c>
      <c r="F315" t="str">
        <f>IFERROR(VLOOKUP(D315,'Team Data'!C:AB,5,FALSE),"")</f>
        <v/>
      </c>
      <c r="G315" t="str">
        <f>IFERROR(VLOOKUP('OB Format'!D315,'Team Data'!C:AB,17,FALSE),"")</f>
        <v/>
      </c>
      <c r="H315" t="str">
        <f>IFERROR(VLOOKUP(D315,'Team Data'!C:AB,7,FALSE),"")</f>
        <v/>
      </c>
      <c r="I315" t="str">
        <f>IFERROR(VLOOKUP(D315,'Team Data'!C:AB,14,FALSE),"")</f>
        <v/>
      </c>
      <c r="J315" t="str">
        <f>IFERROR(VLOOKUP(D315,'Team Data'!C:AB,8,FALSE),"")</f>
        <v/>
      </c>
      <c r="K315" t="str">
        <f>IFERROR(VLOOKUP(D315,'Team Data'!C:AB,9,FALSE),"")</f>
        <v/>
      </c>
      <c r="L315" t="str">
        <f>IFERROR(VLOOKUP(D315,'Team Data'!C:AB,10,FALSE),"")</f>
        <v/>
      </c>
      <c r="M315" t="str">
        <f t="shared" si="10"/>
        <v/>
      </c>
      <c r="N315" t="str">
        <f>IFERROR(VLOOKUP(D315,'Team Data'!C:AB,23,FALSE),"")</f>
        <v/>
      </c>
      <c r="O315" t="str">
        <f>IFERROR(VLOOKUP(D315,'Team Data'!C:AB,22,FALSE),"")</f>
        <v/>
      </c>
      <c r="P315" t="str">
        <f t="shared" si="11"/>
        <v/>
      </c>
      <c r="Q315" t="str">
        <f>IFERROR(VLOOKUP(D315,'Team Data'!C:AB,15,FALSE),"")</f>
        <v/>
      </c>
      <c r="R315" t="str">
        <f>IFERROR(VLOOKUP('OB Format'!D315,'Team Data'!C:AB,24,FALSE),"")</f>
        <v/>
      </c>
      <c r="S315" t="str">
        <f>IFERROR(VLOOKUP('OB Format'!D315,'Team Data'!C:AC,25,FALSE),"")</f>
        <v/>
      </c>
    </row>
    <row r="316" spans="5:19" x14ac:dyDescent="0.25">
      <c r="E316" t="str">
        <f>IFERROR(VLOOKUP(D316,'Team Data'!C:AB,4,FALSE),"")</f>
        <v/>
      </c>
      <c r="F316" t="str">
        <f>IFERROR(VLOOKUP(D316,'Team Data'!C:AB,5,FALSE),"")</f>
        <v/>
      </c>
      <c r="G316" t="str">
        <f>IFERROR(VLOOKUP('OB Format'!D316,'Team Data'!C:AB,17,FALSE),"")</f>
        <v/>
      </c>
      <c r="H316" t="str">
        <f>IFERROR(VLOOKUP(D316,'Team Data'!C:AB,7,FALSE),"")</f>
        <v/>
      </c>
      <c r="I316" t="str">
        <f>IFERROR(VLOOKUP(D316,'Team Data'!C:AB,14,FALSE),"")</f>
        <v/>
      </c>
      <c r="J316" t="str">
        <f>IFERROR(VLOOKUP(D316,'Team Data'!C:AB,8,FALSE),"")</f>
        <v/>
      </c>
      <c r="K316" t="str">
        <f>IFERROR(VLOOKUP(D316,'Team Data'!C:AB,9,FALSE),"")</f>
        <v/>
      </c>
      <c r="L316" t="str">
        <f>IFERROR(VLOOKUP(D316,'Team Data'!C:AB,10,FALSE),"")</f>
        <v/>
      </c>
      <c r="M316" t="str">
        <f t="shared" si="10"/>
        <v/>
      </c>
      <c r="N316" t="str">
        <f>IFERROR(VLOOKUP(D316,'Team Data'!C:AB,23,FALSE),"")</f>
        <v/>
      </c>
      <c r="O316" t="str">
        <f>IFERROR(VLOOKUP(D316,'Team Data'!C:AB,22,FALSE),"")</f>
        <v/>
      </c>
      <c r="P316" t="str">
        <f t="shared" si="11"/>
        <v/>
      </c>
      <c r="Q316" t="str">
        <f>IFERROR(VLOOKUP(D316,'Team Data'!C:AB,15,FALSE),"")</f>
        <v/>
      </c>
      <c r="R316" t="str">
        <f>IFERROR(VLOOKUP('OB Format'!D316,'Team Data'!C:AB,24,FALSE),"")</f>
        <v/>
      </c>
      <c r="S316" t="str">
        <f>IFERROR(VLOOKUP('OB Format'!D316,'Team Data'!C:AC,25,FALSE),"")</f>
        <v/>
      </c>
    </row>
    <row r="317" spans="5:19" x14ac:dyDescent="0.25">
      <c r="E317" t="str">
        <f>IFERROR(VLOOKUP(D317,'Team Data'!C:AB,4,FALSE),"")</f>
        <v/>
      </c>
      <c r="F317" t="str">
        <f>IFERROR(VLOOKUP(D317,'Team Data'!C:AB,5,FALSE),"")</f>
        <v/>
      </c>
      <c r="G317" t="str">
        <f>IFERROR(VLOOKUP('OB Format'!D317,'Team Data'!C:AB,17,FALSE),"")</f>
        <v/>
      </c>
      <c r="H317" t="str">
        <f>IFERROR(VLOOKUP(D317,'Team Data'!C:AB,7,FALSE),"")</f>
        <v/>
      </c>
      <c r="I317" t="str">
        <f>IFERROR(VLOOKUP(D317,'Team Data'!C:AB,14,FALSE),"")</f>
        <v/>
      </c>
      <c r="J317" t="str">
        <f>IFERROR(VLOOKUP(D317,'Team Data'!C:AB,8,FALSE),"")</f>
        <v/>
      </c>
      <c r="K317" t="str">
        <f>IFERROR(VLOOKUP(D317,'Team Data'!C:AB,9,FALSE),"")</f>
        <v/>
      </c>
      <c r="L317" t="str">
        <f>IFERROR(VLOOKUP(D317,'Team Data'!C:AB,10,FALSE),"")</f>
        <v/>
      </c>
      <c r="M317" t="str">
        <f t="shared" si="10"/>
        <v/>
      </c>
      <c r="N317" t="str">
        <f>IFERROR(VLOOKUP(D317,'Team Data'!C:AB,23,FALSE),"")</f>
        <v/>
      </c>
      <c r="O317" t="str">
        <f>IFERROR(VLOOKUP(D317,'Team Data'!C:AB,22,FALSE),"")</f>
        <v/>
      </c>
      <c r="P317" t="str">
        <f t="shared" si="11"/>
        <v/>
      </c>
      <c r="Q317" t="str">
        <f>IFERROR(VLOOKUP(D317,'Team Data'!C:AB,15,FALSE),"")</f>
        <v/>
      </c>
      <c r="R317" t="str">
        <f>IFERROR(VLOOKUP('OB Format'!D317,'Team Data'!C:AB,24,FALSE),"")</f>
        <v/>
      </c>
      <c r="S317" t="str">
        <f>IFERROR(VLOOKUP('OB Format'!D317,'Team Data'!C:AC,25,FALSE),"")</f>
        <v/>
      </c>
    </row>
    <row r="318" spans="5:19" x14ac:dyDescent="0.25">
      <c r="E318" t="str">
        <f>IFERROR(VLOOKUP(D318,'Team Data'!C:AB,4,FALSE),"")</f>
        <v/>
      </c>
      <c r="F318" t="str">
        <f>IFERROR(VLOOKUP(D318,'Team Data'!C:AB,5,FALSE),"")</f>
        <v/>
      </c>
      <c r="G318" t="str">
        <f>IFERROR(VLOOKUP('OB Format'!D318,'Team Data'!C:AB,17,FALSE),"")</f>
        <v/>
      </c>
      <c r="H318" t="str">
        <f>IFERROR(VLOOKUP(D318,'Team Data'!C:AB,7,FALSE),"")</f>
        <v/>
      </c>
      <c r="I318" t="str">
        <f>IFERROR(VLOOKUP(D318,'Team Data'!C:AB,14,FALSE),"")</f>
        <v/>
      </c>
      <c r="J318" t="str">
        <f>IFERROR(VLOOKUP(D318,'Team Data'!C:AB,8,FALSE),"")</f>
        <v/>
      </c>
      <c r="K318" t="str">
        <f>IFERROR(VLOOKUP(D318,'Team Data'!C:AB,9,FALSE),"")</f>
        <v/>
      </c>
      <c r="L318" t="str">
        <f>IFERROR(VLOOKUP(D318,'Team Data'!C:AB,10,FALSE),"")</f>
        <v/>
      </c>
      <c r="M318" t="str">
        <f t="shared" si="10"/>
        <v/>
      </c>
      <c r="N318" t="str">
        <f>IFERROR(VLOOKUP(D318,'Team Data'!C:AB,23,FALSE),"")</f>
        <v/>
      </c>
      <c r="O318" t="str">
        <f>IFERROR(VLOOKUP(D318,'Team Data'!C:AB,22,FALSE),"")</f>
        <v/>
      </c>
      <c r="P318" t="str">
        <f t="shared" si="11"/>
        <v/>
      </c>
      <c r="Q318" t="str">
        <f>IFERROR(VLOOKUP(D318,'Team Data'!C:AB,15,FALSE),"")</f>
        <v/>
      </c>
      <c r="R318" t="str">
        <f>IFERROR(VLOOKUP('OB Format'!D318,'Team Data'!C:AB,24,FALSE),"")</f>
        <v/>
      </c>
      <c r="S318" t="str">
        <f>IFERROR(VLOOKUP('OB Format'!D318,'Team Data'!C:AC,25,FALSE),"")</f>
        <v/>
      </c>
    </row>
    <row r="319" spans="5:19" x14ac:dyDescent="0.25">
      <c r="E319" t="str">
        <f>IFERROR(VLOOKUP(D319,'Team Data'!C:AB,4,FALSE),"")</f>
        <v/>
      </c>
      <c r="F319" t="str">
        <f>IFERROR(VLOOKUP(D319,'Team Data'!C:AB,5,FALSE),"")</f>
        <v/>
      </c>
      <c r="G319" t="str">
        <f>IFERROR(VLOOKUP('OB Format'!D319,'Team Data'!C:AB,17,FALSE),"")</f>
        <v/>
      </c>
      <c r="H319" t="str">
        <f>IFERROR(VLOOKUP(D319,'Team Data'!C:AB,7,FALSE),"")</f>
        <v/>
      </c>
      <c r="I319" t="str">
        <f>IFERROR(VLOOKUP(D319,'Team Data'!C:AB,14,FALSE),"")</f>
        <v/>
      </c>
      <c r="J319" t="str">
        <f>IFERROR(VLOOKUP(D319,'Team Data'!C:AB,8,FALSE),"")</f>
        <v/>
      </c>
      <c r="K319" t="str">
        <f>IFERROR(VLOOKUP(D319,'Team Data'!C:AB,9,FALSE),"")</f>
        <v/>
      </c>
      <c r="L319" t="str">
        <f>IFERROR(VLOOKUP(D319,'Team Data'!C:AB,10,FALSE),"")</f>
        <v/>
      </c>
      <c r="M319" t="str">
        <f t="shared" si="10"/>
        <v/>
      </c>
      <c r="N319" t="str">
        <f>IFERROR(VLOOKUP(D319,'Team Data'!C:AB,23,FALSE),"")</f>
        <v/>
      </c>
      <c r="O319" t="str">
        <f>IFERROR(VLOOKUP(D319,'Team Data'!C:AB,22,FALSE),"")</f>
        <v/>
      </c>
      <c r="P319" t="str">
        <f t="shared" si="11"/>
        <v/>
      </c>
      <c r="Q319" t="str">
        <f>IFERROR(VLOOKUP(D319,'Team Data'!C:AB,15,FALSE),"")</f>
        <v/>
      </c>
      <c r="R319" t="str">
        <f>IFERROR(VLOOKUP('OB Format'!D319,'Team Data'!C:AB,24,FALSE),"")</f>
        <v/>
      </c>
      <c r="S319" t="str">
        <f>IFERROR(VLOOKUP('OB Format'!D319,'Team Data'!C:AC,25,FALSE),"")</f>
        <v/>
      </c>
    </row>
    <row r="320" spans="5:19" x14ac:dyDescent="0.25">
      <c r="E320" t="str">
        <f>IFERROR(VLOOKUP(D320,'Team Data'!C:AB,4,FALSE),"")</f>
        <v/>
      </c>
      <c r="F320" t="str">
        <f>IFERROR(VLOOKUP(D320,'Team Data'!C:AB,5,FALSE),"")</f>
        <v/>
      </c>
      <c r="G320" t="str">
        <f>IFERROR(VLOOKUP('OB Format'!D320,'Team Data'!C:AB,17,FALSE),"")</f>
        <v/>
      </c>
      <c r="H320" t="str">
        <f>IFERROR(VLOOKUP(D320,'Team Data'!C:AB,7,FALSE),"")</f>
        <v/>
      </c>
      <c r="I320" t="str">
        <f>IFERROR(VLOOKUP(D320,'Team Data'!C:AB,14,FALSE),"")</f>
        <v/>
      </c>
      <c r="J320" t="str">
        <f>IFERROR(VLOOKUP(D320,'Team Data'!C:AB,8,FALSE),"")</f>
        <v/>
      </c>
      <c r="K320" t="str">
        <f>IFERROR(VLOOKUP(D320,'Team Data'!C:AB,9,FALSE),"")</f>
        <v/>
      </c>
      <c r="L320" t="str">
        <f>IFERROR(VLOOKUP(D320,'Team Data'!C:AB,10,FALSE),"")</f>
        <v/>
      </c>
      <c r="M320" t="str">
        <f t="shared" si="10"/>
        <v/>
      </c>
      <c r="N320" t="str">
        <f>IFERROR(VLOOKUP(D320,'Team Data'!C:AB,23,FALSE),"")</f>
        <v/>
      </c>
      <c r="O320" t="str">
        <f>IFERROR(VLOOKUP(D320,'Team Data'!C:AB,22,FALSE),"")</f>
        <v/>
      </c>
      <c r="P320" t="str">
        <f t="shared" si="11"/>
        <v/>
      </c>
      <c r="Q320" t="str">
        <f>IFERROR(VLOOKUP(D320,'Team Data'!C:AB,15,FALSE),"")</f>
        <v/>
      </c>
      <c r="R320" t="str">
        <f>IFERROR(VLOOKUP('OB Format'!D320,'Team Data'!C:AB,24,FALSE),"")</f>
        <v/>
      </c>
      <c r="S320" t="str">
        <f>IFERROR(VLOOKUP('OB Format'!D320,'Team Data'!C:AC,25,FALSE),"")</f>
        <v/>
      </c>
    </row>
    <row r="321" spans="5:19" x14ac:dyDescent="0.25">
      <c r="E321" t="str">
        <f>IFERROR(VLOOKUP(D321,'Team Data'!C:AB,4,FALSE),"")</f>
        <v/>
      </c>
      <c r="F321" t="str">
        <f>IFERROR(VLOOKUP(D321,'Team Data'!C:AB,5,FALSE),"")</f>
        <v/>
      </c>
      <c r="G321" t="str">
        <f>IFERROR(VLOOKUP('OB Format'!D321,'Team Data'!C:AB,17,FALSE),"")</f>
        <v/>
      </c>
      <c r="H321" t="str">
        <f>IFERROR(VLOOKUP(D321,'Team Data'!C:AB,7,FALSE),"")</f>
        <v/>
      </c>
      <c r="I321" t="str">
        <f>IFERROR(VLOOKUP(D321,'Team Data'!C:AB,14,FALSE),"")</f>
        <v/>
      </c>
      <c r="J321" t="str">
        <f>IFERROR(VLOOKUP(D321,'Team Data'!C:AB,8,FALSE),"")</f>
        <v/>
      </c>
      <c r="K321" t="str">
        <f>IFERROR(VLOOKUP(D321,'Team Data'!C:AB,9,FALSE),"")</f>
        <v/>
      </c>
      <c r="L321" t="str">
        <f>IFERROR(VLOOKUP(D321,'Team Data'!C:AB,10,FALSE),"")</f>
        <v/>
      </c>
      <c r="M321" t="str">
        <f t="shared" si="10"/>
        <v/>
      </c>
      <c r="N321" t="str">
        <f>IFERROR(VLOOKUP(D321,'Team Data'!C:AB,23,FALSE),"")</f>
        <v/>
      </c>
      <c r="O321" t="str">
        <f>IFERROR(VLOOKUP(D321,'Team Data'!C:AB,22,FALSE),"")</f>
        <v/>
      </c>
      <c r="P321" t="str">
        <f t="shared" si="11"/>
        <v/>
      </c>
      <c r="Q321" t="str">
        <f>IFERROR(VLOOKUP(D321,'Team Data'!C:AB,15,FALSE),"")</f>
        <v/>
      </c>
      <c r="R321" t="str">
        <f>IFERROR(VLOOKUP('OB Format'!D321,'Team Data'!C:AB,24,FALSE),"")</f>
        <v/>
      </c>
      <c r="S321" t="str">
        <f>IFERROR(VLOOKUP('OB Format'!D321,'Team Data'!C:AC,25,FALSE),"")</f>
        <v/>
      </c>
    </row>
    <row r="322" spans="5:19" x14ac:dyDescent="0.25">
      <c r="E322" t="str">
        <f>IFERROR(VLOOKUP(D322,'Team Data'!C:AB,4,FALSE),"")</f>
        <v/>
      </c>
      <c r="F322" t="str">
        <f>IFERROR(VLOOKUP(D322,'Team Data'!C:AB,5,FALSE),"")</f>
        <v/>
      </c>
      <c r="G322" t="str">
        <f>IFERROR(VLOOKUP('OB Format'!D322,'Team Data'!C:AB,17,FALSE),"")</f>
        <v/>
      </c>
      <c r="H322" t="str">
        <f>IFERROR(VLOOKUP(D322,'Team Data'!C:AB,7,FALSE),"")</f>
        <v/>
      </c>
      <c r="I322" t="str">
        <f>IFERROR(VLOOKUP(D322,'Team Data'!C:AB,14,FALSE),"")</f>
        <v/>
      </c>
      <c r="J322" t="str">
        <f>IFERROR(VLOOKUP(D322,'Team Data'!C:AB,8,FALSE),"")</f>
        <v/>
      </c>
      <c r="K322" t="str">
        <f>IFERROR(VLOOKUP(D322,'Team Data'!C:AB,9,FALSE),"")</f>
        <v/>
      </c>
      <c r="L322" t="str">
        <f>IFERROR(VLOOKUP(D322,'Team Data'!C:AB,10,FALSE),"")</f>
        <v/>
      </c>
      <c r="M322" t="str">
        <f t="shared" si="10"/>
        <v/>
      </c>
      <c r="N322" t="str">
        <f>IFERROR(VLOOKUP(D322,'Team Data'!C:AB,23,FALSE),"")</f>
        <v/>
      </c>
      <c r="O322" t="str">
        <f>IFERROR(VLOOKUP(D322,'Team Data'!C:AB,22,FALSE),"")</f>
        <v/>
      </c>
      <c r="P322" t="str">
        <f t="shared" si="11"/>
        <v/>
      </c>
      <c r="Q322" t="str">
        <f>IFERROR(VLOOKUP(D322,'Team Data'!C:AB,15,FALSE),"")</f>
        <v/>
      </c>
      <c r="R322" t="str">
        <f>IFERROR(VLOOKUP('OB Format'!D322,'Team Data'!C:AB,24,FALSE),"")</f>
        <v/>
      </c>
      <c r="S322" t="str">
        <f>IFERROR(VLOOKUP('OB Format'!D322,'Team Data'!C:AC,25,FALSE),"")</f>
        <v/>
      </c>
    </row>
    <row r="323" spans="5:19" x14ac:dyDescent="0.25">
      <c r="E323" t="str">
        <f>IFERROR(VLOOKUP(D323,'Team Data'!C:AB,4,FALSE),"")</f>
        <v/>
      </c>
      <c r="F323" t="str">
        <f>IFERROR(VLOOKUP(D323,'Team Data'!C:AB,5,FALSE),"")</f>
        <v/>
      </c>
      <c r="G323" t="str">
        <f>IFERROR(VLOOKUP('OB Format'!D323,'Team Data'!C:AB,17,FALSE),"")</f>
        <v/>
      </c>
      <c r="H323" t="str">
        <f>IFERROR(VLOOKUP(D323,'Team Data'!C:AB,7,FALSE),"")</f>
        <v/>
      </c>
      <c r="I323" t="str">
        <f>IFERROR(VLOOKUP(D323,'Team Data'!C:AB,14,FALSE),"")</f>
        <v/>
      </c>
      <c r="J323" t="str">
        <f>IFERROR(VLOOKUP(D323,'Team Data'!C:AB,8,FALSE),"")</f>
        <v/>
      </c>
      <c r="K323" t="str">
        <f>IFERROR(VLOOKUP(D323,'Team Data'!C:AB,9,FALSE),"")</f>
        <v/>
      </c>
      <c r="L323" t="str">
        <f>IFERROR(VLOOKUP(D323,'Team Data'!C:AB,10,FALSE),"")</f>
        <v/>
      </c>
      <c r="M323" t="str">
        <f t="shared" si="10"/>
        <v/>
      </c>
      <c r="N323" t="str">
        <f>IFERROR(VLOOKUP(D323,'Team Data'!C:AB,23,FALSE),"")</f>
        <v/>
      </c>
      <c r="O323" t="str">
        <f>IFERROR(VLOOKUP(D323,'Team Data'!C:AB,22,FALSE),"")</f>
        <v/>
      </c>
      <c r="P323" t="str">
        <f t="shared" si="11"/>
        <v/>
      </c>
      <c r="Q323" t="str">
        <f>IFERROR(VLOOKUP(D323,'Team Data'!C:AB,15,FALSE),"")</f>
        <v/>
      </c>
      <c r="R323" t="str">
        <f>IFERROR(VLOOKUP('OB Format'!D323,'Team Data'!C:AB,24,FALSE),"")</f>
        <v/>
      </c>
      <c r="S323" t="str">
        <f>IFERROR(VLOOKUP('OB Format'!D323,'Team Data'!C:AC,25,FALSE),"")</f>
        <v/>
      </c>
    </row>
    <row r="324" spans="5:19" x14ac:dyDescent="0.25">
      <c r="E324" t="str">
        <f>IFERROR(VLOOKUP(D324,'Team Data'!C:AB,4,FALSE),"")</f>
        <v/>
      </c>
      <c r="F324" t="str">
        <f>IFERROR(VLOOKUP(D324,'Team Data'!C:AB,5,FALSE),"")</f>
        <v/>
      </c>
      <c r="G324" t="str">
        <f>IFERROR(VLOOKUP('OB Format'!D324,'Team Data'!C:AB,17,FALSE),"")</f>
        <v/>
      </c>
      <c r="H324" t="str">
        <f>IFERROR(VLOOKUP(D324,'Team Data'!C:AB,7,FALSE),"")</f>
        <v/>
      </c>
      <c r="I324" t="str">
        <f>IFERROR(VLOOKUP(D324,'Team Data'!C:AB,14,FALSE),"")</f>
        <v/>
      </c>
      <c r="J324" t="str">
        <f>IFERROR(VLOOKUP(D324,'Team Data'!C:AB,8,FALSE),"")</f>
        <v/>
      </c>
      <c r="K324" t="str">
        <f>IFERROR(VLOOKUP(D324,'Team Data'!C:AB,9,FALSE),"")</f>
        <v/>
      </c>
      <c r="L324" t="str">
        <f>IFERROR(VLOOKUP(D324,'Team Data'!C:AB,10,FALSE),"")</f>
        <v/>
      </c>
      <c r="M324" t="str">
        <f t="shared" si="10"/>
        <v/>
      </c>
      <c r="N324" t="str">
        <f>IFERROR(VLOOKUP(D324,'Team Data'!C:AB,23,FALSE),"")</f>
        <v/>
      </c>
      <c r="O324" t="str">
        <f>IFERROR(VLOOKUP(D324,'Team Data'!C:AB,22,FALSE),"")</f>
        <v/>
      </c>
      <c r="P324" t="str">
        <f t="shared" si="11"/>
        <v/>
      </c>
      <c r="Q324" t="str">
        <f>IFERROR(VLOOKUP(D324,'Team Data'!C:AB,15,FALSE),"")</f>
        <v/>
      </c>
      <c r="R324" t="str">
        <f>IFERROR(VLOOKUP('OB Format'!D324,'Team Data'!C:AB,24,FALSE),"")</f>
        <v/>
      </c>
      <c r="S324" t="str">
        <f>IFERROR(VLOOKUP('OB Format'!D324,'Team Data'!C:AC,25,FALSE),"")</f>
        <v/>
      </c>
    </row>
    <row r="325" spans="5:19" x14ac:dyDescent="0.25">
      <c r="E325" t="str">
        <f>IFERROR(VLOOKUP(D325,'Team Data'!C:AB,4,FALSE),"")</f>
        <v/>
      </c>
      <c r="F325" t="str">
        <f>IFERROR(VLOOKUP(D325,'Team Data'!C:AB,5,FALSE),"")</f>
        <v/>
      </c>
      <c r="G325" t="str">
        <f>IFERROR(VLOOKUP('OB Format'!D325,'Team Data'!C:AB,17,FALSE),"")</f>
        <v/>
      </c>
      <c r="H325" t="str">
        <f>IFERROR(VLOOKUP(D325,'Team Data'!C:AB,7,FALSE),"")</f>
        <v/>
      </c>
      <c r="I325" t="str">
        <f>IFERROR(VLOOKUP(D325,'Team Data'!C:AB,14,FALSE),"")</f>
        <v/>
      </c>
      <c r="J325" t="str">
        <f>IFERROR(VLOOKUP(D325,'Team Data'!C:AB,8,FALSE),"")</f>
        <v/>
      </c>
      <c r="K325" t="str">
        <f>IFERROR(VLOOKUP(D325,'Team Data'!C:AB,9,FALSE),"")</f>
        <v/>
      </c>
      <c r="L325" t="str">
        <f>IFERROR(VLOOKUP(D325,'Team Data'!C:AB,10,FALSE),"")</f>
        <v/>
      </c>
      <c r="M325" t="str">
        <f t="shared" si="10"/>
        <v/>
      </c>
      <c r="N325" t="str">
        <f>IFERROR(VLOOKUP(D325,'Team Data'!C:AB,23,FALSE),"")</f>
        <v/>
      </c>
      <c r="O325" t="str">
        <f>IFERROR(VLOOKUP(D325,'Team Data'!C:AB,22,FALSE),"")</f>
        <v/>
      </c>
      <c r="P325" t="str">
        <f t="shared" si="11"/>
        <v/>
      </c>
      <c r="Q325" t="str">
        <f>IFERROR(VLOOKUP(D325,'Team Data'!C:AB,15,FALSE),"")</f>
        <v/>
      </c>
      <c r="R325" t="str">
        <f>IFERROR(VLOOKUP('OB Format'!D325,'Team Data'!C:AB,24,FALSE),"")</f>
        <v/>
      </c>
      <c r="S325" t="str">
        <f>IFERROR(VLOOKUP('OB Format'!D325,'Team Data'!C:AC,25,FALSE),"")</f>
        <v/>
      </c>
    </row>
    <row r="326" spans="5:19" x14ac:dyDescent="0.25">
      <c r="E326" t="str">
        <f>IFERROR(VLOOKUP(D326,'Team Data'!C:AB,4,FALSE),"")</f>
        <v/>
      </c>
      <c r="F326" t="str">
        <f>IFERROR(VLOOKUP(D326,'Team Data'!C:AB,5,FALSE),"")</f>
        <v/>
      </c>
      <c r="G326" t="str">
        <f>IFERROR(VLOOKUP('OB Format'!D326,'Team Data'!C:AB,17,FALSE),"")</f>
        <v/>
      </c>
      <c r="H326" t="str">
        <f>IFERROR(VLOOKUP(D326,'Team Data'!C:AB,7,FALSE),"")</f>
        <v/>
      </c>
      <c r="I326" t="str">
        <f>IFERROR(VLOOKUP(D326,'Team Data'!C:AB,14,FALSE),"")</f>
        <v/>
      </c>
      <c r="J326" t="str">
        <f>IFERROR(VLOOKUP(D326,'Team Data'!C:AB,8,FALSE),"")</f>
        <v/>
      </c>
      <c r="K326" t="str">
        <f>IFERROR(VLOOKUP(D326,'Team Data'!C:AB,9,FALSE),"")</f>
        <v/>
      </c>
      <c r="L326" t="str">
        <f>IFERROR(VLOOKUP(D326,'Team Data'!C:AB,10,FALSE),"")</f>
        <v/>
      </c>
      <c r="M326" t="str">
        <f t="shared" si="10"/>
        <v/>
      </c>
      <c r="N326" t="str">
        <f>IFERROR(VLOOKUP(D326,'Team Data'!C:AB,23,FALSE),"")</f>
        <v/>
      </c>
      <c r="O326" t="str">
        <f>IFERROR(VLOOKUP(D326,'Team Data'!C:AB,22,FALSE),"")</f>
        <v/>
      </c>
      <c r="P326" t="str">
        <f t="shared" si="11"/>
        <v/>
      </c>
      <c r="Q326" t="str">
        <f>IFERROR(VLOOKUP(D326,'Team Data'!C:AB,15,FALSE),"")</f>
        <v/>
      </c>
      <c r="R326" t="str">
        <f>IFERROR(VLOOKUP('OB Format'!D326,'Team Data'!C:AB,24,FALSE),"")</f>
        <v/>
      </c>
      <c r="S326" t="str">
        <f>IFERROR(VLOOKUP('OB Format'!D326,'Team Data'!C:AC,25,FALSE),"")</f>
        <v/>
      </c>
    </row>
    <row r="327" spans="5:19" x14ac:dyDescent="0.25">
      <c r="E327" t="str">
        <f>IFERROR(VLOOKUP(D327,'Team Data'!C:AB,4,FALSE),"")</f>
        <v/>
      </c>
      <c r="F327" t="str">
        <f>IFERROR(VLOOKUP(D327,'Team Data'!C:AB,5,FALSE),"")</f>
        <v/>
      </c>
      <c r="G327" t="str">
        <f>IFERROR(VLOOKUP('OB Format'!D327,'Team Data'!C:AB,17,FALSE),"")</f>
        <v/>
      </c>
      <c r="H327" t="str">
        <f>IFERROR(VLOOKUP(D327,'Team Data'!C:AB,7,FALSE),"")</f>
        <v/>
      </c>
      <c r="I327" t="str">
        <f>IFERROR(VLOOKUP(D327,'Team Data'!C:AB,14,FALSE),"")</f>
        <v/>
      </c>
      <c r="J327" t="str">
        <f>IFERROR(VLOOKUP(D327,'Team Data'!C:AB,8,FALSE),"")</f>
        <v/>
      </c>
      <c r="K327" t="str">
        <f>IFERROR(VLOOKUP(D327,'Team Data'!C:AB,9,FALSE),"")</f>
        <v/>
      </c>
      <c r="L327" t="str">
        <f>IFERROR(VLOOKUP(D327,'Team Data'!C:AB,10,FALSE),"")</f>
        <v/>
      </c>
      <c r="M327" t="str">
        <f t="shared" si="10"/>
        <v/>
      </c>
      <c r="N327" t="str">
        <f>IFERROR(VLOOKUP(D327,'Team Data'!C:AB,23,FALSE),"")</f>
        <v/>
      </c>
      <c r="O327" t="str">
        <f>IFERROR(VLOOKUP(D327,'Team Data'!C:AB,22,FALSE),"")</f>
        <v/>
      </c>
      <c r="P327" t="str">
        <f t="shared" si="11"/>
        <v/>
      </c>
      <c r="Q327" t="str">
        <f>IFERROR(VLOOKUP(D327,'Team Data'!C:AB,15,FALSE),"")</f>
        <v/>
      </c>
      <c r="R327" t="str">
        <f>IFERROR(VLOOKUP('OB Format'!D327,'Team Data'!C:AB,24,FALSE),"")</f>
        <v/>
      </c>
      <c r="S327" t="str">
        <f>IFERROR(VLOOKUP('OB Format'!D327,'Team Data'!C:AC,25,FALSE),"")</f>
        <v/>
      </c>
    </row>
    <row r="328" spans="5:19" x14ac:dyDescent="0.25">
      <c r="E328" t="str">
        <f>IFERROR(VLOOKUP(D328,'Team Data'!C:AB,4,FALSE),"")</f>
        <v/>
      </c>
      <c r="F328" t="str">
        <f>IFERROR(VLOOKUP(D328,'Team Data'!C:AB,5,FALSE),"")</f>
        <v/>
      </c>
      <c r="G328" t="str">
        <f>IFERROR(VLOOKUP('OB Format'!D328,'Team Data'!C:AB,17,FALSE),"")</f>
        <v/>
      </c>
      <c r="H328" t="str">
        <f>IFERROR(VLOOKUP(D328,'Team Data'!C:AB,7,FALSE),"")</f>
        <v/>
      </c>
      <c r="I328" t="str">
        <f>IFERROR(VLOOKUP(D328,'Team Data'!C:AB,14,FALSE),"")</f>
        <v/>
      </c>
      <c r="J328" t="str">
        <f>IFERROR(VLOOKUP(D328,'Team Data'!C:AB,8,FALSE),"")</f>
        <v/>
      </c>
      <c r="K328" t="str">
        <f>IFERROR(VLOOKUP(D328,'Team Data'!C:AB,9,FALSE),"")</f>
        <v/>
      </c>
      <c r="L328" t="str">
        <f>IFERROR(VLOOKUP(D328,'Team Data'!C:AB,10,FALSE),"")</f>
        <v/>
      </c>
      <c r="M328" t="str">
        <f t="shared" si="10"/>
        <v/>
      </c>
      <c r="N328" t="str">
        <f>IFERROR(VLOOKUP(D328,'Team Data'!C:AB,23,FALSE),"")</f>
        <v/>
      </c>
      <c r="O328" t="str">
        <f>IFERROR(VLOOKUP(D328,'Team Data'!C:AB,22,FALSE),"")</f>
        <v/>
      </c>
      <c r="P328" t="str">
        <f t="shared" si="11"/>
        <v/>
      </c>
      <c r="Q328" t="str">
        <f>IFERROR(VLOOKUP(D328,'Team Data'!C:AB,15,FALSE),"")</f>
        <v/>
      </c>
      <c r="R328" t="str">
        <f>IFERROR(VLOOKUP('OB Format'!D328,'Team Data'!C:AB,24,FALSE),"")</f>
        <v/>
      </c>
      <c r="S328" t="str">
        <f>IFERROR(VLOOKUP('OB Format'!D328,'Team Data'!C:AC,25,FALSE),"")</f>
        <v/>
      </c>
    </row>
    <row r="329" spans="5:19" x14ac:dyDescent="0.25">
      <c r="E329" t="str">
        <f>IFERROR(VLOOKUP(D329,'Team Data'!C:AB,4,FALSE),"")</f>
        <v/>
      </c>
      <c r="F329" t="str">
        <f>IFERROR(VLOOKUP(D329,'Team Data'!C:AB,5,FALSE),"")</f>
        <v/>
      </c>
      <c r="G329" t="str">
        <f>IFERROR(VLOOKUP('OB Format'!D329,'Team Data'!C:AB,17,FALSE),"")</f>
        <v/>
      </c>
      <c r="H329" t="str">
        <f>IFERROR(VLOOKUP(D329,'Team Data'!C:AB,7,FALSE),"")</f>
        <v/>
      </c>
      <c r="I329" t="str">
        <f>IFERROR(VLOOKUP(D329,'Team Data'!C:AB,14,FALSE),"")</f>
        <v/>
      </c>
      <c r="J329" t="str">
        <f>IFERROR(VLOOKUP(D329,'Team Data'!C:AB,8,FALSE),"")</f>
        <v/>
      </c>
      <c r="K329" t="str">
        <f>IFERROR(VLOOKUP(D329,'Team Data'!C:AB,9,FALSE),"")</f>
        <v/>
      </c>
      <c r="L329" t="str">
        <f>IFERROR(VLOOKUP(D329,'Team Data'!C:AB,10,FALSE),"")</f>
        <v/>
      </c>
      <c r="M329" t="str">
        <f t="shared" si="10"/>
        <v/>
      </c>
      <c r="N329" t="str">
        <f>IFERROR(VLOOKUP(D329,'Team Data'!C:AB,23,FALSE),"")</f>
        <v/>
      </c>
      <c r="O329" t="str">
        <f>IFERROR(VLOOKUP(D329,'Team Data'!C:AB,22,FALSE),"")</f>
        <v/>
      </c>
      <c r="P329" t="str">
        <f t="shared" si="11"/>
        <v/>
      </c>
      <c r="Q329" t="str">
        <f>IFERROR(VLOOKUP(D329,'Team Data'!C:AB,15,FALSE),"")</f>
        <v/>
      </c>
      <c r="R329" t="str">
        <f>IFERROR(VLOOKUP('OB Format'!D329,'Team Data'!C:AB,24,FALSE),"")</f>
        <v/>
      </c>
      <c r="S329" t="str">
        <f>IFERROR(VLOOKUP('OB Format'!D329,'Team Data'!C:AC,25,FALSE),"")</f>
        <v/>
      </c>
    </row>
    <row r="330" spans="5:19" x14ac:dyDescent="0.25">
      <c r="E330" t="str">
        <f>IFERROR(VLOOKUP(D330,'Team Data'!C:AB,4,FALSE),"")</f>
        <v/>
      </c>
      <c r="F330" t="str">
        <f>IFERROR(VLOOKUP(D330,'Team Data'!C:AB,5,FALSE),"")</f>
        <v/>
      </c>
      <c r="G330" t="str">
        <f>IFERROR(VLOOKUP('OB Format'!D330,'Team Data'!C:AB,17,FALSE),"")</f>
        <v/>
      </c>
      <c r="H330" t="str">
        <f>IFERROR(VLOOKUP(D330,'Team Data'!C:AB,7,FALSE),"")</f>
        <v/>
      </c>
      <c r="I330" t="str">
        <f>IFERROR(VLOOKUP(D330,'Team Data'!C:AB,14,FALSE),"")</f>
        <v/>
      </c>
      <c r="J330" t="str">
        <f>IFERROR(VLOOKUP(D330,'Team Data'!C:AB,8,FALSE),"")</f>
        <v/>
      </c>
      <c r="K330" t="str">
        <f>IFERROR(VLOOKUP(D330,'Team Data'!C:AB,9,FALSE),"")</f>
        <v/>
      </c>
      <c r="L330" t="str">
        <f>IFERROR(VLOOKUP(D330,'Team Data'!C:AB,10,FALSE),"")</f>
        <v/>
      </c>
      <c r="M330" t="str">
        <f t="shared" si="10"/>
        <v/>
      </c>
      <c r="N330" t="str">
        <f>IFERROR(VLOOKUP(D330,'Team Data'!C:AB,23,FALSE),"")</f>
        <v/>
      </c>
      <c r="O330" t="str">
        <f>IFERROR(VLOOKUP(D330,'Team Data'!C:AB,22,FALSE),"")</f>
        <v/>
      </c>
      <c r="P330" t="str">
        <f t="shared" si="11"/>
        <v/>
      </c>
      <c r="Q330" t="str">
        <f>IFERROR(VLOOKUP(D330,'Team Data'!C:AB,15,FALSE),"")</f>
        <v/>
      </c>
      <c r="R330" t="str">
        <f>IFERROR(VLOOKUP('OB Format'!D330,'Team Data'!C:AB,24,FALSE),"")</f>
        <v/>
      </c>
      <c r="S330" t="str">
        <f>IFERROR(VLOOKUP('OB Format'!D330,'Team Data'!C:AC,25,FALSE),"")</f>
        <v/>
      </c>
    </row>
    <row r="331" spans="5:19" x14ac:dyDescent="0.25">
      <c r="E331" t="str">
        <f>IFERROR(VLOOKUP(D331,'Team Data'!C:AB,4,FALSE),"")</f>
        <v/>
      </c>
      <c r="F331" t="str">
        <f>IFERROR(VLOOKUP(D331,'Team Data'!C:AB,5,FALSE),"")</f>
        <v/>
      </c>
      <c r="G331" t="str">
        <f>IFERROR(VLOOKUP('OB Format'!D331,'Team Data'!C:AB,17,FALSE),"")</f>
        <v/>
      </c>
      <c r="H331" t="str">
        <f>IFERROR(VLOOKUP(D331,'Team Data'!C:AB,7,FALSE),"")</f>
        <v/>
      </c>
      <c r="I331" t="str">
        <f>IFERROR(VLOOKUP(D331,'Team Data'!C:AB,14,FALSE),"")</f>
        <v/>
      </c>
      <c r="J331" t="str">
        <f>IFERROR(VLOOKUP(D331,'Team Data'!C:AB,8,FALSE),"")</f>
        <v/>
      </c>
      <c r="K331" t="str">
        <f>IFERROR(VLOOKUP(D331,'Team Data'!C:AB,9,FALSE),"")</f>
        <v/>
      </c>
      <c r="L331" t="str">
        <f>IFERROR(VLOOKUP(D331,'Team Data'!C:AB,10,FALSE),"")</f>
        <v/>
      </c>
      <c r="M331" t="str">
        <f t="shared" si="10"/>
        <v/>
      </c>
      <c r="N331" t="str">
        <f>IFERROR(VLOOKUP(D331,'Team Data'!C:AB,23,FALSE),"")</f>
        <v/>
      </c>
      <c r="O331" t="str">
        <f>IFERROR(VLOOKUP(D331,'Team Data'!C:AB,22,FALSE),"")</f>
        <v/>
      </c>
      <c r="P331" t="str">
        <f t="shared" si="11"/>
        <v/>
      </c>
      <c r="Q331" t="str">
        <f>IFERROR(VLOOKUP(D331,'Team Data'!C:AB,15,FALSE),"")</f>
        <v/>
      </c>
      <c r="R331" t="str">
        <f>IFERROR(VLOOKUP('OB Format'!D331,'Team Data'!C:AB,24,FALSE),"")</f>
        <v/>
      </c>
      <c r="S331" t="str">
        <f>IFERROR(VLOOKUP('OB Format'!D331,'Team Data'!C:AC,25,FALSE),"")</f>
        <v/>
      </c>
    </row>
    <row r="332" spans="5:19" x14ac:dyDescent="0.25">
      <c r="E332" t="str">
        <f>IFERROR(VLOOKUP(D332,'Team Data'!C:AB,4,FALSE),"")</f>
        <v/>
      </c>
      <c r="F332" t="str">
        <f>IFERROR(VLOOKUP(D332,'Team Data'!C:AB,5,FALSE),"")</f>
        <v/>
      </c>
      <c r="G332" t="str">
        <f>IFERROR(VLOOKUP('OB Format'!D332,'Team Data'!C:AB,17,FALSE),"")</f>
        <v/>
      </c>
      <c r="H332" t="str">
        <f>IFERROR(VLOOKUP(D332,'Team Data'!C:AB,7,FALSE),"")</f>
        <v/>
      </c>
      <c r="I332" t="str">
        <f>IFERROR(VLOOKUP(D332,'Team Data'!C:AB,14,FALSE),"")</f>
        <v/>
      </c>
      <c r="J332" t="str">
        <f>IFERROR(VLOOKUP(D332,'Team Data'!C:AB,8,FALSE),"")</f>
        <v/>
      </c>
      <c r="K332" t="str">
        <f>IFERROR(VLOOKUP(D332,'Team Data'!C:AB,9,FALSE),"")</f>
        <v/>
      </c>
      <c r="L332" t="str">
        <f>IFERROR(VLOOKUP(D332,'Team Data'!C:AB,10,FALSE),"")</f>
        <v/>
      </c>
      <c r="M332" t="str">
        <f t="shared" si="10"/>
        <v/>
      </c>
      <c r="N332" t="str">
        <f>IFERROR(VLOOKUP(D332,'Team Data'!C:AB,23,FALSE),"")</f>
        <v/>
      </c>
      <c r="O332" t="str">
        <f>IFERROR(VLOOKUP(D332,'Team Data'!C:AB,22,FALSE),"")</f>
        <v/>
      </c>
      <c r="P332" t="str">
        <f t="shared" si="11"/>
        <v/>
      </c>
      <c r="Q332" t="str">
        <f>IFERROR(VLOOKUP(D332,'Team Data'!C:AB,15,FALSE),"")</f>
        <v/>
      </c>
      <c r="R332" t="str">
        <f>IFERROR(VLOOKUP('OB Format'!D332,'Team Data'!C:AB,24,FALSE),"")</f>
        <v/>
      </c>
      <c r="S332" t="str">
        <f>IFERROR(VLOOKUP('OB Format'!D332,'Team Data'!C:AC,25,FALSE),"")</f>
        <v/>
      </c>
    </row>
    <row r="333" spans="5:19" x14ac:dyDescent="0.25">
      <c r="E333" t="str">
        <f>IFERROR(VLOOKUP(D333,'Team Data'!C:AB,4,FALSE),"")</f>
        <v/>
      </c>
      <c r="F333" t="str">
        <f>IFERROR(VLOOKUP(D333,'Team Data'!C:AB,5,FALSE),"")</f>
        <v/>
      </c>
      <c r="G333" t="str">
        <f>IFERROR(VLOOKUP('OB Format'!D333,'Team Data'!C:AB,17,FALSE),"")</f>
        <v/>
      </c>
      <c r="H333" t="str">
        <f>IFERROR(VLOOKUP(D333,'Team Data'!C:AB,7,FALSE),"")</f>
        <v/>
      </c>
      <c r="I333" t="str">
        <f>IFERROR(VLOOKUP(D333,'Team Data'!C:AB,14,FALSE),"")</f>
        <v/>
      </c>
      <c r="J333" t="str">
        <f>IFERROR(VLOOKUP(D333,'Team Data'!C:AB,8,FALSE),"")</f>
        <v/>
      </c>
      <c r="K333" t="str">
        <f>IFERROR(VLOOKUP(D333,'Team Data'!C:AB,9,FALSE),"")</f>
        <v/>
      </c>
      <c r="L333" t="str">
        <f>IFERROR(VLOOKUP(D333,'Team Data'!C:AB,10,FALSE),"")</f>
        <v/>
      </c>
      <c r="M333" t="str">
        <f t="shared" ref="M333:M396" si="12">IFERROR(H333-(J333+L333+K333),"")</f>
        <v/>
      </c>
      <c r="N333" t="str">
        <f>IFERROR(VLOOKUP(D333,'Team Data'!C:AB,23,FALSE),"")</f>
        <v/>
      </c>
      <c r="O333" t="str">
        <f>IFERROR(VLOOKUP(D333,'Team Data'!C:AB,22,FALSE),"")</f>
        <v/>
      </c>
      <c r="P333" t="str">
        <f t="shared" ref="P333:P396" si="13">IFERROR(E333-(H333+N333+Q333+I333+O333),"")</f>
        <v/>
      </c>
      <c r="Q333" t="str">
        <f>IFERROR(VLOOKUP(D333,'Team Data'!C:AB,15,FALSE),"")</f>
        <v/>
      </c>
      <c r="R333" t="str">
        <f>IFERROR(VLOOKUP('OB Format'!D333,'Team Data'!C:AB,24,FALSE),"")</f>
        <v/>
      </c>
      <c r="S333" t="str">
        <f>IFERROR(VLOOKUP('OB Format'!D333,'Team Data'!C:AC,25,FALSE),"")</f>
        <v/>
      </c>
    </row>
    <row r="334" spans="5:19" x14ac:dyDescent="0.25">
      <c r="E334" t="str">
        <f>IFERROR(VLOOKUP(D334,'Team Data'!C:AB,4,FALSE),"")</f>
        <v/>
      </c>
      <c r="F334" t="str">
        <f>IFERROR(VLOOKUP(D334,'Team Data'!C:AB,5,FALSE),"")</f>
        <v/>
      </c>
      <c r="G334" t="str">
        <f>IFERROR(VLOOKUP('OB Format'!D334,'Team Data'!C:AB,17,FALSE),"")</f>
        <v/>
      </c>
      <c r="H334" t="str">
        <f>IFERROR(VLOOKUP(D334,'Team Data'!C:AB,7,FALSE),"")</f>
        <v/>
      </c>
      <c r="I334" t="str">
        <f>IFERROR(VLOOKUP(D334,'Team Data'!C:AB,14,FALSE),"")</f>
        <v/>
      </c>
      <c r="J334" t="str">
        <f>IFERROR(VLOOKUP(D334,'Team Data'!C:AB,8,FALSE),"")</f>
        <v/>
      </c>
      <c r="K334" t="str">
        <f>IFERROR(VLOOKUP(D334,'Team Data'!C:AB,9,FALSE),"")</f>
        <v/>
      </c>
      <c r="L334" t="str">
        <f>IFERROR(VLOOKUP(D334,'Team Data'!C:AB,10,FALSE),"")</f>
        <v/>
      </c>
      <c r="M334" t="str">
        <f t="shared" si="12"/>
        <v/>
      </c>
      <c r="N334" t="str">
        <f>IFERROR(VLOOKUP(D334,'Team Data'!C:AB,23,FALSE),"")</f>
        <v/>
      </c>
      <c r="O334" t="str">
        <f>IFERROR(VLOOKUP(D334,'Team Data'!C:AB,22,FALSE),"")</f>
        <v/>
      </c>
      <c r="P334" t="str">
        <f t="shared" si="13"/>
        <v/>
      </c>
      <c r="Q334" t="str">
        <f>IFERROR(VLOOKUP(D334,'Team Data'!C:AB,15,FALSE),"")</f>
        <v/>
      </c>
      <c r="R334" t="str">
        <f>IFERROR(VLOOKUP('OB Format'!D334,'Team Data'!C:AB,24,FALSE),"")</f>
        <v/>
      </c>
      <c r="S334" t="str">
        <f>IFERROR(VLOOKUP('OB Format'!D334,'Team Data'!C:AC,25,FALSE),"")</f>
        <v/>
      </c>
    </row>
    <row r="335" spans="5:19" x14ac:dyDescent="0.25">
      <c r="E335" t="str">
        <f>IFERROR(VLOOKUP(D335,'Team Data'!C:AB,4,FALSE),"")</f>
        <v/>
      </c>
      <c r="F335" t="str">
        <f>IFERROR(VLOOKUP(D335,'Team Data'!C:AB,5,FALSE),"")</f>
        <v/>
      </c>
      <c r="G335" t="str">
        <f>IFERROR(VLOOKUP('OB Format'!D335,'Team Data'!C:AB,17,FALSE),"")</f>
        <v/>
      </c>
      <c r="H335" t="str">
        <f>IFERROR(VLOOKUP(D335,'Team Data'!C:AB,7,FALSE),"")</f>
        <v/>
      </c>
      <c r="I335" t="str">
        <f>IFERROR(VLOOKUP(D335,'Team Data'!C:AB,14,FALSE),"")</f>
        <v/>
      </c>
      <c r="J335" t="str">
        <f>IFERROR(VLOOKUP(D335,'Team Data'!C:AB,8,FALSE),"")</f>
        <v/>
      </c>
      <c r="K335" t="str">
        <f>IFERROR(VLOOKUP(D335,'Team Data'!C:AB,9,FALSE),"")</f>
        <v/>
      </c>
      <c r="L335" t="str">
        <f>IFERROR(VLOOKUP(D335,'Team Data'!C:AB,10,FALSE),"")</f>
        <v/>
      </c>
      <c r="M335" t="str">
        <f t="shared" si="12"/>
        <v/>
      </c>
      <c r="N335" t="str">
        <f>IFERROR(VLOOKUP(D335,'Team Data'!C:AB,23,FALSE),"")</f>
        <v/>
      </c>
      <c r="O335" t="str">
        <f>IFERROR(VLOOKUP(D335,'Team Data'!C:AB,22,FALSE),"")</f>
        <v/>
      </c>
      <c r="P335" t="str">
        <f t="shared" si="13"/>
        <v/>
      </c>
      <c r="Q335" t="str">
        <f>IFERROR(VLOOKUP(D335,'Team Data'!C:AB,15,FALSE),"")</f>
        <v/>
      </c>
      <c r="R335" t="str">
        <f>IFERROR(VLOOKUP('OB Format'!D335,'Team Data'!C:AB,24,FALSE),"")</f>
        <v/>
      </c>
      <c r="S335" t="str">
        <f>IFERROR(VLOOKUP('OB Format'!D335,'Team Data'!C:AC,25,FALSE),"")</f>
        <v/>
      </c>
    </row>
    <row r="336" spans="5:19" x14ac:dyDescent="0.25">
      <c r="E336" t="str">
        <f>IFERROR(VLOOKUP(D336,'Team Data'!C:AB,4,FALSE),"")</f>
        <v/>
      </c>
      <c r="F336" t="str">
        <f>IFERROR(VLOOKUP(D336,'Team Data'!C:AB,5,FALSE),"")</f>
        <v/>
      </c>
      <c r="G336" t="str">
        <f>IFERROR(VLOOKUP('OB Format'!D336,'Team Data'!C:AB,17,FALSE),"")</f>
        <v/>
      </c>
      <c r="H336" t="str">
        <f>IFERROR(VLOOKUP(D336,'Team Data'!C:AB,7,FALSE),"")</f>
        <v/>
      </c>
      <c r="I336" t="str">
        <f>IFERROR(VLOOKUP(D336,'Team Data'!C:AB,14,FALSE),"")</f>
        <v/>
      </c>
      <c r="J336" t="str">
        <f>IFERROR(VLOOKUP(D336,'Team Data'!C:AB,8,FALSE),"")</f>
        <v/>
      </c>
      <c r="K336" t="str">
        <f>IFERROR(VLOOKUP(D336,'Team Data'!C:AB,9,FALSE),"")</f>
        <v/>
      </c>
      <c r="L336" t="str">
        <f>IFERROR(VLOOKUP(D336,'Team Data'!C:AB,10,FALSE),"")</f>
        <v/>
      </c>
      <c r="M336" t="str">
        <f t="shared" si="12"/>
        <v/>
      </c>
      <c r="N336" t="str">
        <f>IFERROR(VLOOKUP(D336,'Team Data'!C:AB,23,FALSE),"")</f>
        <v/>
      </c>
      <c r="O336" t="str">
        <f>IFERROR(VLOOKUP(D336,'Team Data'!C:AB,22,FALSE),"")</f>
        <v/>
      </c>
      <c r="P336" t="str">
        <f t="shared" si="13"/>
        <v/>
      </c>
      <c r="Q336" t="str">
        <f>IFERROR(VLOOKUP(D336,'Team Data'!C:AB,15,FALSE),"")</f>
        <v/>
      </c>
      <c r="R336" t="str">
        <f>IFERROR(VLOOKUP('OB Format'!D336,'Team Data'!C:AB,24,FALSE),"")</f>
        <v/>
      </c>
      <c r="S336" t="str">
        <f>IFERROR(VLOOKUP('OB Format'!D336,'Team Data'!C:AC,25,FALSE),"")</f>
        <v/>
      </c>
    </row>
    <row r="337" spans="5:19" x14ac:dyDescent="0.25">
      <c r="E337" t="str">
        <f>IFERROR(VLOOKUP(D337,'Team Data'!C:AB,4,FALSE),"")</f>
        <v/>
      </c>
      <c r="F337" t="str">
        <f>IFERROR(VLOOKUP(D337,'Team Data'!C:AB,5,FALSE),"")</f>
        <v/>
      </c>
      <c r="G337" t="str">
        <f>IFERROR(VLOOKUP('OB Format'!D337,'Team Data'!C:AB,17,FALSE),"")</f>
        <v/>
      </c>
      <c r="H337" t="str">
        <f>IFERROR(VLOOKUP(D337,'Team Data'!C:AB,7,FALSE),"")</f>
        <v/>
      </c>
      <c r="I337" t="str">
        <f>IFERROR(VLOOKUP(D337,'Team Data'!C:AB,14,FALSE),"")</f>
        <v/>
      </c>
      <c r="J337" t="str">
        <f>IFERROR(VLOOKUP(D337,'Team Data'!C:AB,8,FALSE),"")</f>
        <v/>
      </c>
      <c r="K337" t="str">
        <f>IFERROR(VLOOKUP(D337,'Team Data'!C:AB,9,FALSE),"")</f>
        <v/>
      </c>
      <c r="L337" t="str">
        <f>IFERROR(VLOOKUP(D337,'Team Data'!C:AB,10,FALSE),"")</f>
        <v/>
      </c>
      <c r="M337" t="str">
        <f t="shared" si="12"/>
        <v/>
      </c>
      <c r="N337" t="str">
        <f>IFERROR(VLOOKUP(D337,'Team Data'!C:AB,23,FALSE),"")</f>
        <v/>
      </c>
      <c r="O337" t="str">
        <f>IFERROR(VLOOKUP(D337,'Team Data'!C:AB,22,FALSE),"")</f>
        <v/>
      </c>
      <c r="P337" t="str">
        <f t="shared" si="13"/>
        <v/>
      </c>
      <c r="Q337" t="str">
        <f>IFERROR(VLOOKUP(D337,'Team Data'!C:AB,15,FALSE),"")</f>
        <v/>
      </c>
      <c r="R337" t="str">
        <f>IFERROR(VLOOKUP('OB Format'!D337,'Team Data'!C:AB,24,FALSE),"")</f>
        <v/>
      </c>
      <c r="S337" t="str">
        <f>IFERROR(VLOOKUP('OB Format'!D337,'Team Data'!C:AC,25,FALSE),"")</f>
        <v/>
      </c>
    </row>
    <row r="338" spans="5:19" x14ac:dyDescent="0.25">
      <c r="E338" t="str">
        <f>IFERROR(VLOOKUP(D338,'Team Data'!C:AB,4,FALSE),"")</f>
        <v/>
      </c>
      <c r="F338" t="str">
        <f>IFERROR(VLOOKUP(D338,'Team Data'!C:AB,5,FALSE),"")</f>
        <v/>
      </c>
      <c r="G338" t="str">
        <f>IFERROR(VLOOKUP('OB Format'!D338,'Team Data'!C:AB,17,FALSE),"")</f>
        <v/>
      </c>
      <c r="H338" t="str">
        <f>IFERROR(VLOOKUP(D338,'Team Data'!C:AB,7,FALSE),"")</f>
        <v/>
      </c>
      <c r="I338" t="str">
        <f>IFERROR(VLOOKUP(D338,'Team Data'!C:AB,14,FALSE),"")</f>
        <v/>
      </c>
      <c r="J338" t="str">
        <f>IFERROR(VLOOKUP(D338,'Team Data'!C:AB,8,FALSE),"")</f>
        <v/>
      </c>
      <c r="K338" t="str">
        <f>IFERROR(VLOOKUP(D338,'Team Data'!C:AB,9,FALSE),"")</f>
        <v/>
      </c>
      <c r="L338" t="str">
        <f>IFERROR(VLOOKUP(D338,'Team Data'!C:AB,10,FALSE),"")</f>
        <v/>
      </c>
      <c r="M338" t="str">
        <f t="shared" si="12"/>
        <v/>
      </c>
      <c r="N338" t="str">
        <f>IFERROR(VLOOKUP(D338,'Team Data'!C:AB,23,FALSE),"")</f>
        <v/>
      </c>
      <c r="O338" t="str">
        <f>IFERROR(VLOOKUP(D338,'Team Data'!C:AB,22,FALSE),"")</f>
        <v/>
      </c>
      <c r="P338" t="str">
        <f t="shared" si="13"/>
        <v/>
      </c>
      <c r="Q338" t="str">
        <f>IFERROR(VLOOKUP(D338,'Team Data'!C:AB,15,FALSE),"")</f>
        <v/>
      </c>
      <c r="R338" t="str">
        <f>IFERROR(VLOOKUP('OB Format'!D338,'Team Data'!C:AB,24,FALSE),"")</f>
        <v/>
      </c>
      <c r="S338" t="str">
        <f>IFERROR(VLOOKUP('OB Format'!D338,'Team Data'!C:AC,25,FALSE),"")</f>
        <v/>
      </c>
    </row>
    <row r="339" spans="5:19" x14ac:dyDescent="0.25">
      <c r="E339" t="str">
        <f>IFERROR(VLOOKUP(D339,'Team Data'!C:AB,4,FALSE),"")</f>
        <v/>
      </c>
      <c r="F339" t="str">
        <f>IFERROR(VLOOKUP(D339,'Team Data'!C:AB,5,FALSE),"")</f>
        <v/>
      </c>
      <c r="G339" t="str">
        <f>IFERROR(VLOOKUP('OB Format'!D339,'Team Data'!C:AB,17,FALSE),"")</f>
        <v/>
      </c>
      <c r="H339" t="str">
        <f>IFERROR(VLOOKUP(D339,'Team Data'!C:AB,7,FALSE),"")</f>
        <v/>
      </c>
      <c r="I339" t="str">
        <f>IFERROR(VLOOKUP(D339,'Team Data'!C:AB,14,FALSE),"")</f>
        <v/>
      </c>
      <c r="J339" t="str">
        <f>IFERROR(VLOOKUP(D339,'Team Data'!C:AB,8,FALSE),"")</f>
        <v/>
      </c>
      <c r="K339" t="str">
        <f>IFERROR(VLOOKUP(D339,'Team Data'!C:AB,9,FALSE),"")</f>
        <v/>
      </c>
      <c r="L339" t="str">
        <f>IFERROR(VLOOKUP(D339,'Team Data'!C:AB,10,FALSE),"")</f>
        <v/>
      </c>
      <c r="M339" t="str">
        <f t="shared" si="12"/>
        <v/>
      </c>
      <c r="N339" t="str">
        <f>IFERROR(VLOOKUP(D339,'Team Data'!C:AB,23,FALSE),"")</f>
        <v/>
      </c>
      <c r="O339" t="str">
        <f>IFERROR(VLOOKUP(D339,'Team Data'!C:AB,22,FALSE),"")</f>
        <v/>
      </c>
      <c r="P339" t="str">
        <f t="shared" si="13"/>
        <v/>
      </c>
      <c r="Q339" t="str">
        <f>IFERROR(VLOOKUP(D339,'Team Data'!C:AB,15,FALSE),"")</f>
        <v/>
      </c>
      <c r="R339" t="str">
        <f>IFERROR(VLOOKUP('OB Format'!D339,'Team Data'!C:AB,24,FALSE),"")</f>
        <v/>
      </c>
      <c r="S339" t="str">
        <f>IFERROR(VLOOKUP('OB Format'!D339,'Team Data'!C:AC,25,FALSE),"")</f>
        <v/>
      </c>
    </row>
    <row r="340" spans="5:19" x14ac:dyDescent="0.25">
      <c r="E340" t="str">
        <f>IFERROR(VLOOKUP(D340,'Team Data'!C:AB,4,FALSE),"")</f>
        <v/>
      </c>
      <c r="F340" t="str">
        <f>IFERROR(VLOOKUP(D340,'Team Data'!C:AB,5,FALSE),"")</f>
        <v/>
      </c>
      <c r="G340" t="str">
        <f>IFERROR(VLOOKUP('OB Format'!D340,'Team Data'!C:AB,17,FALSE),"")</f>
        <v/>
      </c>
      <c r="H340" t="str">
        <f>IFERROR(VLOOKUP(D340,'Team Data'!C:AB,7,FALSE),"")</f>
        <v/>
      </c>
      <c r="I340" t="str">
        <f>IFERROR(VLOOKUP(D340,'Team Data'!C:AB,14,FALSE),"")</f>
        <v/>
      </c>
      <c r="J340" t="str">
        <f>IFERROR(VLOOKUP(D340,'Team Data'!C:AB,8,FALSE),"")</f>
        <v/>
      </c>
      <c r="K340" t="str">
        <f>IFERROR(VLOOKUP(D340,'Team Data'!C:AB,9,FALSE),"")</f>
        <v/>
      </c>
      <c r="L340" t="str">
        <f>IFERROR(VLOOKUP(D340,'Team Data'!C:AB,10,FALSE),"")</f>
        <v/>
      </c>
      <c r="M340" t="str">
        <f t="shared" si="12"/>
        <v/>
      </c>
      <c r="N340" t="str">
        <f>IFERROR(VLOOKUP(D340,'Team Data'!C:AB,23,FALSE),"")</f>
        <v/>
      </c>
      <c r="O340" t="str">
        <f>IFERROR(VLOOKUP(D340,'Team Data'!C:AB,22,FALSE),"")</f>
        <v/>
      </c>
      <c r="P340" t="str">
        <f t="shared" si="13"/>
        <v/>
      </c>
      <c r="Q340" t="str">
        <f>IFERROR(VLOOKUP(D340,'Team Data'!C:AB,15,FALSE),"")</f>
        <v/>
      </c>
      <c r="R340" t="str">
        <f>IFERROR(VLOOKUP('OB Format'!D340,'Team Data'!C:AB,24,FALSE),"")</f>
        <v/>
      </c>
      <c r="S340" t="str">
        <f>IFERROR(VLOOKUP('OB Format'!D340,'Team Data'!C:AC,25,FALSE),"")</f>
        <v/>
      </c>
    </row>
    <row r="341" spans="5:19" x14ac:dyDescent="0.25">
      <c r="E341" t="str">
        <f>IFERROR(VLOOKUP(D341,'Team Data'!C:AB,4,FALSE),"")</f>
        <v/>
      </c>
      <c r="F341" t="str">
        <f>IFERROR(VLOOKUP(D341,'Team Data'!C:AB,5,FALSE),"")</f>
        <v/>
      </c>
      <c r="G341" t="str">
        <f>IFERROR(VLOOKUP('OB Format'!D341,'Team Data'!C:AB,17,FALSE),"")</f>
        <v/>
      </c>
      <c r="H341" t="str">
        <f>IFERROR(VLOOKUP(D341,'Team Data'!C:AB,7,FALSE),"")</f>
        <v/>
      </c>
      <c r="I341" t="str">
        <f>IFERROR(VLOOKUP(D341,'Team Data'!C:AB,14,FALSE),"")</f>
        <v/>
      </c>
      <c r="J341" t="str">
        <f>IFERROR(VLOOKUP(D341,'Team Data'!C:AB,8,FALSE),"")</f>
        <v/>
      </c>
      <c r="K341" t="str">
        <f>IFERROR(VLOOKUP(D341,'Team Data'!C:AB,9,FALSE),"")</f>
        <v/>
      </c>
      <c r="L341" t="str">
        <f>IFERROR(VLOOKUP(D341,'Team Data'!C:AB,10,FALSE),"")</f>
        <v/>
      </c>
      <c r="M341" t="str">
        <f t="shared" si="12"/>
        <v/>
      </c>
      <c r="N341" t="str">
        <f>IFERROR(VLOOKUP(D341,'Team Data'!C:AB,23,FALSE),"")</f>
        <v/>
      </c>
      <c r="O341" t="str">
        <f>IFERROR(VLOOKUP(D341,'Team Data'!C:AB,22,FALSE),"")</f>
        <v/>
      </c>
      <c r="P341" t="str">
        <f t="shared" si="13"/>
        <v/>
      </c>
      <c r="Q341" t="str">
        <f>IFERROR(VLOOKUP(D341,'Team Data'!C:AB,15,FALSE),"")</f>
        <v/>
      </c>
      <c r="R341" t="str">
        <f>IFERROR(VLOOKUP('OB Format'!D341,'Team Data'!C:AB,24,FALSE),"")</f>
        <v/>
      </c>
      <c r="S341" t="str">
        <f>IFERROR(VLOOKUP('OB Format'!D341,'Team Data'!C:AC,25,FALSE),"")</f>
        <v/>
      </c>
    </row>
    <row r="342" spans="5:19" x14ac:dyDescent="0.25">
      <c r="E342" t="str">
        <f>IFERROR(VLOOKUP(D342,'Team Data'!C:AB,4,FALSE),"")</f>
        <v/>
      </c>
      <c r="F342" t="str">
        <f>IFERROR(VLOOKUP(D342,'Team Data'!C:AB,5,FALSE),"")</f>
        <v/>
      </c>
      <c r="G342" t="str">
        <f>IFERROR(VLOOKUP('OB Format'!D342,'Team Data'!C:AB,17,FALSE),"")</f>
        <v/>
      </c>
      <c r="H342" t="str">
        <f>IFERROR(VLOOKUP(D342,'Team Data'!C:AB,7,FALSE),"")</f>
        <v/>
      </c>
      <c r="I342" t="str">
        <f>IFERROR(VLOOKUP(D342,'Team Data'!C:AB,14,FALSE),"")</f>
        <v/>
      </c>
      <c r="J342" t="str">
        <f>IFERROR(VLOOKUP(D342,'Team Data'!C:AB,8,FALSE),"")</f>
        <v/>
      </c>
      <c r="K342" t="str">
        <f>IFERROR(VLOOKUP(D342,'Team Data'!C:AB,9,FALSE),"")</f>
        <v/>
      </c>
      <c r="L342" t="str">
        <f>IFERROR(VLOOKUP(D342,'Team Data'!C:AB,10,FALSE),"")</f>
        <v/>
      </c>
      <c r="M342" t="str">
        <f t="shared" si="12"/>
        <v/>
      </c>
      <c r="N342" t="str">
        <f>IFERROR(VLOOKUP(D342,'Team Data'!C:AB,23,FALSE),"")</f>
        <v/>
      </c>
      <c r="O342" t="str">
        <f>IFERROR(VLOOKUP(D342,'Team Data'!C:AB,22,FALSE),"")</f>
        <v/>
      </c>
      <c r="P342" t="str">
        <f t="shared" si="13"/>
        <v/>
      </c>
      <c r="Q342" t="str">
        <f>IFERROR(VLOOKUP(D342,'Team Data'!C:AB,15,FALSE),"")</f>
        <v/>
      </c>
      <c r="R342" t="str">
        <f>IFERROR(VLOOKUP('OB Format'!D342,'Team Data'!C:AB,24,FALSE),"")</f>
        <v/>
      </c>
      <c r="S342" t="str">
        <f>IFERROR(VLOOKUP('OB Format'!D342,'Team Data'!C:AC,25,FALSE),"")</f>
        <v/>
      </c>
    </row>
    <row r="343" spans="5:19" x14ac:dyDescent="0.25">
      <c r="E343" t="str">
        <f>IFERROR(VLOOKUP(D343,'Team Data'!C:AB,4,FALSE),"")</f>
        <v/>
      </c>
      <c r="F343" t="str">
        <f>IFERROR(VLOOKUP(D343,'Team Data'!C:AB,5,FALSE),"")</f>
        <v/>
      </c>
      <c r="G343" t="str">
        <f>IFERROR(VLOOKUP('OB Format'!D343,'Team Data'!C:AB,17,FALSE),"")</f>
        <v/>
      </c>
      <c r="H343" t="str">
        <f>IFERROR(VLOOKUP(D343,'Team Data'!C:AB,7,FALSE),"")</f>
        <v/>
      </c>
      <c r="I343" t="str">
        <f>IFERROR(VLOOKUP(D343,'Team Data'!C:AB,14,FALSE),"")</f>
        <v/>
      </c>
      <c r="J343" t="str">
        <f>IFERROR(VLOOKUP(D343,'Team Data'!C:AB,8,FALSE),"")</f>
        <v/>
      </c>
      <c r="K343" t="str">
        <f>IFERROR(VLOOKUP(D343,'Team Data'!C:AB,9,FALSE),"")</f>
        <v/>
      </c>
      <c r="L343" t="str">
        <f>IFERROR(VLOOKUP(D343,'Team Data'!C:AB,10,FALSE),"")</f>
        <v/>
      </c>
      <c r="M343" t="str">
        <f t="shared" si="12"/>
        <v/>
      </c>
      <c r="N343" t="str">
        <f>IFERROR(VLOOKUP(D343,'Team Data'!C:AB,23,FALSE),"")</f>
        <v/>
      </c>
      <c r="O343" t="str">
        <f>IFERROR(VLOOKUP(D343,'Team Data'!C:AB,22,FALSE),"")</f>
        <v/>
      </c>
      <c r="P343" t="str">
        <f t="shared" si="13"/>
        <v/>
      </c>
      <c r="Q343" t="str">
        <f>IFERROR(VLOOKUP(D343,'Team Data'!C:AB,15,FALSE),"")</f>
        <v/>
      </c>
      <c r="R343" t="str">
        <f>IFERROR(VLOOKUP('OB Format'!D343,'Team Data'!C:AB,24,FALSE),"")</f>
        <v/>
      </c>
      <c r="S343" t="str">
        <f>IFERROR(VLOOKUP('OB Format'!D343,'Team Data'!C:AC,25,FALSE),"")</f>
        <v/>
      </c>
    </row>
    <row r="344" spans="5:19" x14ac:dyDescent="0.25">
      <c r="E344" t="str">
        <f>IFERROR(VLOOKUP(D344,'Team Data'!C:AB,4,FALSE),"")</f>
        <v/>
      </c>
      <c r="F344" t="str">
        <f>IFERROR(VLOOKUP(D344,'Team Data'!C:AB,5,FALSE),"")</f>
        <v/>
      </c>
      <c r="G344" t="str">
        <f>IFERROR(VLOOKUP('OB Format'!D344,'Team Data'!C:AB,17,FALSE),"")</f>
        <v/>
      </c>
      <c r="H344" t="str">
        <f>IFERROR(VLOOKUP(D344,'Team Data'!C:AB,7,FALSE),"")</f>
        <v/>
      </c>
      <c r="I344" t="str">
        <f>IFERROR(VLOOKUP(D344,'Team Data'!C:AB,14,FALSE),"")</f>
        <v/>
      </c>
      <c r="J344" t="str">
        <f>IFERROR(VLOOKUP(D344,'Team Data'!C:AB,8,FALSE),"")</f>
        <v/>
      </c>
      <c r="K344" t="str">
        <f>IFERROR(VLOOKUP(D344,'Team Data'!C:AB,9,FALSE),"")</f>
        <v/>
      </c>
      <c r="L344" t="str">
        <f>IFERROR(VLOOKUP(D344,'Team Data'!C:AB,10,FALSE),"")</f>
        <v/>
      </c>
      <c r="M344" t="str">
        <f t="shared" si="12"/>
        <v/>
      </c>
      <c r="N344" t="str">
        <f>IFERROR(VLOOKUP(D344,'Team Data'!C:AB,23,FALSE),"")</f>
        <v/>
      </c>
      <c r="O344" t="str">
        <f>IFERROR(VLOOKUP(D344,'Team Data'!C:AB,22,FALSE),"")</f>
        <v/>
      </c>
      <c r="P344" t="str">
        <f t="shared" si="13"/>
        <v/>
      </c>
      <c r="Q344" t="str">
        <f>IFERROR(VLOOKUP(D344,'Team Data'!C:AB,15,FALSE),"")</f>
        <v/>
      </c>
      <c r="R344" t="str">
        <f>IFERROR(VLOOKUP('OB Format'!D344,'Team Data'!C:AB,24,FALSE),"")</f>
        <v/>
      </c>
      <c r="S344" t="str">
        <f>IFERROR(VLOOKUP('OB Format'!D344,'Team Data'!C:AC,25,FALSE),"")</f>
        <v/>
      </c>
    </row>
    <row r="345" spans="5:19" x14ac:dyDescent="0.25">
      <c r="E345" t="str">
        <f>IFERROR(VLOOKUP(D345,'Team Data'!C:AB,4,FALSE),"")</f>
        <v/>
      </c>
      <c r="F345" t="str">
        <f>IFERROR(VLOOKUP(D345,'Team Data'!C:AB,5,FALSE),"")</f>
        <v/>
      </c>
      <c r="G345" t="str">
        <f>IFERROR(VLOOKUP('OB Format'!D345,'Team Data'!C:AB,17,FALSE),"")</f>
        <v/>
      </c>
      <c r="H345" t="str">
        <f>IFERROR(VLOOKUP(D345,'Team Data'!C:AB,7,FALSE),"")</f>
        <v/>
      </c>
      <c r="I345" t="str">
        <f>IFERROR(VLOOKUP(D345,'Team Data'!C:AB,14,FALSE),"")</f>
        <v/>
      </c>
      <c r="J345" t="str">
        <f>IFERROR(VLOOKUP(D345,'Team Data'!C:AB,8,FALSE),"")</f>
        <v/>
      </c>
      <c r="K345" t="str">
        <f>IFERROR(VLOOKUP(D345,'Team Data'!C:AB,9,FALSE),"")</f>
        <v/>
      </c>
      <c r="L345" t="str">
        <f>IFERROR(VLOOKUP(D345,'Team Data'!C:AB,10,FALSE),"")</f>
        <v/>
      </c>
      <c r="M345" t="str">
        <f t="shared" si="12"/>
        <v/>
      </c>
      <c r="N345" t="str">
        <f>IFERROR(VLOOKUP(D345,'Team Data'!C:AB,23,FALSE),"")</f>
        <v/>
      </c>
      <c r="O345" t="str">
        <f>IFERROR(VLOOKUP(D345,'Team Data'!C:AB,22,FALSE),"")</f>
        <v/>
      </c>
      <c r="P345" t="str">
        <f t="shared" si="13"/>
        <v/>
      </c>
      <c r="Q345" t="str">
        <f>IFERROR(VLOOKUP(D345,'Team Data'!C:AB,15,FALSE),"")</f>
        <v/>
      </c>
      <c r="R345" t="str">
        <f>IFERROR(VLOOKUP('OB Format'!D345,'Team Data'!C:AB,24,FALSE),"")</f>
        <v/>
      </c>
      <c r="S345" t="str">
        <f>IFERROR(VLOOKUP('OB Format'!D345,'Team Data'!C:AC,25,FALSE),"")</f>
        <v/>
      </c>
    </row>
    <row r="346" spans="5:19" x14ac:dyDescent="0.25">
      <c r="E346" t="str">
        <f>IFERROR(VLOOKUP(D346,'Team Data'!C:AB,4,FALSE),"")</f>
        <v/>
      </c>
      <c r="F346" t="str">
        <f>IFERROR(VLOOKUP(D346,'Team Data'!C:AB,5,FALSE),"")</f>
        <v/>
      </c>
      <c r="G346" t="str">
        <f>IFERROR(VLOOKUP('OB Format'!D346,'Team Data'!C:AB,17,FALSE),"")</f>
        <v/>
      </c>
      <c r="H346" t="str">
        <f>IFERROR(VLOOKUP(D346,'Team Data'!C:AB,7,FALSE),"")</f>
        <v/>
      </c>
      <c r="I346" t="str">
        <f>IFERROR(VLOOKUP(D346,'Team Data'!C:AB,14,FALSE),"")</f>
        <v/>
      </c>
      <c r="J346" t="str">
        <f>IFERROR(VLOOKUP(D346,'Team Data'!C:AB,8,FALSE),"")</f>
        <v/>
      </c>
      <c r="K346" t="str">
        <f>IFERROR(VLOOKUP(D346,'Team Data'!C:AB,9,FALSE),"")</f>
        <v/>
      </c>
      <c r="L346" t="str">
        <f>IFERROR(VLOOKUP(D346,'Team Data'!C:AB,10,FALSE),"")</f>
        <v/>
      </c>
      <c r="M346" t="str">
        <f t="shared" si="12"/>
        <v/>
      </c>
      <c r="N346" t="str">
        <f>IFERROR(VLOOKUP(D346,'Team Data'!C:AB,23,FALSE),"")</f>
        <v/>
      </c>
      <c r="O346" t="str">
        <f>IFERROR(VLOOKUP(D346,'Team Data'!C:AB,22,FALSE),"")</f>
        <v/>
      </c>
      <c r="P346" t="str">
        <f t="shared" si="13"/>
        <v/>
      </c>
      <c r="Q346" t="str">
        <f>IFERROR(VLOOKUP(D346,'Team Data'!C:AB,15,FALSE),"")</f>
        <v/>
      </c>
      <c r="R346" t="str">
        <f>IFERROR(VLOOKUP('OB Format'!D346,'Team Data'!C:AB,24,FALSE),"")</f>
        <v/>
      </c>
      <c r="S346" t="str">
        <f>IFERROR(VLOOKUP('OB Format'!D346,'Team Data'!C:AC,25,FALSE),"")</f>
        <v/>
      </c>
    </row>
    <row r="347" spans="5:19" x14ac:dyDescent="0.25">
      <c r="E347" t="str">
        <f>IFERROR(VLOOKUP(D347,'Team Data'!C:AB,4,FALSE),"")</f>
        <v/>
      </c>
      <c r="F347" t="str">
        <f>IFERROR(VLOOKUP(D347,'Team Data'!C:AB,5,FALSE),"")</f>
        <v/>
      </c>
      <c r="G347" t="str">
        <f>IFERROR(VLOOKUP('OB Format'!D347,'Team Data'!C:AB,17,FALSE),"")</f>
        <v/>
      </c>
      <c r="H347" t="str">
        <f>IFERROR(VLOOKUP(D347,'Team Data'!C:AB,7,FALSE),"")</f>
        <v/>
      </c>
      <c r="I347" t="str">
        <f>IFERROR(VLOOKUP(D347,'Team Data'!C:AB,14,FALSE),"")</f>
        <v/>
      </c>
      <c r="J347" t="str">
        <f>IFERROR(VLOOKUP(D347,'Team Data'!C:AB,8,FALSE),"")</f>
        <v/>
      </c>
      <c r="K347" t="str">
        <f>IFERROR(VLOOKUP(D347,'Team Data'!C:AB,9,FALSE),"")</f>
        <v/>
      </c>
      <c r="L347" t="str">
        <f>IFERROR(VLOOKUP(D347,'Team Data'!C:AB,10,FALSE),"")</f>
        <v/>
      </c>
      <c r="M347" t="str">
        <f t="shared" si="12"/>
        <v/>
      </c>
      <c r="N347" t="str">
        <f>IFERROR(VLOOKUP(D347,'Team Data'!C:AB,23,FALSE),"")</f>
        <v/>
      </c>
      <c r="O347" t="str">
        <f>IFERROR(VLOOKUP(D347,'Team Data'!C:AB,22,FALSE),"")</f>
        <v/>
      </c>
      <c r="P347" t="str">
        <f t="shared" si="13"/>
        <v/>
      </c>
      <c r="Q347" t="str">
        <f>IFERROR(VLOOKUP(D347,'Team Data'!C:AB,15,FALSE),"")</f>
        <v/>
      </c>
      <c r="R347" t="str">
        <f>IFERROR(VLOOKUP('OB Format'!D347,'Team Data'!C:AB,24,FALSE),"")</f>
        <v/>
      </c>
      <c r="S347" t="str">
        <f>IFERROR(VLOOKUP('OB Format'!D347,'Team Data'!C:AC,25,FALSE),"")</f>
        <v/>
      </c>
    </row>
    <row r="348" spans="5:19" x14ac:dyDescent="0.25">
      <c r="E348" t="str">
        <f>IFERROR(VLOOKUP(D348,'Team Data'!C:AB,4,FALSE),"")</f>
        <v/>
      </c>
      <c r="F348" t="str">
        <f>IFERROR(VLOOKUP(D348,'Team Data'!C:AB,5,FALSE),"")</f>
        <v/>
      </c>
      <c r="G348" t="str">
        <f>IFERROR(VLOOKUP('OB Format'!D348,'Team Data'!C:AB,17,FALSE),"")</f>
        <v/>
      </c>
      <c r="H348" t="str">
        <f>IFERROR(VLOOKUP(D348,'Team Data'!C:AB,7,FALSE),"")</f>
        <v/>
      </c>
      <c r="I348" t="str">
        <f>IFERROR(VLOOKUP(D348,'Team Data'!C:AB,14,FALSE),"")</f>
        <v/>
      </c>
      <c r="J348" t="str">
        <f>IFERROR(VLOOKUP(D348,'Team Data'!C:AB,8,FALSE),"")</f>
        <v/>
      </c>
      <c r="K348" t="str">
        <f>IFERROR(VLOOKUP(D348,'Team Data'!C:AB,9,FALSE),"")</f>
        <v/>
      </c>
      <c r="L348" t="str">
        <f>IFERROR(VLOOKUP(D348,'Team Data'!C:AB,10,FALSE),"")</f>
        <v/>
      </c>
      <c r="M348" t="str">
        <f t="shared" si="12"/>
        <v/>
      </c>
      <c r="N348" t="str">
        <f>IFERROR(VLOOKUP(D348,'Team Data'!C:AB,23,FALSE),"")</f>
        <v/>
      </c>
      <c r="O348" t="str">
        <f>IFERROR(VLOOKUP(D348,'Team Data'!C:AB,22,FALSE),"")</f>
        <v/>
      </c>
      <c r="P348" t="str">
        <f t="shared" si="13"/>
        <v/>
      </c>
      <c r="Q348" t="str">
        <f>IFERROR(VLOOKUP(D348,'Team Data'!C:AB,15,FALSE),"")</f>
        <v/>
      </c>
      <c r="R348" t="str">
        <f>IFERROR(VLOOKUP('OB Format'!D348,'Team Data'!C:AB,24,FALSE),"")</f>
        <v/>
      </c>
      <c r="S348" t="str">
        <f>IFERROR(VLOOKUP('OB Format'!D348,'Team Data'!C:AC,25,FALSE),"")</f>
        <v/>
      </c>
    </row>
    <row r="349" spans="5:19" x14ac:dyDescent="0.25">
      <c r="E349" t="str">
        <f>IFERROR(VLOOKUP(D349,'Team Data'!C:AB,4,FALSE),"")</f>
        <v/>
      </c>
      <c r="F349" t="str">
        <f>IFERROR(VLOOKUP(D349,'Team Data'!C:AB,5,FALSE),"")</f>
        <v/>
      </c>
      <c r="G349" t="str">
        <f>IFERROR(VLOOKUP('OB Format'!D349,'Team Data'!C:AB,17,FALSE),"")</f>
        <v/>
      </c>
      <c r="H349" t="str">
        <f>IFERROR(VLOOKUP(D349,'Team Data'!C:AB,7,FALSE),"")</f>
        <v/>
      </c>
      <c r="I349" t="str">
        <f>IFERROR(VLOOKUP(D349,'Team Data'!C:AB,14,FALSE),"")</f>
        <v/>
      </c>
      <c r="J349" t="str">
        <f>IFERROR(VLOOKUP(D349,'Team Data'!C:AB,8,FALSE),"")</f>
        <v/>
      </c>
      <c r="K349" t="str">
        <f>IFERROR(VLOOKUP(D349,'Team Data'!C:AB,9,FALSE),"")</f>
        <v/>
      </c>
      <c r="L349" t="str">
        <f>IFERROR(VLOOKUP(D349,'Team Data'!C:AB,10,FALSE),"")</f>
        <v/>
      </c>
      <c r="M349" t="str">
        <f t="shared" si="12"/>
        <v/>
      </c>
      <c r="N349" t="str">
        <f>IFERROR(VLOOKUP(D349,'Team Data'!C:AB,23,FALSE),"")</f>
        <v/>
      </c>
      <c r="O349" t="str">
        <f>IFERROR(VLOOKUP(D349,'Team Data'!C:AB,22,FALSE),"")</f>
        <v/>
      </c>
      <c r="P349" t="str">
        <f t="shared" si="13"/>
        <v/>
      </c>
      <c r="Q349" t="str">
        <f>IFERROR(VLOOKUP(D349,'Team Data'!C:AB,15,FALSE),"")</f>
        <v/>
      </c>
      <c r="R349" t="str">
        <f>IFERROR(VLOOKUP('OB Format'!D349,'Team Data'!C:AB,24,FALSE),"")</f>
        <v/>
      </c>
      <c r="S349" t="str">
        <f>IFERROR(VLOOKUP('OB Format'!D349,'Team Data'!C:AC,25,FALSE),"")</f>
        <v/>
      </c>
    </row>
    <row r="350" spans="5:19" x14ac:dyDescent="0.25">
      <c r="E350" t="str">
        <f>IFERROR(VLOOKUP(D350,'Team Data'!C:AB,4,FALSE),"")</f>
        <v/>
      </c>
      <c r="F350" t="str">
        <f>IFERROR(VLOOKUP(D350,'Team Data'!C:AB,5,FALSE),"")</f>
        <v/>
      </c>
      <c r="G350" t="str">
        <f>IFERROR(VLOOKUP('OB Format'!D350,'Team Data'!C:AB,17,FALSE),"")</f>
        <v/>
      </c>
      <c r="H350" t="str">
        <f>IFERROR(VLOOKUP(D350,'Team Data'!C:AB,7,FALSE),"")</f>
        <v/>
      </c>
      <c r="I350" t="str">
        <f>IFERROR(VLOOKUP(D350,'Team Data'!C:AB,14,FALSE),"")</f>
        <v/>
      </c>
      <c r="J350" t="str">
        <f>IFERROR(VLOOKUP(D350,'Team Data'!C:AB,8,FALSE),"")</f>
        <v/>
      </c>
      <c r="K350" t="str">
        <f>IFERROR(VLOOKUP(D350,'Team Data'!C:AB,9,FALSE),"")</f>
        <v/>
      </c>
      <c r="L350" t="str">
        <f>IFERROR(VLOOKUP(D350,'Team Data'!C:AB,10,FALSE),"")</f>
        <v/>
      </c>
      <c r="M350" t="str">
        <f t="shared" si="12"/>
        <v/>
      </c>
      <c r="N350" t="str">
        <f>IFERROR(VLOOKUP(D350,'Team Data'!C:AB,23,FALSE),"")</f>
        <v/>
      </c>
      <c r="O350" t="str">
        <f>IFERROR(VLOOKUP(D350,'Team Data'!C:AB,22,FALSE),"")</f>
        <v/>
      </c>
      <c r="P350" t="str">
        <f t="shared" si="13"/>
        <v/>
      </c>
      <c r="Q350" t="str">
        <f>IFERROR(VLOOKUP(D350,'Team Data'!C:AB,15,FALSE),"")</f>
        <v/>
      </c>
      <c r="R350" t="str">
        <f>IFERROR(VLOOKUP('OB Format'!D350,'Team Data'!C:AB,24,FALSE),"")</f>
        <v/>
      </c>
      <c r="S350" t="str">
        <f>IFERROR(VLOOKUP('OB Format'!D350,'Team Data'!C:AC,25,FALSE),"")</f>
        <v/>
      </c>
    </row>
    <row r="351" spans="5:19" x14ac:dyDescent="0.25">
      <c r="E351" t="str">
        <f>IFERROR(VLOOKUP(D351,'Team Data'!C:AB,4,FALSE),"")</f>
        <v/>
      </c>
      <c r="F351" t="str">
        <f>IFERROR(VLOOKUP(D351,'Team Data'!C:AB,5,FALSE),"")</f>
        <v/>
      </c>
      <c r="G351" t="str">
        <f>IFERROR(VLOOKUP('OB Format'!D351,'Team Data'!C:AB,17,FALSE),"")</f>
        <v/>
      </c>
      <c r="H351" t="str">
        <f>IFERROR(VLOOKUP(D351,'Team Data'!C:AB,7,FALSE),"")</f>
        <v/>
      </c>
      <c r="I351" t="str">
        <f>IFERROR(VLOOKUP(D351,'Team Data'!C:AB,14,FALSE),"")</f>
        <v/>
      </c>
      <c r="J351" t="str">
        <f>IFERROR(VLOOKUP(D351,'Team Data'!C:AB,8,FALSE),"")</f>
        <v/>
      </c>
      <c r="K351" t="str">
        <f>IFERROR(VLOOKUP(D351,'Team Data'!C:AB,9,FALSE),"")</f>
        <v/>
      </c>
      <c r="L351" t="str">
        <f>IFERROR(VLOOKUP(D351,'Team Data'!C:AB,10,FALSE),"")</f>
        <v/>
      </c>
      <c r="M351" t="str">
        <f t="shared" si="12"/>
        <v/>
      </c>
      <c r="N351" t="str">
        <f>IFERROR(VLOOKUP(D351,'Team Data'!C:AB,23,FALSE),"")</f>
        <v/>
      </c>
      <c r="O351" t="str">
        <f>IFERROR(VLOOKUP(D351,'Team Data'!C:AB,22,FALSE),"")</f>
        <v/>
      </c>
      <c r="P351" t="str">
        <f t="shared" si="13"/>
        <v/>
      </c>
      <c r="Q351" t="str">
        <f>IFERROR(VLOOKUP(D351,'Team Data'!C:AB,15,FALSE),"")</f>
        <v/>
      </c>
      <c r="R351" t="str">
        <f>IFERROR(VLOOKUP('OB Format'!D351,'Team Data'!C:AB,24,FALSE),"")</f>
        <v/>
      </c>
      <c r="S351" t="str">
        <f>IFERROR(VLOOKUP('OB Format'!D351,'Team Data'!C:AC,25,FALSE),"")</f>
        <v/>
      </c>
    </row>
    <row r="352" spans="5:19" x14ac:dyDescent="0.25">
      <c r="E352" t="str">
        <f>IFERROR(VLOOKUP(D352,'Team Data'!C:AB,4,FALSE),"")</f>
        <v/>
      </c>
      <c r="F352" t="str">
        <f>IFERROR(VLOOKUP(D352,'Team Data'!C:AB,5,FALSE),"")</f>
        <v/>
      </c>
      <c r="G352" t="str">
        <f>IFERROR(VLOOKUP('OB Format'!D352,'Team Data'!C:AB,17,FALSE),"")</f>
        <v/>
      </c>
      <c r="H352" t="str">
        <f>IFERROR(VLOOKUP(D352,'Team Data'!C:AB,7,FALSE),"")</f>
        <v/>
      </c>
      <c r="I352" t="str">
        <f>IFERROR(VLOOKUP(D352,'Team Data'!C:AB,14,FALSE),"")</f>
        <v/>
      </c>
      <c r="J352" t="str">
        <f>IFERROR(VLOOKUP(D352,'Team Data'!C:AB,8,FALSE),"")</f>
        <v/>
      </c>
      <c r="K352" t="str">
        <f>IFERROR(VLOOKUP(D352,'Team Data'!C:AB,9,FALSE),"")</f>
        <v/>
      </c>
      <c r="L352" t="str">
        <f>IFERROR(VLOOKUP(D352,'Team Data'!C:AB,10,FALSE),"")</f>
        <v/>
      </c>
      <c r="M352" t="str">
        <f t="shared" si="12"/>
        <v/>
      </c>
      <c r="N352" t="str">
        <f>IFERROR(VLOOKUP(D352,'Team Data'!C:AB,23,FALSE),"")</f>
        <v/>
      </c>
      <c r="O352" t="str">
        <f>IFERROR(VLOOKUP(D352,'Team Data'!C:AB,22,FALSE),"")</f>
        <v/>
      </c>
      <c r="P352" t="str">
        <f t="shared" si="13"/>
        <v/>
      </c>
      <c r="Q352" t="str">
        <f>IFERROR(VLOOKUP(D352,'Team Data'!C:AB,15,FALSE),"")</f>
        <v/>
      </c>
      <c r="R352" t="str">
        <f>IFERROR(VLOOKUP('OB Format'!D352,'Team Data'!C:AB,24,FALSE),"")</f>
        <v/>
      </c>
      <c r="S352" t="str">
        <f>IFERROR(VLOOKUP('OB Format'!D352,'Team Data'!C:AC,25,FALSE),"")</f>
        <v/>
      </c>
    </row>
    <row r="353" spans="5:19" x14ac:dyDescent="0.25">
      <c r="E353" t="str">
        <f>IFERROR(VLOOKUP(D353,'Team Data'!C:AB,4,FALSE),"")</f>
        <v/>
      </c>
      <c r="F353" t="str">
        <f>IFERROR(VLOOKUP(D353,'Team Data'!C:AB,5,FALSE),"")</f>
        <v/>
      </c>
      <c r="G353" t="str">
        <f>IFERROR(VLOOKUP('OB Format'!D353,'Team Data'!C:AB,17,FALSE),"")</f>
        <v/>
      </c>
      <c r="H353" t="str">
        <f>IFERROR(VLOOKUP(D353,'Team Data'!C:AB,7,FALSE),"")</f>
        <v/>
      </c>
      <c r="I353" t="str">
        <f>IFERROR(VLOOKUP(D353,'Team Data'!C:AB,14,FALSE),"")</f>
        <v/>
      </c>
      <c r="J353" t="str">
        <f>IFERROR(VLOOKUP(D353,'Team Data'!C:AB,8,FALSE),"")</f>
        <v/>
      </c>
      <c r="K353" t="str">
        <f>IFERROR(VLOOKUP(D353,'Team Data'!C:AB,9,FALSE),"")</f>
        <v/>
      </c>
      <c r="L353" t="str">
        <f>IFERROR(VLOOKUP(D353,'Team Data'!C:AB,10,FALSE),"")</f>
        <v/>
      </c>
      <c r="M353" t="str">
        <f t="shared" si="12"/>
        <v/>
      </c>
      <c r="N353" t="str">
        <f>IFERROR(VLOOKUP(D353,'Team Data'!C:AB,23,FALSE),"")</f>
        <v/>
      </c>
      <c r="O353" t="str">
        <f>IFERROR(VLOOKUP(D353,'Team Data'!C:AB,22,FALSE),"")</f>
        <v/>
      </c>
      <c r="P353" t="str">
        <f t="shared" si="13"/>
        <v/>
      </c>
      <c r="Q353" t="str">
        <f>IFERROR(VLOOKUP(D353,'Team Data'!C:AB,15,FALSE),"")</f>
        <v/>
      </c>
      <c r="R353" t="str">
        <f>IFERROR(VLOOKUP('OB Format'!D353,'Team Data'!C:AB,24,FALSE),"")</f>
        <v/>
      </c>
      <c r="S353" t="str">
        <f>IFERROR(VLOOKUP('OB Format'!D353,'Team Data'!C:AC,25,FALSE),"")</f>
        <v/>
      </c>
    </row>
    <row r="354" spans="5:19" x14ac:dyDescent="0.25">
      <c r="E354" t="str">
        <f>IFERROR(VLOOKUP(D354,'Team Data'!C:AB,4,FALSE),"")</f>
        <v/>
      </c>
      <c r="F354" t="str">
        <f>IFERROR(VLOOKUP(D354,'Team Data'!C:AB,5,FALSE),"")</f>
        <v/>
      </c>
      <c r="G354" t="str">
        <f>IFERROR(VLOOKUP('OB Format'!D354,'Team Data'!C:AB,17,FALSE),"")</f>
        <v/>
      </c>
      <c r="H354" t="str">
        <f>IFERROR(VLOOKUP(D354,'Team Data'!C:AB,7,FALSE),"")</f>
        <v/>
      </c>
      <c r="I354" t="str">
        <f>IFERROR(VLOOKUP(D354,'Team Data'!C:AB,14,FALSE),"")</f>
        <v/>
      </c>
      <c r="J354" t="str">
        <f>IFERROR(VLOOKUP(D354,'Team Data'!C:AB,8,FALSE),"")</f>
        <v/>
      </c>
      <c r="K354" t="str">
        <f>IFERROR(VLOOKUP(D354,'Team Data'!C:AB,9,FALSE),"")</f>
        <v/>
      </c>
      <c r="L354" t="str">
        <f>IFERROR(VLOOKUP(D354,'Team Data'!C:AB,10,FALSE),"")</f>
        <v/>
      </c>
      <c r="M354" t="str">
        <f t="shared" si="12"/>
        <v/>
      </c>
      <c r="N354" t="str">
        <f>IFERROR(VLOOKUP(D354,'Team Data'!C:AB,23,FALSE),"")</f>
        <v/>
      </c>
      <c r="O354" t="str">
        <f>IFERROR(VLOOKUP(D354,'Team Data'!C:AB,22,FALSE),"")</f>
        <v/>
      </c>
      <c r="P354" t="str">
        <f t="shared" si="13"/>
        <v/>
      </c>
      <c r="Q354" t="str">
        <f>IFERROR(VLOOKUP(D354,'Team Data'!C:AB,15,FALSE),"")</f>
        <v/>
      </c>
      <c r="R354" t="str">
        <f>IFERROR(VLOOKUP('OB Format'!D354,'Team Data'!C:AB,24,FALSE),"")</f>
        <v/>
      </c>
      <c r="S354" t="str">
        <f>IFERROR(VLOOKUP('OB Format'!D354,'Team Data'!C:AC,25,FALSE),"")</f>
        <v/>
      </c>
    </row>
    <row r="355" spans="5:19" x14ac:dyDescent="0.25">
      <c r="E355" t="str">
        <f>IFERROR(VLOOKUP(D355,'Team Data'!C:AB,4,FALSE),"")</f>
        <v/>
      </c>
      <c r="F355" t="str">
        <f>IFERROR(VLOOKUP(D355,'Team Data'!C:AB,5,FALSE),"")</f>
        <v/>
      </c>
      <c r="G355" t="str">
        <f>IFERROR(VLOOKUP('OB Format'!D355,'Team Data'!C:AB,17,FALSE),"")</f>
        <v/>
      </c>
      <c r="H355" t="str">
        <f>IFERROR(VLOOKUP(D355,'Team Data'!C:AB,7,FALSE),"")</f>
        <v/>
      </c>
      <c r="I355" t="str">
        <f>IFERROR(VLOOKUP(D355,'Team Data'!C:AB,14,FALSE),"")</f>
        <v/>
      </c>
      <c r="J355" t="str">
        <f>IFERROR(VLOOKUP(D355,'Team Data'!C:AB,8,FALSE),"")</f>
        <v/>
      </c>
      <c r="K355" t="str">
        <f>IFERROR(VLOOKUP(D355,'Team Data'!C:AB,9,FALSE),"")</f>
        <v/>
      </c>
      <c r="L355" t="str">
        <f>IFERROR(VLOOKUP(D355,'Team Data'!C:AB,10,FALSE),"")</f>
        <v/>
      </c>
      <c r="M355" t="str">
        <f t="shared" si="12"/>
        <v/>
      </c>
      <c r="N355" t="str">
        <f>IFERROR(VLOOKUP(D355,'Team Data'!C:AB,23,FALSE),"")</f>
        <v/>
      </c>
      <c r="O355" t="str">
        <f>IFERROR(VLOOKUP(D355,'Team Data'!C:AB,22,FALSE),"")</f>
        <v/>
      </c>
      <c r="P355" t="str">
        <f t="shared" si="13"/>
        <v/>
      </c>
      <c r="Q355" t="str">
        <f>IFERROR(VLOOKUP(D355,'Team Data'!C:AB,15,FALSE),"")</f>
        <v/>
      </c>
      <c r="R355" t="str">
        <f>IFERROR(VLOOKUP('OB Format'!D355,'Team Data'!C:AB,24,FALSE),"")</f>
        <v/>
      </c>
      <c r="S355" t="str">
        <f>IFERROR(VLOOKUP('OB Format'!D355,'Team Data'!C:AC,25,FALSE),"")</f>
        <v/>
      </c>
    </row>
    <row r="356" spans="5:19" x14ac:dyDescent="0.25">
      <c r="E356" t="str">
        <f>IFERROR(VLOOKUP(D356,'Team Data'!C:AB,4,FALSE),"")</f>
        <v/>
      </c>
      <c r="F356" t="str">
        <f>IFERROR(VLOOKUP(D356,'Team Data'!C:AB,5,FALSE),"")</f>
        <v/>
      </c>
      <c r="G356" t="str">
        <f>IFERROR(VLOOKUP('OB Format'!D356,'Team Data'!C:AB,17,FALSE),"")</f>
        <v/>
      </c>
      <c r="H356" t="str">
        <f>IFERROR(VLOOKUP(D356,'Team Data'!C:AB,7,FALSE),"")</f>
        <v/>
      </c>
      <c r="I356" t="str">
        <f>IFERROR(VLOOKUP(D356,'Team Data'!C:AB,14,FALSE),"")</f>
        <v/>
      </c>
      <c r="J356" t="str">
        <f>IFERROR(VLOOKUP(D356,'Team Data'!C:AB,8,FALSE),"")</f>
        <v/>
      </c>
      <c r="K356" t="str">
        <f>IFERROR(VLOOKUP(D356,'Team Data'!C:AB,9,FALSE),"")</f>
        <v/>
      </c>
      <c r="L356" t="str">
        <f>IFERROR(VLOOKUP(D356,'Team Data'!C:AB,10,FALSE),"")</f>
        <v/>
      </c>
      <c r="M356" t="str">
        <f t="shared" si="12"/>
        <v/>
      </c>
      <c r="N356" t="str">
        <f>IFERROR(VLOOKUP(D356,'Team Data'!C:AB,23,FALSE),"")</f>
        <v/>
      </c>
      <c r="O356" t="str">
        <f>IFERROR(VLOOKUP(D356,'Team Data'!C:AB,22,FALSE),"")</f>
        <v/>
      </c>
      <c r="P356" t="str">
        <f t="shared" si="13"/>
        <v/>
      </c>
      <c r="Q356" t="str">
        <f>IFERROR(VLOOKUP(D356,'Team Data'!C:AB,15,FALSE),"")</f>
        <v/>
      </c>
      <c r="R356" t="str">
        <f>IFERROR(VLOOKUP('OB Format'!D356,'Team Data'!C:AB,24,FALSE),"")</f>
        <v/>
      </c>
      <c r="S356" t="str">
        <f>IFERROR(VLOOKUP('OB Format'!D356,'Team Data'!C:AC,25,FALSE),"")</f>
        <v/>
      </c>
    </row>
    <row r="357" spans="5:19" x14ac:dyDescent="0.25">
      <c r="E357" t="str">
        <f>IFERROR(VLOOKUP(D357,'Team Data'!C:AB,4,FALSE),"")</f>
        <v/>
      </c>
      <c r="F357" t="str">
        <f>IFERROR(VLOOKUP(D357,'Team Data'!C:AB,5,FALSE),"")</f>
        <v/>
      </c>
      <c r="G357" t="str">
        <f>IFERROR(VLOOKUP('OB Format'!D357,'Team Data'!C:AB,17,FALSE),"")</f>
        <v/>
      </c>
      <c r="H357" t="str">
        <f>IFERROR(VLOOKUP(D357,'Team Data'!C:AB,7,FALSE),"")</f>
        <v/>
      </c>
      <c r="I357" t="str">
        <f>IFERROR(VLOOKUP(D357,'Team Data'!C:AB,14,FALSE),"")</f>
        <v/>
      </c>
      <c r="J357" t="str">
        <f>IFERROR(VLOOKUP(D357,'Team Data'!C:AB,8,FALSE),"")</f>
        <v/>
      </c>
      <c r="K357" t="str">
        <f>IFERROR(VLOOKUP(D357,'Team Data'!C:AB,9,FALSE),"")</f>
        <v/>
      </c>
      <c r="L357" t="str">
        <f>IFERROR(VLOOKUP(D357,'Team Data'!C:AB,10,FALSE),"")</f>
        <v/>
      </c>
      <c r="M357" t="str">
        <f t="shared" si="12"/>
        <v/>
      </c>
      <c r="N357" t="str">
        <f>IFERROR(VLOOKUP(D357,'Team Data'!C:AB,23,FALSE),"")</f>
        <v/>
      </c>
      <c r="O357" t="str">
        <f>IFERROR(VLOOKUP(D357,'Team Data'!C:AB,22,FALSE),"")</f>
        <v/>
      </c>
      <c r="P357" t="str">
        <f t="shared" si="13"/>
        <v/>
      </c>
      <c r="Q357" t="str">
        <f>IFERROR(VLOOKUP(D357,'Team Data'!C:AB,15,FALSE),"")</f>
        <v/>
      </c>
      <c r="R357" t="str">
        <f>IFERROR(VLOOKUP('OB Format'!D357,'Team Data'!C:AB,24,FALSE),"")</f>
        <v/>
      </c>
      <c r="S357" t="str">
        <f>IFERROR(VLOOKUP('OB Format'!D357,'Team Data'!C:AC,25,FALSE),"")</f>
        <v/>
      </c>
    </row>
    <row r="358" spans="5:19" x14ac:dyDescent="0.25">
      <c r="E358" t="str">
        <f>IFERROR(VLOOKUP(D358,'Team Data'!C:AB,4,FALSE),"")</f>
        <v/>
      </c>
      <c r="F358" t="str">
        <f>IFERROR(VLOOKUP(D358,'Team Data'!C:AB,5,FALSE),"")</f>
        <v/>
      </c>
      <c r="G358" t="str">
        <f>IFERROR(VLOOKUP('OB Format'!D358,'Team Data'!C:AB,17,FALSE),"")</f>
        <v/>
      </c>
      <c r="H358" t="str">
        <f>IFERROR(VLOOKUP(D358,'Team Data'!C:AB,7,FALSE),"")</f>
        <v/>
      </c>
      <c r="I358" t="str">
        <f>IFERROR(VLOOKUP(D358,'Team Data'!C:AB,14,FALSE),"")</f>
        <v/>
      </c>
      <c r="J358" t="str">
        <f>IFERROR(VLOOKUP(D358,'Team Data'!C:AB,8,FALSE),"")</f>
        <v/>
      </c>
      <c r="K358" t="str">
        <f>IFERROR(VLOOKUP(D358,'Team Data'!C:AB,9,FALSE),"")</f>
        <v/>
      </c>
      <c r="L358" t="str">
        <f>IFERROR(VLOOKUP(D358,'Team Data'!C:AB,10,FALSE),"")</f>
        <v/>
      </c>
      <c r="M358" t="str">
        <f t="shared" si="12"/>
        <v/>
      </c>
      <c r="N358" t="str">
        <f>IFERROR(VLOOKUP(D358,'Team Data'!C:AB,23,FALSE),"")</f>
        <v/>
      </c>
      <c r="O358" t="str">
        <f>IFERROR(VLOOKUP(D358,'Team Data'!C:AB,22,FALSE),"")</f>
        <v/>
      </c>
      <c r="P358" t="str">
        <f t="shared" si="13"/>
        <v/>
      </c>
      <c r="Q358" t="str">
        <f>IFERROR(VLOOKUP(D358,'Team Data'!C:AB,15,FALSE),"")</f>
        <v/>
      </c>
      <c r="R358" t="str">
        <f>IFERROR(VLOOKUP('OB Format'!D358,'Team Data'!C:AB,24,FALSE),"")</f>
        <v/>
      </c>
      <c r="S358" t="str">
        <f>IFERROR(VLOOKUP('OB Format'!D358,'Team Data'!C:AC,25,FALSE),"")</f>
        <v/>
      </c>
    </row>
    <row r="359" spans="5:19" x14ac:dyDescent="0.25">
      <c r="E359" t="str">
        <f>IFERROR(VLOOKUP(D359,'Team Data'!C:AB,4,FALSE),"")</f>
        <v/>
      </c>
      <c r="F359" t="str">
        <f>IFERROR(VLOOKUP(D359,'Team Data'!C:AB,5,FALSE),"")</f>
        <v/>
      </c>
      <c r="G359" t="str">
        <f>IFERROR(VLOOKUP('OB Format'!D359,'Team Data'!C:AB,17,FALSE),"")</f>
        <v/>
      </c>
      <c r="H359" t="str">
        <f>IFERROR(VLOOKUP(D359,'Team Data'!C:AB,7,FALSE),"")</f>
        <v/>
      </c>
      <c r="I359" t="str">
        <f>IFERROR(VLOOKUP(D359,'Team Data'!C:AB,14,FALSE),"")</f>
        <v/>
      </c>
      <c r="J359" t="str">
        <f>IFERROR(VLOOKUP(D359,'Team Data'!C:AB,8,FALSE),"")</f>
        <v/>
      </c>
      <c r="K359" t="str">
        <f>IFERROR(VLOOKUP(D359,'Team Data'!C:AB,9,FALSE),"")</f>
        <v/>
      </c>
      <c r="L359" t="str">
        <f>IFERROR(VLOOKUP(D359,'Team Data'!C:AB,10,FALSE),"")</f>
        <v/>
      </c>
      <c r="M359" t="str">
        <f t="shared" si="12"/>
        <v/>
      </c>
      <c r="N359" t="str">
        <f>IFERROR(VLOOKUP(D359,'Team Data'!C:AB,23,FALSE),"")</f>
        <v/>
      </c>
      <c r="O359" t="str">
        <f>IFERROR(VLOOKUP(D359,'Team Data'!C:AB,22,FALSE),"")</f>
        <v/>
      </c>
      <c r="P359" t="str">
        <f t="shared" si="13"/>
        <v/>
      </c>
      <c r="Q359" t="str">
        <f>IFERROR(VLOOKUP(D359,'Team Data'!C:AB,15,FALSE),"")</f>
        <v/>
      </c>
      <c r="R359" t="str">
        <f>IFERROR(VLOOKUP('OB Format'!D359,'Team Data'!C:AB,24,FALSE),"")</f>
        <v/>
      </c>
      <c r="S359" t="str">
        <f>IFERROR(VLOOKUP('OB Format'!D359,'Team Data'!C:AC,25,FALSE),"")</f>
        <v/>
      </c>
    </row>
    <row r="360" spans="5:19" x14ac:dyDescent="0.25">
      <c r="E360" t="str">
        <f>IFERROR(VLOOKUP(D360,'Team Data'!C:AB,4,FALSE),"")</f>
        <v/>
      </c>
      <c r="F360" t="str">
        <f>IFERROR(VLOOKUP(D360,'Team Data'!C:AB,5,FALSE),"")</f>
        <v/>
      </c>
      <c r="G360" t="str">
        <f>IFERROR(VLOOKUP('OB Format'!D360,'Team Data'!C:AB,17,FALSE),"")</f>
        <v/>
      </c>
      <c r="H360" t="str">
        <f>IFERROR(VLOOKUP(D360,'Team Data'!C:AB,7,FALSE),"")</f>
        <v/>
      </c>
      <c r="I360" t="str">
        <f>IFERROR(VLOOKUP(D360,'Team Data'!C:AB,14,FALSE),"")</f>
        <v/>
      </c>
      <c r="J360" t="str">
        <f>IFERROR(VLOOKUP(D360,'Team Data'!C:AB,8,FALSE),"")</f>
        <v/>
      </c>
      <c r="K360" t="str">
        <f>IFERROR(VLOOKUP(D360,'Team Data'!C:AB,9,FALSE),"")</f>
        <v/>
      </c>
      <c r="L360" t="str">
        <f>IFERROR(VLOOKUP(D360,'Team Data'!C:AB,10,FALSE),"")</f>
        <v/>
      </c>
      <c r="M360" t="str">
        <f t="shared" si="12"/>
        <v/>
      </c>
      <c r="N360" t="str">
        <f>IFERROR(VLOOKUP(D360,'Team Data'!C:AB,23,FALSE),"")</f>
        <v/>
      </c>
      <c r="O360" t="str">
        <f>IFERROR(VLOOKUP(D360,'Team Data'!C:AB,22,FALSE),"")</f>
        <v/>
      </c>
      <c r="P360" t="str">
        <f t="shared" si="13"/>
        <v/>
      </c>
      <c r="Q360" t="str">
        <f>IFERROR(VLOOKUP(D360,'Team Data'!C:AB,15,FALSE),"")</f>
        <v/>
      </c>
      <c r="R360" t="str">
        <f>IFERROR(VLOOKUP('OB Format'!D360,'Team Data'!C:AB,24,FALSE),"")</f>
        <v/>
      </c>
      <c r="S360" t="str">
        <f>IFERROR(VLOOKUP('OB Format'!D360,'Team Data'!C:AC,25,FALSE),"")</f>
        <v/>
      </c>
    </row>
    <row r="361" spans="5:19" x14ac:dyDescent="0.25">
      <c r="E361" t="str">
        <f>IFERROR(VLOOKUP(D361,'Team Data'!C:AB,4,FALSE),"")</f>
        <v/>
      </c>
      <c r="F361" t="str">
        <f>IFERROR(VLOOKUP(D361,'Team Data'!C:AB,5,FALSE),"")</f>
        <v/>
      </c>
      <c r="G361" t="str">
        <f>IFERROR(VLOOKUP('OB Format'!D361,'Team Data'!C:AB,17,FALSE),"")</f>
        <v/>
      </c>
      <c r="H361" t="str">
        <f>IFERROR(VLOOKUP(D361,'Team Data'!C:AB,7,FALSE),"")</f>
        <v/>
      </c>
      <c r="I361" t="str">
        <f>IFERROR(VLOOKUP(D361,'Team Data'!C:AB,14,FALSE),"")</f>
        <v/>
      </c>
      <c r="J361" t="str">
        <f>IFERROR(VLOOKUP(D361,'Team Data'!C:AB,8,FALSE),"")</f>
        <v/>
      </c>
      <c r="K361" t="str">
        <f>IFERROR(VLOOKUP(D361,'Team Data'!C:AB,9,FALSE),"")</f>
        <v/>
      </c>
      <c r="L361" t="str">
        <f>IFERROR(VLOOKUP(D361,'Team Data'!C:AB,10,FALSE),"")</f>
        <v/>
      </c>
      <c r="M361" t="str">
        <f t="shared" si="12"/>
        <v/>
      </c>
      <c r="N361" t="str">
        <f>IFERROR(VLOOKUP(D361,'Team Data'!C:AB,23,FALSE),"")</f>
        <v/>
      </c>
      <c r="O361" t="str">
        <f>IFERROR(VLOOKUP(D361,'Team Data'!C:AB,22,FALSE),"")</f>
        <v/>
      </c>
      <c r="P361" t="str">
        <f t="shared" si="13"/>
        <v/>
      </c>
      <c r="Q361" t="str">
        <f>IFERROR(VLOOKUP(D361,'Team Data'!C:AB,15,FALSE),"")</f>
        <v/>
      </c>
      <c r="R361" t="str">
        <f>IFERROR(VLOOKUP('OB Format'!D361,'Team Data'!C:AB,24,FALSE),"")</f>
        <v/>
      </c>
      <c r="S361" t="str">
        <f>IFERROR(VLOOKUP('OB Format'!D361,'Team Data'!C:AC,25,FALSE),"")</f>
        <v/>
      </c>
    </row>
    <row r="362" spans="5:19" x14ac:dyDescent="0.25">
      <c r="E362" t="str">
        <f>IFERROR(VLOOKUP(D362,'Team Data'!C:AB,4,FALSE),"")</f>
        <v/>
      </c>
      <c r="F362" t="str">
        <f>IFERROR(VLOOKUP(D362,'Team Data'!C:AB,5,FALSE),"")</f>
        <v/>
      </c>
      <c r="G362" t="str">
        <f>IFERROR(VLOOKUP('OB Format'!D362,'Team Data'!C:AB,17,FALSE),"")</f>
        <v/>
      </c>
      <c r="H362" t="str">
        <f>IFERROR(VLOOKUP(D362,'Team Data'!C:AB,7,FALSE),"")</f>
        <v/>
      </c>
      <c r="I362" t="str">
        <f>IFERROR(VLOOKUP(D362,'Team Data'!C:AB,14,FALSE),"")</f>
        <v/>
      </c>
      <c r="J362" t="str">
        <f>IFERROR(VLOOKUP(D362,'Team Data'!C:AB,8,FALSE),"")</f>
        <v/>
      </c>
      <c r="K362" t="str">
        <f>IFERROR(VLOOKUP(D362,'Team Data'!C:AB,9,FALSE),"")</f>
        <v/>
      </c>
      <c r="L362" t="str">
        <f>IFERROR(VLOOKUP(D362,'Team Data'!C:AB,10,FALSE),"")</f>
        <v/>
      </c>
      <c r="M362" t="str">
        <f t="shared" si="12"/>
        <v/>
      </c>
      <c r="N362" t="str">
        <f>IFERROR(VLOOKUP(D362,'Team Data'!C:AB,23,FALSE),"")</f>
        <v/>
      </c>
      <c r="O362" t="str">
        <f>IFERROR(VLOOKUP(D362,'Team Data'!C:AB,22,FALSE),"")</f>
        <v/>
      </c>
      <c r="P362" t="str">
        <f t="shared" si="13"/>
        <v/>
      </c>
      <c r="Q362" t="str">
        <f>IFERROR(VLOOKUP(D362,'Team Data'!C:AB,15,FALSE),"")</f>
        <v/>
      </c>
      <c r="R362" t="str">
        <f>IFERROR(VLOOKUP('OB Format'!D362,'Team Data'!C:AB,24,FALSE),"")</f>
        <v/>
      </c>
      <c r="S362" t="str">
        <f>IFERROR(VLOOKUP('OB Format'!D362,'Team Data'!C:AC,25,FALSE),"")</f>
        <v/>
      </c>
    </row>
    <row r="363" spans="5:19" x14ac:dyDescent="0.25">
      <c r="E363" t="str">
        <f>IFERROR(VLOOKUP(D363,'Team Data'!C:AB,4,FALSE),"")</f>
        <v/>
      </c>
      <c r="F363" t="str">
        <f>IFERROR(VLOOKUP(D363,'Team Data'!C:AB,5,FALSE),"")</f>
        <v/>
      </c>
      <c r="G363" t="str">
        <f>IFERROR(VLOOKUP('OB Format'!D363,'Team Data'!C:AB,17,FALSE),"")</f>
        <v/>
      </c>
      <c r="H363" t="str">
        <f>IFERROR(VLOOKUP(D363,'Team Data'!C:AB,7,FALSE),"")</f>
        <v/>
      </c>
      <c r="I363" t="str">
        <f>IFERROR(VLOOKUP(D363,'Team Data'!C:AB,14,FALSE),"")</f>
        <v/>
      </c>
      <c r="J363" t="str">
        <f>IFERROR(VLOOKUP(D363,'Team Data'!C:AB,8,FALSE),"")</f>
        <v/>
      </c>
      <c r="K363" t="str">
        <f>IFERROR(VLOOKUP(D363,'Team Data'!C:AB,9,FALSE),"")</f>
        <v/>
      </c>
      <c r="L363" t="str">
        <f>IFERROR(VLOOKUP(D363,'Team Data'!C:AB,10,FALSE),"")</f>
        <v/>
      </c>
      <c r="M363" t="str">
        <f t="shared" si="12"/>
        <v/>
      </c>
      <c r="N363" t="str">
        <f>IFERROR(VLOOKUP(D363,'Team Data'!C:AB,23,FALSE),"")</f>
        <v/>
      </c>
      <c r="O363" t="str">
        <f>IFERROR(VLOOKUP(D363,'Team Data'!C:AB,22,FALSE),"")</f>
        <v/>
      </c>
      <c r="P363" t="str">
        <f t="shared" si="13"/>
        <v/>
      </c>
      <c r="Q363" t="str">
        <f>IFERROR(VLOOKUP(D363,'Team Data'!C:AB,15,FALSE),"")</f>
        <v/>
      </c>
      <c r="R363" t="str">
        <f>IFERROR(VLOOKUP('OB Format'!D363,'Team Data'!C:AB,24,FALSE),"")</f>
        <v/>
      </c>
      <c r="S363" t="str">
        <f>IFERROR(VLOOKUP('OB Format'!D363,'Team Data'!C:AC,25,FALSE),"")</f>
        <v/>
      </c>
    </row>
    <row r="364" spans="5:19" x14ac:dyDescent="0.25">
      <c r="E364" t="str">
        <f>IFERROR(VLOOKUP(D364,'Team Data'!C:AB,4,FALSE),"")</f>
        <v/>
      </c>
      <c r="F364" t="str">
        <f>IFERROR(VLOOKUP(D364,'Team Data'!C:AB,5,FALSE),"")</f>
        <v/>
      </c>
      <c r="G364" t="str">
        <f>IFERROR(VLOOKUP('OB Format'!D364,'Team Data'!C:AB,17,FALSE),"")</f>
        <v/>
      </c>
      <c r="H364" t="str">
        <f>IFERROR(VLOOKUP(D364,'Team Data'!C:AB,7,FALSE),"")</f>
        <v/>
      </c>
      <c r="I364" t="str">
        <f>IFERROR(VLOOKUP(D364,'Team Data'!C:AB,14,FALSE),"")</f>
        <v/>
      </c>
      <c r="J364" t="str">
        <f>IFERROR(VLOOKUP(D364,'Team Data'!C:AB,8,FALSE),"")</f>
        <v/>
      </c>
      <c r="K364" t="str">
        <f>IFERROR(VLOOKUP(D364,'Team Data'!C:AB,9,FALSE),"")</f>
        <v/>
      </c>
      <c r="L364" t="str">
        <f>IFERROR(VLOOKUP(D364,'Team Data'!C:AB,10,FALSE),"")</f>
        <v/>
      </c>
      <c r="M364" t="str">
        <f t="shared" si="12"/>
        <v/>
      </c>
      <c r="N364" t="str">
        <f>IFERROR(VLOOKUP(D364,'Team Data'!C:AB,23,FALSE),"")</f>
        <v/>
      </c>
      <c r="O364" t="str">
        <f>IFERROR(VLOOKUP(D364,'Team Data'!C:AB,22,FALSE),"")</f>
        <v/>
      </c>
      <c r="P364" t="str">
        <f t="shared" si="13"/>
        <v/>
      </c>
      <c r="Q364" t="str">
        <f>IFERROR(VLOOKUP(D364,'Team Data'!C:AB,15,FALSE),"")</f>
        <v/>
      </c>
      <c r="R364" t="str">
        <f>IFERROR(VLOOKUP('OB Format'!D364,'Team Data'!C:AB,24,FALSE),"")</f>
        <v/>
      </c>
      <c r="S364" t="str">
        <f>IFERROR(VLOOKUP('OB Format'!D364,'Team Data'!C:AC,25,FALSE),"")</f>
        <v/>
      </c>
    </row>
    <row r="365" spans="5:19" x14ac:dyDescent="0.25">
      <c r="E365" t="str">
        <f>IFERROR(VLOOKUP(D365,'Team Data'!C:AB,4,FALSE),"")</f>
        <v/>
      </c>
      <c r="F365" t="str">
        <f>IFERROR(VLOOKUP(D365,'Team Data'!C:AB,5,FALSE),"")</f>
        <v/>
      </c>
      <c r="G365" t="str">
        <f>IFERROR(VLOOKUP('OB Format'!D365,'Team Data'!C:AB,17,FALSE),"")</f>
        <v/>
      </c>
      <c r="H365" t="str">
        <f>IFERROR(VLOOKUP(D365,'Team Data'!C:AB,7,FALSE),"")</f>
        <v/>
      </c>
      <c r="I365" t="str">
        <f>IFERROR(VLOOKUP(D365,'Team Data'!C:AB,14,FALSE),"")</f>
        <v/>
      </c>
      <c r="J365" t="str">
        <f>IFERROR(VLOOKUP(D365,'Team Data'!C:AB,8,FALSE),"")</f>
        <v/>
      </c>
      <c r="K365" t="str">
        <f>IFERROR(VLOOKUP(D365,'Team Data'!C:AB,9,FALSE),"")</f>
        <v/>
      </c>
      <c r="L365" t="str">
        <f>IFERROR(VLOOKUP(D365,'Team Data'!C:AB,10,FALSE),"")</f>
        <v/>
      </c>
      <c r="M365" t="str">
        <f t="shared" si="12"/>
        <v/>
      </c>
      <c r="N365" t="str">
        <f>IFERROR(VLOOKUP(D365,'Team Data'!C:AB,23,FALSE),"")</f>
        <v/>
      </c>
      <c r="O365" t="str">
        <f>IFERROR(VLOOKUP(D365,'Team Data'!C:AB,22,FALSE),"")</f>
        <v/>
      </c>
      <c r="P365" t="str">
        <f t="shared" si="13"/>
        <v/>
      </c>
      <c r="Q365" t="str">
        <f>IFERROR(VLOOKUP(D365,'Team Data'!C:AB,15,FALSE),"")</f>
        <v/>
      </c>
      <c r="R365" t="str">
        <f>IFERROR(VLOOKUP('OB Format'!D365,'Team Data'!C:AB,24,FALSE),"")</f>
        <v/>
      </c>
      <c r="S365" t="str">
        <f>IFERROR(VLOOKUP('OB Format'!D365,'Team Data'!C:AC,25,FALSE),"")</f>
        <v/>
      </c>
    </row>
    <row r="366" spans="5:19" x14ac:dyDescent="0.25">
      <c r="E366" t="str">
        <f>IFERROR(VLOOKUP(D366,'Team Data'!C:AB,4,FALSE),"")</f>
        <v/>
      </c>
      <c r="F366" t="str">
        <f>IFERROR(VLOOKUP(D366,'Team Data'!C:AB,5,FALSE),"")</f>
        <v/>
      </c>
      <c r="G366" t="str">
        <f>IFERROR(VLOOKUP('OB Format'!D366,'Team Data'!C:AB,17,FALSE),"")</f>
        <v/>
      </c>
      <c r="H366" t="str">
        <f>IFERROR(VLOOKUP(D366,'Team Data'!C:AB,7,FALSE),"")</f>
        <v/>
      </c>
      <c r="I366" t="str">
        <f>IFERROR(VLOOKUP(D366,'Team Data'!C:AB,14,FALSE),"")</f>
        <v/>
      </c>
      <c r="J366" t="str">
        <f>IFERROR(VLOOKUP(D366,'Team Data'!C:AB,8,FALSE),"")</f>
        <v/>
      </c>
      <c r="K366" t="str">
        <f>IFERROR(VLOOKUP(D366,'Team Data'!C:AB,9,FALSE),"")</f>
        <v/>
      </c>
      <c r="L366" t="str">
        <f>IFERROR(VLOOKUP(D366,'Team Data'!C:AB,10,FALSE),"")</f>
        <v/>
      </c>
      <c r="M366" t="str">
        <f t="shared" si="12"/>
        <v/>
      </c>
      <c r="N366" t="str">
        <f>IFERROR(VLOOKUP(D366,'Team Data'!C:AB,23,FALSE),"")</f>
        <v/>
      </c>
      <c r="O366" t="str">
        <f>IFERROR(VLOOKUP(D366,'Team Data'!C:AB,22,FALSE),"")</f>
        <v/>
      </c>
      <c r="P366" t="str">
        <f t="shared" si="13"/>
        <v/>
      </c>
      <c r="Q366" t="str">
        <f>IFERROR(VLOOKUP(D366,'Team Data'!C:AB,15,FALSE),"")</f>
        <v/>
      </c>
      <c r="R366" t="str">
        <f>IFERROR(VLOOKUP('OB Format'!D366,'Team Data'!C:AB,24,FALSE),"")</f>
        <v/>
      </c>
      <c r="S366" t="str">
        <f>IFERROR(VLOOKUP('OB Format'!D366,'Team Data'!C:AC,25,FALSE),"")</f>
        <v/>
      </c>
    </row>
    <row r="367" spans="5:19" x14ac:dyDescent="0.25">
      <c r="E367" t="str">
        <f>IFERROR(VLOOKUP(D367,'Team Data'!C:AB,4,FALSE),"")</f>
        <v/>
      </c>
      <c r="F367" t="str">
        <f>IFERROR(VLOOKUP(D367,'Team Data'!C:AB,5,FALSE),"")</f>
        <v/>
      </c>
      <c r="G367" t="str">
        <f>IFERROR(VLOOKUP('OB Format'!D367,'Team Data'!C:AB,17,FALSE),"")</f>
        <v/>
      </c>
      <c r="H367" t="str">
        <f>IFERROR(VLOOKUP(D367,'Team Data'!C:AB,7,FALSE),"")</f>
        <v/>
      </c>
      <c r="I367" t="str">
        <f>IFERROR(VLOOKUP(D367,'Team Data'!C:AB,14,FALSE),"")</f>
        <v/>
      </c>
      <c r="J367" t="str">
        <f>IFERROR(VLOOKUP(D367,'Team Data'!C:AB,8,FALSE),"")</f>
        <v/>
      </c>
      <c r="K367" t="str">
        <f>IFERROR(VLOOKUP(D367,'Team Data'!C:AB,9,FALSE),"")</f>
        <v/>
      </c>
      <c r="L367" t="str">
        <f>IFERROR(VLOOKUP(D367,'Team Data'!C:AB,10,FALSE),"")</f>
        <v/>
      </c>
      <c r="M367" t="str">
        <f t="shared" si="12"/>
        <v/>
      </c>
      <c r="N367" t="str">
        <f>IFERROR(VLOOKUP(D367,'Team Data'!C:AB,23,FALSE),"")</f>
        <v/>
      </c>
      <c r="O367" t="str">
        <f>IFERROR(VLOOKUP(D367,'Team Data'!C:AB,22,FALSE),"")</f>
        <v/>
      </c>
      <c r="P367" t="str">
        <f t="shared" si="13"/>
        <v/>
      </c>
      <c r="Q367" t="str">
        <f>IFERROR(VLOOKUP(D367,'Team Data'!C:AB,15,FALSE),"")</f>
        <v/>
      </c>
      <c r="R367" t="str">
        <f>IFERROR(VLOOKUP('OB Format'!D367,'Team Data'!C:AB,24,FALSE),"")</f>
        <v/>
      </c>
      <c r="S367" t="str">
        <f>IFERROR(VLOOKUP('OB Format'!D367,'Team Data'!C:AC,25,FALSE),"")</f>
        <v/>
      </c>
    </row>
    <row r="368" spans="5:19" x14ac:dyDescent="0.25">
      <c r="E368" t="str">
        <f>IFERROR(VLOOKUP(D368,'Team Data'!C:AB,4,FALSE),"")</f>
        <v/>
      </c>
      <c r="F368" t="str">
        <f>IFERROR(VLOOKUP(D368,'Team Data'!C:AB,5,FALSE),"")</f>
        <v/>
      </c>
      <c r="G368" t="str">
        <f>IFERROR(VLOOKUP('OB Format'!D368,'Team Data'!C:AB,17,FALSE),"")</f>
        <v/>
      </c>
      <c r="H368" t="str">
        <f>IFERROR(VLOOKUP(D368,'Team Data'!C:AB,7,FALSE),"")</f>
        <v/>
      </c>
      <c r="I368" t="str">
        <f>IFERROR(VLOOKUP(D368,'Team Data'!C:AB,14,FALSE),"")</f>
        <v/>
      </c>
      <c r="J368" t="str">
        <f>IFERROR(VLOOKUP(D368,'Team Data'!C:AB,8,FALSE),"")</f>
        <v/>
      </c>
      <c r="K368" t="str">
        <f>IFERROR(VLOOKUP(D368,'Team Data'!C:AB,9,FALSE),"")</f>
        <v/>
      </c>
      <c r="L368" t="str">
        <f>IFERROR(VLOOKUP(D368,'Team Data'!C:AB,10,FALSE),"")</f>
        <v/>
      </c>
      <c r="M368" t="str">
        <f t="shared" si="12"/>
        <v/>
      </c>
      <c r="N368" t="str">
        <f>IFERROR(VLOOKUP(D368,'Team Data'!C:AB,23,FALSE),"")</f>
        <v/>
      </c>
      <c r="O368" t="str">
        <f>IFERROR(VLOOKUP(D368,'Team Data'!C:AB,22,FALSE),"")</f>
        <v/>
      </c>
      <c r="P368" t="str">
        <f t="shared" si="13"/>
        <v/>
      </c>
      <c r="Q368" t="str">
        <f>IFERROR(VLOOKUP(D368,'Team Data'!C:AB,15,FALSE),"")</f>
        <v/>
      </c>
      <c r="R368" t="str">
        <f>IFERROR(VLOOKUP('OB Format'!D368,'Team Data'!C:AB,24,FALSE),"")</f>
        <v/>
      </c>
      <c r="S368" t="str">
        <f>IFERROR(VLOOKUP('OB Format'!D368,'Team Data'!C:AC,25,FALSE),"")</f>
        <v/>
      </c>
    </row>
    <row r="369" spans="5:19" x14ac:dyDescent="0.25">
      <c r="E369" t="str">
        <f>IFERROR(VLOOKUP(D369,'Team Data'!C:AB,4,FALSE),"")</f>
        <v/>
      </c>
      <c r="F369" t="str">
        <f>IFERROR(VLOOKUP(D369,'Team Data'!C:AB,5,FALSE),"")</f>
        <v/>
      </c>
      <c r="G369" t="str">
        <f>IFERROR(VLOOKUP('OB Format'!D369,'Team Data'!C:AB,17,FALSE),"")</f>
        <v/>
      </c>
      <c r="H369" t="str">
        <f>IFERROR(VLOOKUP(D369,'Team Data'!C:AB,7,FALSE),"")</f>
        <v/>
      </c>
      <c r="I369" t="str">
        <f>IFERROR(VLOOKUP(D369,'Team Data'!C:AB,14,FALSE),"")</f>
        <v/>
      </c>
      <c r="J369" t="str">
        <f>IFERROR(VLOOKUP(D369,'Team Data'!C:AB,8,FALSE),"")</f>
        <v/>
      </c>
      <c r="K369" t="str">
        <f>IFERROR(VLOOKUP(D369,'Team Data'!C:AB,9,FALSE),"")</f>
        <v/>
      </c>
      <c r="L369" t="str">
        <f>IFERROR(VLOOKUP(D369,'Team Data'!C:AB,10,FALSE),"")</f>
        <v/>
      </c>
      <c r="M369" t="str">
        <f t="shared" si="12"/>
        <v/>
      </c>
      <c r="N369" t="str">
        <f>IFERROR(VLOOKUP(D369,'Team Data'!C:AB,23,FALSE),"")</f>
        <v/>
      </c>
      <c r="O369" t="str">
        <f>IFERROR(VLOOKUP(D369,'Team Data'!C:AB,22,FALSE),"")</f>
        <v/>
      </c>
      <c r="P369" t="str">
        <f t="shared" si="13"/>
        <v/>
      </c>
      <c r="Q369" t="str">
        <f>IFERROR(VLOOKUP(D369,'Team Data'!C:AB,15,FALSE),"")</f>
        <v/>
      </c>
      <c r="R369" t="str">
        <f>IFERROR(VLOOKUP('OB Format'!D369,'Team Data'!C:AB,24,FALSE),"")</f>
        <v/>
      </c>
      <c r="S369" t="str">
        <f>IFERROR(VLOOKUP('OB Format'!D369,'Team Data'!C:AC,25,FALSE),"")</f>
        <v/>
      </c>
    </row>
    <row r="370" spans="5:19" x14ac:dyDescent="0.25">
      <c r="E370" t="str">
        <f>IFERROR(VLOOKUP(D370,'Team Data'!C:AB,4,FALSE),"")</f>
        <v/>
      </c>
      <c r="F370" t="str">
        <f>IFERROR(VLOOKUP(D370,'Team Data'!C:AB,5,FALSE),"")</f>
        <v/>
      </c>
      <c r="G370" t="str">
        <f>IFERROR(VLOOKUP('OB Format'!D370,'Team Data'!C:AB,17,FALSE),"")</f>
        <v/>
      </c>
      <c r="H370" t="str">
        <f>IFERROR(VLOOKUP(D370,'Team Data'!C:AB,7,FALSE),"")</f>
        <v/>
      </c>
      <c r="I370" t="str">
        <f>IFERROR(VLOOKUP(D370,'Team Data'!C:AB,14,FALSE),"")</f>
        <v/>
      </c>
      <c r="J370" t="str">
        <f>IFERROR(VLOOKUP(D370,'Team Data'!C:AB,8,FALSE),"")</f>
        <v/>
      </c>
      <c r="K370" t="str">
        <f>IFERROR(VLOOKUP(D370,'Team Data'!C:AB,9,FALSE),"")</f>
        <v/>
      </c>
      <c r="L370" t="str">
        <f>IFERROR(VLOOKUP(D370,'Team Data'!C:AB,10,FALSE),"")</f>
        <v/>
      </c>
      <c r="M370" t="str">
        <f t="shared" si="12"/>
        <v/>
      </c>
      <c r="N370" t="str">
        <f>IFERROR(VLOOKUP(D370,'Team Data'!C:AB,23,FALSE),"")</f>
        <v/>
      </c>
      <c r="O370" t="str">
        <f>IFERROR(VLOOKUP(D370,'Team Data'!C:AB,22,FALSE),"")</f>
        <v/>
      </c>
      <c r="P370" t="str">
        <f t="shared" si="13"/>
        <v/>
      </c>
      <c r="Q370" t="str">
        <f>IFERROR(VLOOKUP(D370,'Team Data'!C:AB,15,FALSE),"")</f>
        <v/>
      </c>
      <c r="R370" t="str">
        <f>IFERROR(VLOOKUP('OB Format'!D370,'Team Data'!C:AB,24,FALSE),"")</f>
        <v/>
      </c>
      <c r="S370" t="str">
        <f>IFERROR(VLOOKUP('OB Format'!D370,'Team Data'!C:AC,25,FALSE),"")</f>
        <v/>
      </c>
    </row>
    <row r="371" spans="5:19" x14ac:dyDescent="0.25">
      <c r="E371" t="str">
        <f>IFERROR(VLOOKUP(D371,'Team Data'!C:AB,4,FALSE),"")</f>
        <v/>
      </c>
      <c r="F371" t="str">
        <f>IFERROR(VLOOKUP(D371,'Team Data'!C:AB,5,FALSE),"")</f>
        <v/>
      </c>
      <c r="G371" t="str">
        <f>IFERROR(VLOOKUP('OB Format'!D371,'Team Data'!C:AB,17,FALSE),"")</f>
        <v/>
      </c>
      <c r="H371" t="str">
        <f>IFERROR(VLOOKUP(D371,'Team Data'!C:AB,7,FALSE),"")</f>
        <v/>
      </c>
      <c r="I371" t="str">
        <f>IFERROR(VLOOKUP(D371,'Team Data'!C:AB,14,FALSE),"")</f>
        <v/>
      </c>
      <c r="J371" t="str">
        <f>IFERROR(VLOOKUP(D371,'Team Data'!C:AB,8,FALSE),"")</f>
        <v/>
      </c>
      <c r="K371" t="str">
        <f>IFERROR(VLOOKUP(D371,'Team Data'!C:AB,9,FALSE),"")</f>
        <v/>
      </c>
      <c r="L371" t="str">
        <f>IFERROR(VLOOKUP(D371,'Team Data'!C:AB,10,FALSE),"")</f>
        <v/>
      </c>
      <c r="M371" t="str">
        <f t="shared" si="12"/>
        <v/>
      </c>
      <c r="N371" t="str">
        <f>IFERROR(VLOOKUP(D371,'Team Data'!C:AB,23,FALSE),"")</f>
        <v/>
      </c>
      <c r="O371" t="str">
        <f>IFERROR(VLOOKUP(D371,'Team Data'!C:AB,22,FALSE),"")</f>
        <v/>
      </c>
      <c r="P371" t="str">
        <f t="shared" si="13"/>
        <v/>
      </c>
      <c r="Q371" t="str">
        <f>IFERROR(VLOOKUP(D371,'Team Data'!C:AB,15,FALSE),"")</f>
        <v/>
      </c>
      <c r="R371" t="str">
        <f>IFERROR(VLOOKUP('OB Format'!D371,'Team Data'!C:AB,24,FALSE),"")</f>
        <v/>
      </c>
      <c r="S371" t="str">
        <f>IFERROR(VLOOKUP('OB Format'!D371,'Team Data'!C:AC,25,FALSE),"")</f>
        <v/>
      </c>
    </row>
    <row r="372" spans="5:19" x14ac:dyDescent="0.25">
      <c r="E372" t="str">
        <f>IFERROR(VLOOKUP(D372,'Team Data'!C:AB,4,FALSE),"")</f>
        <v/>
      </c>
      <c r="F372" t="str">
        <f>IFERROR(VLOOKUP(D372,'Team Data'!C:AB,5,FALSE),"")</f>
        <v/>
      </c>
      <c r="G372" t="str">
        <f>IFERROR(VLOOKUP('OB Format'!D372,'Team Data'!C:AB,17,FALSE),"")</f>
        <v/>
      </c>
      <c r="H372" t="str">
        <f>IFERROR(VLOOKUP(D372,'Team Data'!C:AB,7,FALSE),"")</f>
        <v/>
      </c>
      <c r="I372" t="str">
        <f>IFERROR(VLOOKUP(D372,'Team Data'!C:AB,14,FALSE),"")</f>
        <v/>
      </c>
      <c r="J372" t="str">
        <f>IFERROR(VLOOKUP(D372,'Team Data'!C:AB,8,FALSE),"")</f>
        <v/>
      </c>
      <c r="K372" t="str">
        <f>IFERROR(VLOOKUP(D372,'Team Data'!C:AB,9,FALSE),"")</f>
        <v/>
      </c>
      <c r="L372" t="str">
        <f>IFERROR(VLOOKUP(D372,'Team Data'!C:AB,10,FALSE),"")</f>
        <v/>
      </c>
      <c r="M372" t="str">
        <f t="shared" si="12"/>
        <v/>
      </c>
      <c r="N372" t="str">
        <f>IFERROR(VLOOKUP(D372,'Team Data'!C:AB,23,FALSE),"")</f>
        <v/>
      </c>
      <c r="O372" t="str">
        <f>IFERROR(VLOOKUP(D372,'Team Data'!C:AB,22,FALSE),"")</f>
        <v/>
      </c>
      <c r="P372" t="str">
        <f t="shared" si="13"/>
        <v/>
      </c>
      <c r="Q372" t="str">
        <f>IFERROR(VLOOKUP(D372,'Team Data'!C:AB,15,FALSE),"")</f>
        <v/>
      </c>
      <c r="R372" t="str">
        <f>IFERROR(VLOOKUP('OB Format'!D372,'Team Data'!C:AB,24,FALSE),"")</f>
        <v/>
      </c>
      <c r="S372" t="str">
        <f>IFERROR(VLOOKUP('OB Format'!D372,'Team Data'!C:AC,25,FALSE),"")</f>
        <v/>
      </c>
    </row>
    <row r="373" spans="5:19" x14ac:dyDescent="0.25">
      <c r="E373" t="str">
        <f>IFERROR(VLOOKUP(D373,'Team Data'!C:AB,4,FALSE),"")</f>
        <v/>
      </c>
      <c r="F373" t="str">
        <f>IFERROR(VLOOKUP(D373,'Team Data'!C:AB,5,FALSE),"")</f>
        <v/>
      </c>
      <c r="G373" t="str">
        <f>IFERROR(VLOOKUP('OB Format'!D373,'Team Data'!C:AB,17,FALSE),"")</f>
        <v/>
      </c>
      <c r="H373" t="str">
        <f>IFERROR(VLOOKUP(D373,'Team Data'!C:AB,7,FALSE),"")</f>
        <v/>
      </c>
      <c r="I373" t="str">
        <f>IFERROR(VLOOKUP(D373,'Team Data'!C:AB,14,FALSE),"")</f>
        <v/>
      </c>
      <c r="J373" t="str">
        <f>IFERROR(VLOOKUP(D373,'Team Data'!C:AB,8,FALSE),"")</f>
        <v/>
      </c>
      <c r="K373" t="str">
        <f>IFERROR(VLOOKUP(D373,'Team Data'!C:AB,9,FALSE),"")</f>
        <v/>
      </c>
      <c r="L373" t="str">
        <f>IFERROR(VLOOKUP(D373,'Team Data'!C:AB,10,FALSE),"")</f>
        <v/>
      </c>
      <c r="M373" t="str">
        <f t="shared" si="12"/>
        <v/>
      </c>
      <c r="N373" t="str">
        <f>IFERROR(VLOOKUP(D373,'Team Data'!C:AB,23,FALSE),"")</f>
        <v/>
      </c>
      <c r="O373" t="str">
        <f>IFERROR(VLOOKUP(D373,'Team Data'!C:AB,22,FALSE),"")</f>
        <v/>
      </c>
      <c r="P373" t="str">
        <f t="shared" si="13"/>
        <v/>
      </c>
      <c r="Q373" t="str">
        <f>IFERROR(VLOOKUP(D373,'Team Data'!C:AB,15,FALSE),"")</f>
        <v/>
      </c>
      <c r="R373" t="str">
        <f>IFERROR(VLOOKUP('OB Format'!D373,'Team Data'!C:AB,24,FALSE),"")</f>
        <v/>
      </c>
      <c r="S373" t="str">
        <f>IFERROR(VLOOKUP('OB Format'!D373,'Team Data'!C:AC,25,FALSE),"")</f>
        <v/>
      </c>
    </row>
    <row r="374" spans="5:19" x14ac:dyDescent="0.25">
      <c r="E374" t="str">
        <f>IFERROR(VLOOKUP(D374,'Team Data'!C:AB,4,FALSE),"")</f>
        <v/>
      </c>
      <c r="F374" t="str">
        <f>IFERROR(VLOOKUP(D374,'Team Data'!C:AB,5,FALSE),"")</f>
        <v/>
      </c>
      <c r="G374" t="str">
        <f>IFERROR(VLOOKUP('OB Format'!D374,'Team Data'!C:AB,17,FALSE),"")</f>
        <v/>
      </c>
      <c r="H374" t="str">
        <f>IFERROR(VLOOKUP(D374,'Team Data'!C:AB,7,FALSE),"")</f>
        <v/>
      </c>
      <c r="I374" t="str">
        <f>IFERROR(VLOOKUP(D374,'Team Data'!C:AB,14,FALSE),"")</f>
        <v/>
      </c>
      <c r="J374" t="str">
        <f>IFERROR(VLOOKUP(D374,'Team Data'!C:AB,8,FALSE),"")</f>
        <v/>
      </c>
      <c r="K374" t="str">
        <f>IFERROR(VLOOKUP(D374,'Team Data'!C:AB,9,FALSE),"")</f>
        <v/>
      </c>
      <c r="L374" t="str">
        <f>IFERROR(VLOOKUP(D374,'Team Data'!C:AB,10,FALSE),"")</f>
        <v/>
      </c>
      <c r="M374" t="str">
        <f t="shared" si="12"/>
        <v/>
      </c>
      <c r="N374" t="str">
        <f>IFERROR(VLOOKUP(D374,'Team Data'!C:AB,23,FALSE),"")</f>
        <v/>
      </c>
      <c r="O374" t="str">
        <f>IFERROR(VLOOKUP(D374,'Team Data'!C:AB,22,FALSE),"")</f>
        <v/>
      </c>
      <c r="P374" t="str">
        <f t="shared" si="13"/>
        <v/>
      </c>
      <c r="Q374" t="str">
        <f>IFERROR(VLOOKUP(D374,'Team Data'!C:AB,15,FALSE),"")</f>
        <v/>
      </c>
      <c r="R374" t="str">
        <f>IFERROR(VLOOKUP('OB Format'!D374,'Team Data'!C:AB,24,FALSE),"")</f>
        <v/>
      </c>
      <c r="S374" t="str">
        <f>IFERROR(VLOOKUP('OB Format'!D374,'Team Data'!C:AC,25,FALSE),"")</f>
        <v/>
      </c>
    </row>
    <row r="375" spans="5:19" x14ac:dyDescent="0.25">
      <c r="E375" t="str">
        <f>IFERROR(VLOOKUP(D375,'Team Data'!C:AB,4,FALSE),"")</f>
        <v/>
      </c>
      <c r="F375" t="str">
        <f>IFERROR(VLOOKUP(D375,'Team Data'!C:AB,5,FALSE),"")</f>
        <v/>
      </c>
      <c r="G375" t="str">
        <f>IFERROR(VLOOKUP('OB Format'!D375,'Team Data'!C:AB,17,FALSE),"")</f>
        <v/>
      </c>
      <c r="H375" t="str">
        <f>IFERROR(VLOOKUP(D375,'Team Data'!C:AB,7,FALSE),"")</f>
        <v/>
      </c>
      <c r="I375" t="str">
        <f>IFERROR(VLOOKUP(D375,'Team Data'!C:AB,14,FALSE),"")</f>
        <v/>
      </c>
      <c r="J375" t="str">
        <f>IFERROR(VLOOKUP(D375,'Team Data'!C:AB,8,FALSE),"")</f>
        <v/>
      </c>
      <c r="K375" t="str">
        <f>IFERROR(VLOOKUP(D375,'Team Data'!C:AB,9,FALSE),"")</f>
        <v/>
      </c>
      <c r="L375" t="str">
        <f>IFERROR(VLOOKUP(D375,'Team Data'!C:AB,10,FALSE),"")</f>
        <v/>
      </c>
      <c r="M375" t="str">
        <f t="shared" si="12"/>
        <v/>
      </c>
      <c r="N375" t="str">
        <f>IFERROR(VLOOKUP(D375,'Team Data'!C:AB,23,FALSE),"")</f>
        <v/>
      </c>
      <c r="O375" t="str">
        <f>IFERROR(VLOOKUP(D375,'Team Data'!C:AB,22,FALSE),"")</f>
        <v/>
      </c>
      <c r="P375" t="str">
        <f t="shared" si="13"/>
        <v/>
      </c>
      <c r="Q375" t="str">
        <f>IFERROR(VLOOKUP(D375,'Team Data'!C:AB,15,FALSE),"")</f>
        <v/>
      </c>
      <c r="R375" t="str">
        <f>IFERROR(VLOOKUP('OB Format'!D375,'Team Data'!C:AB,24,FALSE),"")</f>
        <v/>
      </c>
      <c r="S375" t="str">
        <f>IFERROR(VLOOKUP('OB Format'!D375,'Team Data'!C:AC,25,FALSE),"")</f>
        <v/>
      </c>
    </row>
    <row r="376" spans="5:19" x14ac:dyDescent="0.25">
      <c r="E376" t="str">
        <f>IFERROR(VLOOKUP(D376,'Team Data'!C:AB,4,FALSE),"")</f>
        <v/>
      </c>
      <c r="F376" t="str">
        <f>IFERROR(VLOOKUP(D376,'Team Data'!C:AB,5,FALSE),"")</f>
        <v/>
      </c>
      <c r="G376" t="str">
        <f>IFERROR(VLOOKUP('OB Format'!D376,'Team Data'!C:AB,17,FALSE),"")</f>
        <v/>
      </c>
      <c r="H376" t="str">
        <f>IFERROR(VLOOKUP(D376,'Team Data'!C:AB,7,FALSE),"")</f>
        <v/>
      </c>
      <c r="I376" t="str">
        <f>IFERROR(VLOOKUP(D376,'Team Data'!C:AB,14,FALSE),"")</f>
        <v/>
      </c>
      <c r="J376" t="str">
        <f>IFERROR(VLOOKUP(D376,'Team Data'!C:AB,8,FALSE),"")</f>
        <v/>
      </c>
      <c r="K376" t="str">
        <f>IFERROR(VLOOKUP(D376,'Team Data'!C:AB,9,FALSE),"")</f>
        <v/>
      </c>
      <c r="L376" t="str">
        <f>IFERROR(VLOOKUP(D376,'Team Data'!C:AB,10,FALSE),"")</f>
        <v/>
      </c>
      <c r="M376" t="str">
        <f t="shared" si="12"/>
        <v/>
      </c>
      <c r="N376" t="str">
        <f>IFERROR(VLOOKUP(D376,'Team Data'!C:AB,23,FALSE),"")</f>
        <v/>
      </c>
      <c r="O376" t="str">
        <f>IFERROR(VLOOKUP(D376,'Team Data'!C:AB,22,FALSE),"")</f>
        <v/>
      </c>
      <c r="P376" t="str">
        <f t="shared" si="13"/>
        <v/>
      </c>
      <c r="Q376" t="str">
        <f>IFERROR(VLOOKUP(D376,'Team Data'!C:AB,15,FALSE),"")</f>
        <v/>
      </c>
      <c r="R376" t="str">
        <f>IFERROR(VLOOKUP('OB Format'!D376,'Team Data'!C:AB,24,FALSE),"")</f>
        <v/>
      </c>
      <c r="S376" t="str">
        <f>IFERROR(VLOOKUP('OB Format'!D376,'Team Data'!C:AC,25,FALSE),"")</f>
        <v/>
      </c>
    </row>
    <row r="377" spans="5:19" x14ac:dyDescent="0.25">
      <c r="E377" t="str">
        <f>IFERROR(VLOOKUP(D377,'Team Data'!C:AB,4,FALSE),"")</f>
        <v/>
      </c>
      <c r="F377" t="str">
        <f>IFERROR(VLOOKUP(D377,'Team Data'!C:AB,5,FALSE),"")</f>
        <v/>
      </c>
      <c r="G377" t="str">
        <f>IFERROR(VLOOKUP('OB Format'!D377,'Team Data'!C:AB,17,FALSE),"")</f>
        <v/>
      </c>
      <c r="H377" t="str">
        <f>IFERROR(VLOOKUP(D377,'Team Data'!C:AB,7,FALSE),"")</f>
        <v/>
      </c>
      <c r="I377" t="str">
        <f>IFERROR(VLOOKUP(D377,'Team Data'!C:AB,14,FALSE),"")</f>
        <v/>
      </c>
      <c r="J377" t="str">
        <f>IFERROR(VLOOKUP(D377,'Team Data'!C:AB,8,FALSE),"")</f>
        <v/>
      </c>
      <c r="K377" t="str">
        <f>IFERROR(VLOOKUP(D377,'Team Data'!C:AB,9,FALSE),"")</f>
        <v/>
      </c>
      <c r="L377" t="str">
        <f>IFERROR(VLOOKUP(D377,'Team Data'!C:AB,10,FALSE),"")</f>
        <v/>
      </c>
      <c r="M377" t="str">
        <f t="shared" si="12"/>
        <v/>
      </c>
      <c r="N377" t="str">
        <f>IFERROR(VLOOKUP(D377,'Team Data'!C:AB,23,FALSE),"")</f>
        <v/>
      </c>
      <c r="O377" t="str">
        <f>IFERROR(VLOOKUP(D377,'Team Data'!C:AB,22,FALSE),"")</f>
        <v/>
      </c>
      <c r="P377" t="str">
        <f t="shared" si="13"/>
        <v/>
      </c>
      <c r="Q377" t="str">
        <f>IFERROR(VLOOKUP(D377,'Team Data'!C:AB,15,FALSE),"")</f>
        <v/>
      </c>
      <c r="R377" t="str">
        <f>IFERROR(VLOOKUP('OB Format'!D377,'Team Data'!C:AB,24,FALSE),"")</f>
        <v/>
      </c>
      <c r="S377" t="str">
        <f>IFERROR(VLOOKUP('OB Format'!D377,'Team Data'!C:AC,25,FALSE),"")</f>
        <v/>
      </c>
    </row>
    <row r="378" spans="5:19" x14ac:dyDescent="0.25">
      <c r="E378" t="str">
        <f>IFERROR(VLOOKUP(D378,'Team Data'!C:AB,4,FALSE),"")</f>
        <v/>
      </c>
      <c r="F378" t="str">
        <f>IFERROR(VLOOKUP(D378,'Team Data'!C:AB,5,FALSE),"")</f>
        <v/>
      </c>
      <c r="G378" t="str">
        <f>IFERROR(VLOOKUP('OB Format'!D378,'Team Data'!C:AB,17,FALSE),"")</f>
        <v/>
      </c>
      <c r="H378" t="str">
        <f>IFERROR(VLOOKUP(D378,'Team Data'!C:AB,7,FALSE),"")</f>
        <v/>
      </c>
      <c r="I378" t="str">
        <f>IFERROR(VLOOKUP(D378,'Team Data'!C:AB,14,FALSE),"")</f>
        <v/>
      </c>
      <c r="J378" t="str">
        <f>IFERROR(VLOOKUP(D378,'Team Data'!C:AB,8,FALSE),"")</f>
        <v/>
      </c>
      <c r="K378" t="str">
        <f>IFERROR(VLOOKUP(D378,'Team Data'!C:AB,9,FALSE),"")</f>
        <v/>
      </c>
      <c r="L378" t="str">
        <f>IFERROR(VLOOKUP(D378,'Team Data'!C:AB,10,FALSE),"")</f>
        <v/>
      </c>
      <c r="M378" t="str">
        <f t="shared" si="12"/>
        <v/>
      </c>
      <c r="N378" t="str">
        <f>IFERROR(VLOOKUP(D378,'Team Data'!C:AB,23,FALSE),"")</f>
        <v/>
      </c>
      <c r="O378" t="str">
        <f>IFERROR(VLOOKUP(D378,'Team Data'!C:AB,22,FALSE),"")</f>
        <v/>
      </c>
      <c r="P378" t="str">
        <f t="shared" si="13"/>
        <v/>
      </c>
      <c r="Q378" t="str">
        <f>IFERROR(VLOOKUP(D378,'Team Data'!C:AB,15,FALSE),"")</f>
        <v/>
      </c>
      <c r="R378" t="str">
        <f>IFERROR(VLOOKUP('OB Format'!D378,'Team Data'!C:AB,24,FALSE),"")</f>
        <v/>
      </c>
      <c r="S378" t="str">
        <f>IFERROR(VLOOKUP('OB Format'!D378,'Team Data'!C:AC,25,FALSE),"")</f>
        <v/>
      </c>
    </row>
    <row r="379" spans="5:19" x14ac:dyDescent="0.25">
      <c r="E379" t="str">
        <f>IFERROR(VLOOKUP(D379,'Team Data'!C:AB,4,FALSE),"")</f>
        <v/>
      </c>
      <c r="F379" t="str">
        <f>IFERROR(VLOOKUP(D379,'Team Data'!C:AB,5,FALSE),"")</f>
        <v/>
      </c>
      <c r="G379" t="str">
        <f>IFERROR(VLOOKUP('OB Format'!D379,'Team Data'!C:AB,17,FALSE),"")</f>
        <v/>
      </c>
      <c r="H379" t="str">
        <f>IFERROR(VLOOKUP(D379,'Team Data'!C:AB,7,FALSE),"")</f>
        <v/>
      </c>
      <c r="I379" t="str">
        <f>IFERROR(VLOOKUP(D379,'Team Data'!C:AB,14,FALSE),"")</f>
        <v/>
      </c>
      <c r="J379" t="str">
        <f>IFERROR(VLOOKUP(D379,'Team Data'!C:AB,8,FALSE),"")</f>
        <v/>
      </c>
      <c r="K379" t="str">
        <f>IFERROR(VLOOKUP(D379,'Team Data'!C:AB,9,FALSE),"")</f>
        <v/>
      </c>
      <c r="L379" t="str">
        <f>IFERROR(VLOOKUP(D379,'Team Data'!C:AB,10,FALSE),"")</f>
        <v/>
      </c>
      <c r="M379" t="str">
        <f t="shared" si="12"/>
        <v/>
      </c>
      <c r="N379" t="str">
        <f>IFERROR(VLOOKUP(D379,'Team Data'!C:AB,23,FALSE),"")</f>
        <v/>
      </c>
      <c r="O379" t="str">
        <f>IFERROR(VLOOKUP(D379,'Team Data'!C:AB,22,FALSE),"")</f>
        <v/>
      </c>
      <c r="P379" t="str">
        <f t="shared" si="13"/>
        <v/>
      </c>
      <c r="Q379" t="str">
        <f>IFERROR(VLOOKUP(D379,'Team Data'!C:AB,15,FALSE),"")</f>
        <v/>
      </c>
      <c r="R379" t="str">
        <f>IFERROR(VLOOKUP('OB Format'!D379,'Team Data'!C:AB,24,FALSE),"")</f>
        <v/>
      </c>
      <c r="S379" t="str">
        <f>IFERROR(VLOOKUP('OB Format'!D379,'Team Data'!C:AC,25,FALSE),"")</f>
        <v/>
      </c>
    </row>
    <row r="380" spans="5:19" x14ac:dyDescent="0.25">
      <c r="E380" t="str">
        <f>IFERROR(VLOOKUP(D380,'Team Data'!C:AB,4,FALSE),"")</f>
        <v/>
      </c>
      <c r="F380" t="str">
        <f>IFERROR(VLOOKUP(D380,'Team Data'!C:AB,5,FALSE),"")</f>
        <v/>
      </c>
      <c r="G380" t="str">
        <f>IFERROR(VLOOKUP('OB Format'!D380,'Team Data'!C:AB,17,FALSE),"")</f>
        <v/>
      </c>
      <c r="H380" t="str">
        <f>IFERROR(VLOOKUP(D380,'Team Data'!C:AB,7,FALSE),"")</f>
        <v/>
      </c>
      <c r="I380" t="str">
        <f>IFERROR(VLOOKUP(D380,'Team Data'!C:AB,14,FALSE),"")</f>
        <v/>
      </c>
      <c r="J380" t="str">
        <f>IFERROR(VLOOKUP(D380,'Team Data'!C:AB,8,FALSE),"")</f>
        <v/>
      </c>
      <c r="K380" t="str">
        <f>IFERROR(VLOOKUP(D380,'Team Data'!C:AB,9,FALSE),"")</f>
        <v/>
      </c>
      <c r="L380" t="str">
        <f>IFERROR(VLOOKUP(D380,'Team Data'!C:AB,10,FALSE),"")</f>
        <v/>
      </c>
      <c r="M380" t="str">
        <f t="shared" si="12"/>
        <v/>
      </c>
      <c r="N380" t="str">
        <f>IFERROR(VLOOKUP(D380,'Team Data'!C:AB,23,FALSE),"")</f>
        <v/>
      </c>
      <c r="O380" t="str">
        <f>IFERROR(VLOOKUP(D380,'Team Data'!C:AB,22,FALSE),"")</f>
        <v/>
      </c>
      <c r="P380" t="str">
        <f t="shared" si="13"/>
        <v/>
      </c>
      <c r="Q380" t="str">
        <f>IFERROR(VLOOKUP(D380,'Team Data'!C:AB,15,FALSE),"")</f>
        <v/>
      </c>
      <c r="R380" t="str">
        <f>IFERROR(VLOOKUP('OB Format'!D380,'Team Data'!C:AB,24,FALSE),"")</f>
        <v/>
      </c>
      <c r="S380" t="str">
        <f>IFERROR(VLOOKUP('OB Format'!D380,'Team Data'!C:AC,25,FALSE),"")</f>
        <v/>
      </c>
    </row>
    <row r="381" spans="5:19" x14ac:dyDescent="0.25">
      <c r="E381" t="str">
        <f>IFERROR(VLOOKUP(D381,'Team Data'!C:AB,4,FALSE),"")</f>
        <v/>
      </c>
      <c r="F381" t="str">
        <f>IFERROR(VLOOKUP(D381,'Team Data'!C:AB,5,FALSE),"")</f>
        <v/>
      </c>
      <c r="G381" t="str">
        <f>IFERROR(VLOOKUP('OB Format'!D381,'Team Data'!C:AB,17,FALSE),"")</f>
        <v/>
      </c>
      <c r="H381" t="str">
        <f>IFERROR(VLOOKUP(D381,'Team Data'!C:AB,7,FALSE),"")</f>
        <v/>
      </c>
      <c r="I381" t="str">
        <f>IFERROR(VLOOKUP(D381,'Team Data'!C:AB,14,FALSE),"")</f>
        <v/>
      </c>
      <c r="J381" t="str">
        <f>IFERROR(VLOOKUP(D381,'Team Data'!C:AB,8,FALSE),"")</f>
        <v/>
      </c>
      <c r="K381" t="str">
        <f>IFERROR(VLOOKUP(D381,'Team Data'!C:AB,9,FALSE),"")</f>
        <v/>
      </c>
      <c r="L381" t="str">
        <f>IFERROR(VLOOKUP(D381,'Team Data'!C:AB,10,FALSE),"")</f>
        <v/>
      </c>
      <c r="M381" t="str">
        <f t="shared" si="12"/>
        <v/>
      </c>
      <c r="N381" t="str">
        <f>IFERROR(VLOOKUP(D381,'Team Data'!C:AB,23,FALSE),"")</f>
        <v/>
      </c>
      <c r="O381" t="str">
        <f>IFERROR(VLOOKUP(D381,'Team Data'!C:AB,22,FALSE),"")</f>
        <v/>
      </c>
      <c r="P381" t="str">
        <f t="shared" si="13"/>
        <v/>
      </c>
      <c r="Q381" t="str">
        <f>IFERROR(VLOOKUP(D381,'Team Data'!C:AB,15,FALSE),"")</f>
        <v/>
      </c>
      <c r="R381" t="str">
        <f>IFERROR(VLOOKUP('OB Format'!D381,'Team Data'!C:AB,24,FALSE),"")</f>
        <v/>
      </c>
      <c r="S381" t="str">
        <f>IFERROR(VLOOKUP('OB Format'!D381,'Team Data'!C:AC,25,FALSE),"")</f>
        <v/>
      </c>
    </row>
    <row r="382" spans="5:19" x14ac:dyDescent="0.25">
      <c r="E382" t="str">
        <f>IFERROR(VLOOKUP(D382,'Team Data'!C:AB,4,FALSE),"")</f>
        <v/>
      </c>
      <c r="F382" t="str">
        <f>IFERROR(VLOOKUP(D382,'Team Data'!C:AB,5,FALSE),"")</f>
        <v/>
      </c>
      <c r="G382" t="str">
        <f>IFERROR(VLOOKUP('OB Format'!D382,'Team Data'!C:AB,17,FALSE),"")</f>
        <v/>
      </c>
      <c r="H382" t="str">
        <f>IFERROR(VLOOKUP(D382,'Team Data'!C:AB,7,FALSE),"")</f>
        <v/>
      </c>
      <c r="I382" t="str">
        <f>IFERROR(VLOOKUP(D382,'Team Data'!C:AB,14,FALSE),"")</f>
        <v/>
      </c>
      <c r="J382" t="str">
        <f>IFERROR(VLOOKUP(D382,'Team Data'!C:AB,8,FALSE),"")</f>
        <v/>
      </c>
      <c r="K382" t="str">
        <f>IFERROR(VLOOKUP(D382,'Team Data'!C:AB,9,FALSE),"")</f>
        <v/>
      </c>
      <c r="L382" t="str">
        <f>IFERROR(VLOOKUP(D382,'Team Data'!C:AB,10,FALSE),"")</f>
        <v/>
      </c>
      <c r="M382" t="str">
        <f t="shared" si="12"/>
        <v/>
      </c>
      <c r="N382" t="str">
        <f>IFERROR(VLOOKUP(D382,'Team Data'!C:AB,23,FALSE),"")</f>
        <v/>
      </c>
      <c r="O382" t="str">
        <f>IFERROR(VLOOKUP(D382,'Team Data'!C:AB,22,FALSE),"")</f>
        <v/>
      </c>
      <c r="P382" t="str">
        <f t="shared" si="13"/>
        <v/>
      </c>
      <c r="Q382" t="str">
        <f>IFERROR(VLOOKUP(D382,'Team Data'!C:AB,15,FALSE),"")</f>
        <v/>
      </c>
      <c r="R382" t="str">
        <f>IFERROR(VLOOKUP('OB Format'!D382,'Team Data'!C:AB,24,FALSE),"")</f>
        <v/>
      </c>
      <c r="S382" t="str">
        <f>IFERROR(VLOOKUP('OB Format'!D382,'Team Data'!C:AC,25,FALSE),"")</f>
        <v/>
      </c>
    </row>
    <row r="383" spans="5:19" x14ac:dyDescent="0.25">
      <c r="E383" t="str">
        <f>IFERROR(VLOOKUP(D383,'Team Data'!C:AB,4,FALSE),"")</f>
        <v/>
      </c>
      <c r="F383" t="str">
        <f>IFERROR(VLOOKUP(D383,'Team Data'!C:AB,5,FALSE),"")</f>
        <v/>
      </c>
      <c r="G383" t="str">
        <f>IFERROR(VLOOKUP('OB Format'!D383,'Team Data'!C:AB,17,FALSE),"")</f>
        <v/>
      </c>
      <c r="H383" t="str">
        <f>IFERROR(VLOOKUP(D383,'Team Data'!C:AB,7,FALSE),"")</f>
        <v/>
      </c>
      <c r="I383" t="str">
        <f>IFERROR(VLOOKUP(D383,'Team Data'!C:AB,14,FALSE),"")</f>
        <v/>
      </c>
      <c r="J383" t="str">
        <f>IFERROR(VLOOKUP(D383,'Team Data'!C:AB,8,FALSE),"")</f>
        <v/>
      </c>
      <c r="K383" t="str">
        <f>IFERROR(VLOOKUP(D383,'Team Data'!C:AB,9,FALSE),"")</f>
        <v/>
      </c>
      <c r="L383" t="str">
        <f>IFERROR(VLOOKUP(D383,'Team Data'!C:AB,10,FALSE),"")</f>
        <v/>
      </c>
      <c r="M383" t="str">
        <f t="shared" si="12"/>
        <v/>
      </c>
      <c r="N383" t="str">
        <f>IFERROR(VLOOKUP(D383,'Team Data'!C:AB,23,FALSE),"")</f>
        <v/>
      </c>
      <c r="O383" t="str">
        <f>IFERROR(VLOOKUP(D383,'Team Data'!C:AB,22,FALSE),"")</f>
        <v/>
      </c>
      <c r="P383" t="str">
        <f t="shared" si="13"/>
        <v/>
      </c>
      <c r="Q383" t="str">
        <f>IFERROR(VLOOKUP(D383,'Team Data'!C:AB,15,FALSE),"")</f>
        <v/>
      </c>
      <c r="R383" t="str">
        <f>IFERROR(VLOOKUP('OB Format'!D383,'Team Data'!C:AB,24,FALSE),"")</f>
        <v/>
      </c>
      <c r="S383" t="str">
        <f>IFERROR(VLOOKUP('OB Format'!D383,'Team Data'!C:AC,25,FALSE),"")</f>
        <v/>
      </c>
    </row>
    <row r="384" spans="5:19" x14ac:dyDescent="0.25">
      <c r="E384" t="str">
        <f>IFERROR(VLOOKUP(D384,'Team Data'!C:AB,4,FALSE),"")</f>
        <v/>
      </c>
      <c r="F384" t="str">
        <f>IFERROR(VLOOKUP(D384,'Team Data'!C:AB,5,FALSE),"")</f>
        <v/>
      </c>
      <c r="G384" t="str">
        <f>IFERROR(VLOOKUP('OB Format'!D384,'Team Data'!C:AB,17,FALSE),"")</f>
        <v/>
      </c>
      <c r="H384" t="str">
        <f>IFERROR(VLOOKUP(D384,'Team Data'!C:AB,7,FALSE),"")</f>
        <v/>
      </c>
      <c r="I384" t="str">
        <f>IFERROR(VLOOKUP(D384,'Team Data'!C:AB,14,FALSE),"")</f>
        <v/>
      </c>
      <c r="J384" t="str">
        <f>IFERROR(VLOOKUP(D384,'Team Data'!C:AB,8,FALSE),"")</f>
        <v/>
      </c>
      <c r="K384" t="str">
        <f>IFERROR(VLOOKUP(D384,'Team Data'!C:AB,9,FALSE),"")</f>
        <v/>
      </c>
      <c r="L384" t="str">
        <f>IFERROR(VLOOKUP(D384,'Team Data'!C:AB,10,FALSE),"")</f>
        <v/>
      </c>
      <c r="M384" t="str">
        <f t="shared" si="12"/>
        <v/>
      </c>
      <c r="N384" t="str">
        <f>IFERROR(VLOOKUP(D384,'Team Data'!C:AB,23,FALSE),"")</f>
        <v/>
      </c>
      <c r="O384" t="str">
        <f>IFERROR(VLOOKUP(D384,'Team Data'!C:AB,22,FALSE),"")</f>
        <v/>
      </c>
      <c r="P384" t="str">
        <f t="shared" si="13"/>
        <v/>
      </c>
      <c r="Q384" t="str">
        <f>IFERROR(VLOOKUP(D384,'Team Data'!C:AB,15,FALSE),"")</f>
        <v/>
      </c>
      <c r="R384" t="str">
        <f>IFERROR(VLOOKUP('OB Format'!D384,'Team Data'!C:AB,24,FALSE),"")</f>
        <v/>
      </c>
      <c r="S384" t="str">
        <f>IFERROR(VLOOKUP('OB Format'!D384,'Team Data'!C:AC,25,FALSE),"")</f>
        <v/>
      </c>
    </row>
    <row r="385" spans="5:19" x14ac:dyDescent="0.25">
      <c r="E385" t="str">
        <f>IFERROR(VLOOKUP(D385,'Team Data'!C:AB,4,FALSE),"")</f>
        <v/>
      </c>
      <c r="F385" t="str">
        <f>IFERROR(VLOOKUP(D385,'Team Data'!C:AB,5,FALSE),"")</f>
        <v/>
      </c>
      <c r="G385" t="str">
        <f>IFERROR(VLOOKUP('OB Format'!D385,'Team Data'!C:AB,17,FALSE),"")</f>
        <v/>
      </c>
      <c r="H385" t="str">
        <f>IFERROR(VLOOKUP(D385,'Team Data'!C:AB,7,FALSE),"")</f>
        <v/>
      </c>
      <c r="I385" t="str">
        <f>IFERROR(VLOOKUP(D385,'Team Data'!C:AB,14,FALSE),"")</f>
        <v/>
      </c>
      <c r="J385" t="str">
        <f>IFERROR(VLOOKUP(D385,'Team Data'!C:AB,8,FALSE),"")</f>
        <v/>
      </c>
      <c r="K385" t="str">
        <f>IFERROR(VLOOKUP(D385,'Team Data'!C:AB,9,FALSE),"")</f>
        <v/>
      </c>
      <c r="L385" t="str">
        <f>IFERROR(VLOOKUP(D385,'Team Data'!C:AB,10,FALSE),"")</f>
        <v/>
      </c>
      <c r="M385" t="str">
        <f t="shared" si="12"/>
        <v/>
      </c>
      <c r="N385" t="str">
        <f>IFERROR(VLOOKUP(D385,'Team Data'!C:AB,23,FALSE),"")</f>
        <v/>
      </c>
      <c r="O385" t="str">
        <f>IFERROR(VLOOKUP(D385,'Team Data'!C:AB,22,FALSE),"")</f>
        <v/>
      </c>
      <c r="P385" t="str">
        <f t="shared" si="13"/>
        <v/>
      </c>
      <c r="Q385" t="str">
        <f>IFERROR(VLOOKUP(D385,'Team Data'!C:AB,15,FALSE),"")</f>
        <v/>
      </c>
      <c r="R385" t="str">
        <f>IFERROR(VLOOKUP('OB Format'!D385,'Team Data'!C:AB,24,FALSE),"")</f>
        <v/>
      </c>
      <c r="S385" t="str">
        <f>IFERROR(VLOOKUP('OB Format'!D385,'Team Data'!C:AC,25,FALSE),"")</f>
        <v/>
      </c>
    </row>
    <row r="386" spans="5:19" x14ac:dyDescent="0.25">
      <c r="E386" t="str">
        <f>IFERROR(VLOOKUP(D386,'Team Data'!C:AB,4,FALSE),"")</f>
        <v/>
      </c>
      <c r="F386" t="str">
        <f>IFERROR(VLOOKUP(D386,'Team Data'!C:AB,5,FALSE),"")</f>
        <v/>
      </c>
      <c r="G386" t="str">
        <f>IFERROR(VLOOKUP('OB Format'!D386,'Team Data'!C:AB,17,FALSE),"")</f>
        <v/>
      </c>
      <c r="H386" t="str">
        <f>IFERROR(VLOOKUP(D386,'Team Data'!C:AB,7,FALSE),"")</f>
        <v/>
      </c>
      <c r="I386" t="str">
        <f>IFERROR(VLOOKUP(D386,'Team Data'!C:AB,14,FALSE),"")</f>
        <v/>
      </c>
      <c r="J386" t="str">
        <f>IFERROR(VLOOKUP(D386,'Team Data'!C:AB,8,FALSE),"")</f>
        <v/>
      </c>
      <c r="K386" t="str">
        <f>IFERROR(VLOOKUP(D386,'Team Data'!C:AB,9,FALSE),"")</f>
        <v/>
      </c>
      <c r="L386" t="str">
        <f>IFERROR(VLOOKUP(D386,'Team Data'!C:AB,10,FALSE),"")</f>
        <v/>
      </c>
      <c r="M386" t="str">
        <f t="shared" si="12"/>
        <v/>
      </c>
      <c r="N386" t="str">
        <f>IFERROR(VLOOKUP(D386,'Team Data'!C:AB,23,FALSE),"")</f>
        <v/>
      </c>
      <c r="O386" t="str">
        <f>IFERROR(VLOOKUP(D386,'Team Data'!C:AB,22,FALSE),"")</f>
        <v/>
      </c>
      <c r="P386" t="str">
        <f t="shared" si="13"/>
        <v/>
      </c>
      <c r="Q386" t="str">
        <f>IFERROR(VLOOKUP(D386,'Team Data'!C:AB,15,FALSE),"")</f>
        <v/>
      </c>
      <c r="R386" t="str">
        <f>IFERROR(VLOOKUP('OB Format'!D386,'Team Data'!C:AB,24,FALSE),"")</f>
        <v/>
      </c>
      <c r="S386" t="str">
        <f>IFERROR(VLOOKUP('OB Format'!D386,'Team Data'!C:AC,25,FALSE),"")</f>
        <v/>
      </c>
    </row>
    <row r="387" spans="5:19" x14ac:dyDescent="0.25">
      <c r="E387" t="str">
        <f>IFERROR(VLOOKUP(D387,'Team Data'!C:AB,4,FALSE),"")</f>
        <v/>
      </c>
      <c r="F387" t="str">
        <f>IFERROR(VLOOKUP(D387,'Team Data'!C:AB,5,FALSE),"")</f>
        <v/>
      </c>
      <c r="G387" t="str">
        <f>IFERROR(VLOOKUP('OB Format'!D387,'Team Data'!C:AB,17,FALSE),"")</f>
        <v/>
      </c>
      <c r="H387" t="str">
        <f>IFERROR(VLOOKUP(D387,'Team Data'!C:AB,7,FALSE),"")</f>
        <v/>
      </c>
      <c r="I387" t="str">
        <f>IFERROR(VLOOKUP(D387,'Team Data'!C:AB,14,FALSE),"")</f>
        <v/>
      </c>
      <c r="J387" t="str">
        <f>IFERROR(VLOOKUP(D387,'Team Data'!C:AB,8,FALSE),"")</f>
        <v/>
      </c>
      <c r="K387" t="str">
        <f>IFERROR(VLOOKUP(D387,'Team Data'!C:AB,9,FALSE),"")</f>
        <v/>
      </c>
      <c r="L387" t="str">
        <f>IFERROR(VLOOKUP(D387,'Team Data'!C:AB,10,FALSE),"")</f>
        <v/>
      </c>
      <c r="M387" t="str">
        <f t="shared" si="12"/>
        <v/>
      </c>
      <c r="N387" t="str">
        <f>IFERROR(VLOOKUP(D387,'Team Data'!C:AB,23,FALSE),"")</f>
        <v/>
      </c>
      <c r="O387" t="str">
        <f>IFERROR(VLOOKUP(D387,'Team Data'!C:AB,22,FALSE),"")</f>
        <v/>
      </c>
      <c r="P387" t="str">
        <f t="shared" si="13"/>
        <v/>
      </c>
      <c r="Q387" t="str">
        <f>IFERROR(VLOOKUP(D387,'Team Data'!C:AB,15,FALSE),"")</f>
        <v/>
      </c>
      <c r="R387" t="str">
        <f>IFERROR(VLOOKUP('OB Format'!D387,'Team Data'!C:AB,24,FALSE),"")</f>
        <v/>
      </c>
      <c r="S387" t="str">
        <f>IFERROR(VLOOKUP('OB Format'!D387,'Team Data'!C:AC,25,FALSE),"")</f>
        <v/>
      </c>
    </row>
    <row r="388" spans="5:19" x14ac:dyDescent="0.25">
      <c r="E388" t="str">
        <f>IFERROR(VLOOKUP(D388,'Team Data'!C:AB,4,FALSE),"")</f>
        <v/>
      </c>
      <c r="F388" t="str">
        <f>IFERROR(VLOOKUP(D388,'Team Data'!C:AB,5,FALSE),"")</f>
        <v/>
      </c>
      <c r="G388" t="str">
        <f>IFERROR(VLOOKUP('OB Format'!D388,'Team Data'!C:AB,17,FALSE),"")</f>
        <v/>
      </c>
      <c r="H388" t="str">
        <f>IFERROR(VLOOKUP(D388,'Team Data'!C:AB,7,FALSE),"")</f>
        <v/>
      </c>
      <c r="I388" t="str">
        <f>IFERROR(VLOOKUP(D388,'Team Data'!C:AB,14,FALSE),"")</f>
        <v/>
      </c>
      <c r="J388" t="str">
        <f>IFERROR(VLOOKUP(D388,'Team Data'!C:AB,8,FALSE),"")</f>
        <v/>
      </c>
      <c r="K388" t="str">
        <f>IFERROR(VLOOKUP(D388,'Team Data'!C:AB,9,FALSE),"")</f>
        <v/>
      </c>
      <c r="L388" t="str">
        <f>IFERROR(VLOOKUP(D388,'Team Data'!C:AB,10,FALSE),"")</f>
        <v/>
      </c>
      <c r="M388" t="str">
        <f t="shared" si="12"/>
        <v/>
      </c>
      <c r="N388" t="str">
        <f>IFERROR(VLOOKUP(D388,'Team Data'!C:AB,23,FALSE),"")</f>
        <v/>
      </c>
      <c r="O388" t="str">
        <f>IFERROR(VLOOKUP(D388,'Team Data'!C:AB,22,FALSE),"")</f>
        <v/>
      </c>
      <c r="P388" t="str">
        <f t="shared" si="13"/>
        <v/>
      </c>
      <c r="Q388" t="str">
        <f>IFERROR(VLOOKUP(D388,'Team Data'!C:AB,15,FALSE),"")</f>
        <v/>
      </c>
      <c r="R388" t="str">
        <f>IFERROR(VLOOKUP('OB Format'!D388,'Team Data'!C:AB,24,FALSE),"")</f>
        <v/>
      </c>
      <c r="S388" t="str">
        <f>IFERROR(VLOOKUP('OB Format'!D388,'Team Data'!C:AC,25,FALSE),"")</f>
        <v/>
      </c>
    </row>
    <row r="389" spans="5:19" x14ac:dyDescent="0.25">
      <c r="E389" t="str">
        <f>IFERROR(VLOOKUP(D389,'Team Data'!C:AB,4,FALSE),"")</f>
        <v/>
      </c>
      <c r="F389" t="str">
        <f>IFERROR(VLOOKUP(D389,'Team Data'!C:AB,5,FALSE),"")</f>
        <v/>
      </c>
      <c r="G389" t="str">
        <f>IFERROR(VLOOKUP('OB Format'!D389,'Team Data'!C:AB,17,FALSE),"")</f>
        <v/>
      </c>
      <c r="H389" t="str">
        <f>IFERROR(VLOOKUP(D389,'Team Data'!C:AB,7,FALSE),"")</f>
        <v/>
      </c>
      <c r="I389" t="str">
        <f>IFERROR(VLOOKUP(D389,'Team Data'!C:AB,14,FALSE),"")</f>
        <v/>
      </c>
      <c r="J389" t="str">
        <f>IFERROR(VLOOKUP(D389,'Team Data'!C:AB,8,FALSE),"")</f>
        <v/>
      </c>
      <c r="K389" t="str">
        <f>IFERROR(VLOOKUP(D389,'Team Data'!C:AB,9,FALSE),"")</f>
        <v/>
      </c>
      <c r="L389" t="str">
        <f>IFERROR(VLOOKUP(D389,'Team Data'!C:AB,10,FALSE),"")</f>
        <v/>
      </c>
      <c r="M389" t="str">
        <f t="shared" si="12"/>
        <v/>
      </c>
      <c r="N389" t="str">
        <f>IFERROR(VLOOKUP(D389,'Team Data'!C:AB,23,FALSE),"")</f>
        <v/>
      </c>
      <c r="O389" t="str">
        <f>IFERROR(VLOOKUP(D389,'Team Data'!C:AB,22,FALSE),"")</f>
        <v/>
      </c>
      <c r="P389" t="str">
        <f t="shared" si="13"/>
        <v/>
      </c>
      <c r="Q389" t="str">
        <f>IFERROR(VLOOKUP(D389,'Team Data'!C:AB,15,FALSE),"")</f>
        <v/>
      </c>
      <c r="R389" t="str">
        <f>IFERROR(VLOOKUP('OB Format'!D389,'Team Data'!C:AB,24,FALSE),"")</f>
        <v/>
      </c>
      <c r="S389" t="str">
        <f>IFERROR(VLOOKUP('OB Format'!D389,'Team Data'!C:AC,25,FALSE),"")</f>
        <v/>
      </c>
    </row>
    <row r="390" spans="5:19" x14ac:dyDescent="0.25">
      <c r="E390" t="str">
        <f>IFERROR(VLOOKUP(D390,'Team Data'!C:AB,4,FALSE),"")</f>
        <v/>
      </c>
      <c r="F390" t="str">
        <f>IFERROR(VLOOKUP(D390,'Team Data'!C:AB,5,FALSE),"")</f>
        <v/>
      </c>
      <c r="G390" t="str">
        <f>IFERROR(VLOOKUP('OB Format'!D390,'Team Data'!C:AB,17,FALSE),"")</f>
        <v/>
      </c>
      <c r="H390" t="str">
        <f>IFERROR(VLOOKUP(D390,'Team Data'!C:AB,7,FALSE),"")</f>
        <v/>
      </c>
      <c r="I390" t="str">
        <f>IFERROR(VLOOKUP(D390,'Team Data'!C:AB,14,FALSE),"")</f>
        <v/>
      </c>
      <c r="J390" t="str">
        <f>IFERROR(VLOOKUP(D390,'Team Data'!C:AB,8,FALSE),"")</f>
        <v/>
      </c>
      <c r="K390" t="str">
        <f>IFERROR(VLOOKUP(D390,'Team Data'!C:AB,9,FALSE),"")</f>
        <v/>
      </c>
      <c r="L390" t="str">
        <f>IFERROR(VLOOKUP(D390,'Team Data'!C:AB,10,FALSE),"")</f>
        <v/>
      </c>
      <c r="M390" t="str">
        <f t="shared" si="12"/>
        <v/>
      </c>
      <c r="N390" t="str">
        <f>IFERROR(VLOOKUP(D390,'Team Data'!C:AB,23,FALSE),"")</f>
        <v/>
      </c>
      <c r="O390" t="str">
        <f>IFERROR(VLOOKUP(D390,'Team Data'!C:AB,22,FALSE),"")</f>
        <v/>
      </c>
      <c r="P390" t="str">
        <f t="shared" si="13"/>
        <v/>
      </c>
      <c r="Q390" t="str">
        <f>IFERROR(VLOOKUP(D390,'Team Data'!C:AB,15,FALSE),"")</f>
        <v/>
      </c>
      <c r="R390" t="str">
        <f>IFERROR(VLOOKUP('OB Format'!D390,'Team Data'!C:AB,24,FALSE),"")</f>
        <v/>
      </c>
      <c r="S390" t="str">
        <f>IFERROR(VLOOKUP('OB Format'!D390,'Team Data'!C:AC,25,FALSE),"")</f>
        <v/>
      </c>
    </row>
    <row r="391" spans="5:19" x14ac:dyDescent="0.25">
      <c r="E391" t="str">
        <f>IFERROR(VLOOKUP(D391,'Team Data'!C:AB,4,FALSE),"")</f>
        <v/>
      </c>
      <c r="F391" t="str">
        <f>IFERROR(VLOOKUP(D391,'Team Data'!C:AB,5,FALSE),"")</f>
        <v/>
      </c>
      <c r="G391" t="str">
        <f>IFERROR(VLOOKUP('OB Format'!D391,'Team Data'!C:AB,17,FALSE),"")</f>
        <v/>
      </c>
      <c r="H391" t="str">
        <f>IFERROR(VLOOKUP(D391,'Team Data'!C:AB,7,FALSE),"")</f>
        <v/>
      </c>
      <c r="I391" t="str">
        <f>IFERROR(VLOOKUP(D391,'Team Data'!C:AB,14,FALSE),"")</f>
        <v/>
      </c>
      <c r="J391" t="str">
        <f>IFERROR(VLOOKUP(D391,'Team Data'!C:AB,8,FALSE),"")</f>
        <v/>
      </c>
      <c r="K391" t="str">
        <f>IFERROR(VLOOKUP(D391,'Team Data'!C:AB,9,FALSE),"")</f>
        <v/>
      </c>
      <c r="L391" t="str">
        <f>IFERROR(VLOOKUP(D391,'Team Data'!C:AB,10,FALSE),"")</f>
        <v/>
      </c>
      <c r="M391" t="str">
        <f t="shared" si="12"/>
        <v/>
      </c>
      <c r="N391" t="str">
        <f>IFERROR(VLOOKUP(D391,'Team Data'!C:AB,23,FALSE),"")</f>
        <v/>
      </c>
      <c r="O391" t="str">
        <f>IFERROR(VLOOKUP(D391,'Team Data'!C:AB,22,FALSE),"")</f>
        <v/>
      </c>
      <c r="P391" t="str">
        <f t="shared" si="13"/>
        <v/>
      </c>
      <c r="Q391" t="str">
        <f>IFERROR(VLOOKUP(D391,'Team Data'!C:AB,15,FALSE),"")</f>
        <v/>
      </c>
      <c r="R391" t="str">
        <f>IFERROR(VLOOKUP('OB Format'!D391,'Team Data'!C:AB,24,FALSE),"")</f>
        <v/>
      </c>
      <c r="S391" t="str">
        <f>IFERROR(VLOOKUP('OB Format'!D391,'Team Data'!C:AC,25,FALSE),"")</f>
        <v/>
      </c>
    </row>
    <row r="392" spans="5:19" x14ac:dyDescent="0.25">
      <c r="E392" t="str">
        <f>IFERROR(VLOOKUP(D392,'Team Data'!C:AB,4,FALSE),"")</f>
        <v/>
      </c>
      <c r="F392" t="str">
        <f>IFERROR(VLOOKUP(D392,'Team Data'!C:AB,5,FALSE),"")</f>
        <v/>
      </c>
      <c r="G392" t="str">
        <f>IFERROR(VLOOKUP('OB Format'!D392,'Team Data'!C:AB,17,FALSE),"")</f>
        <v/>
      </c>
      <c r="H392" t="str">
        <f>IFERROR(VLOOKUP(D392,'Team Data'!C:AB,7,FALSE),"")</f>
        <v/>
      </c>
      <c r="I392" t="str">
        <f>IFERROR(VLOOKUP(D392,'Team Data'!C:AB,14,FALSE),"")</f>
        <v/>
      </c>
      <c r="J392" t="str">
        <f>IFERROR(VLOOKUP(D392,'Team Data'!C:AB,8,FALSE),"")</f>
        <v/>
      </c>
      <c r="K392" t="str">
        <f>IFERROR(VLOOKUP(D392,'Team Data'!C:AB,9,FALSE),"")</f>
        <v/>
      </c>
      <c r="L392" t="str">
        <f>IFERROR(VLOOKUP(D392,'Team Data'!C:AB,10,FALSE),"")</f>
        <v/>
      </c>
      <c r="M392" t="str">
        <f t="shared" si="12"/>
        <v/>
      </c>
      <c r="N392" t="str">
        <f>IFERROR(VLOOKUP(D392,'Team Data'!C:AB,23,FALSE),"")</f>
        <v/>
      </c>
      <c r="O392" t="str">
        <f>IFERROR(VLOOKUP(D392,'Team Data'!C:AB,22,FALSE),"")</f>
        <v/>
      </c>
      <c r="P392" t="str">
        <f t="shared" si="13"/>
        <v/>
      </c>
      <c r="Q392" t="str">
        <f>IFERROR(VLOOKUP(D392,'Team Data'!C:AB,15,FALSE),"")</f>
        <v/>
      </c>
      <c r="R392" t="str">
        <f>IFERROR(VLOOKUP('OB Format'!D392,'Team Data'!C:AB,24,FALSE),"")</f>
        <v/>
      </c>
      <c r="S392" t="str">
        <f>IFERROR(VLOOKUP('OB Format'!D392,'Team Data'!C:AC,25,FALSE),"")</f>
        <v/>
      </c>
    </row>
    <row r="393" spans="5:19" x14ac:dyDescent="0.25">
      <c r="E393" t="str">
        <f>IFERROR(VLOOKUP(D393,'Team Data'!C:AB,4,FALSE),"")</f>
        <v/>
      </c>
      <c r="F393" t="str">
        <f>IFERROR(VLOOKUP(D393,'Team Data'!C:AB,5,FALSE),"")</f>
        <v/>
      </c>
      <c r="G393" t="str">
        <f>IFERROR(VLOOKUP('OB Format'!D393,'Team Data'!C:AB,17,FALSE),"")</f>
        <v/>
      </c>
      <c r="H393" t="str">
        <f>IFERROR(VLOOKUP(D393,'Team Data'!C:AB,7,FALSE),"")</f>
        <v/>
      </c>
      <c r="I393" t="str">
        <f>IFERROR(VLOOKUP(D393,'Team Data'!C:AB,14,FALSE),"")</f>
        <v/>
      </c>
      <c r="J393" t="str">
        <f>IFERROR(VLOOKUP(D393,'Team Data'!C:AB,8,FALSE),"")</f>
        <v/>
      </c>
      <c r="K393" t="str">
        <f>IFERROR(VLOOKUP(D393,'Team Data'!C:AB,9,FALSE),"")</f>
        <v/>
      </c>
      <c r="L393" t="str">
        <f>IFERROR(VLOOKUP(D393,'Team Data'!C:AB,10,FALSE),"")</f>
        <v/>
      </c>
      <c r="M393" t="str">
        <f t="shared" si="12"/>
        <v/>
      </c>
      <c r="N393" t="str">
        <f>IFERROR(VLOOKUP(D393,'Team Data'!C:AB,23,FALSE),"")</f>
        <v/>
      </c>
      <c r="O393" t="str">
        <f>IFERROR(VLOOKUP(D393,'Team Data'!C:AB,22,FALSE),"")</f>
        <v/>
      </c>
      <c r="P393" t="str">
        <f t="shared" si="13"/>
        <v/>
      </c>
      <c r="Q393" t="str">
        <f>IFERROR(VLOOKUP(D393,'Team Data'!C:AB,15,FALSE),"")</f>
        <v/>
      </c>
      <c r="R393" t="str">
        <f>IFERROR(VLOOKUP('OB Format'!D393,'Team Data'!C:AB,24,FALSE),"")</f>
        <v/>
      </c>
      <c r="S393" t="str">
        <f>IFERROR(VLOOKUP('OB Format'!D393,'Team Data'!C:AC,25,FALSE),"")</f>
        <v/>
      </c>
    </row>
    <row r="394" spans="5:19" x14ac:dyDescent="0.25">
      <c r="E394" t="str">
        <f>IFERROR(VLOOKUP(D394,'Team Data'!C:AB,4,FALSE),"")</f>
        <v/>
      </c>
      <c r="F394" t="str">
        <f>IFERROR(VLOOKUP(D394,'Team Data'!C:AB,5,FALSE),"")</f>
        <v/>
      </c>
      <c r="G394" t="str">
        <f>IFERROR(VLOOKUP('OB Format'!D394,'Team Data'!C:AB,17,FALSE),"")</f>
        <v/>
      </c>
      <c r="H394" t="str">
        <f>IFERROR(VLOOKUP(D394,'Team Data'!C:AB,7,FALSE),"")</f>
        <v/>
      </c>
      <c r="I394" t="str">
        <f>IFERROR(VLOOKUP(D394,'Team Data'!C:AB,14,FALSE),"")</f>
        <v/>
      </c>
      <c r="J394" t="str">
        <f>IFERROR(VLOOKUP(D394,'Team Data'!C:AB,8,FALSE),"")</f>
        <v/>
      </c>
      <c r="K394" t="str">
        <f>IFERROR(VLOOKUP(D394,'Team Data'!C:AB,9,FALSE),"")</f>
        <v/>
      </c>
      <c r="L394" t="str">
        <f>IFERROR(VLOOKUP(D394,'Team Data'!C:AB,10,FALSE),"")</f>
        <v/>
      </c>
      <c r="M394" t="str">
        <f t="shared" si="12"/>
        <v/>
      </c>
      <c r="N394" t="str">
        <f>IFERROR(VLOOKUP(D394,'Team Data'!C:AB,23,FALSE),"")</f>
        <v/>
      </c>
      <c r="O394" t="str">
        <f>IFERROR(VLOOKUP(D394,'Team Data'!C:AB,22,FALSE),"")</f>
        <v/>
      </c>
      <c r="P394" t="str">
        <f t="shared" si="13"/>
        <v/>
      </c>
      <c r="Q394" t="str">
        <f>IFERROR(VLOOKUP(D394,'Team Data'!C:AB,15,FALSE),"")</f>
        <v/>
      </c>
      <c r="R394" t="str">
        <f>IFERROR(VLOOKUP('OB Format'!D394,'Team Data'!C:AB,24,FALSE),"")</f>
        <v/>
      </c>
      <c r="S394" t="str">
        <f>IFERROR(VLOOKUP('OB Format'!D394,'Team Data'!C:AC,25,FALSE),"")</f>
        <v/>
      </c>
    </row>
    <row r="395" spans="5:19" x14ac:dyDescent="0.25">
      <c r="E395" t="str">
        <f>IFERROR(VLOOKUP(D395,'Team Data'!C:AB,4,FALSE),"")</f>
        <v/>
      </c>
      <c r="F395" t="str">
        <f>IFERROR(VLOOKUP(D395,'Team Data'!C:AB,5,FALSE),"")</f>
        <v/>
      </c>
      <c r="G395" t="str">
        <f>IFERROR(VLOOKUP('OB Format'!D395,'Team Data'!C:AB,17,FALSE),"")</f>
        <v/>
      </c>
      <c r="H395" t="str">
        <f>IFERROR(VLOOKUP(D395,'Team Data'!C:AB,7,FALSE),"")</f>
        <v/>
      </c>
      <c r="I395" t="str">
        <f>IFERROR(VLOOKUP(D395,'Team Data'!C:AB,14,FALSE),"")</f>
        <v/>
      </c>
      <c r="J395" t="str">
        <f>IFERROR(VLOOKUP(D395,'Team Data'!C:AB,8,FALSE),"")</f>
        <v/>
      </c>
      <c r="K395" t="str">
        <f>IFERROR(VLOOKUP(D395,'Team Data'!C:AB,9,FALSE),"")</f>
        <v/>
      </c>
      <c r="L395" t="str">
        <f>IFERROR(VLOOKUP(D395,'Team Data'!C:AB,10,FALSE),"")</f>
        <v/>
      </c>
      <c r="M395" t="str">
        <f t="shared" si="12"/>
        <v/>
      </c>
      <c r="N395" t="str">
        <f>IFERROR(VLOOKUP(D395,'Team Data'!C:AB,23,FALSE),"")</f>
        <v/>
      </c>
      <c r="O395" t="str">
        <f>IFERROR(VLOOKUP(D395,'Team Data'!C:AB,22,FALSE),"")</f>
        <v/>
      </c>
      <c r="P395" t="str">
        <f t="shared" si="13"/>
        <v/>
      </c>
      <c r="Q395" t="str">
        <f>IFERROR(VLOOKUP(D395,'Team Data'!C:AB,15,FALSE),"")</f>
        <v/>
      </c>
      <c r="R395" t="str">
        <f>IFERROR(VLOOKUP('OB Format'!D395,'Team Data'!C:AB,24,FALSE),"")</f>
        <v/>
      </c>
      <c r="S395" t="str">
        <f>IFERROR(VLOOKUP('OB Format'!D395,'Team Data'!C:AC,25,FALSE),"")</f>
        <v/>
      </c>
    </row>
    <row r="396" spans="5:19" x14ac:dyDescent="0.25">
      <c r="E396" t="str">
        <f>IFERROR(VLOOKUP(D396,'Team Data'!C:AB,4,FALSE),"")</f>
        <v/>
      </c>
      <c r="F396" t="str">
        <f>IFERROR(VLOOKUP(D396,'Team Data'!C:AB,5,FALSE),"")</f>
        <v/>
      </c>
      <c r="G396" t="str">
        <f>IFERROR(VLOOKUP('OB Format'!D396,'Team Data'!C:AB,17,FALSE),"")</f>
        <v/>
      </c>
      <c r="H396" t="str">
        <f>IFERROR(VLOOKUP(D396,'Team Data'!C:AB,7,FALSE),"")</f>
        <v/>
      </c>
      <c r="I396" t="str">
        <f>IFERROR(VLOOKUP(D396,'Team Data'!C:AB,14,FALSE),"")</f>
        <v/>
      </c>
      <c r="J396" t="str">
        <f>IFERROR(VLOOKUP(D396,'Team Data'!C:AB,8,FALSE),"")</f>
        <v/>
      </c>
      <c r="K396" t="str">
        <f>IFERROR(VLOOKUP(D396,'Team Data'!C:AB,9,FALSE),"")</f>
        <v/>
      </c>
      <c r="L396" t="str">
        <f>IFERROR(VLOOKUP(D396,'Team Data'!C:AB,10,FALSE),"")</f>
        <v/>
      </c>
      <c r="M396" t="str">
        <f t="shared" si="12"/>
        <v/>
      </c>
      <c r="N396" t="str">
        <f>IFERROR(VLOOKUP(D396,'Team Data'!C:AB,23,FALSE),"")</f>
        <v/>
      </c>
      <c r="O396" t="str">
        <f>IFERROR(VLOOKUP(D396,'Team Data'!C:AB,22,FALSE),"")</f>
        <v/>
      </c>
      <c r="P396" t="str">
        <f t="shared" si="13"/>
        <v/>
      </c>
      <c r="Q396" t="str">
        <f>IFERROR(VLOOKUP(D396,'Team Data'!C:AB,15,FALSE),"")</f>
        <v/>
      </c>
      <c r="R396" t="str">
        <f>IFERROR(VLOOKUP('OB Format'!D396,'Team Data'!C:AB,24,FALSE),"")</f>
        <v/>
      </c>
      <c r="S396" t="str">
        <f>IFERROR(VLOOKUP('OB Format'!D396,'Team Data'!C:AC,25,FALSE),"")</f>
        <v/>
      </c>
    </row>
    <row r="397" spans="5:19" x14ac:dyDescent="0.25">
      <c r="E397" t="str">
        <f>IFERROR(VLOOKUP(D397,'Team Data'!C:AB,4,FALSE),"")</f>
        <v/>
      </c>
      <c r="F397" t="str">
        <f>IFERROR(VLOOKUP(D397,'Team Data'!C:AB,5,FALSE),"")</f>
        <v/>
      </c>
      <c r="G397" t="str">
        <f>IFERROR(VLOOKUP('OB Format'!D397,'Team Data'!C:AB,17,FALSE),"")</f>
        <v/>
      </c>
      <c r="H397" t="str">
        <f>IFERROR(VLOOKUP(D397,'Team Data'!C:AB,7,FALSE),"")</f>
        <v/>
      </c>
      <c r="I397" t="str">
        <f>IFERROR(VLOOKUP(D397,'Team Data'!C:AB,14,FALSE),"")</f>
        <v/>
      </c>
      <c r="J397" t="str">
        <f>IFERROR(VLOOKUP(D397,'Team Data'!C:AB,8,FALSE),"")</f>
        <v/>
      </c>
      <c r="K397" t="str">
        <f>IFERROR(VLOOKUP(D397,'Team Data'!C:AB,9,FALSE),"")</f>
        <v/>
      </c>
      <c r="L397" t="str">
        <f>IFERROR(VLOOKUP(D397,'Team Data'!C:AB,10,FALSE),"")</f>
        <v/>
      </c>
      <c r="M397" t="str">
        <f t="shared" ref="M397:M460" si="14">IFERROR(H397-(J397+L397+K397),"")</f>
        <v/>
      </c>
      <c r="N397" t="str">
        <f>IFERROR(VLOOKUP(D397,'Team Data'!C:AB,23,FALSE),"")</f>
        <v/>
      </c>
      <c r="O397" t="str">
        <f>IFERROR(VLOOKUP(D397,'Team Data'!C:AB,22,FALSE),"")</f>
        <v/>
      </c>
      <c r="P397" t="str">
        <f t="shared" ref="P397:P460" si="15">IFERROR(E397-(H397+N397+Q397+I397+O397),"")</f>
        <v/>
      </c>
      <c r="Q397" t="str">
        <f>IFERROR(VLOOKUP(D397,'Team Data'!C:AB,15,FALSE),"")</f>
        <v/>
      </c>
      <c r="R397" t="str">
        <f>IFERROR(VLOOKUP('OB Format'!D397,'Team Data'!C:AB,24,FALSE),"")</f>
        <v/>
      </c>
      <c r="S397" t="str">
        <f>IFERROR(VLOOKUP('OB Format'!D397,'Team Data'!C:AC,25,FALSE),"")</f>
        <v/>
      </c>
    </row>
    <row r="398" spans="5:19" x14ac:dyDescent="0.25">
      <c r="E398" t="str">
        <f>IFERROR(VLOOKUP(D398,'Team Data'!C:AB,4,FALSE),"")</f>
        <v/>
      </c>
      <c r="F398" t="str">
        <f>IFERROR(VLOOKUP(D398,'Team Data'!C:AB,5,FALSE),"")</f>
        <v/>
      </c>
      <c r="G398" t="str">
        <f>IFERROR(VLOOKUP('OB Format'!D398,'Team Data'!C:AB,17,FALSE),"")</f>
        <v/>
      </c>
      <c r="H398" t="str">
        <f>IFERROR(VLOOKUP(D398,'Team Data'!C:AB,7,FALSE),"")</f>
        <v/>
      </c>
      <c r="I398" t="str">
        <f>IFERROR(VLOOKUP(D398,'Team Data'!C:AB,14,FALSE),"")</f>
        <v/>
      </c>
      <c r="J398" t="str">
        <f>IFERROR(VLOOKUP(D398,'Team Data'!C:AB,8,FALSE),"")</f>
        <v/>
      </c>
      <c r="K398" t="str">
        <f>IFERROR(VLOOKUP(D398,'Team Data'!C:AB,9,FALSE),"")</f>
        <v/>
      </c>
      <c r="L398" t="str">
        <f>IFERROR(VLOOKUP(D398,'Team Data'!C:AB,10,FALSE),"")</f>
        <v/>
      </c>
      <c r="M398" t="str">
        <f t="shared" si="14"/>
        <v/>
      </c>
      <c r="N398" t="str">
        <f>IFERROR(VLOOKUP(D398,'Team Data'!C:AB,23,FALSE),"")</f>
        <v/>
      </c>
      <c r="O398" t="str">
        <f>IFERROR(VLOOKUP(D398,'Team Data'!C:AB,22,FALSE),"")</f>
        <v/>
      </c>
      <c r="P398" t="str">
        <f t="shared" si="15"/>
        <v/>
      </c>
      <c r="Q398" t="str">
        <f>IFERROR(VLOOKUP(D398,'Team Data'!C:AB,15,FALSE),"")</f>
        <v/>
      </c>
      <c r="R398" t="str">
        <f>IFERROR(VLOOKUP('OB Format'!D398,'Team Data'!C:AB,24,FALSE),"")</f>
        <v/>
      </c>
      <c r="S398" t="str">
        <f>IFERROR(VLOOKUP('OB Format'!D398,'Team Data'!C:AC,25,FALSE),"")</f>
        <v/>
      </c>
    </row>
    <row r="399" spans="5:19" x14ac:dyDescent="0.25">
      <c r="E399" t="str">
        <f>IFERROR(VLOOKUP(D399,'Team Data'!C:AB,4,FALSE),"")</f>
        <v/>
      </c>
      <c r="F399" t="str">
        <f>IFERROR(VLOOKUP(D399,'Team Data'!C:AB,5,FALSE),"")</f>
        <v/>
      </c>
      <c r="G399" t="str">
        <f>IFERROR(VLOOKUP('OB Format'!D399,'Team Data'!C:AB,17,FALSE),"")</f>
        <v/>
      </c>
      <c r="H399" t="str">
        <f>IFERROR(VLOOKUP(D399,'Team Data'!C:AB,7,FALSE),"")</f>
        <v/>
      </c>
      <c r="I399" t="str">
        <f>IFERROR(VLOOKUP(D399,'Team Data'!C:AB,14,FALSE),"")</f>
        <v/>
      </c>
      <c r="J399" t="str">
        <f>IFERROR(VLOOKUP(D399,'Team Data'!C:AB,8,FALSE),"")</f>
        <v/>
      </c>
      <c r="K399" t="str">
        <f>IFERROR(VLOOKUP(D399,'Team Data'!C:AB,9,FALSE),"")</f>
        <v/>
      </c>
      <c r="L399" t="str">
        <f>IFERROR(VLOOKUP(D399,'Team Data'!C:AB,10,FALSE),"")</f>
        <v/>
      </c>
      <c r="M399" t="str">
        <f t="shared" si="14"/>
        <v/>
      </c>
      <c r="N399" t="str">
        <f>IFERROR(VLOOKUP(D399,'Team Data'!C:AB,23,FALSE),"")</f>
        <v/>
      </c>
      <c r="O399" t="str">
        <f>IFERROR(VLOOKUP(D399,'Team Data'!C:AB,22,FALSE),"")</f>
        <v/>
      </c>
      <c r="P399" t="str">
        <f t="shared" si="15"/>
        <v/>
      </c>
      <c r="Q399" t="str">
        <f>IFERROR(VLOOKUP(D399,'Team Data'!C:AB,15,FALSE),"")</f>
        <v/>
      </c>
      <c r="R399" t="str">
        <f>IFERROR(VLOOKUP('OB Format'!D399,'Team Data'!C:AB,24,FALSE),"")</f>
        <v/>
      </c>
      <c r="S399" t="str">
        <f>IFERROR(VLOOKUP('OB Format'!D399,'Team Data'!C:AC,25,FALSE),"")</f>
        <v/>
      </c>
    </row>
    <row r="400" spans="5:19" x14ac:dyDescent="0.25">
      <c r="E400" t="str">
        <f>IFERROR(VLOOKUP(D400,'Team Data'!C:AB,4,FALSE),"")</f>
        <v/>
      </c>
      <c r="F400" t="str">
        <f>IFERROR(VLOOKUP(D400,'Team Data'!C:AB,5,FALSE),"")</f>
        <v/>
      </c>
      <c r="G400" t="str">
        <f>IFERROR(VLOOKUP('OB Format'!D400,'Team Data'!C:AB,17,FALSE),"")</f>
        <v/>
      </c>
      <c r="H400" t="str">
        <f>IFERROR(VLOOKUP(D400,'Team Data'!C:AB,7,FALSE),"")</f>
        <v/>
      </c>
      <c r="I400" t="str">
        <f>IFERROR(VLOOKUP(D400,'Team Data'!C:AB,14,FALSE),"")</f>
        <v/>
      </c>
      <c r="J400" t="str">
        <f>IFERROR(VLOOKUP(D400,'Team Data'!C:AB,8,FALSE),"")</f>
        <v/>
      </c>
      <c r="K400" t="str">
        <f>IFERROR(VLOOKUP(D400,'Team Data'!C:AB,9,FALSE),"")</f>
        <v/>
      </c>
      <c r="L400" t="str">
        <f>IFERROR(VLOOKUP(D400,'Team Data'!C:AB,10,FALSE),"")</f>
        <v/>
      </c>
      <c r="M400" t="str">
        <f t="shared" si="14"/>
        <v/>
      </c>
      <c r="N400" t="str">
        <f>IFERROR(VLOOKUP(D400,'Team Data'!C:AB,23,FALSE),"")</f>
        <v/>
      </c>
      <c r="O400" t="str">
        <f>IFERROR(VLOOKUP(D400,'Team Data'!C:AB,22,FALSE),"")</f>
        <v/>
      </c>
      <c r="P400" t="str">
        <f t="shared" si="15"/>
        <v/>
      </c>
      <c r="Q400" t="str">
        <f>IFERROR(VLOOKUP(D400,'Team Data'!C:AB,15,FALSE),"")</f>
        <v/>
      </c>
      <c r="R400" t="str">
        <f>IFERROR(VLOOKUP('OB Format'!D400,'Team Data'!C:AB,24,FALSE),"")</f>
        <v/>
      </c>
      <c r="S400" t="str">
        <f>IFERROR(VLOOKUP('OB Format'!D400,'Team Data'!C:AC,25,FALSE),"")</f>
        <v/>
      </c>
    </row>
    <row r="401" spans="5:19" x14ac:dyDescent="0.25">
      <c r="E401" t="str">
        <f>IFERROR(VLOOKUP(D401,'Team Data'!C:AB,4,FALSE),"")</f>
        <v/>
      </c>
      <c r="F401" t="str">
        <f>IFERROR(VLOOKUP(D401,'Team Data'!C:AB,5,FALSE),"")</f>
        <v/>
      </c>
      <c r="G401" t="str">
        <f>IFERROR(VLOOKUP('OB Format'!D401,'Team Data'!C:AB,17,FALSE),"")</f>
        <v/>
      </c>
      <c r="H401" t="str">
        <f>IFERROR(VLOOKUP(D401,'Team Data'!C:AB,7,FALSE),"")</f>
        <v/>
      </c>
      <c r="I401" t="str">
        <f>IFERROR(VLOOKUP(D401,'Team Data'!C:AB,14,FALSE),"")</f>
        <v/>
      </c>
      <c r="J401" t="str">
        <f>IFERROR(VLOOKUP(D401,'Team Data'!C:AB,8,FALSE),"")</f>
        <v/>
      </c>
      <c r="K401" t="str">
        <f>IFERROR(VLOOKUP(D401,'Team Data'!C:AB,9,FALSE),"")</f>
        <v/>
      </c>
      <c r="L401" t="str">
        <f>IFERROR(VLOOKUP(D401,'Team Data'!C:AB,10,FALSE),"")</f>
        <v/>
      </c>
      <c r="M401" t="str">
        <f t="shared" si="14"/>
        <v/>
      </c>
      <c r="N401" t="str">
        <f>IFERROR(VLOOKUP(D401,'Team Data'!C:AB,23,FALSE),"")</f>
        <v/>
      </c>
      <c r="O401" t="str">
        <f>IFERROR(VLOOKUP(D401,'Team Data'!C:AB,22,FALSE),"")</f>
        <v/>
      </c>
      <c r="P401" t="str">
        <f t="shared" si="15"/>
        <v/>
      </c>
      <c r="Q401" t="str">
        <f>IFERROR(VLOOKUP(D401,'Team Data'!C:AB,15,FALSE),"")</f>
        <v/>
      </c>
      <c r="R401" t="str">
        <f>IFERROR(VLOOKUP('OB Format'!D401,'Team Data'!C:AB,24,FALSE),"")</f>
        <v/>
      </c>
      <c r="S401" t="str">
        <f>IFERROR(VLOOKUP('OB Format'!D401,'Team Data'!C:AC,25,FALSE),"")</f>
        <v/>
      </c>
    </row>
    <row r="402" spans="5:19" x14ac:dyDescent="0.25">
      <c r="E402" t="str">
        <f>IFERROR(VLOOKUP(D402,'Team Data'!C:AB,4,FALSE),"")</f>
        <v/>
      </c>
      <c r="F402" t="str">
        <f>IFERROR(VLOOKUP(D402,'Team Data'!C:AB,5,FALSE),"")</f>
        <v/>
      </c>
      <c r="G402" t="str">
        <f>IFERROR(VLOOKUP('OB Format'!D402,'Team Data'!C:AB,17,FALSE),"")</f>
        <v/>
      </c>
      <c r="H402" t="str">
        <f>IFERROR(VLOOKUP(D402,'Team Data'!C:AB,7,FALSE),"")</f>
        <v/>
      </c>
      <c r="I402" t="str">
        <f>IFERROR(VLOOKUP(D402,'Team Data'!C:AB,14,FALSE),"")</f>
        <v/>
      </c>
      <c r="J402" t="str">
        <f>IFERROR(VLOOKUP(D402,'Team Data'!C:AB,8,FALSE),"")</f>
        <v/>
      </c>
      <c r="K402" t="str">
        <f>IFERROR(VLOOKUP(D402,'Team Data'!C:AB,9,FALSE),"")</f>
        <v/>
      </c>
      <c r="L402" t="str">
        <f>IFERROR(VLOOKUP(D402,'Team Data'!C:AB,10,FALSE),"")</f>
        <v/>
      </c>
      <c r="M402" t="str">
        <f t="shared" si="14"/>
        <v/>
      </c>
      <c r="N402" t="str">
        <f>IFERROR(VLOOKUP(D402,'Team Data'!C:AB,23,FALSE),"")</f>
        <v/>
      </c>
      <c r="O402" t="str">
        <f>IFERROR(VLOOKUP(D402,'Team Data'!C:AB,22,FALSE),"")</f>
        <v/>
      </c>
      <c r="P402" t="str">
        <f t="shared" si="15"/>
        <v/>
      </c>
      <c r="Q402" t="str">
        <f>IFERROR(VLOOKUP(D402,'Team Data'!C:AB,15,FALSE),"")</f>
        <v/>
      </c>
      <c r="R402" t="str">
        <f>IFERROR(VLOOKUP('OB Format'!D402,'Team Data'!C:AB,24,FALSE),"")</f>
        <v/>
      </c>
      <c r="S402" t="str">
        <f>IFERROR(VLOOKUP('OB Format'!D402,'Team Data'!C:AC,25,FALSE),"")</f>
        <v/>
      </c>
    </row>
    <row r="403" spans="5:19" x14ac:dyDescent="0.25">
      <c r="E403" t="str">
        <f>IFERROR(VLOOKUP(D403,'Team Data'!C:AB,4,FALSE),"")</f>
        <v/>
      </c>
      <c r="F403" t="str">
        <f>IFERROR(VLOOKUP(D403,'Team Data'!C:AB,5,FALSE),"")</f>
        <v/>
      </c>
      <c r="G403" t="str">
        <f>IFERROR(VLOOKUP('OB Format'!D403,'Team Data'!C:AB,17,FALSE),"")</f>
        <v/>
      </c>
      <c r="H403" t="str">
        <f>IFERROR(VLOOKUP(D403,'Team Data'!C:AB,7,FALSE),"")</f>
        <v/>
      </c>
      <c r="I403" t="str">
        <f>IFERROR(VLOOKUP(D403,'Team Data'!C:AB,14,FALSE),"")</f>
        <v/>
      </c>
      <c r="J403" t="str">
        <f>IFERROR(VLOOKUP(D403,'Team Data'!C:AB,8,FALSE),"")</f>
        <v/>
      </c>
      <c r="K403" t="str">
        <f>IFERROR(VLOOKUP(D403,'Team Data'!C:AB,9,FALSE),"")</f>
        <v/>
      </c>
      <c r="L403" t="str">
        <f>IFERROR(VLOOKUP(D403,'Team Data'!C:AB,10,FALSE),"")</f>
        <v/>
      </c>
      <c r="M403" t="str">
        <f t="shared" si="14"/>
        <v/>
      </c>
      <c r="N403" t="str">
        <f>IFERROR(VLOOKUP(D403,'Team Data'!C:AB,23,FALSE),"")</f>
        <v/>
      </c>
      <c r="O403" t="str">
        <f>IFERROR(VLOOKUP(D403,'Team Data'!C:AB,22,FALSE),"")</f>
        <v/>
      </c>
      <c r="P403" t="str">
        <f t="shared" si="15"/>
        <v/>
      </c>
      <c r="Q403" t="str">
        <f>IFERROR(VLOOKUP(D403,'Team Data'!C:AB,15,FALSE),"")</f>
        <v/>
      </c>
      <c r="R403" t="str">
        <f>IFERROR(VLOOKUP('OB Format'!D403,'Team Data'!C:AB,24,FALSE),"")</f>
        <v/>
      </c>
      <c r="S403" t="str">
        <f>IFERROR(VLOOKUP('OB Format'!D403,'Team Data'!C:AC,25,FALSE),"")</f>
        <v/>
      </c>
    </row>
    <row r="404" spans="5:19" x14ac:dyDescent="0.25">
      <c r="E404" t="str">
        <f>IFERROR(VLOOKUP(D404,'Team Data'!C:AB,4,FALSE),"")</f>
        <v/>
      </c>
      <c r="F404" t="str">
        <f>IFERROR(VLOOKUP(D404,'Team Data'!C:AB,5,FALSE),"")</f>
        <v/>
      </c>
      <c r="G404" t="str">
        <f>IFERROR(VLOOKUP('OB Format'!D404,'Team Data'!C:AB,17,FALSE),"")</f>
        <v/>
      </c>
      <c r="H404" t="str">
        <f>IFERROR(VLOOKUP(D404,'Team Data'!C:AB,7,FALSE),"")</f>
        <v/>
      </c>
      <c r="I404" t="str">
        <f>IFERROR(VLOOKUP(D404,'Team Data'!C:AB,14,FALSE),"")</f>
        <v/>
      </c>
      <c r="J404" t="str">
        <f>IFERROR(VLOOKUP(D404,'Team Data'!C:AB,8,FALSE),"")</f>
        <v/>
      </c>
      <c r="K404" t="str">
        <f>IFERROR(VLOOKUP(D404,'Team Data'!C:AB,9,FALSE),"")</f>
        <v/>
      </c>
      <c r="L404" t="str">
        <f>IFERROR(VLOOKUP(D404,'Team Data'!C:AB,10,FALSE),"")</f>
        <v/>
      </c>
      <c r="M404" t="str">
        <f t="shared" si="14"/>
        <v/>
      </c>
      <c r="N404" t="str">
        <f>IFERROR(VLOOKUP(D404,'Team Data'!C:AB,23,FALSE),"")</f>
        <v/>
      </c>
      <c r="O404" t="str">
        <f>IFERROR(VLOOKUP(D404,'Team Data'!C:AB,22,FALSE),"")</f>
        <v/>
      </c>
      <c r="P404" t="str">
        <f t="shared" si="15"/>
        <v/>
      </c>
      <c r="Q404" t="str">
        <f>IFERROR(VLOOKUP(D404,'Team Data'!C:AB,15,FALSE),"")</f>
        <v/>
      </c>
      <c r="R404" t="str">
        <f>IFERROR(VLOOKUP('OB Format'!D404,'Team Data'!C:AB,24,FALSE),"")</f>
        <v/>
      </c>
      <c r="S404" t="str">
        <f>IFERROR(VLOOKUP('OB Format'!D404,'Team Data'!C:AC,25,FALSE),"")</f>
        <v/>
      </c>
    </row>
    <row r="405" spans="5:19" x14ac:dyDescent="0.25">
      <c r="E405" t="str">
        <f>IFERROR(VLOOKUP(D405,'Team Data'!C:AB,4,FALSE),"")</f>
        <v/>
      </c>
      <c r="F405" t="str">
        <f>IFERROR(VLOOKUP(D405,'Team Data'!C:AB,5,FALSE),"")</f>
        <v/>
      </c>
      <c r="G405" t="str">
        <f>IFERROR(VLOOKUP('OB Format'!D405,'Team Data'!C:AB,17,FALSE),"")</f>
        <v/>
      </c>
      <c r="H405" t="str">
        <f>IFERROR(VLOOKUP(D405,'Team Data'!C:AB,7,FALSE),"")</f>
        <v/>
      </c>
      <c r="I405" t="str">
        <f>IFERROR(VLOOKUP(D405,'Team Data'!C:AB,14,FALSE),"")</f>
        <v/>
      </c>
      <c r="J405" t="str">
        <f>IFERROR(VLOOKUP(D405,'Team Data'!C:AB,8,FALSE),"")</f>
        <v/>
      </c>
      <c r="K405" t="str">
        <f>IFERROR(VLOOKUP(D405,'Team Data'!C:AB,9,FALSE),"")</f>
        <v/>
      </c>
      <c r="L405" t="str">
        <f>IFERROR(VLOOKUP(D405,'Team Data'!C:AB,10,FALSE),"")</f>
        <v/>
      </c>
      <c r="M405" t="str">
        <f t="shared" si="14"/>
        <v/>
      </c>
      <c r="N405" t="str">
        <f>IFERROR(VLOOKUP(D405,'Team Data'!C:AB,23,FALSE),"")</f>
        <v/>
      </c>
      <c r="O405" t="str">
        <f>IFERROR(VLOOKUP(D405,'Team Data'!C:AB,22,FALSE),"")</f>
        <v/>
      </c>
      <c r="P405" t="str">
        <f t="shared" si="15"/>
        <v/>
      </c>
      <c r="Q405" t="str">
        <f>IFERROR(VLOOKUP(D405,'Team Data'!C:AB,15,FALSE),"")</f>
        <v/>
      </c>
      <c r="R405" t="str">
        <f>IFERROR(VLOOKUP('OB Format'!D405,'Team Data'!C:AB,24,FALSE),"")</f>
        <v/>
      </c>
      <c r="S405" t="str">
        <f>IFERROR(VLOOKUP('OB Format'!D405,'Team Data'!C:AC,25,FALSE),"")</f>
        <v/>
      </c>
    </row>
    <row r="406" spans="5:19" x14ac:dyDescent="0.25">
      <c r="E406" t="str">
        <f>IFERROR(VLOOKUP(D406,'Team Data'!C:AB,4,FALSE),"")</f>
        <v/>
      </c>
      <c r="F406" t="str">
        <f>IFERROR(VLOOKUP(D406,'Team Data'!C:AB,5,FALSE),"")</f>
        <v/>
      </c>
      <c r="G406" t="str">
        <f>IFERROR(VLOOKUP('OB Format'!D406,'Team Data'!C:AB,17,FALSE),"")</f>
        <v/>
      </c>
      <c r="H406" t="str">
        <f>IFERROR(VLOOKUP(D406,'Team Data'!C:AB,7,FALSE),"")</f>
        <v/>
      </c>
      <c r="I406" t="str">
        <f>IFERROR(VLOOKUP(D406,'Team Data'!C:AB,14,FALSE),"")</f>
        <v/>
      </c>
      <c r="J406" t="str">
        <f>IFERROR(VLOOKUP(D406,'Team Data'!C:AB,8,FALSE),"")</f>
        <v/>
      </c>
      <c r="K406" t="str">
        <f>IFERROR(VLOOKUP(D406,'Team Data'!C:AB,9,FALSE),"")</f>
        <v/>
      </c>
      <c r="L406" t="str">
        <f>IFERROR(VLOOKUP(D406,'Team Data'!C:AB,10,FALSE),"")</f>
        <v/>
      </c>
      <c r="M406" t="str">
        <f t="shared" si="14"/>
        <v/>
      </c>
      <c r="N406" t="str">
        <f>IFERROR(VLOOKUP(D406,'Team Data'!C:AB,23,FALSE),"")</f>
        <v/>
      </c>
      <c r="O406" t="str">
        <f>IFERROR(VLOOKUP(D406,'Team Data'!C:AB,22,FALSE),"")</f>
        <v/>
      </c>
      <c r="P406" t="str">
        <f t="shared" si="15"/>
        <v/>
      </c>
      <c r="Q406" t="str">
        <f>IFERROR(VLOOKUP(D406,'Team Data'!C:AB,15,FALSE),"")</f>
        <v/>
      </c>
      <c r="R406" t="str">
        <f>IFERROR(VLOOKUP('OB Format'!D406,'Team Data'!C:AB,24,FALSE),"")</f>
        <v/>
      </c>
      <c r="S406" t="str">
        <f>IFERROR(VLOOKUP('OB Format'!D406,'Team Data'!C:AC,25,FALSE),"")</f>
        <v/>
      </c>
    </row>
    <row r="407" spans="5:19" x14ac:dyDescent="0.25">
      <c r="E407" t="str">
        <f>IFERROR(VLOOKUP(D407,'Team Data'!C:AB,4,FALSE),"")</f>
        <v/>
      </c>
      <c r="F407" t="str">
        <f>IFERROR(VLOOKUP(D407,'Team Data'!C:AB,5,FALSE),"")</f>
        <v/>
      </c>
      <c r="G407" t="str">
        <f>IFERROR(VLOOKUP('OB Format'!D407,'Team Data'!C:AB,17,FALSE),"")</f>
        <v/>
      </c>
      <c r="H407" t="str">
        <f>IFERROR(VLOOKUP(D407,'Team Data'!C:AB,7,FALSE),"")</f>
        <v/>
      </c>
      <c r="I407" t="str">
        <f>IFERROR(VLOOKUP(D407,'Team Data'!C:AB,14,FALSE),"")</f>
        <v/>
      </c>
      <c r="J407" t="str">
        <f>IFERROR(VLOOKUP(D407,'Team Data'!C:AB,8,FALSE),"")</f>
        <v/>
      </c>
      <c r="K407" t="str">
        <f>IFERROR(VLOOKUP(D407,'Team Data'!C:AB,9,FALSE),"")</f>
        <v/>
      </c>
      <c r="L407" t="str">
        <f>IFERROR(VLOOKUP(D407,'Team Data'!C:AB,10,FALSE),"")</f>
        <v/>
      </c>
      <c r="M407" t="str">
        <f t="shared" si="14"/>
        <v/>
      </c>
      <c r="N407" t="str">
        <f>IFERROR(VLOOKUP(D407,'Team Data'!C:AB,23,FALSE),"")</f>
        <v/>
      </c>
      <c r="O407" t="str">
        <f>IFERROR(VLOOKUP(D407,'Team Data'!C:AB,22,FALSE),"")</f>
        <v/>
      </c>
      <c r="P407" t="str">
        <f t="shared" si="15"/>
        <v/>
      </c>
      <c r="Q407" t="str">
        <f>IFERROR(VLOOKUP(D407,'Team Data'!C:AB,15,FALSE),"")</f>
        <v/>
      </c>
      <c r="R407" t="str">
        <f>IFERROR(VLOOKUP('OB Format'!D407,'Team Data'!C:AB,24,FALSE),"")</f>
        <v/>
      </c>
      <c r="S407" t="str">
        <f>IFERROR(VLOOKUP('OB Format'!D407,'Team Data'!C:AC,25,FALSE),"")</f>
        <v/>
      </c>
    </row>
    <row r="408" spans="5:19" x14ac:dyDescent="0.25">
      <c r="E408" t="str">
        <f>IFERROR(VLOOKUP(D408,'Team Data'!C:AB,4,FALSE),"")</f>
        <v/>
      </c>
      <c r="F408" t="str">
        <f>IFERROR(VLOOKUP(D408,'Team Data'!C:AB,5,FALSE),"")</f>
        <v/>
      </c>
      <c r="G408" t="str">
        <f>IFERROR(VLOOKUP('OB Format'!D408,'Team Data'!C:AB,17,FALSE),"")</f>
        <v/>
      </c>
      <c r="H408" t="str">
        <f>IFERROR(VLOOKUP(D408,'Team Data'!C:AB,7,FALSE),"")</f>
        <v/>
      </c>
      <c r="I408" t="str">
        <f>IFERROR(VLOOKUP(D408,'Team Data'!C:AB,14,FALSE),"")</f>
        <v/>
      </c>
      <c r="J408" t="str">
        <f>IFERROR(VLOOKUP(D408,'Team Data'!C:AB,8,FALSE),"")</f>
        <v/>
      </c>
      <c r="K408" t="str">
        <f>IFERROR(VLOOKUP(D408,'Team Data'!C:AB,9,FALSE),"")</f>
        <v/>
      </c>
      <c r="L408" t="str">
        <f>IFERROR(VLOOKUP(D408,'Team Data'!C:AB,10,FALSE),"")</f>
        <v/>
      </c>
      <c r="M408" t="str">
        <f t="shared" si="14"/>
        <v/>
      </c>
      <c r="N408" t="str">
        <f>IFERROR(VLOOKUP(D408,'Team Data'!C:AB,23,FALSE),"")</f>
        <v/>
      </c>
      <c r="O408" t="str">
        <f>IFERROR(VLOOKUP(D408,'Team Data'!C:AB,22,FALSE),"")</f>
        <v/>
      </c>
      <c r="P408" t="str">
        <f t="shared" si="15"/>
        <v/>
      </c>
      <c r="Q408" t="str">
        <f>IFERROR(VLOOKUP(D408,'Team Data'!C:AB,15,FALSE),"")</f>
        <v/>
      </c>
      <c r="R408" t="str">
        <f>IFERROR(VLOOKUP('OB Format'!D408,'Team Data'!C:AB,24,FALSE),"")</f>
        <v/>
      </c>
      <c r="S408" t="str">
        <f>IFERROR(VLOOKUP('OB Format'!D408,'Team Data'!C:AC,25,FALSE),"")</f>
        <v/>
      </c>
    </row>
    <row r="409" spans="5:19" x14ac:dyDescent="0.25">
      <c r="E409" t="str">
        <f>IFERROR(VLOOKUP(D409,'Team Data'!C:AB,4,FALSE),"")</f>
        <v/>
      </c>
      <c r="F409" t="str">
        <f>IFERROR(VLOOKUP(D409,'Team Data'!C:AB,5,FALSE),"")</f>
        <v/>
      </c>
      <c r="G409" t="str">
        <f>IFERROR(VLOOKUP('OB Format'!D409,'Team Data'!C:AB,17,FALSE),"")</f>
        <v/>
      </c>
      <c r="H409" t="str">
        <f>IFERROR(VLOOKUP(D409,'Team Data'!C:AB,7,FALSE),"")</f>
        <v/>
      </c>
      <c r="I409" t="str">
        <f>IFERROR(VLOOKUP(D409,'Team Data'!C:AB,14,FALSE),"")</f>
        <v/>
      </c>
      <c r="J409" t="str">
        <f>IFERROR(VLOOKUP(D409,'Team Data'!C:AB,8,FALSE),"")</f>
        <v/>
      </c>
      <c r="K409" t="str">
        <f>IFERROR(VLOOKUP(D409,'Team Data'!C:AB,9,FALSE),"")</f>
        <v/>
      </c>
      <c r="L409" t="str">
        <f>IFERROR(VLOOKUP(D409,'Team Data'!C:AB,10,FALSE),"")</f>
        <v/>
      </c>
      <c r="M409" t="str">
        <f t="shared" si="14"/>
        <v/>
      </c>
      <c r="N409" t="str">
        <f>IFERROR(VLOOKUP(D409,'Team Data'!C:AB,23,FALSE),"")</f>
        <v/>
      </c>
      <c r="O409" t="str">
        <f>IFERROR(VLOOKUP(D409,'Team Data'!C:AB,22,FALSE),"")</f>
        <v/>
      </c>
      <c r="P409" t="str">
        <f t="shared" si="15"/>
        <v/>
      </c>
      <c r="Q409" t="str">
        <f>IFERROR(VLOOKUP(D409,'Team Data'!C:AB,15,FALSE),"")</f>
        <v/>
      </c>
      <c r="R409" t="str">
        <f>IFERROR(VLOOKUP('OB Format'!D409,'Team Data'!C:AB,24,FALSE),"")</f>
        <v/>
      </c>
      <c r="S409" t="str">
        <f>IFERROR(VLOOKUP('OB Format'!D409,'Team Data'!C:AC,25,FALSE),"")</f>
        <v/>
      </c>
    </row>
    <row r="410" spans="5:19" x14ac:dyDescent="0.25">
      <c r="E410" t="str">
        <f>IFERROR(VLOOKUP(D410,'Team Data'!C:AB,4,FALSE),"")</f>
        <v/>
      </c>
      <c r="F410" t="str">
        <f>IFERROR(VLOOKUP(D410,'Team Data'!C:AB,5,FALSE),"")</f>
        <v/>
      </c>
      <c r="G410" t="str">
        <f>IFERROR(VLOOKUP('OB Format'!D410,'Team Data'!C:AB,17,FALSE),"")</f>
        <v/>
      </c>
      <c r="H410" t="str">
        <f>IFERROR(VLOOKUP(D410,'Team Data'!C:AB,7,FALSE),"")</f>
        <v/>
      </c>
      <c r="I410" t="str">
        <f>IFERROR(VLOOKUP(D410,'Team Data'!C:AB,14,FALSE),"")</f>
        <v/>
      </c>
      <c r="J410" t="str">
        <f>IFERROR(VLOOKUP(D410,'Team Data'!C:AB,8,FALSE),"")</f>
        <v/>
      </c>
      <c r="K410" t="str">
        <f>IFERROR(VLOOKUP(D410,'Team Data'!C:AB,9,FALSE),"")</f>
        <v/>
      </c>
      <c r="L410" t="str">
        <f>IFERROR(VLOOKUP(D410,'Team Data'!C:AB,10,FALSE),"")</f>
        <v/>
      </c>
      <c r="M410" t="str">
        <f t="shared" si="14"/>
        <v/>
      </c>
      <c r="N410" t="str">
        <f>IFERROR(VLOOKUP(D410,'Team Data'!C:AB,23,FALSE),"")</f>
        <v/>
      </c>
      <c r="O410" t="str">
        <f>IFERROR(VLOOKUP(D410,'Team Data'!C:AB,22,FALSE),"")</f>
        <v/>
      </c>
      <c r="P410" t="str">
        <f t="shared" si="15"/>
        <v/>
      </c>
      <c r="Q410" t="str">
        <f>IFERROR(VLOOKUP(D410,'Team Data'!C:AB,15,FALSE),"")</f>
        <v/>
      </c>
      <c r="R410" t="str">
        <f>IFERROR(VLOOKUP('OB Format'!D410,'Team Data'!C:AB,24,FALSE),"")</f>
        <v/>
      </c>
      <c r="S410" t="str">
        <f>IFERROR(VLOOKUP('OB Format'!D410,'Team Data'!C:AC,25,FALSE),"")</f>
        <v/>
      </c>
    </row>
    <row r="411" spans="5:19" x14ac:dyDescent="0.25">
      <c r="E411" t="str">
        <f>IFERROR(VLOOKUP(D411,'Team Data'!C:AB,4,FALSE),"")</f>
        <v/>
      </c>
      <c r="F411" t="str">
        <f>IFERROR(VLOOKUP(D411,'Team Data'!C:AB,5,FALSE),"")</f>
        <v/>
      </c>
      <c r="G411" t="str">
        <f>IFERROR(VLOOKUP('OB Format'!D411,'Team Data'!C:AB,17,FALSE),"")</f>
        <v/>
      </c>
      <c r="H411" t="str">
        <f>IFERROR(VLOOKUP(D411,'Team Data'!C:AB,7,FALSE),"")</f>
        <v/>
      </c>
      <c r="I411" t="str">
        <f>IFERROR(VLOOKUP(D411,'Team Data'!C:AB,14,FALSE),"")</f>
        <v/>
      </c>
      <c r="J411" t="str">
        <f>IFERROR(VLOOKUP(D411,'Team Data'!C:AB,8,FALSE),"")</f>
        <v/>
      </c>
      <c r="K411" t="str">
        <f>IFERROR(VLOOKUP(D411,'Team Data'!C:AB,9,FALSE),"")</f>
        <v/>
      </c>
      <c r="L411" t="str">
        <f>IFERROR(VLOOKUP(D411,'Team Data'!C:AB,10,FALSE),"")</f>
        <v/>
      </c>
      <c r="M411" t="str">
        <f t="shared" si="14"/>
        <v/>
      </c>
      <c r="N411" t="str">
        <f>IFERROR(VLOOKUP(D411,'Team Data'!C:AB,23,FALSE),"")</f>
        <v/>
      </c>
      <c r="O411" t="str">
        <f>IFERROR(VLOOKUP(D411,'Team Data'!C:AB,22,FALSE),"")</f>
        <v/>
      </c>
      <c r="P411" t="str">
        <f t="shared" si="15"/>
        <v/>
      </c>
      <c r="Q411" t="str">
        <f>IFERROR(VLOOKUP(D411,'Team Data'!C:AB,15,FALSE),"")</f>
        <v/>
      </c>
      <c r="R411" t="str">
        <f>IFERROR(VLOOKUP('OB Format'!D411,'Team Data'!C:AB,24,FALSE),"")</f>
        <v/>
      </c>
      <c r="S411" t="str">
        <f>IFERROR(VLOOKUP('OB Format'!D411,'Team Data'!C:AC,25,FALSE),"")</f>
        <v/>
      </c>
    </row>
    <row r="412" spans="5:19" x14ac:dyDescent="0.25">
      <c r="E412" t="str">
        <f>IFERROR(VLOOKUP(D412,'Team Data'!C:AB,4,FALSE),"")</f>
        <v/>
      </c>
      <c r="F412" t="str">
        <f>IFERROR(VLOOKUP(D412,'Team Data'!C:AB,5,FALSE),"")</f>
        <v/>
      </c>
      <c r="G412" t="str">
        <f>IFERROR(VLOOKUP('OB Format'!D412,'Team Data'!C:AB,17,FALSE),"")</f>
        <v/>
      </c>
      <c r="H412" t="str">
        <f>IFERROR(VLOOKUP(D412,'Team Data'!C:AB,7,FALSE),"")</f>
        <v/>
      </c>
      <c r="I412" t="str">
        <f>IFERROR(VLOOKUP(D412,'Team Data'!C:AB,14,FALSE),"")</f>
        <v/>
      </c>
      <c r="J412" t="str">
        <f>IFERROR(VLOOKUP(D412,'Team Data'!C:AB,8,FALSE),"")</f>
        <v/>
      </c>
      <c r="K412" t="str">
        <f>IFERROR(VLOOKUP(D412,'Team Data'!C:AB,9,FALSE),"")</f>
        <v/>
      </c>
      <c r="L412" t="str">
        <f>IFERROR(VLOOKUP(D412,'Team Data'!C:AB,10,FALSE),"")</f>
        <v/>
      </c>
      <c r="M412" t="str">
        <f t="shared" si="14"/>
        <v/>
      </c>
      <c r="N412" t="str">
        <f>IFERROR(VLOOKUP(D412,'Team Data'!C:AB,23,FALSE),"")</f>
        <v/>
      </c>
      <c r="O412" t="str">
        <f>IFERROR(VLOOKUP(D412,'Team Data'!C:AB,22,FALSE),"")</f>
        <v/>
      </c>
      <c r="P412" t="str">
        <f t="shared" si="15"/>
        <v/>
      </c>
      <c r="Q412" t="str">
        <f>IFERROR(VLOOKUP(D412,'Team Data'!C:AB,15,FALSE),"")</f>
        <v/>
      </c>
      <c r="R412" t="str">
        <f>IFERROR(VLOOKUP('OB Format'!D412,'Team Data'!C:AB,24,FALSE),"")</f>
        <v/>
      </c>
      <c r="S412" t="str">
        <f>IFERROR(VLOOKUP('OB Format'!D412,'Team Data'!C:AC,25,FALSE),"")</f>
        <v/>
      </c>
    </row>
    <row r="413" spans="5:19" x14ac:dyDescent="0.25">
      <c r="E413" t="str">
        <f>IFERROR(VLOOKUP(D413,'Team Data'!C:AB,4,FALSE),"")</f>
        <v/>
      </c>
      <c r="F413" t="str">
        <f>IFERROR(VLOOKUP(D413,'Team Data'!C:AB,5,FALSE),"")</f>
        <v/>
      </c>
      <c r="G413" t="str">
        <f>IFERROR(VLOOKUP('OB Format'!D413,'Team Data'!C:AB,17,FALSE),"")</f>
        <v/>
      </c>
      <c r="H413" t="str">
        <f>IFERROR(VLOOKUP(D413,'Team Data'!C:AB,7,FALSE),"")</f>
        <v/>
      </c>
      <c r="I413" t="str">
        <f>IFERROR(VLOOKUP(D413,'Team Data'!C:AB,14,FALSE),"")</f>
        <v/>
      </c>
      <c r="J413" t="str">
        <f>IFERROR(VLOOKUP(D413,'Team Data'!C:AB,8,FALSE),"")</f>
        <v/>
      </c>
      <c r="K413" t="str">
        <f>IFERROR(VLOOKUP(D413,'Team Data'!C:AB,9,FALSE),"")</f>
        <v/>
      </c>
      <c r="L413" t="str">
        <f>IFERROR(VLOOKUP(D413,'Team Data'!C:AB,10,FALSE),"")</f>
        <v/>
      </c>
      <c r="M413" t="str">
        <f t="shared" si="14"/>
        <v/>
      </c>
      <c r="N413" t="str">
        <f>IFERROR(VLOOKUP(D413,'Team Data'!C:AB,23,FALSE),"")</f>
        <v/>
      </c>
      <c r="O413" t="str">
        <f>IFERROR(VLOOKUP(D413,'Team Data'!C:AB,22,FALSE),"")</f>
        <v/>
      </c>
      <c r="P413" t="str">
        <f t="shared" si="15"/>
        <v/>
      </c>
      <c r="Q413" t="str">
        <f>IFERROR(VLOOKUP(D413,'Team Data'!C:AB,15,FALSE),"")</f>
        <v/>
      </c>
      <c r="R413" t="str">
        <f>IFERROR(VLOOKUP('OB Format'!D413,'Team Data'!C:AB,24,FALSE),"")</f>
        <v/>
      </c>
      <c r="S413" t="str">
        <f>IFERROR(VLOOKUP('OB Format'!D413,'Team Data'!C:AC,25,FALSE),"")</f>
        <v/>
      </c>
    </row>
    <row r="414" spans="5:19" x14ac:dyDescent="0.25">
      <c r="E414" t="str">
        <f>IFERROR(VLOOKUP(D414,'Team Data'!C:AB,4,FALSE),"")</f>
        <v/>
      </c>
      <c r="F414" t="str">
        <f>IFERROR(VLOOKUP(D414,'Team Data'!C:AB,5,FALSE),"")</f>
        <v/>
      </c>
      <c r="G414" t="str">
        <f>IFERROR(VLOOKUP('OB Format'!D414,'Team Data'!C:AB,17,FALSE),"")</f>
        <v/>
      </c>
      <c r="H414" t="str">
        <f>IFERROR(VLOOKUP(D414,'Team Data'!C:AB,7,FALSE),"")</f>
        <v/>
      </c>
      <c r="I414" t="str">
        <f>IFERROR(VLOOKUP(D414,'Team Data'!C:AB,14,FALSE),"")</f>
        <v/>
      </c>
      <c r="J414" t="str">
        <f>IFERROR(VLOOKUP(D414,'Team Data'!C:AB,8,FALSE),"")</f>
        <v/>
      </c>
      <c r="K414" t="str">
        <f>IFERROR(VLOOKUP(D414,'Team Data'!C:AB,9,FALSE),"")</f>
        <v/>
      </c>
      <c r="L414" t="str">
        <f>IFERROR(VLOOKUP(D414,'Team Data'!C:AB,10,FALSE),"")</f>
        <v/>
      </c>
      <c r="M414" t="str">
        <f t="shared" si="14"/>
        <v/>
      </c>
      <c r="N414" t="str">
        <f>IFERROR(VLOOKUP(D414,'Team Data'!C:AB,23,FALSE),"")</f>
        <v/>
      </c>
      <c r="O414" t="str">
        <f>IFERROR(VLOOKUP(D414,'Team Data'!C:AB,22,FALSE),"")</f>
        <v/>
      </c>
      <c r="P414" t="str">
        <f t="shared" si="15"/>
        <v/>
      </c>
      <c r="Q414" t="str">
        <f>IFERROR(VLOOKUP(D414,'Team Data'!C:AB,15,FALSE),"")</f>
        <v/>
      </c>
      <c r="R414" t="str">
        <f>IFERROR(VLOOKUP('OB Format'!D414,'Team Data'!C:AB,24,FALSE),"")</f>
        <v/>
      </c>
      <c r="S414" t="str">
        <f>IFERROR(VLOOKUP('OB Format'!D414,'Team Data'!C:AC,25,FALSE),"")</f>
        <v/>
      </c>
    </row>
    <row r="415" spans="5:19" x14ac:dyDescent="0.25">
      <c r="E415" t="str">
        <f>IFERROR(VLOOKUP(D415,'Team Data'!C:AB,4,FALSE),"")</f>
        <v/>
      </c>
      <c r="F415" t="str">
        <f>IFERROR(VLOOKUP(D415,'Team Data'!C:AB,5,FALSE),"")</f>
        <v/>
      </c>
      <c r="G415" t="str">
        <f>IFERROR(VLOOKUP('OB Format'!D415,'Team Data'!C:AB,17,FALSE),"")</f>
        <v/>
      </c>
      <c r="H415" t="str">
        <f>IFERROR(VLOOKUP(D415,'Team Data'!C:AB,7,FALSE),"")</f>
        <v/>
      </c>
      <c r="I415" t="str">
        <f>IFERROR(VLOOKUP(D415,'Team Data'!C:AB,14,FALSE),"")</f>
        <v/>
      </c>
      <c r="J415" t="str">
        <f>IFERROR(VLOOKUP(D415,'Team Data'!C:AB,8,FALSE),"")</f>
        <v/>
      </c>
      <c r="K415" t="str">
        <f>IFERROR(VLOOKUP(D415,'Team Data'!C:AB,9,FALSE),"")</f>
        <v/>
      </c>
      <c r="L415" t="str">
        <f>IFERROR(VLOOKUP(D415,'Team Data'!C:AB,10,FALSE),"")</f>
        <v/>
      </c>
      <c r="M415" t="str">
        <f t="shared" si="14"/>
        <v/>
      </c>
      <c r="N415" t="str">
        <f>IFERROR(VLOOKUP(D415,'Team Data'!C:AB,23,FALSE),"")</f>
        <v/>
      </c>
      <c r="O415" t="str">
        <f>IFERROR(VLOOKUP(D415,'Team Data'!C:AB,22,FALSE),"")</f>
        <v/>
      </c>
      <c r="P415" t="str">
        <f t="shared" si="15"/>
        <v/>
      </c>
      <c r="Q415" t="str">
        <f>IFERROR(VLOOKUP(D415,'Team Data'!C:AB,15,FALSE),"")</f>
        <v/>
      </c>
      <c r="R415" t="str">
        <f>IFERROR(VLOOKUP('OB Format'!D415,'Team Data'!C:AB,24,FALSE),"")</f>
        <v/>
      </c>
      <c r="S415" t="str">
        <f>IFERROR(VLOOKUP('OB Format'!D415,'Team Data'!C:AC,25,FALSE),"")</f>
        <v/>
      </c>
    </row>
    <row r="416" spans="5:19" x14ac:dyDescent="0.25">
      <c r="E416" t="str">
        <f>IFERROR(VLOOKUP(D416,'Team Data'!C:AB,4,FALSE),"")</f>
        <v/>
      </c>
      <c r="F416" t="str">
        <f>IFERROR(VLOOKUP(D416,'Team Data'!C:AB,5,FALSE),"")</f>
        <v/>
      </c>
      <c r="G416" t="str">
        <f>IFERROR(VLOOKUP('OB Format'!D416,'Team Data'!C:AB,17,FALSE),"")</f>
        <v/>
      </c>
      <c r="H416" t="str">
        <f>IFERROR(VLOOKUP(D416,'Team Data'!C:AB,7,FALSE),"")</f>
        <v/>
      </c>
      <c r="I416" t="str">
        <f>IFERROR(VLOOKUP(D416,'Team Data'!C:AB,14,FALSE),"")</f>
        <v/>
      </c>
      <c r="J416" t="str">
        <f>IFERROR(VLOOKUP(D416,'Team Data'!C:AB,8,FALSE),"")</f>
        <v/>
      </c>
      <c r="K416" t="str">
        <f>IFERROR(VLOOKUP(D416,'Team Data'!C:AB,9,FALSE),"")</f>
        <v/>
      </c>
      <c r="L416" t="str">
        <f>IFERROR(VLOOKUP(D416,'Team Data'!C:AB,10,FALSE),"")</f>
        <v/>
      </c>
      <c r="M416" t="str">
        <f t="shared" si="14"/>
        <v/>
      </c>
      <c r="N416" t="str">
        <f>IFERROR(VLOOKUP(D416,'Team Data'!C:AB,23,FALSE),"")</f>
        <v/>
      </c>
      <c r="O416" t="str">
        <f>IFERROR(VLOOKUP(D416,'Team Data'!C:AB,22,FALSE),"")</f>
        <v/>
      </c>
      <c r="P416" t="str">
        <f t="shared" si="15"/>
        <v/>
      </c>
      <c r="Q416" t="str">
        <f>IFERROR(VLOOKUP(D416,'Team Data'!C:AB,15,FALSE),"")</f>
        <v/>
      </c>
      <c r="R416" t="str">
        <f>IFERROR(VLOOKUP('OB Format'!D416,'Team Data'!C:AB,24,FALSE),"")</f>
        <v/>
      </c>
      <c r="S416" t="str">
        <f>IFERROR(VLOOKUP('OB Format'!D416,'Team Data'!C:AC,25,FALSE),"")</f>
        <v/>
      </c>
    </row>
    <row r="417" spans="5:19" x14ac:dyDescent="0.25">
      <c r="E417" t="str">
        <f>IFERROR(VLOOKUP(D417,'Team Data'!C:AB,4,FALSE),"")</f>
        <v/>
      </c>
      <c r="F417" t="str">
        <f>IFERROR(VLOOKUP(D417,'Team Data'!C:AB,5,FALSE),"")</f>
        <v/>
      </c>
      <c r="G417" t="str">
        <f>IFERROR(VLOOKUP('OB Format'!D417,'Team Data'!C:AB,17,FALSE),"")</f>
        <v/>
      </c>
      <c r="H417" t="str">
        <f>IFERROR(VLOOKUP(D417,'Team Data'!C:AB,7,FALSE),"")</f>
        <v/>
      </c>
      <c r="I417" t="str">
        <f>IFERROR(VLOOKUP(D417,'Team Data'!C:AB,14,FALSE),"")</f>
        <v/>
      </c>
      <c r="J417" t="str">
        <f>IFERROR(VLOOKUP(D417,'Team Data'!C:AB,8,FALSE),"")</f>
        <v/>
      </c>
      <c r="K417" t="str">
        <f>IFERROR(VLOOKUP(D417,'Team Data'!C:AB,9,FALSE),"")</f>
        <v/>
      </c>
      <c r="L417" t="str">
        <f>IFERROR(VLOOKUP(D417,'Team Data'!C:AB,10,FALSE),"")</f>
        <v/>
      </c>
      <c r="M417" t="str">
        <f t="shared" si="14"/>
        <v/>
      </c>
      <c r="N417" t="str">
        <f>IFERROR(VLOOKUP(D417,'Team Data'!C:AB,23,FALSE),"")</f>
        <v/>
      </c>
      <c r="O417" t="str">
        <f>IFERROR(VLOOKUP(D417,'Team Data'!C:AB,22,FALSE),"")</f>
        <v/>
      </c>
      <c r="P417" t="str">
        <f t="shared" si="15"/>
        <v/>
      </c>
      <c r="Q417" t="str">
        <f>IFERROR(VLOOKUP(D417,'Team Data'!C:AB,15,FALSE),"")</f>
        <v/>
      </c>
      <c r="R417" t="str">
        <f>IFERROR(VLOOKUP('OB Format'!D417,'Team Data'!C:AB,24,FALSE),"")</f>
        <v/>
      </c>
      <c r="S417" t="str">
        <f>IFERROR(VLOOKUP('OB Format'!D417,'Team Data'!C:AC,25,FALSE),"")</f>
        <v/>
      </c>
    </row>
    <row r="418" spans="5:19" x14ac:dyDescent="0.25">
      <c r="E418" t="str">
        <f>IFERROR(VLOOKUP(D418,'Team Data'!C:AB,4,FALSE),"")</f>
        <v/>
      </c>
      <c r="F418" t="str">
        <f>IFERROR(VLOOKUP(D418,'Team Data'!C:AB,5,FALSE),"")</f>
        <v/>
      </c>
      <c r="G418" t="str">
        <f>IFERROR(VLOOKUP('OB Format'!D418,'Team Data'!C:AB,17,FALSE),"")</f>
        <v/>
      </c>
      <c r="H418" t="str">
        <f>IFERROR(VLOOKUP(D418,'Team Data'!C:AB,7,FALSE),"")</f>
        <v/>
      </c>
      <c r="I418" t="str">
        <f>IFERROR(VLOOKUP(D418,'Team Data'!C:AB,14,FALSE),"")</f>
        <v/>
      </c>
      <c r="J418" t="str">
        <f>IFERROR(VLOOKUP(D418,'Team Data'!C:AB,8,FALSE),"")</f>
        <v/>
      </c>
      <c r="K418" t="str">
        <f>IFERROR(VLOOKUP(D418,'Team Data'!C:AB,9,FALSE),"")</f>
        <v/>
      </c>
      <c r="L418" t="str">
        <f>IFERROR(VLOOKUP(D418,'Team Data'!C:AB,10,FALSE),"")</f>
        <v/>
      </c>
      <c r="M418" t="str">
        <f t="shared" si="14"/>
        <v/>
      </c>
      <c r="N418" t="str">
        <f>IFERROR(VLOOKUP(D418,'Team Data'!C:AB,23,FALSE),"")</f>
        <v/>
      </c>
      <c r="O418" t="str">
        <f>IFERROR(VLOOKUP(D418,'Team Data'!C:AB,22,FALSE),"")</f>
        <v/>
      </c>
      <c r="P418" t="str">
        <f t="shared" si="15"/>
        <v/>
      </c>
      <c r="Q418" t="str">
        <f>IFERROR(VLOOKUP(D418,'Team Data'!C:AB,15,FALSE),"")</f>
        <v/>
      </c>
      <c r="R418" t="str">
        <f>IFERROR(VLOOKUP('OB Format'!D418,'Team Data'!C:AB,24,FALSE),"")</f>
        <v/>
      </c>
      <c r="S418" t="str">
        <f>IFERROR(VLOOKUP('OB Format'!D418,'Team Data'!C:AC,25,FALSE),"")</f>
        <v/>
      </c>
    </row>
    <row r="419" spans="5:19" x14ac:dyDescent="0.25">
      <c r="E419" t="str">
        <f>IFERROR(VLOOKUP(D419,'Team Data'!C:AB,4,FALSE),"")</f>
        <v/>
      </c>
      <c r="F419" t="str">
        <f>IFERROR(VLOOKUP(D419,'Team Data'!C:AB,5,FALSE),"")</f>
        <v/>
      </c>
      <c r="G419" t="str">
        <f>IFERROR(VLOOKUP('OB Format'!D419,'Team Data'!C:AB,17,FALSE),"")</f>
        <v/>
      </c>
      <c r="H419" t="str">
        <f>IFERROR(VLOOKUP(D419,'Team Data'!C:AB,7,FALSE),"")</f>
        <v/>
      </c>
      <c r="I419" t="str">
        <f>IFERROR(VLOOKUP(D419,'Team Data'!C:AB,14,FALSE),"")</f>
        <v/>
      </c>
      <c r="J419" t="str">
        <f>IFERROR(VLOOKUP(D419,'Team Data'!C:AB,8,FALSE),"")</f>
        <v/>
      </c>
      <c r="K419" t="str">
        <f>IFERROR(VLOOKUP(D419,'Team Data'!C:AB,9,FALSE),"")</f>
        <v/>
      </c>
      <c r="L419" t="str">
        <f>IFERROR(VLOOKUP(D419,'Team Data'!C:AB,10,FALSE),"")</f>
        <v/>
      </c>
      <c r="M419" t="str">
        <f t="shared" si="14"/>
        <v/>
      </c>
      <c r="N419" t="str">
        <f>IFERROR(VLOOKUP(D419,'Team Data'!C:AB,23,FALSE),"")</f>
        <v/>
      </c>
      <c r="O419" t="str">
        <f>IFERROR(VLOOKUP(D419,'Team Data'!C:AB,22,FALSE),"")</f>
        <v/>
      </c>
      <c r="P419" t="str">
        <f t="shared" si="15"/>
        <v/>
      </c>
      <c r="Q419" t="str">
        <f>IFERROR(VLOOKUP(D419,'Team Data'!C:AB,15,FALSE),"")</f>
        <v/>
      </c>
      <c r="R419" t="str">
        <f>IFERROR(VLOOKUP('OB Format'!D419,'Team Data'!C:AB,24,FALSE),"")</f>
        <v/>
      </c>
      <c r="S419" t="str">
        <f>IFERROR(VLOOKUP('OB Format'!D419,'Team Data'!C:AC,25,FALSE),"")</f>
        <v/>
      </c>
    </row>
    <row r="420" spans="5:19" x14ac:dyDescent="0.25">
      <c r="E420" t="str">
        <f>IFERROR(VLOOKUP(D420,'Team Data'!C:AB,4,FALSE),"")</f>
        <v/>
      </c>
      <c r="F420" t="str">
        <f>IFERROR(VLOOKUP(D420,'Team Data'!C:AB,5,FALSE),"")</f>
        <v/>
      </c>
      <c r="G420" t="str">
        <f>IFERROR(VLOOKUP('OB Format'!D420,'Team Data'!C:AB,17,FALSE),"")</f>
        <v/>
      </c>
      <c r="H420" t="str">
        <f>IFERROR(VLOOKUP(D420,'Team Data'!C:AB,7,FALSE),"")</f>
        <v/>
      </c>
      <c r="I420" t="str">
        <f>IFERROR(VLOOKUP(D420,'Team Data'!C:AB,14,FALSE),"")</f>
        <v/>
      </c>
      <c r="J420" t="str">
        <f>IFERROR(VLOOKUP(D420,'Team Data'!C:AB,8,FALSE),"")</f>
        <v/>
      </c>
      <c r="K420" t="str">
        <f>IFERROR(VLOOKUP(D420,'Team Data'!C:AB,9,FALSE),"")</f>
        <v/>
      </c>
      <c r="L420" t="str">
        <f>IFERROR(VLOOKUP(D420,'Team Data'!C:AB,10,FALSE),"")</f>
        <v/>
      </c>
      <c r="M420" t="str">
        <f t="shared" si="14"/>
        <v/>
      </c>
      <c r="N420" t="str">
        <f>IFERROR(VLOOKUP(D420,'Team Data'!C:AB,23,FALSE),"")</f>
        <v/>
      </c>
      <c r="O420" t="str">
        <f>IFERROR(VLOOKUP(D420,'Team Data'!C:AB,22,FALSE),"")</f>
        <v/>
      </c>
      <c r="P420" t="str">
        <f t="shared" si="15"/>
        <v/>
      </c>
      <c r="Q420" t="str">
        <f>IFERROR(VLOOKUP(D420,'Team Data'!C:AB,15,FALSE),"")</f>
        <v/>
      </c>
      <c r="R420" t="str">
        <f>IFERROR(VLOOKUP('OB Format'!D420,'Team Data'!C:AB,24,FALSE),"")</f>
        <v/>
      </c>
      <c r="S420" t="str">
        <f>IFERROR(VLOOKUP('OB Format'!D420,'Team Data'!C:AC,25,FALSE),"")</f>
        <v/>
      </c>
    </row>
    <row r="421" spans="5:19" x14ac:dyDescent="0.25">
      <c r="E421" t="str">
        <f>IFERROR(VLOOKUP(D421,'Team Data'!C:AB,4,FALSE),"")</f>
        <v/>
      </c>
      <c r="F421" t="str">
        <f>IFERROR(VLOOKUP(D421,'Team Data'!C:AB,5,FALSE),"")</f>
        <v/>
      </c>
      <c r="G421" t="str">
        <f>IFERROR(VLOOKUP('OB Format'!D421,'Team Data'!C:AB,17,FALSE),"")</f>
        <v/>
      </c>
      <c r="H421" t="str">
        <f>IFERROR(VLOOKUP(D421,'Team Data'!C:AB,7,FALSE),"")</f>
        <v/>
      </c>
      <c r="I421" t="str">
        <f>IFERROR(VLOOKUP(D421,'Team Data'!C:AB,14,FALSE),"")</f>
        <v/>
      </c>
      <c r="J421" t="str">
        <f>IFERROR(VLOOKUP(D421,'Team Data'!C:AB,8,FALSE),"")</f>
        <v/>
      </c>
      <c r="K421" t="str">
        <f>IFERROR(VLOOKUP(D421,'Team Data'!C:AB,9,FALSE),"")</f>
        <v/>
      </c>
      <c r="L421" t="str">
        <f>IFERROR(VLOOKUP(D421,'Team Data'!C:AB,10,FALSE),"")</f>
        <v/>
      </c>
      <c r="M421" t="str">
        <f t="shared" si="14"/>
        <v/>
      </c>
      <c r="N421" t="str">
        <f>IFERROR(VLOOKUP(D421,'Team Data'!C:AB,23,FALSE),"")</f>
        <v/>
      </c>
      <c r="O421" t="str">
        <f>IFERROR(VLOOKUP(D421,'Team Data'!C:AB,22,FALSE),"")</f>
        <v/>
      </c>
      <c r="P421" t="str">
        <f t="shared" si="15"/>
        <v/>
      </c>
      <c r="Q421" t="str">
        <f>IFERROR(VLOOKUP(D421,'Team Data'!C:AB,15,FALSE),"")</f>
        <v/>
      </c>
      <c r="R421" t="str">
        <f>IFERROR(VLOOKUP('OB Format'!D421,'Team Data'!C:AB,24,FALSE),"")</f>
        <v/>
      </c>
      <c r="S421" t="str">
        <f>IFERROR(VLOOKUP('OB Format'!D421,'Team Data'!C:AC,25,FALSE),"")</f>
        <v/>
      </c>
    </row>
    <row r="422" spans="5:19" x14ac:dyDescent="0.25">
      <c r="E422" t="str">
        <f>IFERROR(VLOOKUP(D422,'Team Data'!C:AB,4,FALSE),"")</f>
        <v/>
      </c>
      <c r="F422" t="str">
        <f>IFERROR(VLOOKUP(D422,'Team Data'!C:AB,5,FALSE),"")</f>
        <v/>
      </c>
      <c r="G422" t="str">
        <f>IFERROR(VLOOKUP('OB Format'!D422,'Team Data'!C:AB,17,FALSE),"")</f>
        <v/>
      </c>
      <c r="H422" t="str">
        <f>IFERROR(VLOOKUP(D422,'Team Data'!C:AB,7,FALSE),"")</f>
        <v/>
      </c>
      <c r="I422" t="str">
        <f>IFERROR(VLOOKUP(D422,'Team Data'!C:AB,14,FALSE),"")</f>
        <v/>
      </c>
      <c r="J422" t="str">
        <f>IFERROR(VLOOKUP(D422,'Team Data'!C:AB,8,FALSE),"")</f>
        <v/>
      </c>
      <c r="K422" t="str">
        <f>IFERROR(VLOOKUP(D422,'Team Data'!C:AB,9,FALSE),"")</f>
        <v/>
      </c>
      <c r="L422" t="str">
        <f>IFERROR(VLOOKUP(D422,'Team Data'!C:AB,10,FALSE),"")</f>
        <v/>
      </c>
      <c r="M422" t="str">
        <f t="shared" si="14"/>
        <v/>
      </c>
      <c r="N422" t="str">
        <f>IFERROR(VLOOKUP(D422,'Team Data'!C:AB,23,FALSE),"")</f>
        <v/>
      </c>
      <c r="O422" t="str">
        <f>IFERROR(VLOOKUP(D422,'Team Data'!C:AB,22,FALSE),"")</f>
        <v/>
      </c>
      <c r="P422" t="str">
        <f t="shared" si="15"/>
        <v/>
      </c>
      <c r="Q422" t="str">
        <f>IFERROR(VLOOKUP(D422,'Team Data'!C:AB,15,FALSE),"")</f>
        <v/>
      </c>
      <c r="R422" t="str">
        <f>IFERROR(VLOOKUP('OB Format'!D422,'Team Data'!C:AB,24,FALSE),"")</f>
        <v/>
      </c>
      <c r="S422" t="str">
        <f>IFERROR(VLOOKUP('OB Format'!D422,'Team Data'!C:AC,25,FALSE),"")</f>
        <v/>
      </c>
    </row>
    <row r="423" spans="5:19" x14ac:dyDescent="0.25">
      <c r="E423" t="str">
        <f>IFERROR(VLOOKUP(D423,'Team Data'!C:AB,4,FALSE),"")</f>
        <v/>
      </c>
      <c r="F423" t="str">
        <f>IFERROR(VLOOKUP(D423,'Team Data'!C:AB,5,FALSE),"")</f>
        <v/>
      </c>
      <c r="G423" t="str">
        <f>IFERROR(VLOOKUP('OB Format'!D423,'Team Data'!C:AB,17,FALSE),"")</f>
        <v/>
      </c>
      <c r="H423" t="str">
        <f>IFERROR(VLOOKUP(D423,'Team Data'!C:AB,7,FALSE),"")</f>
        <v/>
      </c>
      <c r="I423" t="str">
        <f>IFERROR(VLOOKUP(D423,'Team Data'!C:AB,14,FALSE),"")</f>
        <v/>
      </c>
      <c r="J423" t="str">
        <f>IFERROR(VLOOKUP(D423,'Team Data'!C:AB,8,FALSE),"")</f>
        <v/>
      </c>
      <c r="K423" t="str">
        <f>IFERROR(VLOOKUP(D423,'Team Data'!C:AB,9,FALSE),"")</f>
        <v/>
      </c>
      <c r="L423" t="str">
        <f>IFERROR(VLOOKUP(D423,'Team Data'!C:AB,10,FALSE),"")</f>
        <v/>
      </c>
      <c r="M423" t="str">
        <f t="shared" si="14"/>
        <v/>
      </c>
      <c r="N423" t="str">
        <f>IFERROR(VLOOKUP(D423,'Team Data'!C:AB,23,FALSE),"")</f>
        <v/>
      </c>
      <c r="O423" t="str">
        <f>IFERROR(VLOOKUP(D423,'Team Data'!C:AB,22,FALSE),"")</f>
        <v/>
      </c>
      <c r="P423" t="str">
        <f t="shared" si="15"/>
        <v/>
      </c>
      <c r="Q423" t="str">
        <f>IFERROR(VLOOKUP(D423,'Team Data'!C:AB,15,FALSE),"")</f>
        <v/>
      </c>
      <c r="R423" t="str">
        <f>IFERROR(VLOOKUP('OB Format'!D423,'Team Data'!C:AB,24,FALSE),"")</f>
        <v/>
      </c>
      <c r="S423" t="str">
        <f>IFERROR(VLOOKUP('OB Format'!D423,'Team Data'!C:AC,25,FALSE),"")</f>
        <v/>
      </c>
    </row>
    <row r="424" spans="5:19" x14ac:dyDescent="0.25">
      <c r="E424" t="str">
        <f>IFERROR(VLOOKUP(D424,'Team Data'!C:AB,4,FALSE),"")</f>
        <v/>
      </c>
      <c r="F424" t="str">
        <f>IFERROR(VLOOKUP(D424,'Team Data'!C:AB,5,FALSE),"")</f>
        <v/>
      </c>
      <c r="G424" t="str">
        <f>IFERROR(VLOOKUP('OB Format'!D424,'Team Data'!C:AB,17,FALSE),"")</f>
        <v/>
      </c>
      <c r="H424" t="str">
        <f>IFERROR(VLOOKUP(D424,'Team Data'!C:AB,7,FALSE),"")</f>
        <v/>
      </c>
      <c r="I424" t="str">
        <f>IFERROR(VLOOKUP(D424,'Team Data'!C:AB,14,FALSE),"")</f>
        <v/>
      </c>
      <c r="J424" t="str">
        <f>IFERROR(VLOOKUP(D424,'Team Data'!C:AB,8,FALSE),"")</f>
        <v/>
      </c>
      <c r="K424" t="str">
        <f>IFERROR(VLOOKUP(D424,'Team Data'!C:AB,9,FALSE),"")</f>
        <v/>
      </c>
      <c r="L424" t="str">
        <f>IFERROR(VLOOKUP(D424,'Team Data'!C:AB,10,FALSE),"")</f>
        <v/>
      </c>
      <c r="M424" t="str">
        <f t="shared" si="14"/>
        <v/>
      </c>
      <c r="N424" t="str">
        <f>IFERROR(VLOOKUP(D424,'Team Data'!C:AB,23,FALSE),"")</f>
        <v/>
      </c>
      <c r="O424" t="str">
        <f>IFERROR(VLOOKUP(D424,'Team Data'!C:AB,22,FALSE),"")</f>
        <v/>
      </c>
      <c r="P424" t="str">
        <f t="shared" si="15"/>
        <v/>
      </c>
      <c r="Q424" t="str">
        <f>IFERROR(VLOOKUP(D424,'Team Data'!C:AB,15,FALSE),"")</f>
        <v/>
      </c>
      <c r="R424" t="str">
        <f>IFERROR(VLOOKUP('OB Format'!D424,'Team Data'!C:AB,24,FALSE),"")</f>
        <v/>
      </c>
      <c r="S424" t="str">
        <f>IFERROR(VLOOKUP('OB Format'!D424,'Team Data'!C:AC,25,FALSE),"")</f>
        <v/>
      </c>
    </row>
    <row r="425" spans="5:19" x14ac:dyDescent="0.25">
      <c r="E425" t="str">
        <f>IFERROR(VLOOKUP(D425,'Team Data'!C:AB,4,FALSE),"")</f>
        <v/>
      </c>
      <c r="F425" t="str">
        <f>IFERROR(VLOOKUP(D425,'Team Data'!C:AB,5,FALSE),"")</f>
        <v/>
      </c>
      <c r="G425" t="str">
        <f>IFERROR(VLOOKUP('OB Format'!D425,'Team Data'!C:AB,17,FALSE),"")</f>
        <v/>
      </c>
      <c r="H425" t="str">
        <f>IFERROR(VLOOKUP(D425,'Team Data'!C:AB,7,FALSE),"")</f>
        <v/>
      </c>
      <c r="I425" t="str">
        <f>IFERROR(VLOOKUP(D425,'Team Data'!C:AB,14,FALSE),"")</f>
        <v/>
      </c>
      <c r="J425" t="str">
        <f>IFERROR(VLOOKUP(D425,'Team Data'!C:AB,8,FALSE),"")</f>
        <v/>
      </c>
      <c r="K425" t="str">
        <f>IFERROR(VLOOKUP(D425,'Team Data'!C:AB,9,FALSE),"")</f>
        <v/>
      </c>
      <c r="L425" t="str">
        <f>IFERROR(VLOOKUP(D425,'Team Data'!C:AB,10,FALSE),"")</f>
        <v/>
      </c>
      <c r="M425" t="str">
        <f t="shared" si="14"/>
        <v/>
      </c>
      <c r="N425" t="str">
        <f>IFERROR(VLOOKUP(D425,'Team Data'!C:AB,23,FALSE),"")</f>
        <v/>
      </c>
      <c r="O425" t="str">
        <f>IFERROR(VLOOKUP(D425,'Team Data'!C:AB,22,FALSE),"")</f>
        <v/>
      </c>
      <c r="P425" t="str">
        <f t="shared" si="15"/>
        <v/>
      </c>
      <c r="Q425" t="str">
        <f>IFERROR(VLOOKUP(D425,'Team Data'!C:AB,15,FALSE),"")</f>
        <v/>
      </c>
      <c r="R425" t="str">
        <f>IFERROR(VLOOKUP('OB Format'!D425,'Team Data'!C:AB,24,FALSE),"")</f>
        <v/>
      </c>
      <c r="S425" t="str">
        <f>IFERROR(VLOOKUP('OB Format'!D425,'Team Data'!C:AC,25,FALSE),"")</f>
        <v/>
      </c>
    </row>
    <row r="426" spans="5:19" x14ac:dyDescent="0.25">
      <c r="E426" t="str">
        <f>IFERROR(VLOOKUP(D426,'Team Data'!C:AB,4,FALSE),"")</f>
        <v/>
      </c>
      <c r="F426" t="str">
        <f>IFERROR(VLOOKUP(D426,'Team Data'!C:AB,5,FALSE),"")</f>
        <v/>
      </c>
      <c r="G426" t="str">
        <f>IFERROR(VLOOKUP('OB Format'!D426,'Team Data'!C:AB,17,FALSE),"")</f>
        <v/>
      </c>
      <c r="H426" t="str">
        <f>IFERROR(VLOOKUP(D426,'Team Data'!C:AB,7,FALSE),"")</f>
        <v/>
      </c>
      <c r="I426" t="str">
        <f>IFERROR(VLOOKUP(D426,'Team Data'!C:AB,14,FALSE),"")</f>
        <v/>
      </c>
      <c r="J426" t="str">
        <f>IFERROR(VLOOKUP(D426,'Team Data'!C:AB,8,FALSE),"")</f>
        <v/>
      </c>
      <c r="K426" t="str">
        <f>IFERROR(VLOOKUP(D426,'Team Data'!C:AB,9,FALSE),"")</f>
        <v/>
      </c>
      <c r="L426" t="str">
        <f>IFERROR(VLOOKUP(D426,'Team Data'!C:AB,10,FALSE),"")</f>
        <v/>
      </c>
      <c r="M426" t="str">
        <f t="shared" si="14"/>
        <v/>
      </c>
      <c r="N426" t="str">
        <f>IFERROR(VLOOKUP(D426,'Team Data'!C:AB,23,FALSE),"")</f>
        <v/>
      </c>
      <c r="O426" t="str">
        <f>IFERROR(VLOOKUP(D426,'Team Data'!C:AB,22,FALSE),"")</f>
        <v/>
      </c>
      <c r="P426" t="str">
        <f t="shared" si="15"/>
        <v/>
      </c>
      <c r="Q426" t="str">
        <f>IFERROR(VLOOKUP(D426,'Team Data'!C:AB,15,FALSE),"")</f>
        <v/>
      </c>
      <c r="R426" t="str">
        <f>IFERROR(VLOOKUP('OB Format'!D426,'Team Data'!C:AB,24,FALSE),"")</f>
        <v/>
      </c>
      <c r="S426" t="str">
        <f>IFERROR(VLOOKUP('OB Format'!D426,'Team Data'!C:AC,25,FALSE),"")</f>
        <v/>
      </c>
    </row>
    <row r="427" spans="5:19" x14ac:dyDescent="0.25">
      <c r="E427" t="str">
        <f>IFERROR(VLOOKUP(D427,'Team Data'!C:AB,4,FALSE),"")</f>
        <v/>
      </c>
      <c r="F427" t="str">
        <f>IFERROR(VLOOKUP(D427,'Team Data'!C:AB,5,FALSE),"")</f>
        <v/>
      </c>
      <c r="G427" t="str">
        <f>IFERROR(VLOOKUP('OB Format'!D427,'Team Data'!C:AB,17,FALSE),"")</f>
        <v/>
      </c>
      <c r="H427" t="str">
        <f>IFERROR(VLOOKUP(D427,'Team Data'!C:AB,7,FALSE),"")</f>
        <v/>
      </c>
      <c r="I427" t="str">
        <f>IFERROR(VLOOKUP(D427,'Team Data'!C:AB,14,FALSE),"")</f>
        <v/>
      </c>
      <c r="J427" t="str">
        <f>IFERROR(VLOOKUP(D427,'Team Data'!C:AB,8,FALSE),"")</f>
        <v/>
      </c>
      <c r="K427" t="str">
        <f>IFERROR(VLOOKUP(D427,'Team Data'!C:AB,9,FALSE),"")</f>
        <v/>
      </c>
      <c r="L427" t="str">
        <f>IFERROR(VLOOKUP(D427,'Team Data'!C:AB,10,FALSE),"")</f>
        <v/>
      </c>
      <c r="M427" t="str">
        <f t="shared" si="14"/>
        <v/>
      </c>
      <c r="N427" t="str">
        <f>IFERROR(VLOOKUP(D427,'Team Data'!C:AB,23,FALSE),"")</f>
        <v/>
      </c>
      <c r="O427" t="str">
        <f>IFERROR(VLOOKUP(D427,'Team Data'!C:AB,22,FALSE),"")</f>
        <v/>
      </c>
      <c r="P427" t="str">
        <f t="shared" si="15"/>
        <v/>
      </c>
      <c r="Q427" t="str">
        <f>IFERROR(VLOOKUP(D427,'Team Data'!C:AB,15,FALSE),"")</f>
        <v/>
      </c>
      <c r="R427" t="str">
        <f>IFERROR(VLOOKUP('OB Format'!D427,'Team Data'!C:AB,24,FALSE),"")</f>
        <v/>
      </c>
      <c r="S427" t="str">
        <f>IFERROR(VLOOKUP('OB Format'!D427,'Team Data'!C:AC,25,FALSE),"")</f>
        <v/>
      </c>
    </row>
    <row r="428" spans="5:19" x14ac:dyDescent="0.25">
      <c r="E428" t="str">
        <f>IFERROR(VLOOKUP(D428,'Team Data'!C:AB,4,FALSE),"")</f>
        <v/>
      </c>
      <c r="F428" t="str">
        <f>IFERROR(VLOOKUP(D428,'Team Data'!C:AB,5,FALSE),"")</f>
        <v/>
      </c>
      <c r="G428" t="str">
        <f>IFERROR(VLOOKUP('OB Format'!D428,'Team Data'!C:AB,17,FALSE),"")</f>
        <v/>
      </c>
      <c r="H428" t="str">
        <f>IFERROR(VLOOKUP(D428,'Team Data'!C:AB,7,FALSE),"")</f>
        <v/>
      </c>
      <c r="I428" t="str">
        <f>IFERROR(VLOOKUP(D428,'Team Data'!C:AB,14,FALSE),"")</f>
        <v/>
      </c>
      <c r="J428" t="str">
        <f>IFERROR(VLOOKUP(D428,'Team Data'!C:AB,8,FALSE),"")</f>
        <v/>
      </c>
      <c r="K428" t="str">
        <f>IFERROR(VLOOKUP(D428,'Team Data'!C:AB,9,FALSE),"")</f>
        <v/>
      </c>
      <c r="L428" t="str">
        <f>IFERROR(VLOOKUP(D428,'Team Data'!C:AB,10,FALSE),"")</f>
        <v/>
      </c>
      <c r="M428" t="str">
        <f t="shared" si="14"/>
        <v/>
      </c>
      <c r="N428" t="str">
        <f>IFERROR(VLOOKUP(D428,'Team Data'!C:AB,23,FALSE),"")</f>
        <v/>
      </c>
      <c r="O428" t="str">
        <f>IFERROR(VLOOKUP(D428,'Team Data'!C:AB,22,FALSE),"")</f>
        <v/>
      </c>
      <c r="P428" t="str">
        <f t="shared" si="15"/>
        <v/>
      </c>
      <c r="Q428" t="str">
        <f>IFERROR(VLOOKUP(D428,'Team Data'!C:AB,15,FALSE),"")</f>
        <v/>
      </c>
      <c r="R428" t="str">
        <f>IFERROR(VLOOKUP('OB Format'!D428,'Team Data'!C:AB,24,FALSE),"")</f>
        <v/>
      </c>
      <c r="S428" t="str">
        <f>IFERROR(VLOOKUP('OB Format'!D428,'Team Data'!C:AC,25,FALSE),"")</f>
        <v/>
      </c>
    </row>
    <row r="429" spans="5:19" x14ac:dyDescent="0.25">
      <c r="E429" t="str">
        <f>IFERROR(VLOOKUP(D429,'Team Data'!C:AB,4,FALSE),"")</f>
        <v/>
      </c>
      <c r="F429" t="str">
        <f>IFERROR(VLOOKUP(D429,'Team Data'!C:AB,5,FALSE),"")</f>
        <v/>
      </c>
      <c r="G429" t="str">
        <f>IFERROR(VLOOKUP('OB Format'!D429,'Team Data'!C:AB,17,FALSE),"")</f>
        <v/>
      </c>
      <c r="H429" t="str">
        <f>IFERROR(VLOOKUP(D429,'Team Data'!C:AB,7,FALSE),"")</f>
        <v/>
      </c>
      <c r="I429" t="str">
        <f>IFERROR(VLOOKUP(D429,'Team Data'!C:AB,14,FALSE),"")</f>
        <v/>
      </c>
      <c r="J429" t="str">
        <f>IFERROR(VLOOKUP(D429,'Team Data'!C:AB,8,FALSE),"")</f>
        <v/>
      </c>
      <c r="K429" t="str">
        <f>IFERROR(VLOOKUP(D429,'Team Data'!C:AB,9,FALSE),"")</f>
        <v/>
      </c>
      <c r="L429" t="str">
        <f>IFERROR(VLOOKUP(D429,'Team Data'!C:AB,10,FALSE),"")</f>
        <v/>
      </c>
      <c r="M429" t="str">
        <f t="shared" si="14"/>
        <v/>
      </c>
      <c r="N429" t="str">
        <f>IFERROR(VLOOKUP(D429,'Team Data'!C:AB,23,FALSE),"")</f>
        <v/>
      </c>
      <c r="O429" t="str">
        <f>IFERROR(VLOOKUP(D429,'Team Data'!C:AB,22,FALSE),"")</f>
        <v/>
      </c>
      <c r="P429" t="str">
        <f t="shared" si="15"/>
        <v/>
      </c>
      <c r="Q429" t="str">
        <f>IFERROR(VLOOKUP(D429,'Team Data'!C:AB,15,FALSE),"")</f>
        <v/>
      </c>
      <c r="R429" t="str">
        <f>IFERROR(VLOOKUP('OB Format'!D429,'Team Data'!C:AB,24,FALSE),"")</f>
        <v/>
      </c>
      <c r="S429" t="str">
        <f>IFERROR(VLOOKUP('OB Format'!D429,'Team Data'!C:AC,25,FALSE),"")</f>
        <v/>
      </c>
    </row>
    <row r="430" spans="5:19" x14ac:dyDescent="0.25">
      <c r="E430" t="str">
        <f>IFERROR(VLOOKUP(D430,'Team Data'!C:AB,4,FALSE),"")</f>
        <v/>
      </c>
      <c r="F430" t="str">
        <f>IFERROR(VLOOKUP(D430,'Team Data'!C:AB,5,FALSE),"")</f>
        <v/>
      </c>
      <c r="G430" t="str">
        <f>IFERROR(VLOOKUP('OB Format'!D430,'Team Data'!C:AB,17,FALSE),"")</f>
        <v/>
      </c>
      <c r="H430" t="str">
        <f>IFERROR(VLOOKUP(D430,'Team Data'!C:AB,7,FALSE),"")</f>
        <v/>
      </c>
      <c r="I430" t="str">
        <f>IFERROR(VLOOKUP(D430,'Team Data'!C:AB,14,FALSE),"")</f>
        <v/>
      </c>
      <c r="J430" t="str">
        <f>IFERROR(VLOOKUP(D430,'Team Data'!C:AB,8,FALSE),"")</f>
        <v/>
      </c>
      <c r="K430" t="str">
        <f>IFERROR(VLOOKUP(D430,'Team Data'!C:AB,9,FALSE),"")</f>
        <v/>
      </c>
      <c r="L430" t="str">
        <f>IFERROR(VLOOKUP(D430,'Team Data'!C:AB,10,FALSE),"")</f>
        <v/>
      </c>
      <c r="M430" t="str">
        <f t="shared" si="14"/>
        <v/>
      </c>
      <c r="N430" t="str">
        <f>IFERROR(VLOOKUP(D430,'Team Data'!C:AB,23,FALSE),"")</f>
        <v/>
      </c>
      <c r="O430" t="str">
        <f>IFERROR(VLOOKUP(D430,'Team Data'!C:AB,22,FALSE),"")</f>
        <v/>
      </c>
      <c r="P430" t="str">
        <f t="shared" si="15"/>
        <v/>
      </c>
      <c r="Q430" t="str">
        <f>IFERROR(VLOOKUP(D430,'Team Data'!C:AB,15,FALSE),"")</f>
        <v/>
      </c>
      <c r="R430" t="str">
        <f>IFERROR(VLOOKUP('OB Format'!D430,'Team Data'!C:AB,24,FALSE),"")</f>
        <v/>
      </c>
      <c r="S430" t="str">
        <f>IFERROR(VLOOKUP('OB Format'!D430,'Team Data'!C:AC,25,FALSE),"")</f>
        <v/>
      </c>
    </row>
    <row r="431" spans="5:19" x14ac:dyDescent="0.25">
      <c r="E431" t="str">
        <f>IFERROR(VLOOKUP(D431,'Team Data'!C:AB,4,FALSE),"")</f>
        <v/>
      </c>
      <c r="F431" t="str">
        <f>IFERROR(VLOOKUP(D431,'Team Data'!C:AB,5,FALSE),"")</f>
        <v/>
      </c>
      <c r="G431" t="str">
        <f>IFERROR(VLOOKUP('OB Format'!D431,'Team Data'!C:AB,17,FALSE),"")</f>
        <v/>
      </c>
      <c r="H431" t="str">
        <f>IFERROR(VLOOKUP(D431,'Team Data'!C:AB,7,FALSE),"")</f>
        <v/>
      </c>
      <c r="I431" t="str">
        <f>IFERROR(VLOOKUP(D431,'Team Data'!C:AB,14,FALSE),"")</f>
        <v/>
      </c>
      <c r="J431" t="str">
        <f>IFERROR(VLOOKUP(D431,'Team Data'!C:AB,8,FALSE),"")</f>
        <v/>
      </c>
      <c r="K431" t="str">
        <f>IFERROR(VLOOKUP(D431,'Team Data'!C:AB,9,FALSE),"")</f>
        <v/>
      </c>
      <c r="L431" t="str">
        <f>IFERROR(VLOOKUP(D431,'Team Data'!C:AB,10,FALSE),"")</f>
        <v/>
      </c>
      <c r="M431" t="str">
        <f t="shared" si="14"/>
        <v/>
      </c>
      <c r="N431" t="str">
        <f>IFERROR(VLOOKUP(D431,'Team Data'!C:AB,23,FALSE),"")</f>
        <v/>
      </c>
      <c r="O431" t="str">
        <f>IFERROR(VLOOKUP(D431,'Team Data'!C:AB,22,FALSE),"")</f>
        <v/>
      </c>
      <c r="P431" t="str">
        <f t="shared" si="15"/>
        <v/>
      </c>
      <c r="Q431" t="str">
        <f>IFERROR(VLOOKUP(D431,'Team Data'!C:AB,15,FALSE),"")</f>
        <v/>
      </c>
      <c r="R431" t="str">
        <f>IFERROR(VLOOKUP('OB Format'!D431,'Team Data'!C:AB,24,FALSE),"")</f>
        <v/>
      </c>
      <c r="S431" t="str">
        <f>IFERROR(VLOOKUP('OB Format'!D431,'Team Data'!C:AC,25,FALSE),"")</f>
        <v/>
      </c>
    </row>
    <row r="432" spans="5:19" x14ac:dyDescent="0.25">
      <c r="E432" t="str">
        <f>IFERROR(VLOOKUP(D432,'Team Data'!C:AB,4,FALSE),"")</f>
        <v/>
      </c>
      <c r="F432" t="str">
        <f>IFERROR(VLOOKUP(D432,'Team Data'!C:AB,5,FALSE),"")</f>
        <v/>
      </c>
      <c r="G432" t="str">
        <f>IFERROR(VLOOKUP('OB Format'!D432,'Team Data'!C:AB,17,FALSE),"")</f>
        <v/>
      </c>
      <c r="H432" t="str">
        <f>IFERROR(VLOOKUP(D432,'Team Data'!C:AB,7,FALSE),"")</f>
        <v/>
      </c>
      <c r="I432" t="str">
        <f>IFERROR(VLOOKUP(D432,'Team Data'!C:AB,14,FALSE),"")</f>
        <v/>
      </c>
      <c r="J432" t="str">
        <f>IFERROR(VLOOKUP(D432,'Team Data'!C:AB,8,FALSE),"")</f>
        <v/>
      </c>
      <c r="K432" t="str">
        <f>IFERROR(VLOOKUP(D432,'Team Data'!C:AB,9,FALSE),"")</f>
        <v/>
      </c>
      <c r="L432" t="str">
        <f>IFERROR(VLOOKUP(D432,'Team Data'!C:AB,10,FALSE),"")</f>
        <v/>
      </c>
      <c r="M432" t="str">
        <f t="shared" si="14"/>
        <v/>
      </c>
      <c r="N432" t="str">
        <f>IFERROR(VLOOKUP(D432,'Team Data'!C:AB,23,FALSE),"")</f>
        <v/>
      </c>
      <c r="O432" t="str">
        <f>IFERROR(VLOOKUP(D432,'Team Data'!C:AB,22,FALSE),"")</f>
        <v/>
      </c>
      <c r="P432" t="str">
        <f t="shared" si="15"/>
        <v/>
      </c>
      <c r="Q432" t="str">
        <f>IFERROR(VLOOKUP(D432,'Team Data'!C:AB,15,FALSE),"")</f>
        <v/>
      </c>
      <c r="R432" t="str">
        <f>IFERROR(VLOOKUP('OB Format'!D432,'Team Data'!C:AB,24,FALSE),"")</f>
        <v/>
      </c>
      <c r="S432" t="str">
        <f>IFERROR(VLOOKUP('OB Format'!D432,'Team Data'!C:AC,25,FALSE),"")</f>
        <v/>
      </c>
    </row>
    <row r="433" spans="5:19" x14ac:dyDescent="0.25">
      <c r="E433" t="str">
        <f>IFERROR(VLOOKUP(D433,'Team Data'!C:AB,4,FALSE),"")</f>
        <v/>
      </c>
      <c r="F433" t="str">
        <f>IFERROR(VLOOKUP(D433,'Team Data'!C:AB,5,FALSE),"")</f>
        <v/>
      </c>
      <c r="G433" t="str">
        <f>IFERROR(VLOOKUP('OB Format'!D433,'Team Data'!C:AB,17,FALSE),"")</f>
        <v/>
      </c>
      <c r="H433" t="str">
        <f>IFERROR(VLOOKUP(D433,'Team Data'!C:AB,7,FALSE),"")</f>
        <v/>
      </c>
      <c r="I433" t="str">
        <f>IFERROR(VLOOKUP(D433,'Team Data'!C:AB,14,FALSE),"")</f>
        <v/>
      </c>
      <c r="J433" t="str">
        <f>IFERROR(VLOOKUP(D433,'Team Data'!C:AB,8,FALSE),"")</f>
        <v/>
      </c>
      <c r="K433" t="str">
        <f>IFERROR(VLOOKUP(D433,'Team Data'!C:AB,9,FALSE),"")</f>
        <v/>
      </c>
      <c r="L433" t="str">
        <f>IFERROR(VLOOKUP(D433,'Team Data'!C:AB,10,FALSE),"")</f>
        <v/>
      </c>
      <c r="M433" t="str">
        <f t="shared" si="14"/>
        <v/>
      </c>
      <c r="N433" t="str">
        <f>IFERROR(VLOOKUP(D433,'Team Data'!C:AB,23,FALSE),"")</f>
        <v/>
      </c>
      <c r="O433" t="str">
        <f>IFERROR(VLOOKUP(D433,'Team Data'!C:AB,22,FALSE),"")</f>
        <v/>
      </c>
      <c r="P433" t="str">
        <f t="shared" si="15"/>
        <v/>
      </c>
      <c r="Q433" t="str">
        <f>IFERROR(VLOOKUP(D433,'Team Data'!C:AB,15,FALSE),"")</f>
        <v/>
      </c>
      <c r="R433" t="str">
        <f>IFERROR(VLOOKUP('OB Format'!D433,'Team Data'!C:AB,24,FALSE),"")</f>
        <v/>
      </c>
      <c r="S433" t="str">
        <f>IFERROR(VLOOKUP('OB Format'!D433,'Team Data'!C:AC,25,FALSE),"")</f>
        <v/>
      </c>
    </row>
    <row r="434" spans="5:19" x14ac:dyDescent="0.25">
      <c r="E434" t="str">
        <f>IFERROR(VLOOKUP(D434,'Team Data'!C:AB,4,FALSE),"")</f>
        <v/>
      </c>
      <c r="F434" t="str">
        <f>IFERROR(VLOOKUP(D434,'Team Data'!C:AB,5,FALSE),"")</f>
        <v/>
      </c>
      <c r="G434" t="str">
        <f>IFERROR(VLOOKUP('OB Format'!D434,'Team Data'!C:AB,17,FALSE),"")</f>
        <v/>
      </c>
      <c r="H434" t="str">
        <f>IFERROR(VLOOKUP(D434,'Team Data'!C:AB,7,FALSE),"")</f>
        <v/>
      </c>
      <c r="I434" t="str">
        <f>IFERROR(VLOOKUP(D434,'Team Data'!C:AB,14,FALSE),"")</f>
        <v/>
      </c>
      <c r="J434" t="str">
        <f>IFERROR(VLOOKUP(D434,'Team Data'!C:AB,8,FALSE),"")</f>
        <v/>
      </c>
      <c r="K434" t="str">
        <f>IFERROR(VLOOKUP(D434,'Team Data'!C:AB,9,FALSE),"")</f>
        <v/>
      </c>
      <c r="L434" t="str">
        <f>IFERROR(VLOOKUP(D434,'Team Data'!C:AB,10,FALSE),"")</f>
        <v/>
      </c>
      <c r="M434" t="str">
        <f t="shared" si="14"/>
        <v/>
      </c>
      <c r="N434" t="str">
        <f>IFERROR(VLOOKUP(D434,'Team Data'!C:AB,23,FALSE),"")</f>
        <v/>
      </c>
      <c r="O434" t="str">
        <f>IFERROR(VLOOKUP(D434,'Team Data'!C:AB,22,FALSE),"")</f>
        <v/>
      </c>
      <c r="P434" t="str">
        <f t="shared" si="15"/>
        <v/>
      </c>
      <c r="Q434" t="str">
        <f>IFERROR(VLOOKUP(D434,'Team Data'!C:AB,15,FALSE),"")</f>
        <v/>
      </c>
      <c r="R434" t="str">
        <f>IFERROR(VLOOKUP('OB Format'!D434,'Team Data'!C:AB,24,FALSE),"")</f>
        <v/>
      </c>
      <c r="S434" t="str">
        <f>IFERROR(VLOOKUP('OB Format'!D434,'Team Data'!C:AC,25,FALSE),"")</f>
        <v/>
      </c>
    </row>
    <row r="435" spans="5:19" x14ac:dyDescent="0.25">
      <c r="E435" t="str">
        <f>IFERROR(VLOOKUP(D435,'Team Data'!C:AB,4,FALSE),"")</f>
        <v/>
      </c>
      <c r="F435" t="str">
        <f>IFERROR(VLOOKUP(D435,'Team Data'!C:AB,5,FALSE),"")</f>
        <v/>
      </c>
      <c r="G435" t="str">
        <f>IFERROR(VLOOKUP('OB Format'!D435,'Team Data'!C:AB,17,FALSE),"")</f>
        <v/>
      </c>
      <c r="H435" t="str">
        <f>IFERROR(VLOOKUP(D435,'Team Data'!C:AB,7,FALSE),"")</f>
        <v/>
      </c>
      <c r="I435" t="str">
        <f>IFERROR(VLOOKUP(D435,'Team Data'!C:AB,14,FALSE),"")</f>
        <v/>
      </c>
      <c r="J435" t="str">
        <f>IFERROR(VLOOKUP(D435,'Team Data'!C:AB,8,FALSE),"")</f>
        <v/>
      </c>
      <c r="K435" t="str">
        <f>IFERROR(VLOOKUP(D435,'Team Data'!C:AB,9,FALSE),"")</f>
        <v/>
      </c>
      <c r="L435" t="str">
        <f>IFERROR(VLOOKUP(D435,'Team Data'!C:AB,10,FALSE),"")</f>
        <v/>
      </c>
      <c r="M435" t="str">
        <f t="shared" si="14"/>
        <v/>
      </c>
      <c r="N435" t="str">
        <f>IFERROR(VLOOKUP(D435,'Team Data'!C:AB,23,FALSE),"")</f>
        <v/>
      </c>
      <c r="O435" t="str">
        <f>IFERROR(VLOOKUP(D435,'Team Data'!C:AB,22,FALSE),"")</f>
        <v/>
      </c>
      <c r="P435" t="str">
        <f t="shared" si="15"/>
        <v/>
      </c>
      <c r="Q435" t="str">
        <f>IFERROR(VLOOKUP(D435,'Team Data'!C:AB,15,FALSE),"")</f>
        <v/>
      </c>
      <c r="R435" t="str">
        <f>IFERROR(VLOOKUP('OB Format'!D435,'Team Data'!C:AB,24,FALSE),"")</f>
        <v/>
      </c>
      <c r="S435" t="str">
        <f>IFERROR(VLOOKUP('OB Format'!D435,'Team Data'!C:AC,25,FALSE),"")</f>
        <v/>
      </c>
    </row>
    <row r="436" spans="5:19" x14ac:dyDescent="0.25">
      <c r="E436" t="str">
        <f>IFERROR(VLOOKUP(D436,'Team Data'!C:AB,4,FALSE),"")</f>
        <v/>
      </c>
      <c r="F436" t="str">
        <f>IFERROR(VLOOKUP(D436,'Team Data'!C:AB,5,FALSE),"")</f>
        <v/>
      </c>
      <c r="G436" t="str">
        <f>IFERROR(VLOOKUP('OB Format'!D436,'Team Data'!C:AB,17,FALSE),"")</f>
        <v/>
      </c>
      <c r="H436" t="str">
        <f>IFERROR(VLOOKUP(D436,'Team Data'!C:AB,7,FALSE),"")</f>
        <v/>
      </c>
      <c r="I436" t="str">
        <f>IFERROR(VLOOKUP(D436,'Team Data'!C:AB,14,FALSE),"")</f>
        <v/>
      </c>
      <c r="J436" t="str">
        <f>IFERROR(VLOOKUP(D436,'Team Data'!C:AB,8,FALSE),"")</f>
        <v/>
      </c>
      <c r="K436" t="str">
        <f>IFERROR(VLOOKUP(D436,'Team Data'!C:AB,9,FALSE),"")</f>
        <v/>
      </c>
      <c r="L436" t="str">
        <f>IFERROR(VLOOKUP(D436,'Team Data'!C:AB,10,FALSE),"")</f>
        <v/>
      </c>
      <c r="M436" t="str">
        <f t="shared" si="14"/>
        <v/>
      </c>
      <c r="N436" t="str">
        <f>IFERROR(VLOOKUP(D436,'Team Data'!C:AB,23,FALSE),"")</f>
        <v/>
      </c>
      <c r="O436" t="str">
        <f>IFERROR(VLOOKUP(D436,'Team Data'!C:AB,22,FALSE),"")</f>
        <v/>
      </c>
      <c r="P436" t="str">
        <f t="shared" si="15"/>
        <v/>
      </c>
      <c r="Q436" t="str">
        <f>IFERROR(VLOOKUP(D436,'Team Data'!C:AB,15,FALSE),"")</f>
        <v/>
      </c>
      <c r="R436" t="str">
        <f>IFERROR(VLOOKUP('OB Format'!D436,'Team Data'!C:AB,24,FALSE),"")</f>
        <v/>
      </c>
      <c r="S436" t="str">
        <f>IFERROR(VLOOKUP('OB Format'!D436,'Team Data'!C:AC,25,FALSE),"")</f>
        <v/>
      </c>
    </row>
    <row r="437" spans="5:19" x14ac:dyDescent="0.25">
      <c r="E437" t="str">
        <f>IFERROR(VLOOKUP(D437,'Team Data'!C:AB,4,FALSE),"")</f>
        <v/>
      </c>
      <c r="F437" t="str">
        <f>IFERROR(VLOOKUP(D437,'Team Data'!C:AB,5,FALSE),"")</f>
        <v/>
      </c>
      <c r="G437" t="str">
        <f>IFERROR(VLOOKUP('OB Format'!D437,'Team Data'!C:AB,17,FALSE),"")</f>
        <v/>
      </c>
      <c r="H437" t="str">
        <f>IFERROR(VLOOKUP(D437,'Team Data'!C:AB,7,FALSE),"")</f>
        <v/>
      </c>
      <c r="I437" t="str">
        <f>IFERROR(VLOOKUP(D437,'Team Data'!C:AB,14,FALSE),"")</f>
        <v/>
      </c>
      <c r="J437" t="str">
        <f>IFERROR(VLOOKUP(D437,'Team Data'!C:AB,8,FALSE),"")</f>
        <v/>
      </c>
      <c r="K437" t="str">
        <f>IFERROR(VLOOKUP(D437,'Team Data'!C:AB,9,FALSE),"")</f>
        <v/>
      </c>
      <c r="L437" t="str">
        <f>IFERROR(VLOOKUP(D437,'Team Data'!C:AB,10,FALSE),"")</f>
        <v/>
      </c>
      <c r="M437" t="str">
        <f t="shared" si="14"/>
        <v/>
      </c>
      <c r="N437" t="str">
        <f>IFERROR(VLOOKUP(D437,'Team Data'!C:AB,23,FALSE),"")</f>
        <v/>
      </c>
      <c r="O437" t="str">
        <f>IFERROR(VLOOKUP(D437,'Team Data'!C:AB,22,FALSE),"")</f>
        <v/>
      </c>
      <c r="P437" t="str">
        <f t="shared" si="15"/>
        <v/>
      </c>
      <c r="Q437" t="str">
        <f>IFERROR(VLOOKUP(D437,'Team Data'!C:AB,15,FALSE),"")</f>
        <v/>
      </c>
      <c r="R437" t="str">
        <f>IFERROR(VLOOKUP('OB Format'!D437,'Team Data'!C:AB,24,FALSE),"")</f>
        <v/>
      </c>
      <c r="S437" t="str">
        <f>IFERROR(VLOOKUP('OB Format'!D437,'Team Data'!C:AC,25,FALSE),"")</f>
        <v/>
      </c>
    </row>
    <row r="438" spans="5:19" x14ac:dyDescent="0.25">
      <c r="E438" t="str">
        <f>IFERROR(VLOOKUP(D438,'Team Data'!C:AB,4,FALSE),"")</f>
        <v/>
      </c>
      <c r="F438" t="str">
        <f>IFERROR(VLOOKUP(D438,'Team Data'!C:AB,5,FALSE),"")</f>
        <v/>
      </c>
      <c r="G438" t="str">
        <f>IFERROR(VLOOKUP('OB Format'!D438,'Team Data'!C:AB,17,FALSE),"")</f>
        <v/>
      </c>
      <c r="H438" t="str">
        <f>IFERROR(VLOOKUP(D438,'Team Data'!C:AB,7,FALSE),"")</f>
        <v/>
      </c>
      <c r="I438" t="str">
        <f>IFERROR(VLOOKUP(D438,'Team Data'!C:AB,14,FALSE),"")</f>
        <v/>
      </c>
      <c r="J438" t="str">
        <f>IFERROR(VLOOKUP(D438,'Team Data'!C:AB,8,FALSE),"")</f>
        <v/>
      </c>
      <c r="K438" t="str">
        <f>IFERROR(VLOOKUP(D438,'Team Data'!C:AB,9,FALSE),"")</f>
        <v/>
      </c>
      <c r="L438" t="str">
        <f>IFERROR(VLOOKUP(D438,'Team Data'!C:AB,10,FALSE),"")</f>
        <v/>
      </c>
      <c r="M438" t="str">
        <f t="shared" si="14"/>
        <v/>
      </c>
      <c r="N438" t="str">
        <f>IFERROR(VLOOKUP(D438,'Team Data'!C:AB,23,FALSE),"")</f>
        <v/>
      </c>
      <c r="O438" t="str">
        <f>IFERROR(VLOOKUP(D438,'Team Data'!C:AB,22,FALSE),"")</f>
        <v/>
      </c>
      <c r="P438" t="str">
        <f t="shared" si="15"/>
        <v/>
      </c>
      <c r="Q438" t="str">
        <f>IFERROR(VLOOKUP(D438,'Team Data'!C:AB,15,FALSE),"")</f>
        <v/>
      </c>
      <c r="R438" t="str">
        <f>IFERROR(VLOOKUP('OB Format'!D438,'Team Data'!C:AB,24,FALSE),"")</f>
        <v/>
      </c>
      <c r="S438" t="str">
        <f>IFERROR(VLOOKUP('OB Format'!D438,'Team Data'!C:AC,25,FALSE),"")</f>
        <v/>
      </c>
    </row>
    <row r="439" spans="5:19" x14ac:dyDescent="0.25">
      <c r="E439" t="str">
        <f>IFERROR(VLOOKUP(D439,'Team Data'!C:AB,4,FALSE),"")</f>
        <v/>
      </c>
      <c r="F439" t="str">
        <f>IFERROR(VLOOKUP(D439,'Team Data'!C:AB,5,FALSE),"")</f>
        <v/>
      </c>
      <c r="G439" t="str">
        <f>IFERROR(VLOOKUP('OB Format'!D439,'Team Data'!C:AB,17,FALSE),"")</f>
        <v/>
      </c>
      <c r="H439" t="str">
        <f>IFERROR(VLOOKUP(D439,'Team Data'!C:AB,7,FALSE),"")</f>
        <v/>
      </c>
      <c r="I439" t="str">
        <f>IFERROR(VLOOKUP(D439,'Team Data'!C:AB,14,FALSE),"")</f>
        <v/>
      </c>
      <c r="J439" t="str">
        <f>IFERROR(VLOOKUP(D439,'Team Data'!C:AB,8,FALSE),"")</f>
        <v/>
      </c>
      <c r="K439" t="str">
        <f>IFERROR(VLOOKUP(D439,'Team Data'!C:AB,9,FALSE),"")</f>
        <v/>
      </c>
      <c r="L439" t="str">
        <f>IFERROR(VLOOKUP(D439,'Team Data'!C:AB,10,FALSE),"")</f>
        <v/>
      </c>
      <c r="M439" t="str">
        <f t="shared" si="14"/>
        <v/>
      </c>
      <c r="N439" t="str">
        <f>IFERROR(VLOOKUP(D439,'Team Data'!C:AB,23,FALSE),"")</f>
        <v/>
      </c>
      <c r="O439" t="str">
        <f>IFERROR(VLOOKUP(D439,'Team Data'!C:AB,22,FALSE),"")</f>
        <v/>
      </c>
      <c r="P439" t="str">
        <f t="shared" si="15"/>
        <v/>
      </c>
      <c r="Q439" t="str">
        <f>IFERROR(VLOOKUP(D439,'Team Data'!C:AB,15,FALSE),"")</f>
        <v/>
      </c>
      <c r="R439" t="str">
        <f>IFERROR(VLOOKUP('OB Format'!D439,'Team Data'!C:AB,24,FALSE),"")</f>
        <v/>
      </c>
      <c r="S439" t="str">
        <f>IFERROR(VLOOKUP('OB Format'!D439,'Team Data'!C:AC,25,FALSE),"")</f>
        <v/>
      </c>
    </row>
    <row r="440" spans="5:19" x14ac:dyDescent="0.25">
      <c r="E440" t="str">
        <f>IFERROR(VLOOKUP(D440,'Team Data'!C:AB,4,FALSE),"")</f>
        <v/>
      </c>
      <c r="F440" t="str">
        <f>IFERROR(VLOOKUP(D440,'Team Data'!C:AB,5,FALSE),"")</f>
        <v/>
      </c>
      <c r="G440" t="str">
        <f>IFERROR(VLOOKUP('OB Format'!D440,'Team Data'!C:AB,17,FALSE),"")</f>
        <v/>
      </c>
      <c r="H440" t="str">
        <f>IFERROR(VLOOKUP(D440,'Team Data'!C:AB,7,FALSE),"")</f>
        <v/>
      </c>
      <c r="I440" t="str">
        <f>IFERROR(VLOOKUP(D440,'Team Data'!C:AB,14,FALSE),"")</f>
        <v/>
      </c>
      <c r="J440" t="str">
        <f>IFERROR(VLOOKUP(D440,'Team Data'!C:AB,8,FALSE),"")</f>
        <v/>
      </c>
      <c r="K440" t="str">
        <f>IFERROR(VLOOKUP(D440,'Team Data'!C:AB,9,FALSE),"")</f>
        <v/>
      </c>
      <c r="L440" t="str">
        <f>IFERROR(VLOOKUP(D440,'Team Data'!C:AB,10,FALSE),"")</f>
        <v/>
      </c>
      <c r="M440" t="str">
        <f t="shared" si="14"/>
        <v/>
      </c>
      <c r="N440" t="str">
        <f>IFERROR(VLOOKUP(D440,'Team Data'!C:AB,23,FALSE),"")</f>
        <v/>
      </c>
      <c r="O440" t="str">
        <f>IFERROR(VLOOKUP(D440,'Team Data'!C:AB,22,FALSE),"")</f>
        <v/>
      </c>
      <c r="P440" t="str">
        <f t="shared" si="15"/>
        <v/>
      </c>
      <c r="Q440" t="str">
        <f>IFERROR(VLOOKUP(D440,'Team Data'!C:AB,15,FALSE),"")</f>
        <v/>
      </c>
      <c r="R440" t="str">
        <f>IFERROR(VLOOKUP('OB Format'!D440,'Team Data'!C:AB,24,FALSE),"")</f>
        <v/>
      </c>
      <c r="S440" t="str">
        <f>IFERROR(VLOOKUP('OB Format'!D440,'Team Data'!C:AC,25,FALSE),"")</f>
        <v/>
      </c>
    </row>
    <row r="441" spans="5:19" x14ac:dyDescent="0.25">
      <c r="E441" t="str">
        <f>IFERROR(VLOOKUP(D441,'Team Data'!C:AB,4,FALSE),"")</f>
        <v/>
      </c>
      <c r="F441" t="str">
        <f>IFERROR(VLOOKUP(D441,'Team Data'!C:AB,5,FALSE),"")</f>
        <v/>
      </c>
      <c r="G441" t="str">
        <f>IFERROR(VLOOKUP('OB Format'!D441,'Team Data'!C:AB,17,FALSE),"")</f>
        <v/>
      </c>
      <c r="H441" t="str">
        <f>IFERROR(VLOOKUP(D441,'Team Data'!C:AB,7,FALSE),"")</f>
        <v/>
      </c>
      <c r="I441" t="str">
        <f>IFERROR(VLOOKUP(D441,'Team Data'!C:AB,14,FALSE),"")</f>
        <v/>
      </c>
      <c r="J441" t="str">
        <f>IFERROR(VLOOKUP(D441,'Team Data'!C:AB,8,FALSE),"")</f>
        <v/>
      </c>
      <c r="K441" t="str">
        <f>IFERROR(VLOOKUP(D441,'Team Data'!C:AB,9,FALSE),"")</f>
        <v/>
      </c>
      <c r="L441" t="str">
        <f>IFERROR(VLOOKUP(D441,'Team Data'!C:AB,10,FALSE),"")</f>
        <v/>
      </c>
      <c r="M441" t="str">
        <f t="shared" si="14"/>
        <v/>
      </c>
      <c r="N441" t="str">
        <f>IFERROR(VLOOKUP(D441,'Team Data'!C:AB,23,FALSE),"")</f>
        <v/>
      </c>
      <c r="O441" t="str">
        <f>IFERROR(VLOOKUP(D441,'Team Data'!C:AB,22,FALSE),"")</f>
        <v/>
      </c>
      <c r="P441" t="str">
        <f t="shared" si="15"/>
        <v/>
      </c>
      <c r="Q441" t="str">
        <f>IFERROR(VLOOKUP(D441,'Team Data'!C:AB,15,FALSE),"")</f>
        <v/>
      </c>
      <c r="R441" t="str">
        <f>IFERROR(VLOOKUP('OB Format'!D441,'Team Data'!C:AB,24,FALSE),"")</f>
        <v/>
      </c>
      <c r="S441" t="str">
        <f>IFERROR(VLOOKUP('OB Format'!D441,'Team Data'!C:AC,25,FALSE),"")</f>
        <v/>
      </c>
    </row>
    <row r="442" spans="5:19" x14ac:dyDescent="0.25">
      <c r="E442" t="str">
        <f>IFERROR(VLOOKUP(D442,'Team Data'!C:AB,4,FALSE),"")</f>
        <v/>
      </c>
      <c r="F442" t="str">
        <f>IFERROR(VLOOKUP(D442,'Team Data'!C:AB,5,FALSE),"")</f>
        <v/>
      </c>
      <c r="G442" t="str">
        <f>IFERROR(VLOOKUP('OB Format'!D442,'Team Data'!C:AB,17,FALSE),"")</f>
        <v/>
      </c>
      <c r="H442" t="str">
        <f>IFERROR(VLOOKUP(D442,'Team Data'!C:AB,7,FALSE),"")</f>
        <v/>
      </c>
      <c r="I442" t="str">
        <f>IFERROR(VLOOKUP(D442,'Team Data'!C:AB,14,FALSE),"")</f>
        <v/>
      </c>
      <c r="J442" t="str">
        <f>IFERROR(VLOOKUP(D442,'Team Data'!C:AB,8,FALSE),"")</f>
        <v/>
      </c>
      <c r="K442" t="str">
        <f>IFERROR(VLOOKUP(D442,'Team Data'!C:AB,9,FALSE),"")</f>
        <v/>
      </c>
      <c r="L442" t="str">
        <f>IFERROR(VLOOKUP(D442,'Team Data'!C:AB,10,FALSE),"")</f>
        <v/>
      </c>
      <c r="M442" t="str">
        <f t="shared" si="14"/>
        <v/>
      </c>
      <c r="N442" t="str">
        <f>IFERROR(VLOOKUP(D442,'Team Data'!C:AB,23,FALSE),"")</f>
        <v/>
      </c>
      <c r="O442" t="str">
        <f>IFERROR(VLOOKUP(D442,'Team Data'!C:AB,22,FALSE),"")</f>
        <v/>
      </c>
      <c r="P442" t="str">
        <f t="shared" si="15"/>
        <v/>
      </c>
      <c r="Q442" t="str">
        <f>IFERROR(VLOOKUP(D442,'Team Data'!C:AB,15,FALSE),"")</f>
        <v/>
      </c>
      <c r="R442" t="str">
        <f>IFERROR(VLOOKUP('OB Format'!D442,'Team Data'!C:AB,24,FALSE),"")</f>
        <v/>
      </c>
      <c r="S442" t="str">
        <f>IFERROR(VLOOKUP('OB Format'!D442,'Team Data'!C:AC,25,FALSE),"")</f>
        <v/>
      </c>
    </row>
    <row r="443" spans="5:19" x14ac:dyDescent="0.25">
      <c r="E443" t="str">
        <f>IFERROR(VLOOKUP(D443,'Team Data'!C:AB,4,FALSE),"")</f>
        <v/>
      </c>
      <c r="F443" t="str">
        <f>IFERROR(VLOOKUP(D443,'Team Data'!C:AB,5,FALSE),"")</f>
        <v/>
      </c>
      <c r="G443" t="str">
        <f>IFERROR(VLOOKUP('OB Format'!D443,'Team Data'!C:AB,17,FALSE),"")</f>
        <v/>
      </c>
      <c r="H443" t="str">
        <f>IFERROR(VLOOKUP(D443,'Team Data'!C:AB,7,FALSE),"")</f>
        <v/>
      </c>
      <c r="I443" t="str">
        <f>IFERROR(VLOOKUP(D443,'Team Data'!C:AB,14,FALSE),"")</f>
        <v/>
      </c>
      <c r="J443" t="str">
        <f>IFERROR(VLOOKUP(D443,'Team Data'!C:AB,8,FALSE),"")</f>
        <v/>
      </c>
      <c r="K443" t="str">
        <f>IFERROR(VLOOKUP(D443,'Team Data'!C:AB,9,FALSE),"")</f>
        <v/>
      </c>
      <c r="L443" t="str">
        <f>IFERROR(VLOOKUP(D443,'Team Data'!C:AB,10,FALSE),"")</f>
        <v/>
      </c>
      <c r="M443" t="str">
        <f t="shared" si="14"/>
        <v/>
      </c>
      <c r="N443" t="str">
        <f>IFERROR(VLOOKUP(D443,'Team Data'!C:AB,23,FALSE),"")</f>
        <v/>
      </c>
      <c r="O443" t="str">
        <f>IFERROR(VLOOKUP(D443,'Team Data'!C:AB,22,FALSE),"")</f>
        <v/>
      </c>
      <c r="P443" t="str">
        <f t="shared" si="15"/>
        <v/>
      </c>
      <c r="Q443" t="str">
        <f>IFERROR(VLOOKUP(D443,'Team Data'!C:AB,15,FALSE),"")</f>
        <v/>
      </c>
      <c r="R443" t="str">
        <f>IFERROR(VLOOKUP('OB Format'!D443,'Team Data'!C:AB,24,FALSE),"")</f>
        <v/>
      </c>
      <c r="S443" t="str">
        <f>IFERROR(VLOOKUP('OB Format'!D443,'Team Data'!C:AC,25,FALSE),"")</f>
        <v/>
      </c>
    </row>
    <row r="444" spans="5:19" x14ac:dyDescent="0.25">
      <c r="E444" t="str">
        <f>IFERROR(VLOOKUP(D444,'Team Data'!C:AB,4,FALSE),"")</f>
        <v/>
      </c>
      <c r="F444" t="str">
        <f>IFERROR(VLOOKUP(D444,'Team Data'!C:AB,5,FALSE),"")</f>
        <v/>
      </c>
      <c r="G444" t="str">
        <f>IFERROR(VLOOKUP('OB Format'!D444,'Team Data'!C:AB,17,FALSE),"")</f>
        <v/>
      </c>
      <c r="H444" t="str">
        <f>IFERROR(VLOOKUP(D444,'Team Data'!C:AB,7,FALSE),"")</f>
        <v/>
      </c>
      <c r="I444" t="str">
        <f>IFERROR(VLOOKUP(D444,'Team Data'!C:AB,14,FALSE),"")</f>
        <v/>
      </c>
      <c r="J444" t="str">
        <f>IFERROR(VLOOKUP(D444,'Team Data'!C:AB,8,FALSE),"")</f>
        <v/>
      </c>
      <c r="K444" t="str">
        <f>IFERROR(VLOOKUP(D444,'Team Data'!C:AB,9,FALSE),"")</f>
        <v/>
      </c>
      <c r="L444" t="str">
        <f>IFERROR(VLOOKUP(D444,'Team Data'!C:AB,10,FALSE),"")</f>
        <v/>
      </c>
      <c r="M444" t="str">
        <f t="shared" si="14"/>
        <v/>
      </c>
      <c r="N444" t="str">
        <f>IFERROR(VLOOKUP(D444,'Team Data'!C:AB,23,FALSE),"")</f>
        <v/>
      </c>
      <c r="O444" t="str">
        <f>IFERROR(VLOOKUP(D444,'Team Data'!C:AB,22,FALSE),"")</f>
        <v/>
      </c>
      <c r="P444" t="str">
        <f t="shared" si="15"/>
        <v/>
      </c>
      <c r="Q444" t="str">
        <f>IFERROR(VLOOKUP(D444,'Team Data'!C:AB,15,FALSE),"")</f>
        <v/>
      </c>
      <c r="R444" t="str">
        <f>IFERROR(VLOOKUP('OB Format'!D444,'Team Data'!C:AB,24,FALSE),"")</f>
        <v/>
      </c>
      <c r="S444" t="str">
        <f>IFERROR(VLOOKUP('OB Format'!D444,'Team Data'!C:AC,25,FALSE),"")</f>
        <v/>
      </c>
    </row>
    <row r="445" spans="5:19" x14ac:dyDescent="0.25">
      <c r="E445" t="str">
        <f>IFERROR(VLOOKUP(D445,'Team Data'!C:AB,4,FALSE),"")</f>
        <v/>
      </c>
      <c r="F445" t="str">
        <f>IFERROR(VLOOKUP(D445,'Team Data'!C:AB,5,FALSE),"")</f>
        <v/>
      </c>
      <c r="G445" t="str">
        <f>IFERROR(VLOOKUP('OB Format'!D445,'Team Data'!C:AB,17,FALSE),"")</f>
        <v/>
      </c>
      <c r="H445" t="str">
        <f>IFERROR(VLOOKUP(D445,'Team Data'!C:AB,7,FALSE),"")</f>
        <v/>
      </c>
      <c r="I445" t="str">
        <f>IFERROR(VLOOKUP(D445,'Team Data'!C:AB,14,FALSE),"")</f>
        <v/>
      </c>
      <c r="J445" t="str">
        <f>IFERROR(VLOOKUP(D445,'Team Data'!C:AB,8,FALSE),"")</f>
        <v/>
      </c>
      <c r="K445" t="str">
        <f>IFERROR(VLOOKUP(D445,'Team Data'!C:AB,9,FALSE),"")</f>
        <v/>
      </c>
      <c r="L445" t="str">
        <f>IFERROR(VLOOKUP(D445,'Team Data'!C:AB,10,FALSE),"")</f>
        <v/>
      </c>
      <c r="M445" t="str">
        <f t="shared" si="14"/>
        <v/>
      </c>
      <c r="N445" t="str">
        <f>IFERROR(VLOOKUP(D445,'Team Data'!C:AB,23,FALSE),"")</f>
        <v/>
      </c>
      <c r="O445" t="str">
        <f>IFERROR(VLOOKUP(D445,'Team Data'!C:AB,22,FALSE),"")</f>
        <v/>
      </c>
      <c r="P445" t="str">
        <f t="shared" si="15"/>
        <v/>
      </c>
      <c r="Q445" t="str">
        <f>IFERROR(VLOOKUP(D445,'Team Data'!C:AB,15,FALSE),"")</f>
        <v/>
      </c>
      <c r="R445" t="str">
        <f>IFERROR(VLOOKUP('OB Format'!D445,'Team Data'!C:AB,24,FALSE),"")</f>
        <v/>
      </c>
      <c r="S445" t="str">
        <f>IFERROR(VLOOKUP('OB Format'!D445,'Team Data'!C:AC,25,FALSE),"")</f>
        <v/>
      </c>
    </row>
    <row r="446" spans="5:19" x14ac:dyDescent="0.25">
      <c r="E446" t="str">
        <f>IFERROR(VLOOKUP(D446,'Team Data'!C:AB,4,FALSE),"")</f>
        <v/>
      </c>
      <c r="F446" t="str">
        <f>IFERROR(VLOOKUP(D446,'Team Data'!C:AB,5,FALSE),"")</f>
        <v/>
      </c>
      <c r="G446" t="str">
        <f>IFERROR(VLOOKUP('OB Format'!D446,'Team Data'!C:AB,17,FALSE),"")</f>
        <v/>
      </c>
      <c r="H446" t="str">
        <f>IFERROR(VLOOKUP(D446,'Team Data'!C:AB,7,FALSE),"")</f>
        <v/>
      </c>
      <c r="I446" t="str">
        <f>IFERROR(VLOOKUP(D446,'Team Data'!C:AB,14,FALSE),"")</f>
        <v/>
      </c>
      <c r="J446" t="str">
        <f>IFERROR(VLOOKUP(D446,'Team Data'!C:AB,8,FALSE),"")</f>
        <v/>
      </c>
      <c r="K446" t="str">
        <f>IFERROR(VLOOKUP(D446,'Team Data'!C:AB,9,FALSE),"")</f>
        <v/>
      </c>
      <c r="L446" t="str">
        <f>IFERROR(VLOOKUP(D446,'Team Data'!C:AB,10,FALSE),"")</f>
        <v/>
      </c>
      <c r="M446" t="str">
        <f t="shared" si="14"/>
        <v/>
      </c>
      <c r="N446" t="str">
        <f>IFERROR(VLOOKUP(D446,'Team Data'!C:AB,23,FALSE),"")</f>
        <v/>
      </c>
      <c r="O446" t="str">
        <f>IFERROR(VLOOKUP(D446,'Team Data'!C:AB,22,FALSE),"")</f>
        <v/>
      </c>
      <c r="P446" t="str">
        <f t="shared" si="15"/>
        <v/>
      </c>
      <c r="Q446" t="str">
        <f>IFERROR(VLOOKUP(D446,'Team Data'!C:AB,15,FALSE),"")</f>
        <v/>
      </c>
      <c r="R446" t="str">
        <f>IFERROR(VLOOKUP('OB Format'!D446,'Team Data'!C:AB,24,FALSE),"")</f>
        <v/>
      </c>
      <c r="S446" t="str">
        <f>IFERROR(VLOOKUP('OB Format'!D446,'Team Data'!C:AC,25,FALSE),"")</f>
        <v/>
      </c>
    </row>
    <row r="447" spans="5:19" x14ac:dyDescent="0.25">
      <c r="E447" t="str">
        <f>IFERROR(VLOOKUP(D447,'Team Data'!C:AB,4,FALSE),"")</f>
        <v/>
      </c>
      <c r="F447" t="str">
        <f>IFERROR(VLOOKUP(D447,'Team Data'!C:AB,5,FALSE),"")</f>
        <v/>
      </c>
      <c r="G447" t="str">
        <f>IFERROR(VLOOKUP('OB Format'!D447,'Team Data'!C:AB,17,FALSE),"")</f>
        <v/>
      </c>
      <c r="H447" t="str">
        <f>IFERROR(VLOOKUP(D447,'Team Data'!C:AB,7,FALSE),"")</f>
        <v/>
      </c>
      <c r="I447" t="str">
        <f>IFERROR(VLOOKUP(D447,'Team Data'!C:AB,14,FALSE),"")</f>
        <v/>
      </c>
      <c r="J447" t="str">
        <f>IFERROR(VLOOKUP(D447,'Team Data'!C:AB,8,FALSE),"")</f>
        <v/>
      </c>
      <c r="K447" t="str">
        <f>IFERROR(VLOOKUP(D447,'Team Data'!C:AB,9,FALSE),"")</f>
        <v/>
      </c>
      <c r="L447" t="str">
        <f>IFERROR(VLOOKUP(D447,'Team Data'!C:AB,10,FALSE),"")</f>
        <v/>
      </c>
      <c r="M447" t="str">
        <f t="shared" si="14"/>
        <v/>
      </c>
      <c r="N447" t="str">
        <f>IFERROR(VLOOKUP(D447,'Team Data'!C:AB,23,FALSE),"")</f>
        <v/>
      </c>
      <c r="O447" t="str">
        <f>IFERROR(VLOOKUP(D447,'Team Data'!C:AB,22,FALSE),"")</f>
        <v/>
      </c>
      <c r="P447" t="str">
        <f t="shared" si="15"/>
        <v/>
      </c>
      <c r="Q447" t="str">
        <f>IFERROR(VLOOKUP(D447,'Team Data'!C:AB,15,FALSE),"")</f>
        <v/>
      </c>
      <c r="R447" t="str">
        <f>IFERROR(VLOOKUP('OB Format'!D447,'Team Data'!C:AB,24,FALSE),"")</f>
        <v/>
      </c>
      <c r="S447" t="str">
        <f>IFERROR(VLOOKUP('OB Format'!D447,'Team Data'!C:AC,25,FALSE),"")</f>
        <v/>
      </c>
    </row>
    <row r="448" spans="5:19" x14ac:dyDescent="0.25">
      <c r="E448" t="str">
        <f>IFERROR(VLOOKUP(D448,'Team Data'!C:AB,4,FALSE),"")</f>
        <v/>
      </c>
      <c r="F448" t="str">
        <f>IFERROR(VLOOKUP(D448,'Team Data'!C:AB,5,FALSE),"")</f>
        <v/>
      </c>
      <c r="G448" t="str">
        <f>IFERROR(VLOOKUP('OB Format'!D448,'Team Data'!C:AB,17,FALSE),"")</f>
        <v/>
      </c>
      <c r="H448" t="str">
        <f>IFERROR(VLOOKUP(D448,'Team Data'!C:AB,7,FALSE),"")</f>
        <v/>
      </c>
      <c r="I448" t="str">
        <f>IFERROR(VLOOKUP(D448,'Team Data'!C:AB,14,FALSE),"")</f>
        <v/>
      </c>
      <c r="J448" t="str">
        <f>IFERROR(VLOOKUP(D448,'Team Data'!C:AB,8,FALSE),"")</f>
        <v/>
      </c>
      <c r="K448" t="str">
        <f>IFERROR(VLOOKUP(D448,'Team Data'!C:AB,9,FALSE),"")</f>
        <v/>
      </c>
      <c r="L448" t="str">
        <f>IFERROR(VLOOKUP(D448,'Team Data'!C:AB,10,FALSE),"")</f>
        <v/>
      </c>
      <c r="M448" t="str">
        <f t="shared" si="14"/>
        <v/>
      </c>
      <c r="N448" t="str">
        <f>IFERROR(VLOOKUP(D448,'Team Data'!C:AB,23,FALSE),"")</f>
        <v/>
      </c>
      <c r="O448" t="str">
        <f>IFERROR(VLOOKUP(D448,'Team Data'!C:AB,22,FALSE),"")</f>
        <v/>
      </c>
      <c r="P448" t="str">
        <f t="shared" si="15"/>
        <v/>
      </c>
      <c r="Q448" t="str">
        <f>IFERROR(VLOOKUP(D448,'Team Data'!C:AB,15,FALSE),"")</f>
        <v/>
      </c>
      <c r="R448" t="str">
        <f>IFERROR(VLOOKUP('OB Format'!D448,'Team Data'!C:AB,24,FALSE),"")</f>
        <v/>
      </c>
      <c r="S448" t="str">
        <f>IFERROR(VLOOKUP('OB Format'!D448,'Team Data'!C:AC,25,FALSE),"")</f>
        <v/>
      </c>
    </row>
    <row r="449" spans="5:19" x14ac:dyDescent="0.25">
      <c r="E449" t="str">
        <f>IFERROR(VLOOKUP(D449,'Team Data'!C:AB,4,FALSE),"")</f>
        <v/>
      </c>
      <c r="F449" t="str">
        <f>IFERROR(VLOOKUP(D449,'Team Data'!C:AB,5,FALSE),"")</f>
        <v/>
      </c>
      <c r="G449" t="str">
        <f>IFERROR(VLOOKUP('OB Format'!D449,'Team Data'!C:AB,17,FALSE),"")</f>
        <v/>
      </c>
      <c r="H449" t="str">
        <f>IFERROR(VLOOKUP(D449,'Team Data'!C:AB,7,FALSE),"")</f>
        <v/>
      </c>
      <c r="I449" t="str">
        <f>IFERROR(VLOOKUP(D449,'Team Data'!C:AB,14,FALSE),"")</f>
        <v/>
      </c>
      <c r="J449" t="str">
        <f>IFERROR(VLOOKUP(D449,'Team Data'!C:AB,8,FALSE),"")</f>
        <v/>
      </c>
      <c r="K449" t="str">
        <f>IFERROR(VLOOKUP(D449,'Team Data'!C:AB,9,FALSE),"")</f>
        <v/>
      </c>
      <c r="L449" t="str">
        <f>IFERROR(VLOOKUP(D449,'Team Data'!C:AB,10,FALSE),"")</f>
        <v/>
      </c>
      <c r="M449" t="str">
        <f t="shared" si="14"/>
        <v/>
      </c>
      <c r="N449" t="str">
        <f>IFERROR(VLOOKUP(D449,'Team Data'!C:AB,23,FALSE),"")</f>
        <v/>
      </c>
      <c r="O449" t="str">
        <f>IFERROR(VLOOKUP(D449,'Team Data'!C:AB,22,FALSE),"")</f>
        <v/>
      </c>
      <c r="P449" t="str">
        <f t="shared" si="15"/>
        <v/>
      </c>
      <c r="Q449" t="str">
        <f>IFERROR(VLOOKUP(D449,'Team Data'!C:AB,15,FALSE),"")</f>
        <v/>
      </c>
      <c r="R449" t="str">
        <f>IFERROR(VLOOKUP('OB Format'!D449,'Team Data'!C:AB,24,FALSE),"")</f>
        <v/>
      </c>
      <c r="S449" t="str">
        <f>IFERROR(VLOOKUP('OB Format'!D449,'Team Data'!C:AC,25,FALSE),"")</f>
        <v/>
      </c>
    </row>
    <row r="450" spans="5:19" x14ac:dyDescent="0.25">
      <c r="E450" t="str">
        <f>IFERROR(VLOOKUP(D450,'Team Data'!C:AB,4,FALSE),"")</f>
        <v/>
      </c>
      <c r="F450" t="str">
        <f>IFERROR(VLOOKUP(D450,'Team Data'!C:AB,5,FALSE),"")</f>
        <v/>
      </c>
      <c r="G450" t="str">
        <f>IFERROR(VLOOKUP('OB Format'!D450,'Team Data'!C:AB,17,FALSE),"")</f>
        <v/>
      </c>
      <c r="H450" t="str">
        <f>IFERROR(VLOOKUP(D450,'Team Data'!C:AB,7,FALSE),"")</f>
        <v/>
      </c>
      <c r="I450" t="str">
        <f>IFERROR(VLOOKUP(D450,'Team Data'!C:AB,14,FALSE),"")</f>
        <v/>
      </c>
      <c r="J450" t="str">
        <f>IFERROR(VLOOKUP(D450,'Team Data'!C:AB,8,FALSE),"")</f>
        <v/>
      </c>
      <c r="K450" t="str">
        <f>IFERROR(VLOOKUP(D450,'Team Data'!C:AB,9,FALSE),"")</f>
        <v/>
      </c>
      <c r="L450" t="str">
        <f>IFERROR(VLOOKUP(D450,'Team Data'!C:AB,10,FALSE),"")</f>
        <v/>
      </c>
      <c r="M450" t="str">
        <f t="shared" si="14"/>
        <v/>
      </c>
      <c r="N450" t="str">
        <f>IFERROR(VLOOKUP(D450,'Team Data'!C:AB,23,FALSE),"")</f>
        <v/>
      </c>
      <c r="O450" t="str">
        <f>IFERROR(VLOOKUP(D450,'Team Data'!C:AB,22,FALSE),"")</f>
        <v/>
      </c>
      <c r="P450" t="str">
        <f t="shared" si="15"/>
        <v/>
      </c>
      <c r="Q450" t="str">
        <f>IFERROR(VLOOKUP(D450,'Team Data'!C:AB,15,FALSE),"")</f>
        <v/>
      </c>
      <c r="R450" t="str">
        <f>IFERROR(VLOOKUP('OB Format'!D450,'Team Data'!C:AB,24,FALSE),"")</f>
        <v/>
      </c>
      <c r="S450" t="str">
        <f>IFERROR(VLOOKUP('OB Format'!D450,'Team Data'!C:AC,25,FALSE),"")</f>
        <v/>
      </c>
    </row>
    <row r="451" spans="5:19" x14ac:dyDescent="0.25">
      <c r="E451" t="str">
        <f>IFERROR(VLOOKUP(D451,'Team Data'!C:AB,4,FALSE),"")</f>
        <v/>
      </c>
      <c r="F451" t="str">
        <f>IFERROR(VLOOKUP(D451,'Team Data'!C:AB,5,FALSE),"")</f>
        <v/>
      </c>
      <c r="G451" t="str">
        <f>IFERROR(VLOOKUP('OB Format'!D451,'Team Data'!C:AB,17,FALSE),"")</f>
        <v/>
      </c>
      <c r="H451" t="str">
        <f>IFERROR(VLOOKUP(D451,'Team Data'!C:AB,7,FALSE),"")</f>
        <v/>
      </c>
      <c r="I451" t="str">
        <f>IFERROR(VLOOKUP(D451,'Team Data'!C:AB,14,FALSE),"")</f>
        <v/>
      </c>
      <c r="J451" t="str">
        <f>IFERROR(VLOOKUP(D451,'Team Data'!C:AB,8,FALSE),"")</f>
        <v/>
      </c>
      <c r="K451" t="str">
        <f>IFERROR(VLOOKUP(D451,'Team Data'!C:AB,9,FALSE),"")</f>
        <v/>
      </c>
      <c r="L451" t="str">
        <f>IFERROR(VLOOKUP(D451,'Team Data'!C:AB,10,FALSE),"")</f>
        <v/>
      </c>
      <c r="M451" t="str">
        <f t="shared" si="14"/>
        <v/>
      </c>
      <c r="N451" t="str">
        <f>IFERROR(VLOOKUP(D451,'Team Data'!C:AB,23,FALSE),"")</f>
        <v/>
      </c>
      <c r="O451" t="str">
        <f>IFERROR(VLOOKUP(D451,'Team Data'!C:AB,22,FALSE),"")</f>
        <v/>
      </c>
      <c r="P451" t="str">
        <f t="shared" si="15"/>
        <v/>
      </c>
      <c r="Q451" t="str">
        <f>IFERROR(VLOOKUP(D451,'Team Data'!C:AB,15,FALSE),"")</f>
        <v/>
      </c>
      <c r="R451" t="str">
        <f>IFERROR(VLOOKUP('OB Format'!D451,'Team Data'!C:AB,24,FALSE),"")</f>
        <v/>
      </c>
      <c r="S451" t="str">
        <f>IFERROR(VLOOKUP('OB Format'!D451,'Team Data'!C:AC,25,FALSE),"")</f>
        <v/>
      </c>
    </row>
    <row r="452" spans="5:19" x14ac:dyDescent="0.25">
      <c r="E452" t="str">
        <f>IFERROR(VLOOKUP(D452,'Team Data'!C:AB,4,FALSE),"")</f>
        <v/>
      </c>
      <c r="F452" t="str">
        <f>IFERROR(VLOOKUP(D452,'Team Data'!C:AB,5,FALSE),"")</f>
        <v/>
      </c>
      <c r="G452" t="str">
        <f>IFERROR(VLOOKUP('OB Format'!D452,'Team Data'!C:AB,17,FALSE),"")</f>
        <v/>
      </c>
      <c r="H452" t="str">
        <f>IFERROR(VLOOKUP(D452,'Team Data'!C:AB,7,FALSE),"")</f>
        <v/>
      </c>
      <c r="I452" t="str">
        <f>IFERROR(VLOOKUP(D452,'Team Data'!C:AB,14,FALSE),"")</f>
        <v/>
      </c>
      <c r="J452" t="str">
        <f>IFERROR(VLOOKUP(D452,'Team Data'!C:AB,8,FALSE),"")</f>
        <v/>
      </c>
      <c r="K452" t="str">
        <f>IFERROR(VLOOKUP(D452,'Team Data'!C:AB,9,FALSE),"")</f>
        <v/>
      </c>
      <c r="L452" t="str">
        <f>IFERROR(VLOOKUP(D452,'Team Data'!C:AB,10,FALSE),"")</f>
        <v/>
      </c>
      <c r="M452" t="str">
        <f t="shared" si="14"/>
        <v/>
      </c>
      <c r="N452" t="str">
        <f>IFERROR(VLOOKUP(D452,'Team Data'!C:AB,23,FALSE),"")</f>
        <v/>
      </c>
      <c r="O452" t="str">
        <f>IFERROR(VLOOKUP(D452,'Team Data'!C:AB,22,FALSE),"")</f>
        <v/>
      </c>
      <c r="P452" t="str">
        <f t="shared" si="15"/>
        <v/>
      </c>
      <c r="Q452" t="str">
        <f>IFERROR(VLOOKUP(D452,'Team Data'!C:AB,15,FALSE),"")</f>
        <v/>
      </c>
      <c r="R452" t="str">
        <f>IFERROR(VLOOKUP('OB Format'!D452,'Team Data'!C:AB,24,FALSE),"")</f>
        <v/>
      </c>
      <c r="S452" t="str">
        <f>IFERROR(VLOOKUP('OB Format'!D452,'Team Data'!C:AC,25,FALSE),"")</f>
        <v/>
      </c>
    </row>
    <row r="453" spans="5:19" x14ac:dyDescent="0.25">
      <c r="E453" t="str">
        <f>IFERROR(VLOOKUP(D453,'Team Data'!C:AB,4,FALSE),"")</f>
        <v/>
      </c>
      <c r="F453" t="str">
        <f>IFERROR(VLOOKUP(D453,'Team Data'!C:AB,5,FALSE),"")</f>
        <v/>
      </c>
      <c r="G453" t="str">
        <f>IFERROR(VLOOKUP('OB Format'!D453,'Team Data'!C:AB,17,FALSE),"")</f>
        <v/>
      </c>
      <c r="H453" t="str">
        <f>IFERROR(VLOOKUP(D453,'Team Data'!C:AB,7,FALSE),"")</f>
        <v/>
      </c>
      <c r="I453" t="str">
        <f>IFERROR(VLOOKUP(D453,'Team Data'!C:AB,14,FALSE),"")</f>
        <v/>
      </c>
      <c r="J453" t="str">
        <f>IFERROR(VLOOKUP(D453,'Team Data'!C:AB,8,FALSE),"")</f>
        <v/>
      </c>
      <c r="K453" t="str">
        <f>IFERROR(VLOOKUP(D453,'Team Data'!C:AB,9,FALSE),"")</f>
        <v/>
      </c>
      <c r="L453" t="str">
        <f>IFERROR(VLOOKUP(D453,'Team Data'!C:AB,10,FALSE),"")</f>
        <v/>
      </c>
      <c r="M453" t="str">
        <f t="shared" si="14"/>
        <v/>
      </c>
      <c r="N453" t="str">
        <f>IFERROR(VLOOKUP(D453,'Team Data'!C:AB,23,FALSE),"")</f>
        <v/>
      </c>
      <c r="O453" t="str">
        <f>IFERROR(VLOOKUP(D453,'Team Data'!C:AB,22,FALSE),"")</f>
        <v/>
      </c>
      <c r="P453" t="str">
        <f t="shared" si="15"/>
        <v/>
      </c>
      <c r="Q453" t="str">
        <f>IFERROR(VLOOKUP(D453,'Team Data'!C:AB,15,FALSE),"")</f>
        <v/>
      </c>
      <c r="R453" t="str">
        <f>IFERROR(VLOOKUP('OB Format'!D453,'Team Data'!C:AB,24,FALSE),"")</f>
        <v/>
      </c>
      <c r="S453" t="str">
        <f>IFERROR(VLOOKUP('OB Format'!D453,'Team Data'!C:AC,25,FALSE),"")</f>
        <v/>
      </c>
    </row>
    <row r="454" spans="5:19" x14ac:dyDescent="0.25">
      <c r="E454" t="str">
        <f>IFERROR(VLOOKUP(D454,'Team Data'!C:AB,4,FALSE),"")</f>
        <v/>
      </c>
      <c r="F454" t="str">
        <f>IFERROR(VLOOKUP(D454,'Team Data'!C:AB,5,FALSE),"")</f>
        <v/>
      </c>
      <c r="G454" t="str">
        <f>IFERROR(VLOOKUP('OB Format'!D454,'Team Data'!C:AB,17,FALSE),"")</f>
        <v/>
      </c>
      <c r="H454" t="str">
        <f>IFERROR(VLOOKUP(D454,'Team Data'!C:AB,7,FALSE),"")</f>
        <v/>
      </c>
      <c r="I454" t="str">
        <f>IFERROR(VLOOKUP(D454,'Team Data'!C:AB,14,FALSE),"")</f>
        <v/>
      </c>
      <c r="J454" t="str">
        <f>IFERROR(VLOOKUP(D454,'Team Data'!C:AB,8,FALSE),"")</f>
        <v/>
      </c>
      <c r="K454" t="str">
        <f>IFERROR(VLOOKUP(D454,'Team Data'!C:AB,9,FALSE),"")</f>
        <v/>
      </c>
      <c r="L454" t="str">
        <f>IFERROR(VLOOKUP(D454,'Team Data'!C:AB,10,FALSE),"")</f>
        <v/>
      </c>
      <c r="M454" t="str">
        <f t="shared" si="14"/>
        <v/>
      </c>
      <c r="N454" t="str">
        <f>IFERROR(VLOOKUP(D454,'Team Data'!C:AB,23,FALSE),"")</f>
        <v/>
      </c>
      <c r="O454" t="str">
        <f>IFERROR(VLOOKUP(D454,'Team Data'!C:AB,22,FALSE),"")</f>
        <v/>
      </c>
      <c r="P454" t="str">
        <f t="shared" si="15"/>
        <v/>
      </c>
      <c r="Q454" t="str">
        <f>IFERROR(VLOOKUP(D454,'Team Data'!C:AB,15,FALSE),"")</f>
        <v/>
      </c>
      <c r="R454" t="str">
        <f>IFERROR(VLOOKUP('OB Format'!D454,'Team Data'!C:AB,24,FALSE),"")</f>
        <v/>
      </c>
      <c r="S454" t="str">
        <f>IFERROR(VLOOKUP('OB Format'!D454,'Team Data'!C:AC,25,FALSE),"")</f>
        <v/>
      </c>
    </row>
    <row r="455" spans="5:19" x14ac:dyDescent="0.25">
      <c r="E455" t="str">
        <f>IFERROR(VLOOKUP(D455,'Team Data'!C:AB,4,FALSE),"")</f>
        <v/>
      </c>
      <c r="F455" t="str">
        <f>IFERROR(VLOOKUP(D455,'Team Data'!C:AB,5,FALSE),"")</f>
        <v/>
      </c>
      <c r="G455" t="str">
        <f>IFERROR(VLOOKUP('OB Format'!D455,'Team Data'!C:AB,17,FALSE),"")</f>
        <v/>
      </c>
      <c r="H455" t="str">
        <f>IFERROR(VLOOKUP(D455,'Team Data'!C:AB,7,FALSE),"")</f>
        <v/>
      </c>
      <c r="I455" t="str">
        <f>IFERROR(VLOOKUP(D455,'Team Data'!C:AB,14,FALSE),"")</f>
        <v/>
      </c>
      <c r="J455" t="str">
        <f>IFERROR(VLOOKUP(D455,'Team Data'!C:AB,8,FALSE),"")</f>
        <v/>
      </c>
      <c r="K455" t="str">
        <f>IFERROR(VLOOKUP(D455,'Team Data'!C:AB,9,FALSE),"")</f>
        <v/>
      </c>
      <c r="L455" t="str">
        <f>IFERROR(VLOOKUP(D455,'Team Data'!C:AB,10,FALSE),"")</f>
        <v/>
      </c>
      <c r="M455" t="str">
        <f t="shared" si="14"/>
        <v/>
      </c>
      <c r="N455" t="str">
        <f>IFERROR(VLOOKUP(D455,'Team Data'!C:AB,23,FALSE),"")</f>
        <v/>
      </c>
      <c r="O455" t="str">
        <f>IFERROR(VLOOKUP(D455,'Team Data'!C:AB,22,FALSE),"")</f>
        <v/>
      </c>
      <c r="P455" t="str">
        <f t="shared" si="15"/>
        <v/>
      </c>
      <c r="Q455" t="str">
        <f>IFERROR(VLOOKUP(D455,'Team Data'!C:AB,15,FALSE),"")</f>
        <v/>
      </c>
      <c r="R455" t="str">
        <f>IFERROR(VLOOKUP('OB Format'!D455,'Team Data'!C:AB,24,FALSE),"")</f>
        <v/>
      </c>
      <c r="S455" t="str">
        <f>IFERROR(VLOOKUP('OB Format'!D455,'Team Data'!C:AC,25,FALSE),"")</f>
        <v/>
      </c>
    </row>
    <row r="456" spans="5:19" x14ac:dyDescent="0.25">
      <c r="E456" t="str">
        <f>IFERROR(VLOOKUP(D456,'Team Data'!C:AB,4,FALSE),"")</f>
        <v/>
      </c>
      <c r="F456" t="str">
        <f>IFERROR(VLOOKUP(D456,'Team Data'!C:AB,5,FALSE),"")</f>
        <v/>
      </c>
      <c r="G456" t="str">
        <f>IFERROR(VLOOKUP('OB Format'!D456,'Team Data'!C:AB,17,FALSE),"")</f>
        <v/>
      </c>
      <c r="H456" t="str">
        <f>IFERROR(VLOOKUP(D456,'Team Data'!C:AB,7,FALSE),"")</f>
        <v/>
      </c>
      <c r="I456" t="str">
        <f>IFERROR(VLOOKUP(D456,'Team Data'!C:AB,14,FALSE),"")</f>
        <v/>
      </c>
      <c r="J456" t="str">
        <f>IFERROR(VLOOKUP(D456,'Team Data'!C:AB,8,FALSE),"")</f>
        <v/>
      </c>
      <c r="K456" t="str">
        <f>IFERROR(VLOOKUP(D456,'Team Data'!C:AB,9,FALSE),"")</f>
        <v/>
      </c>
      <c r="L456" t="str">
        <f>IFERROR(VLOOKUP(D456,'Team Data'!C:AB,10,FALSE),"")</f>
        <v/>
      </c>
      <c r="M456" t="str">
        <f t="shared" si="14"/>
        <v/>
      </c>
      <c r="N456" t="str">
        <f>IFERROR(VLOOKUP(D456,'Team Data'!C:AB,23,FALSE),"")</f>
        <v/>
      </c>
      <c r="O456" t="str">
        <f>IFERROR(VLOOKUP(D456,'Team Data'!C:AB,22,FALSE),"")</f>
        <v/>
      </c>
      <c r="P456" t="str">
        <f t="shared" si="15"/>
        <v/>
      </c>
      <c r="Q456" t="str">
        <f>IFERROR(VLOOKUP(D456,'Team Data'!C:AB,15,FALSE),"")</f>
        <v/>
      </c>
      <c r="R456" t="str">
        <f>IFERROR(VLOOKUP('OB Format'!D456,'Team Data'!C:AB,24,FALSE),"")</f>
        <v/>
      </c>
      <c r="S456" t="str">
        <f>IFERROR(VLOOKUP('OB Format'!D456,'Team Data'!C:AC,25,FALSE),"")</f>
        <v/>
      </c>
    </row>
    <row r="457" spans="5:19" x14ac:dyDescent="0.25">
      <c r="E457" t="str">
        <f>IFERROR(VLOOKUP(D457,'Team Data'!C:AB,4,FALSE),"")</f>
        <v/>
      </c>
      <c r="F457" t="str">
        <f>IFERROR(VLOOKUP(D457,'Team Data'!C:AB,5,FALSE),"")</f>
        <v/>
      </c>
      <c r="G457" t="str">
        <f>IFERROR(VLOOKUP('OB Format'!D457,'Team Data'!C:AB,17,FALSE),"")</f>
        <v/>
      </c>
      <c r="H457" t="str">
        <f>IFERROR(VLOOKUP(D457,'Team Data'!C:AB,7,FALSE),"")</f>
        <v/>
      </c>
      <c r="I457" t="str">
        <f>IFERROR(VLOOKUP(D457,'Team Data'!C:AB,14,FALSE),"")</f>
        <v/>
      </c>
      <c r="J457" t="str">
        <f>IFERROR(VLOOKUP(D457,'Team Data'!C:AB,8,FALSE),"")</f>
        <v/>
      </c>
      <c r="K457" t="str">
        <f>IFERROR(VLOOKUP(D457,'Team Data'!C:AB,9,FALSE),"")</f>
        <v/>
      </c>
      <c r="L457" t="str">
        <f>IFERROR(VLOOKUP(D457,'Team Data'!C:AB,10,FALSE),"")</f>
        <v/>
      </c>
      <c r="M457" t="str">
        <f t="shared" si="14"/>
        <v/>
      </c>
      <c r="N457" t="str">
        <f>IFERROR(VLOOKUP(D457,'Team Data'!C:AB,23,FALSE),"")</f>
        <v/>
      </c>
      <c r="O457" t="str">
        <f>IFERROR(VLOOKUP(D457,'Team Data'!C:AB,22,FALSE),"")</f>
        <v/>
      </c>
      <c r="P457" t="str">
        <f t="shared" si="15"/>
        <v/>
      </c>
      <c r="Q457" t="str">
        <f>IFERROR(VLOOKUP(D457,'Team Data'!C:AB,15,FALSE),"")</f>
        <v/>
      </c>
      <c r="R457" t="str">
        <f>IFERROR(VLOOKUP('OB Format'!D457,'Team Data'!C:AB,24,FALSE),"")</f>
        <v/>
      </c>
      <c r="S457" t="str">
        <f>IFERROR(VLOOKUP('OB Format'!D457,'Team Data'!C:AC,25,FALSE),"")</f>
        <v/>
      </c>
    </row>
    <row r="458" spans="5:19" x14ac:dyDescent="0.25">
      <c r="E458" t="str">
        <f>IFERROR(VLOOKUP(D458,'Team Data'!C:AB,4,FALSE),"")</f>
        <v/>
      </c>
      <c r="F458" t="str">
        <f>IFERROR(VLOOKUP(D458,'Team Data'!C:AB,5,FALSE),"")</f>
        <v/>
      </c>
      <c r="G458" t="str">
        <f>IFERROR(VLOOKUP('OB Format'!D458,'Team Data'!C:AB,17,FALSE),"")</f>
        <v/>
      </c>
      <c r="H458" t="str">
        <f>IFERROR(VLOOKUP(D458,'Team Data'!C:AB,7,FALSE),"")</f>
        <v/>
      </c>
      <c r="I458" t="str">
        <f>IFERROR(VLOOKUP(D458,'Team Data'!C:AB,14,FALSE),"")</f>
        <v/>
      </c>
      <c r="J458" t="str">
        <f>IFERROR(VLOOKUP(D458,'Team Data'!C:AB,8,FALSE),"")</f>
        <v/>
      </c>
      <c r="K458" t="str">
        <f>IFERROR(VLOOKUP(D458,'Team Data'!C:AB,9,FALSE),"")</f>
        <v/>
      </c>
      <c r="L458" t="str">
        <f>IFERROR(VLOOKUP(D458,'Team Data'!C:AB,10,FALSE),"")</f>
        <v/>
      </c>
      <c r="M458" t="str">
        <f t="shared" si="14"/>
        <v/>
      </c>
      <c r="N458" t="str">
        <f>IFERROR(VLOOKUP(D458,'Team Data'!C:AB,23,FALSE),"")</f>
        <v/>
      </c>
      <c r="O458" t="str">
        <f>IFERROR(VLOOKUP(D458,'Team Data'!C:AB,22,FALSE),"")</f>
        <v/>
      </c>
      <c r="P458" t="str">
        <f t="shared" si="15"/>
        <v/>
      </c>
      <c r="Q458" t="str">
        <f>IFERROR(VLOOKUP(D458,'Team Data'!C:AB,15,FALSE),"")</f>
        <v/>
      </c>
      <c r="R458" t="str">
        <f>IFERROR(VLOOKUP('OB Format'!D458,'Team Data'!C:AB,24,FALSE),"")</f>
        <v/>
      </c>
      <c r="S458" t="str">
        <f>IFERROR(VLOOKUP('OB Format'!D458,'Team Data'!C:AC,25,FALSE),"")</f>
        <v/>
      </c>
    </row>
    <row r="459" spans="5:19" x14ac:dyDescent="0.25">
      <c r="E459" t="str">
        <f>IFERROR(VLOOKUP(D459,'Team Data'!C:AB,4,FALSE),"")</f>
        <v/>
      </c>
      <c r="F459" t="str">
        <f>IFERROR(VLOOKUP(D459,'Team Data'!C:AB,5,FALSE),"")</f>
        <v/>
      </c>
      <c r="G459" t="str">
        <f>IFERROR(VLOOKUP('OB Format'!D459,'Team Data'!C:AB,17,FALSE),"")</f>
        <v/>
      </c>
      <c r="H459" t="str">
        <f>IFERROR(VLOOKUP(D459,'Team Data'!C:AB,7,FALSE),"")</f>
        <v/>
      </c>
      <c r="I459" t="str">
        <f>IFERROR(VLOOKUP(D459,'Team Data'!C:AB,14,FALSE),"")</f>
        <v/>
      </c>
      <c r="J459" t="str">
        <f>IFERROR(VLOOKUP(D459,'Team Data'!C:AB,8,FALSE),"")</f>
        <v/>
      </c>
      <c r="K459" t="str">
        <f>IFERROR(VLOOKUP(D459,'Team Data'!C:AB,9,FALSE),"")</f>
        <v/>
      </c>
      <c r="L459" t="str">
        <f>IFERROR(VLOOKUP(D459,'Team Data'!C:AB,10,FALSE),"")</f>
        <v/>
      </c>
      <c r="M459" t="str">
        <f t="shared" si="14"/>
        <v/>
      </c>
      <c r="N459" t="str">
        <f>IFERROR(VLOOKUP(D459,'Team Data'!C:AB,23,FALSE),"")</f>
        <v/>
      </c>
      <c r="O459" t="str">
        <f>IFERROR(VLOOKUP(D459,'Team Data'!C:AB,22,FALSE),"")</f>
        <v/>
      </c>
      <c r="P459" t="str">
        <f t="shared" si="15"/>
        <v/>
      </c>
      <c r="Q459" t="str">
        <f>IFERROR(VLOOKUP(D459,'Team Data'!C:AB,15,FALSE),"")</f>
        <v/>
      </c>
      <c r="R459" t="str">
        <f>IFERROR(VLOOKUP('OB Format'!D459,'Team Data'!C:AB,24,FALSE),"")</f>
        <v/>
      </c>
      <c r="S459" t="str">
        <f>IFERROR(VLOOKUP('OB Format'!D459,'Team Data'!C:AC,25,FALSE),"")</f>
        <v/>
      </c>
    </row>
    <row r="460" spans="5:19" x14ac:dyDescent="0.25">
      <c r="E460" t="str">
        <f>IFERROR(VLOOKUP(D460,'Team Data'!C:AB,4,FALSE),"")</f>
        <v/>
      </c>
      <c r="F460" t="str">
        <f>IFERROR(VLOOKUP(D460,'Team Data'!C:AB,5,FALSE),"")</f>
        <v/>
      </c>
      <c r="G460" t="str">
        <f>IFERROR(VLOOKUP('OB Format'!D460,'Team Data'!C:AB,17,FALSE),"")</f>
        <v/>
      </c>
      <c r="H460" t="str">
        <f>IFERROR(VLOOKUP(D460,'Team Data'!C:AB,7,FALSE),"")</f>
        <v/>
      </c>
      <c r="I460" t="str">
        <f>IFERROR(VLOOKUP(D460,'Team Data'!C:AB,14,FALSE),"")</f>
        <v/>
      </c>
      <c r="J460" t="str">
        <f>IFERROR(VLOOKUP(D460,'Team Data'!C:AB,8,FALSE),"")</f>
        <v/>
      </c>
      <c r="K460" t="str">
        <f>IFERROR(VLOOKUP(D460,'Team Data'!C:AB,9,FALSE),"")</f>
        <v/>
      </c>
      <c r="L460" t="str">
        <f>IFERROR(VLOOKUP(D460,'Team Data'!C:AB,10,FALSE),"")</f>
        <v/>
      </c>
      <c r="M460" t="str">
        <f t="shared" si="14"/>
        <v/>
      </c>
      <c r="N460" t="str">
        <f>IFERROR(VLOOKUP(D460,'Team Data'!C:AB,23,FALSE),"")</f>
        <v/>
      </c>
      <c r="O460" t="str">
        <f>IFERROR(VLOOKUP(D460,'Team Data'!C:AB,22,FALSE),"")</f>
        <v/>
      </c>
      <c r="P460" t="str">
        <f t="shared" si="15"/>
        <v/>
      </c>
      <c r="Q460" t="str">
        <f>IFERROR(VLOOKUP(D460,'Team Data'!C:AB,15,FALSE),"")</f>
        <v/>
      </c>
      <c r="R460" t="str">
        <f>IFERROR(VLOOKUP('OB Format'!D460,'Team Data'!C:AB,24,FALSE),"")</f>
        <v/>
      </c>
      <c r="S460" t="str">
        <f>IFERROR(VLOOKUP('OB Format'!D460,'Team Data'!C:AC,25,FALSE),"")</f>
        <v/>
      </c>
    </row>
    <row r="461" spans="5:19" x14ac:dyDescent="0.25">
      <c r="E461" t="str">
        <f>IFERROR(VLOOKUP(D461,'Team Data'!C:AB,4,FALSE),"")</f>
        <v/>
      </c>
      <c r="F461" t="str">
        <f>IFERROR(VLOOKUP(D461,'Team Data'!C:AB,5,FALSE),"")</f>
        <v/>
      </c>
      <c r="G461" t="str">
        <f>IFERROR(VLOOKUP('OB Format'!D461,'Team Data'!C:AB,17,FALSE),"")</f>
        <v/>
      </c>
      <c r="H461" t="str">
        <f>IFERROR(VLOOKUP(D461,'Team Data'!C:AB,7,FALSE),"")</f>
        <v/>
      </c>
      <c r="I461" t="str">
        <f>IFERROR(VLOOKUP(D461,'Team Data'!C:AB,14,FALSE),"")</f>
        <v/>
      </c>
      <c r="J461" t="str">
        <f>IFERROR(VLOOKUP(D461,'Team Data'!C:AB,8,FALSE),"")</f>
        <v/>
      </c>
      <c r="K461" t="str">
        <f>IFERROR(VLOOKUP(D461,'Team Data'!C:AB,9,FALSE),"")</f>
        <v/>
      </c>
      <c r="L461" t="str">
        <f>IFERROR(VLOOKUP(D461,'Team Data'!C:AB,10,FALSE),"")</f>
        <v/>
      </c>
      <c r="M461" t="str">
        <f t="shared" ref="M461:M524" si="16">IFERROR(H461-(J461+L461+K461),"")</f>
        <v/>
      </c>
      <c r="N461" t="str">
        <f>IFERROR(VLOOKUP(D461,'Team Data'!C:AB,23,FALSE),"")</f>
        <v/>
      </c>
      <c r="O461" t="str">
        <f>IFERROR(VLOOKUP(D461,'Team Data'!C:AB,22,FALSE),"")</f>
        <v/>
      </c>
      <c r="P461" t="str">
        <f t="shared" ref="P461:P524" si="17">IFERROR(E461-(H461+N461+Q461+I461+O461),"")</f>
        <v/>
      </c>
      <c r="Q461" t="str">
        <f>IFERROR(VLOOKUP(D461,'Team Data'!C:AB,15,FALSE),"")</f>
        <v/>
      </c>
      <c r="R461" t="str">
        <f>IFERROR(VLOOKUP('OB Format'!D461,'Team Data'!C:AB,24,FALSE),"")</f>
        <v/>
      </c>
      <c r="S461" t="str">
        <f>IFERROR(VLOOKUP('OB Format'!D461,'Team Data'!C:AC,25,FALSE),"")</f>
        <v/>
      </c>
    </row>
    <row r="462" spans="5:19" x14ac:dyDescent="0.25">
      <c r="E462" t="str">
        <f>IFERROR(VLOOKUP(D462,'Team Data'!C:AB,4,FALSE),"")</f>
        <v/>
      </c>
      <c r="F462" t="str">
        <f>IFERROR(VLOOKUP(D462,'Team Data'!C:AB,5,FALSE),"")</f>
        <v/>
      </c>
      <c r="G462" t="str">
        <f>IFERROR(VLOOKUP('OB Format'!D462,'Team Data'!C:AB,17,FALSE),"")</f>
        <v/>
      </c>
      <c r="H462" t="str">
        <f>IFERROR(VLOOKUP(D462,'Team Data'!C:AB,7,FALSE),"")</f>
        <v/>
      </c>
      <c r="I462" t="str">
        <f>IFERROR(VLOOKUP(D462,'Team Data'!C:AB,14,FALSE),"")</f>
        <v/>
      </c>
      <c r="J462" t="str">
        <f>IFERROR(VLOOKUP(D462,'Team Data'!C:AB,8,FALSE),"")</f>
        <v/>
      </c>
      <c r="K462" t="str">
        <f>IFERROR(VLOOKUP(D462,'Team Data'!C:AB,9,FALSE),"")</f>
        <v/>
      </c>
      <c r="L462" t="str">
        <f>IFERROR(VLOOKUP(D462,'Team Data'!C:AB,10,FALSE),"")</f>
        <v/>
      </c>
      <c r="M462" t="str">
        <f t="shared" si="16"/>
        <v/>
      </c>
      <c r="N462" t="str">
        <f>IFERROR(VLOOKUP(D462,'Team Data'!C:AB,23,FALSE),"")</f>
        <v/>
      </c>
      <c r="O462" t="str">
        <f>IFERROR(VLOOKUP(D462,'Team Data'!C:AB,22,FALSE),"")</f>
        <v/>
      </c>
      <c r="P462" t="str">
        <f t="shared" si="17"/>
        <v/>
      </c>
      <c r="Q462" t="str">
        <f>IFERROR(VLOOKUP(D462,'Team Data'!C:AB,15,FALSE),"")</f>
        <v/>
      </c>
      <c r="R462" t="str">
        <f>IFERROR(VLOOKUP('OB Format'!D462,'Team Data'!C:AB,24,FALSE),"")</f>
        <v/>
      </c>
      <c r="S462" t="str">
        <f>IFERROR(VLOOKUP('OB Format'!D462,'Team Data'!C:AC,25,FALSE),"")</f>
        <v/>
      </c>
    </row>
    <row r="463" spans="5:19" x14ac:dyDescent="0.25">
      <c r="E463" t="str">
        <f>IFERROR(VLOOKUP(D463,'Team Data'!C:AB,4,FALSE),"")</f>
        <v/>
      </c>
      <c r="F463" t="str">
        <f>IFERROR(VLOOKUP(D463,'Team Data'!C:AB,5,FALSE),"")</f>
        <v/>
      </c>
      <c r="G463" t="str">
        <f>IFERROR(VLOOKUP('OB Format'!D463,'Team Data'!C:AB,17,FALSE),"")</f>
        <v/>
      </c>
      <c r="H463" t="str">
        <f>IFERROR(VLOOKUP(D463,'Team Data'!C:AB,7,FALSE),"")</f>
        <v/>
      </c>
      <c r="I463" t="str">
        <f>IFERROR(VLOOKUP(D463,'Team Data'!C:AB,14,FALSE),"")</f>
        <v/>
      </c>
      <c r="J463" t="str">
        <f>IFERROR(VLOOKUP(D463,'Team Data'!C:AB,8,FALSE),"")</f>
        <v/>
      </c>
      <c r="K463" t="str">
        <f>IFERROR(VLOOKUP(D463,'Team Data'!C:AB,9,FALSE),"")</f>
        <v/>
      </c>
      <c r="L463" t="str">
        <f>IFERROR(VLOOKUP(D463,'Team Data'!C:AB,10,FALSE),"")</f>
        <v/>
      </c>
      <c r="M463" t="str">
        <f t="shared" si="16"/>
        <v/>
      </c>
      <c r="N463" t="str">
        <f>IFERROR(VLOOKUP(D463,'Team Data'!C:AB,23,FALSE),"")</f>
        <v/>
      </c>
      <c r="O463" t="str">
        <f>IFERROR(VLOOKUP(D463,'Team Data'!C:AB,22,FALSE),"")</f>
        <v/>
      </c>
      <c r="P463" t="str">
        <f t="shared" si="17"/>
        <v/>
      </c>
      <c r="Q463" t="str">
        <f>IFERROR(VLOOKUP(D463,'Team Data'!C:AB,15,FALSE),"")</f>
        <v/>
      </c>
      <c r="R463" t="str">
        <f>IFERROR(VLOOKUP('OB Format'!D463,'Team Data'!C:AB,24,FALSE),"")</f>
        <v/>
      </c>
      <c r="S463" t="str">
        <f>IFERROR(VLOOKUP('OB Format'!D463,'Team Data'!C:AC,25,FALSE),"")</f>
        <v/>
      </c>
    </row>
    <row r="464" spans="5:19" x14ac:dyDescent="0.25">
      <c r="E464" t="str">
        <f>IFERROR(VLOOKUP(D464,'Team Data'!C:AB,4,FALSE),"")</f>
        <v/>
      </c>
      <c r="F464" t="str">
        <f>IFERROR(VLOOKUP(D464,'Team Data'!C:AB,5,FALSE),"")</f>
        <v/>
      </c>
      <c r="G464" t="str">
        <f>IFERROR(VLOOKUP('OB Format'!D464,'Team Data'!C:AB,17,FALSE),"")</f>
        <v/>
      </c>
      <c r="H464" t="str">
        <f>IFERROR(VLOOKUP(D464,'Team Data'!C:AB,7,FALSE),"")</f>
        <v/>
      </c>
      <c r="I464" t="str">
        <f>IFERROR(VLOOKUP(D464,'Team Data'!C:AB,14,FALSE),"")</f>
        <v/>
      </c>
      <c r="J464" t="str">
        <f>IFERROR(VLOOKUP(D464,'Team Data'!C:AB,8,FALSE),"")</f>
        <v/>
      </c>
      <c r="K464" t="str">
        <f>IFERROR(VLOOKUP(D464,'Team Data'!C:AB,9,FALSE),"")</f>
        <v/>
      </c>
      <c r="L464" t="str">
        <f>IFERROR(VLOOKUP(D464,'Team Data'!C:AB,10,FALSE),"")</f>
        <v/>
      </c>
      <c r="M464" t="str">
        <f t="shared" si="16"/>
        <v/>
      </c>
      <c r="N464" t="str">
        <f>IFERROR(VLOOKUP(D464,'Team Data'!C:AB,23,FALSE),"")</f>
        <v/>
      </c>
      <c r="O464" t="str">
        <f>IFERROR(VLOOKUP(D464,'Team Data'!C:AB,22,FALSE),"")</f>
        <v/>
      </c>
      <c r="P464" t="str">
        <f t="shared" si="17"/>
        <v/>
      </c>
      <c r="Q464" t="str">
        <f>IFERROR(VLOOKUP(D464,'Team Data'!C:AB,15,FALSE),"")</f>
        <v/>
      </c>
      <c r="R464" t="str">
        <f>IFERROR(VLOOKUP('OB Format'!D464,'Team Data'!C:AB,24,FALSE),"")</f>
        <v/>
      </c>
      <c r="S464" t="str">
        <f>IFERROR(VLOOKUP('OB Format'!D464,'Team Data'!C:AC,25,FALSE),"")</f>
        <v/>
      </c>
    </row>
    <row r="465" spans="5:19" x14ac:dyDescent="0.25">
      <c r="E465" t="str">
        <f>IFERROR(VLOOKUP(D465,'Team Data'!C:AB,4,FALSE),"")</f>
        <v/>
      </c>
      <c r="F465" t="str">
        <f>IFERROR(VLOOKUP(D465,'Team Data'!C:AB,5,FALSE),"")</f>
        <v/>
      </c>
      <c r="G465" t="str">
        <f>IFERROR(VLOOKUP('OB Format'!D465,'Team Data'!C:AB,17,FALSE),"")</f>
        <v/>
      </c>
      <c r="H465" t="str">
        <f>IFERROR(VLOOKUP(D465,'Team Data'!C:AB,7,FALSE),"")</f>
        <v/>
      </c>
      <c r="I465" t="str">
        <f>IFERROR(VLOOKUP(D465,'Team Data'!C:AB,14,FALSE),"")</f>
        <v/>
      </c>
      <c r="J465" t="str">
        <f>IFERROR(VLOOKUP(D465,'Team Data'!C:AB,8,FALSE),"")</f>
        <v/>
      </c>
      <c r="K465" t="str">
        <f>IFERROR(VLOOKUP(D465,'Team Data'!C:AB,9,FALSE),"")</f>
        <v/>
      </c>
      <c r="L465" t="str">
        <f>IFERROR(VLOOKUP(D465,'Team Data'!C:AB,10,FALSE),"")</f>
        <v/>
      </c>
      <c r="M465" t="str">
        <f t="shared" si="16"/>
        <v/>
      </c>
      <c r="N465" t="str">
        <f>IFERROR(VLOOKUP(D465,'Team Data'!C:AB,23,FALSE),"")</f>
        <v/>
      </c>
      <c r="O465" t="str">
        <f>IFERROR(VLOOKUP(D465,'Team Data'!C:AB,22,FALSE),"")</f>
        <v/>
      </c>
      <c r="P465" t="str">
        <f t="shared" si="17"/>
        <v/>
      </c>
      <c r="Q465" t="str">
        <f>IFERROR(VLOOKUP(D465,'Team Data'!C:AB,15,FALSE),"")</f>
        <v/>
      </c>
      <c r="R465" t="str">
        <f>IFERROR(VLOOKUP('OB Format'!D465,'Team Data'!C:AB,24,FALSE),"")</f>
        <v/>
      </c>
      <c r="S465" t="str">
        <f>IFERROR(VLOOKUP('OB Format'!D465,'Team Data'!C:AC,25,FALSE),"")</f>
        <v/>
      </c>
    </row>
    <row r="466" spans="5:19" x14ac:dyDescent="0.25">
      <c r="E466" t="str">
        <f>IFERROR(VLOOKUP(D466,'Team Data'!C:AB,4,FALSE),"")</f>
        <v/>
      </c>
      <c r="F466" t="str">
        <f>IFERROR(VLOOKUP(D466,'Team Data'!C:AB,5,FALSE),"")</f>
        <v/>
      </c>
      <c r="G466" t="str">
        <f>IFERROR(VLOOKUP('OB Format'!D466,'Team Data'!C:AB,17,FALSE),"")</f>
        <v/>
      </c>
      <c r="H466" t="str">
        <f>IFERROR(VLOOKUP(D466,'Team Data'!C:AB,7,FALSE),"")</f>
        <v/>
      </c>
      <c r="I466" t="str">
        <f>IFERROR(VLOOKUP(D466,'Team Data'!C:AB,14,FALSE),"")</f>
        <v/>
      </c>
      <c r="J466" t="str">
        <f>IFERROR(VLOOKUP(D466,'Team Data'!C:AB,8,FALSE),"")</f>
        <v/>
      </c>
      <c r="K466" t="str">
        <f>IFERROR(VLOOKUP(D466,'Team Data'!C:AB,9,FALSE),"")</f>
        <v/>
      </c>
      <c r="L466" t="str">
        <f>IFERROR(VLOOKUP(D466,'Team Data'!C:AB,10,FALSE),"")</f>
        <v/>
      </c>
      <c r="M466" t="str">
        <f t="shared" si="16"/>
        <v/>
      </c>
      <c r="N466" t="str">
        <f>IFERROR(VLOOKUP(D466,'Team Data'!C:AB,23,FALSE),"")</f>
        <v/>
      </c>
      <c r="O466" t="str">
        <f>IFERROR(VLOOKUP(D466,'Team Data'!C:AB,22,FALSE),"")</f>
        <v/>
      </c>
      <c r="P466" t="str">
        <f t="shared" si="17"/>
        <v/>
      </c>
      <c r="Q466" t="str">
        <f>IFERROR(VLOOKUP(D466,'Team Data'!C:AB,15,FALSE),"")</f>
        <v/>
      </c>
      <c r="R466" t="str">
        <f>IFERROR(VLOOKUP('OB Format'!D466,'Team Data'!C:AB,24,FALSE),"")</f>
        <v/>
      </c>
      <c r="S466" t="str">
        <f>IFERROR(VLOOKUP('OB Format'!D466,'Team Data'!C:AC,25,FALSE),"")</f>
        <v/>
      </c>
    </row>
    <row r="467" spans="5:19" x14ac:dyDescent="0.25">
      <c r="E467" t="str">
        <f>IFERROR(VLOOKUP(D467,'Team Data'!C:AB,4,FALSE),"")</f>
        <v/>
      </c>
      <c r="F467" t="str">
        <f>IFERROR(VLOOKUP(D467,'Team Data'!C:AB,5,FALSE),"")</f>
        <v/>
      </c>
      <c r="G467" t="str">
        <f>IFERROR(VLOOKUP('OB Format'!D467,'Team Data'!C:AB,17,FALSE),"")</f>
        <v/>
      </c>
      <c r="H467" t="str">
        <f>IFERROR(VLOOKUP(D467,'Team Data'!C:AB,7,FALSE),"")</f>
        <v/>
      </c>
      <c r="I467" t="str">
        <f>IFERROR(VLOOKUP(D467,'Team Data'!C:AB,14,FALSE),"")</f>
        <v/>
      </c>
      <c r="J467" t="str">
        <f>IFERROR(VLOOKUP(D467,'Team Data'!C:AB,8,FALSE),"")</f>
        <v/>
      </c>
      <c r="K467" t="str">
        <f>IFERROR(VLOOKUP(D467,'Team Data'!C:AB,9,FALSE),"")</f>
        <v/>
      </c>
      <c r="L467" t="str">
        <f>IFERROR(VLOOKUP(D467,'Team Data'!C:AB,10,FALSE),"")</f>
        <v/>
      </c>
      <c r="M467" t="str">
        <f t="shared" si="16"/>
        <v/>
      </c>
      <c r="N467" t="str">
        <f>IFERROR(VLOOKUP(D467,'Team Data'!C:AB,23,FALSE),"")</f>
        <v/>
      </c>
      <c r="O467" t="str">
        <f>IFERROR(VLOOKUP(D467,'Team Data'!C:AB,22,FALSE),"")</f>
        <v/>
      </c>
      <c r="P467" t="str">
        <f t="shared" si="17"/>
        <v/>
      </c>
      <c r="Q467" t="str">
        <f>IFERROR(VLOOKUP(D467,'Team Data'!C:AB,15,FALSE),"")</f>
        <v/>
      </c>
      <c r="R467" t="str">
        <f>IFERROR(VLOOKUP('OB Format'!D467,'Team Data'!C:AB,24,FALSE),"")</f>
        <v/>
      </c>
      <c r="S467" t="str">
        <f>IFERROR(VLOOKUP('OB Format'!D467,'Team Data'!C:AC,25,FALSE),"")</f>
        <v/>
      </c>
    </row>
    <row r="468" spans="5:19" x14ac:dyDescent="0.25">
      <c r="E468" t="str">
        <f>IFERROR(VLOOKUP(D468,'Team Data'!C:AB,4,FALSE),"")</f>
        <v/>
      </c>
      <c r="F468" t="str">
        <f>IFERROR(VLOOKUP(D468,'Team Data'!C:AB,5,FALSE),"")</f>
        <v/>
      </c>
      <c r="G468" t="str">
        <f>IFERROR(VLOOKUP('OB Format'!D468,'Team Data'!C:AB,17,FALSE),"")</f>
        <v/>
      </c>
      <c r="H468" t="str">
        <f>IFERROR(VLOOKUP(D468,'Team Data'!C:AB,7,FALSE),"")</f>
        <v/>
      </c>
      <c r="I468" t="str">
        <f>IFERROR(VLOOKUP(D468,'Team Data'!C:AB,14,FALSE),"")</f>
        <v/>
      </c>
      <c r="J468" t="str">
        <f>IFERROR(VLOOKUP(D468,'Team Data'!C:AB,8,FALSE),"")</f>
        <v/>
      </c>
      <c r="K468" t="str">
        <f>IFERROR(VLOOKUP(D468,'Team Data'!C:AB,9,FALSE),"")</f>
        <v/>
      </c>
      <c r="L468" t="str">
        <f>IFERROR(VLOOKUP(D468,'Team Data'!C:AB,10,FALSE),"")</f>
        <v/>
      </c>
      <c r="M468" t="str">
        <f t="shared" si="16"/>
        <v/>
      </c>
      <c r="N468" t="str">
        <f>IFERROR(VLOOKUP(D468,'Team Data'!C:AB,23,FALSE),"")</f>
        <v/>
      </c>
      <c r="O468" t="str">
        <f>IFERROR(VLOOKUP(D468,'Team Data'!C:AB,22,FALSE),"")</f>
        <v/>
      </c>
      <c r="P468" t="str">
        <f t="shared" si="17"/>
        <v/>
      </c>
      <c r="Q468" t="str">
        <f>IFERROR(VLOOKUP(D468,'Team Data'!C:AB,15,FALSE),"")</f>
        <v/>
      </c>
      <c r="R468" t="str">
        <f>IFERROR(VLOOKUP('OB Format'!D468,'Team Data'!C:AB,24,FALSE),"")</f>
        <v/>
      </c>
      <c r="S468" t="str">
        <f>IFERROR(VLOOKUP('OB Format'!D468,'Team Data'!C:AC,25,FALSE),"")</f>
        <v/>
      </c>
    </row>
    <row r="469" spans="5:19" x14ac:dyDescent="0.25">
      <c r="E469" t="str">
        <f>IFERROR(VLOOKUP(D469,'Team Data'!C:AB,4,FALSE),"")</f>
        <v/>
      </c>
      <c r="F469" t="str">
        <f>IFERROR(VLOOKUP(D469,'Team Data'!C:AB,5,FALSE),"")</f>
        <v/>
      </c>
      <c r="G469" t="str">
        <f>IFERROR(VLOOKUP('OB Format'!D469,'Team Data'!C:AB,17,FALSE),"")</f>
        <v/>
      </c>
      <c r="H469" t="str">
        <f>IFERROR(VLOOKUP(D469,'Team Data'!C:AB,7,FALSE),"")</f>
        <v/>
      </c>
      <c r="I469" t="str">
        <f>IFERROR(VLOOKUP(D469,'Team Data'!C:AB,14,FALSE),"")</f>
        <v/>
      </c>
      <c r="J469" t="str">
        <f>IFERROR(VLOOKUP(D469,'Team Data'!C:AB,8,FALSE),"")</f>
        <v/>
      </c>
      <c r="K469" t="str">
        <f>IFERROR(VLOOKUP(D469,'Team Data'!C:AB,9,FALSE),"")</f>
        <v/>
      </c>
      <c r="L469" t="str">
        <f>IFERROR(VLOOKUP(D469,'Team Data'!C:AB,10,FALSE),"")</f>
        <v/>
      </c>
      <c r="M469" t="str">
        <f t="shared" si="16"/>
        <v/>
      </c>
      <c r="N469" t="str">
        <f>IFERROR(VLOOKUP(D469,'Team Data'!C:AB,23,FALSE),"")</f>
        <v/>
      </c>
      <c r="O469" t="str">
        <f>IFERROR(VLOOKUP(D469,'Team Data'!C:AB,22,FALSE),"")</f>
        <v/>
      </c>
      <c r="P469" t="str">
        <f t="shared" si="17"/>
        <v/>
      </c>
      <c r="Q469" t="str">
        <f>IFERROR(VLOOKUP(D469,'Team Data'!C:AB,15,FALSE),"")</f>
        <v/>
      </c>
      <c r="R469" t="str">
        <f>IFERROR(VLOOKUP('OB Format'!D469,'Team Data'!C:AB,24,FALSE),"")</f>
        <v/>
      </c>
      <c r="S469" t="str">
        <f>IFERROR(VLOOKUP('OB Format'!D469,'Team Data'!C:AC,25,FALSE),"")</f>
        <v/>
      </c>
    </row>
    <row r="470" spans="5:19" x14ac:dyDescent="0.25">
      <c r="E470" t="str">
        <f>IFERROR(VLOOKUP(D470,'Team Data'!C:AB,4,FALSE),"")</f>
        <v/>
      </c>
      <c r="F470" t="str">
        <f>IFERROR(VLOOKUP(D470,'Team Data'!C:AB,5,FALSE),"")</f>
        <v/>
      </c>
      <c r="G470" t="str">
        <f>IFERROR(VLOOKUP('OB Format'!D470,'Team Data'!C:AB,17,FALSE),"")</f>
        <v/>
      </c>
      <c r="H470" t="str">
        <f>IFERROR(VLOOKUP(D470,'Team Data'!C:AB,7,FALSE),"")</f>
        <v/>
      </c>
      <c r="I470" t="str">
        <f>IFERROR(VLOOKUP(D470,'Team Data'!C:AB,14,FALSE),"")</f>
        <v/>
      </c>
      <c r="J470" t="str">
        <f>IFERROR(VLOOKUP(D470,'Team Data'!C:AB,8,FALSE),"")</f>
        <v/>
      </c>
      <c r="K470" t="str">
        <f>IFERROR(VLOOKUP(D470,'Team Data'!C:AB,9,FALSE),"")</f>
        <v/>
      </c>
      <c r="L470" t="str">
        <f>IFERROR(VLOOKUP(D470,'Team Data'!C:AB,10,FALSE),"")</f>
        <v/>
      </c>
      <c r="M470" t="str">
        <f t="shared" si="16"/>
        <v/>
      </c>
      <c r="N470" t="str">
        <f>IFERROR(VLOOKUP(D470,'Team Data'!C:AB,23,FALSE),"")</f>
        <v/>
      </c>
      <c r="O470" t="str">
        <f>IFERROR(VLOOKUP(D470,'Team Data'!C:AB,22,FALSE),"")</f>
        <v/>
      </c>
      <c r="P470" t="str">
        <f t="shared" si="17"/>
        <v/>
      </c>
      <c r="Q470" t="str">
        <f>IFERROR(VLOOKUP(D470,'Team Data'!C:AB,15,FALSE),"")</f>
        <v/>
      </c>
      <c r="R470" t="str">
        <f>IFERROR(VLOOKUP('OB Format'!D470,'Team Data'!C:AB,24,FALSE),"")</f>
        <v/>
      </c>
      <c r="S470" t="str">
        <f>IFERROR(VLOOKUP('OB Format'!D470,'Team Data'!C:AC,25,FALSE),"")</f>
        <v/>
      </c>
    </row>
    <row r="471" spans="5:19" x14ac:dyDescent="0.25">
      <c r="E471" t="str">
        <f>IFERROR(VLOOKUP(D471,'Team Data'!C:AB,4,FALSE),"")</f>
        <v/>
      </c>
      <c r="F471" t="str">
        <f>IFERROR(VLOOKUP(D471,'Team Data'!C:AB,5,FALSE),"")</f>
        <v/>
      </c>
      <c r="G471" t="str">
        <f>IFERROR(VLOOKUP('OB Format'!D471,'Team Data'!C:AB,17,FALSE),"")</f>
        <v/>
      </c>
      <c r="H471" t="str">
        <f>IFERROR(VLOOKUP(D471,'Team Data'!C:AB,7,FALSE),"")</f>
        <v/>
      </c>
      <c r="I471" t="str">
        <f>IFERROR(VLOOKUP(D471,'Team Data'!C:AB,14,FALSE),"")</f>
        <v/>
      </c>
      <c r="J471" t="str">
        <f>IFERROR(VLOOKUP(D471,'Team Data'!C:AB,8,FALSE),"")</f>
        <v/>
      </c>
      <c r="K471" t="str">
        <f>IFERROR(VLOOKUP(D471,'Team Data'!C:AB,9,FALSE),"")</f>
        <v/>
      </c>
      <c r="L471" t="str">
        <f>IFERROR(VLOOKUP(D471,'Team Data'!C:AB,10,FALSE),"")</f>
        <v/>
      </c>
      <c r="M471" t="str">
        <f t="shared" si="16"/>
        <v/>
      </c>
      <c r="N471" t="str">
        <f>IFERROR(VLOOKUP(D471,'Team Data'!C:AB,23,FALSE),"")</f>
        <v/>
      </c>
      <c r="O471" t="str">
        <f>IFERROR(VLOOKUP(D471,'Team Data'!C:AB,22,FALSE),"")</f>
        <v/>
      </c>
      <c r="P471" t="str">
        <f t="shared" si="17"/>
        <v/>
      </c>
      <c r="Q471" t="str">
        <f>IFERROR(VLOOKUP(D471,'Team Data'!C:AB,15,FALSE),"")</f>
        <v/>
      </c>
      <c r="R471" t="str">
        <f>IFERROR(VLOOKUP('OB Format'!D471,'Team Data'!C:AB,24,FALSE),"")</f>
        <v/>
      </c>
      <c r="S471" t="str">
        <f>IFERROR(VLOOKUP('OB Format'!D471,'Team Data'!C:AC,25,FALSE),"")</f>
        <v/>
      </c>
    </row>
    <row r="472" spans="5:19" x14ac:dyDescent="0.25">
      <c r="E472" t="str">
        <f>IFERROR(VLOOKUP(D472,'Team Data'!C:AB,4,FALSE),"")</f>
        <v/>
      </c>
      <c r="F472" t="str">
        <f>IFERROR(VLOOKUP(D472,'Team Data'!C:AB,5,FALSE),"")</f>
        <v/>
      </c>
      <c r="G472" t="str">
        <f>IFERROR(VLOOKUP('OB Format'!D472,'Team Data'!C:AB,17,FALSE),"")</f>
        <v/>
      </c>
      <c r="H472" t="str">
        <f>IFERROR(VLOOKUP(D472,'Team Data'!C:AB,7,FALSE),"")</f>
        <v/>
      </c>
      <c r="I472" t="str">
        <f>IFERROR(VLOOKUP(D472,'Team Data'!C:AB,14,FALSE),"")</f>
        <v/>
      </c>
      <c r="J472" t="str">
        <f>IFERROR(VLOOKUP(D472,'Team Data'!C:AB,8,FALSE),"")</f>
        <v/>
      </c>
      <c r="K472" t="str">
        <f>IFERROR(VLOOKUP(D472,'Team Data'!C:AB,9,FALSE),"")</f>
        <v/>
      </c>
      <c r="L472" t="str">
        <f>IFERROR(VLOOKUP(D472,'Team Data'!C:AB,10,FALSE),"")</f>
        <v/>
      </c>
      <c r="M472" t="str">
        <f t="shared" si="16"/>
        <v/>
      </c>
      <c r="N472" t="str">
        <f>IFERROR(VLOOKUP(D472,'Team Data'!C:AB,23,FALSE),"")</f>
        <v/>
      </c>
      <c r="O472" t="str">
        <f>IFERROR(VLOOKUP(D472,'Team Data'!C:AB,22,FALSE),"")</f>
        <v/>
      </c>
      <c r="P472" t="str">
        <f t="shared" si="17"/>
        <v/>
      </c>
      <c r="Q472" t="str">
        <f>IFERROR(VLOOKUP(D472,'Team Data'!C:AB,15,FALSE),"")</f>
        <v/>
      </c>
      <c r="R472" t="str">
        <f>IFERROR(VLOOKUP('OB Format'!D472,'Team Data'!C:AB,24,FALSE),"")</f>
        <v/>
      </c>
      <c r="S472" t="str">
        <f>IFERROR(VLOOKUP('OB Format'!D472,'Team Data'!C:AC,25,FALSE),"")</f>
        <v/>
      </c>
    </row>
    <row r="473" spans="5:19" x14ac:dyDescent="0.25">
      <c r="E473" t="str">
        <f>IFERROR(VLOOKUP(D473,'Team Data'!C:AB,4,FALSE),"")</f>
        <v/>
      </c>
      <c r="F473" t="str">
        <f>IFERROR(VLOOKUP(D473,'Team Data'!C:AB,5,FALSE),"")</f>
        <v/>
      </c>
      <c r="G473" t="str">
        <f>IFERROR(VLOOKUP('OB Format'!D473,'Team Data'!C:AB,17,FALSE),"")</f>
        <v/>
      </c>
      <c r="H473" t="str">
        <f>IFERROR(VLOOKUP(D473,'Team Data'!C:AB,7,FALSE),"")</f>
        <v/>
      </c>
      <c r="I473" t="str">
        <f>IFERROR(VLOOKUP(D473,'Team Data'!C:AB,14,FALSE),"")</f>
        <v/>
      </c>
      <c r="J473" t="str">
        <f>IFERROR(VLOOKUP(D473,'Team Data'!C:AB,8,FALSE),"")</f>
        <v/>
      </c>
      <c r="K473" t="str">
        <f>IFERROR(VLOOKUP(D473,'Team Data'!C:AB,9,FALSE),"")</f>
        <v/>
      </c>
      <c r="L473" t="str">
        <f>IFERROR(VLOOKUP(D473,'Team Data'!C:AB,10,FALSE),"")</f>
        <v/>
      </c>
      <c r="M473" t="str">
        <f t="shared" si="16"/>
        <v/>
      </c>
      <c r="N473" t="str">
        <f>IFERROR(VLOOKUP(D473,'Team Data'!C:AB,23,FALSE),"")</f>
        <v/>
      </c>
      <c r="O473" t="str">
        <f>IFERROR(VLOOKUP(D473,'Team Data'!C:AB,22,FALSE),"")</f>
        <v/>
      </c>
      <c r="P473" t="str">
        <f t="shared" si="17"/>
        <v/>
      </c>
      <c r="Q473" t="str">
        <f>IFERROR(VLOOKUP(D473,'Team Data'!C:AB,15,FALSE),"")</f>
        <v/>
      </c>
      <c r="R473" t="str">
        <f>IFERROR(VLOOKUP('OB Format'!D473,'Team Data'!C:AB,24,FALSE),"")</f>
        <v/>
      </c>
      <c r="S473" t="str">
        <f>IFERROR(VLOOKUP('OB Format'!D473,'Team Data'!C:AC,25,FALSE),"")</f>
        <v/>
      </c>
    </row>
    <row r="474" spans="5:19" x14ac:dyDescent="0.25">
      <c r="E474" t="str">
        <f>IFERROR(VLOOKUP(D474,'Team Data'!C:AB,4,FALSE),"")</f>
        <v/>
      </c>
      <c r="F474" t="str">
        <f>IFERROR(VLOOKUP(D474,'Team Data'!C:AB,5,FALSE),"")</f>
        <v/>
      </c>
      <c r="G474" t="str">
        <f>IFERROR(VLOOKUP('OB Format'!D474,'Team Data'!C:AB,17,FALSE),"")</f>
        <v/>
      </c>
      <c r="H474" t="str">
        <f>IFERROR(VLOOKUP(D474,'Team Data'!C:AB,7,FALSE),"")</f>
        <v/>
      </c>
      <c r="I474" t="str">
        <f>IFERROR(VLOOKUP(D474,'Team Data'!C:AB,14,FALSE),"")</f>
        <v/>
      </c>
      <c r="J474" t="str">
        <f>IFERROR(VLOOKUP(D474,'Team Data'!C:AB,8,FALSE),"")</f>
        <v/>
      </c>
      <c r="K474" t="str">
        <f>IFERROR(VLOOKUP(D474,'Team Data'!C:AB,9,FALSE),"")</f>
        <v/>
      </c>
      <c r="L474" t="str">
        <f>IFERROR(VLOOKUP(D474,'Team Data'!C:AB,10,FALSE),"")</f>
        <v/>
      </c>
      <c r="M474" t="str">
        <f t="shared" si="16"/>
        <v/>
      </c>
      <c r="N474" t="str">
        <f>IFERROR(VLOOKUP(D474,'Team Data'!C:AB,23,FALSE),"")</f>
        <v/>
      </c>
      <c r="O474" t="str">
        <f>IFERROR(VLOOKUP(D474,'Team Data'!C:AB,22,FALSE),"")</f>
        <v/>
      </c>
      <c r="P474" t="str">
        <f t="shared" si="17"/>
        <v/>
      </c>
      <c r="Q474" t="str">
        <f>IFERROR(VLOOKUP(D474,'Team Data'!C:AB,15,FALSE),"")</f>
        <v/>
      </c>
      <c r="R474" t="str">
        <f>IFERROR(VLOOKUP('OB Format'!D474,'Team Data'!C:AB,24,FALSE),"")</f>
        <v/>
      </c>
      <c r="S474" t="str">
        <f>IFERROR(VLOOKUP('OB Format'!D474,'Team Data'!C:AC,25,FALSE),"")</f>
        <v/>
      </c>
    </row>
    <row r="475" spans="5:19" x14ac:dyDescent="0.25">
      <c r="E475" t="str">
        <f>IFERROR(VLOOKUP(D475,'Team Data'!C:AB,4,FALSE),"")</f>
        <v/>
      </c>
      <c r="F475" t="str">
        <f>IFERROR(VLOOKUP(D475,'Team Data'!C:AB,5,FALSE),"")</f>
        <v/>
      </c>
      <c r="G475" t="str">
        <f>IFERROR(VLOOKUP('OB Format'!D475,'Team Data'!C:AB,17,FALSE),"")</f>
        <v/>
      </c>
      <c r="H475" t="str">
        <f>IFERROR(VLOOKUP(D475,'Team Data'!C:AB,7,FALSE),"")</f>
        <v/>
      </c>
      <c r="I475" t="str">
        <f>IFERROR(VLOOKUP(D475,'Team Data'!C:AB,14,FALSE),"")</f>
        <v/>
      </c>
      <c r="J475" t="str">
        <f>IFERROR(VLOOKUP(D475,'Team Data'!C:AB,8,FALSE),"")</f>
        <v/>
      </c>
      <c r="K475" t="str">
        <f>IFERROR(VLOOKUP(D475,'Team Data'!C:AB,9,FALSE),"")</f>
        <v/>
      </c>
      <c r="L475" t="str">
        <f>IFERROR(VLOOKUP(D475,'Team Data'!C:AB,10,FALSE),"")</f>
        <v/>
      </c>
      <c r="M475" t="str">
        <f t="shared" si="16"/>
        <v/>
      </c>
      <c r="N475" t="str">
        <f>IFERROR(VLOOKUP(D475,'Team Data'!C:AB,23,FALSE),"")</f>
        <v/>
      </c>
      <c r="O475" t="str">
        <f>IFERROR(VLOOKUP(D475,'Team Data'!C:AB,22,FALSE),"")</f>
        <v/>
      </c>
      <c r="P475" t="str">
        <f t="shared" si="17"/>
        <v/>
      </c>
      <c r="Q475" t="str">
        <f>IFERROR(VLOOKUP(D475,'Team Data'!C:AB,15,FALSE),"")</f>
        <v/>
      </c>
      <c r="R475" t="str">
        <f>IFERROR(VLOOKUP('OB Format'!D475,'Team Data'!C:AB,24,FALSE),"")</f>
        <v/>
      </c>
      <c r="S475" t="str">
        <f>IFERROR(VLOOKUP('OB Format'!D475,'Team Data'!C:AC,25,FALSE),"")</f>
        <v/>
      </c>
    </row>
    <row r="476" spans="5:19" x14ac:dyDescent="0.25">
      <c r="E476" t="str">
        <f>IFERROR(VLOOKUP(D476,'Team Data'!C:AB,4,FALSE),"")</f>
        <v/>
      </c>
      <c r="F476" t="str">
        <f>IFERROR(VLOOKUP(D476,'Team Data'!C:AB,5,FALSE),"")</f>
        <v/>
      </c>
      <c r="G476" t="str">
        <f>IFERROR(VLOOKUP('OB Format'!D476,'Team Data'!C:AB,17,FALSE),"")</f>
        <v/>
      </c>
      <c r="H476" t="str">
        <f>IFERROR(VLOOKUP(D476,'Team Data'!C:AB,7,FALSE),"")</f>
        <v/>
      </c>
      <c r="I476" t="str">
        <f>IFERROR(VLOOKUP(D476,'Team Data'!C:AB,14,FALSE),"")</f>
        <v/>
      </c>
      <c r="J476" t="str">
        <f>IFERROR(VLOOKUP(D476,'Team Data'!C:AB,8,FALSE),"")</f>
        <v/>
      </c>
      <c r="K476" t="str">
        <f>IFERROR(VLOOKUP(D476,'Team Data'!C:AB,9,FALSE),"")</f>
        <v/>
      </c>
      <c r="L476" t="str">
        <f>IFERROR(VLOOKUP(D476,'Team Data'!C:AB,10,FALSE),"")</f>
        <v/>
      </c>
      <c r="M476" t="str">
        <f t="shared" si="16"/>
        <v/>
      </c>
      <c r="N476" t="str">
        <f>IFERROR(VLOOKUP(D476,'Team Data'!C:AB,23,FALSE),"")</f>
        <v/>
      </c>
      <c r="O476" t="str">
        <f>IFERROR(VLOOKUP(D476,'Team Data'!C:AB,22,FALSE),"")</f>
        <v/>
      </c>
      <c r="P476" t="str">
        <f t="shared" si="17"/>
        <v/>
      </c>
      <c r="Q476" t="str">
        <f>IFERROR(VLOOKUP(D476,'Team Data'!C:AB,15,FALSE),"")</f>
        <v/>
      </c>
      <c r="R476" t="str">
        <f>IFERROR(VLOOKUP('OB Format'!D476,'Team Data'!C:AB,24,FALSE),"")</f>
        <v/>
      </c>
      <c r="S476" t="str">
        <f>IFERROR(VLOOKUP('OB Format'!D476,'Team Data'!C:AC,25,FALSE),"")</f>
        <v/>
      </c>
    </row>
    <row r="477" spans="5:19" x14ac:dyDescent="0.25">
      <c r="E477" t="str">
        <f>IFERROR(VLOOKUP(D477,'Team Data'!C:AB,4,FALSE),"")</f>
        <v/>
      </c>
      <c r="F477" t="str">
        <f>IFERROR(VLOOKUP(D477,'Team Data'!C:AB,5,FALSE),"")</f>
        <v/>
      </c>
      <c r="G477" t="str">
        <f>IFERROR(VLOOKUP('OB Format'!D477,'Team Data'!C:AB,17,FALSE),"")</f>
        <v/>
      </c>
      <c r="H477" t="str">
        <f>IFERROR(VLOOKUP(D477,'Team Data'!C:AB,7,FALSE),"")</f>
        <v/>
      </c>
      <c r="I477" t="str">
        <f>IFERROR(VLOOKUP(D477,'Team Data'!C:AB,14,FALSE),"")</f>
        <v/>
      </c>
      <c r="J477" t="str">
        <f>IFERROR(VLOOKUP(D477,'Team Data'!C:AB,8,FALSE),"")</f>
        <v/>
      </c>
      <c r="K477" t="str">
        <f>IFERROR(VLOOKUP(D477,'Team Data'!C:AB,9,FALSE),"")</f>
        <v/>
      </c>
      <c r="L477" t="str">
        <f>IFERROR(VLOOKUP(D477,'Team Data'!C:AB,10,FALSE),"")</f>
        <v/>
      </c>
      <c r="M477" t="str">
        <f t="shared" si="16"/>
        <v/>
      </c>
      <c r="N477" t="str">
        <f>IFERROR(VLOOKUP(D477,'Team Data'!C:AB,23,FALSE),"")</f>
        <v/>
      </c>
      <c r="O477" t="str">
        <f>IFERROR(VLOOKUP(D477,'Team Data'!C:AB,22,FALSE),"")</f>
        <v/>
      </c>
      <c r="P477" t="str">
        <f t="shared" si="17"/>
        <v/>
      </c>
      <c r="Q477" t="str">
        <f>IFERROR(VLOOKUP(D477,'Team Data'!C:AB,15,FALSE),"")</f>
        <v/>
      </c>
      <c r="R477" t="str">
        <f>IFERROR(VLOOKUP('OB Format'!D477,'Team Data'!C:AB,24,FALSE),"")</f>
        <v/>
      </c>
      <c r="S477" t="str">
        <f>IFERROR(VLOOKUP('OB Format'!D477,'Team Data'!C:AC,25,FALSE),"")</f>
        <v/>
      </c>
    </row>
    <row r="478" spans="5:19" x14ac:dyDescent="0.25">
      <c r="E478" t="str">
        <f>IFERROR(VLOOKUP(D478,'Team Data'!C:AB,4,FALSE),"")</f>
        <v/>
      </c>
      <c r="F478" t="str">
        <f>IFERROR(VLOOKUP(D478,'Team Data'!C:AB,5,FALSE),"")</f>
        <v/>
      </c>
      <c r="G478" t="str">
        <f>IFERROR(VLOOKUP('OB Format'!D478,'Team Data'!C:AB,17,FALSE),"")</f>
        <v/>
      </c>
      <c r="H478" t="str">
        <f>IFERROR(VLOOKUP(D478,'Team Data'!C:AB,7,FALSE),"")</f>
        <v/>
      </c>
      <c r="I478" t="str">
        <f>IFERROR(VLOOKUP(D478,'Team Data'!C:AB,14,FALSE),"")</f>
        <v/>
      </c>
      <c r="J478" t="str">
        <f>IFERROR(VLOOKUP(D478,'Team Data'!C:AB,8,FALSE),"")</f>
        <v/>
      </c>
      <c r="K478" t="str">
        <f>IFERROR(VLOOKUP(D478,'Team Data'!C:AB,9,FALSE),"")</f>
        <v/>
      </c>
      <c r="L478" t="str">
        <f>IFERROR(VLOOKUP(D478,'Team Data'!C:AB,10,FALSE),"")</f>
        <v/>
      </c>
      <c r="M478" t="str">
        <f t="shared" si="16"/>
        <v/>
      </c>
      <c r="N478" t="str">
        <f>IFERROR(VLOOKUP(D478,'Team Data'!C:AB,23,FALSE),"")</f>
        <v/>
      </c>
      <c r="O478" t="str">
        <f>IFERROR(VLOOKUP(D478,'Team Data'!C:AB,22,FALSE),"")</f>
        <v/>
      </c>
      <c r="P478" t="str">
        <f t="shared" si="17"/>
        <v/>
      </c>
      <c r="Q478" t="str">
        <f>IFERROR(VLOOKUP(D478,'Team Data'!C:AB,15,FALSE),"")</f>
        <v/>
      </c>
      <c r="R478" t="str">
        <f>IFERROR(VLOOKUP('OB Format'!D478,'Team Data'!C:AB,24,FALSE),"")</f>
        <v/>
      </c>
      <c r="S478" t="str">
        <f>IFERROR(VLOOKUP('OB Format'!D478,'Team Data'!C:AC,25,FALSE),"")</f>
        <v/>
      </c>
    </row>
    <row r="479" spans="5:19" x14ac:dyDescent="0.25">
      <c r="E479" t="str">
        <f>IFERROR(VLOOKUP(D479,'Team Data'!C:AB,4,FALSE),"")</f>
        <v/>
      </c>
      <c r="F479" t="str">
        <f>IFERROR(VLOOKUP(D479,'Team Data'!C:AB,5,FALSE),"")</f>
        <v/>
      </c>
      <c r="G479" t="str">
        <f>IFERROR(VLOOKUP('OB Format'!D479,'Team Data'!C:AB,17,FALSE),"")</f>
        <v/>
      </c>
      <c r="H479" t="str">
        <f>IFERROR(VLOOKUP(D479,'Team Data'!C:AB,7,FALSE),"")</f>
        <v/>
      </c>
      <c r="I479" t="str">
        <f>IFERROR(VLOOKUP(D479,'Team Data'!C:AB,14,FALSE),"")</f>
        <v/>
      </c>
      <c r="J479" t="str">
        <f>IFERROR(VLOOKUP(D479,'Team Data'!C:AB,8,FALSE),"")</f>
        <v/>
      </c>
      <c r="K479" t="str">
        <f>IFERROR(VLOOKUP(D479,'Team Data'!C:AB,9,FALSE),"")</f>
        <v/>
      </c>
      <c r="L479" t="str">
        <f>IFERROR(VLOOKUP(D479,'Team Data'!C:AB,10,FALSE),"")</f>
        <v/>
      </c>
      <c r="M479" t="str">
        <f t="shared" si="16"/>
        <v/>
      </c>
      <c r="N479" t="str">
        <f>IFERROR(VLOOKUP(D479,'Team Data'!C:AB,23,FALSE),"")</f>
        <v/>
      </c>
      <c r="O479" t="str">
        <f>IFERROR(VLOOKUP(D479,'Team Data'!C:AB,22,FALSE),"")</f>
        <v/>
      </c>
      <c r="P479" t="str">
        <f t="shared" si="17"/>
        <v/>
      </c>
      <c r="Q479" t="str">
        <f>IFERROR(VLOOKUP(D479,'Team Data'!C:AB,15,FALSE),"")</f>
        <v/>
      </c>
      <c r="R479" t="str">
        <f>IFERROR(VLOOKUP('OB Format'!D479,'Team Data'!C:AB,24,FALSE),"")</f>
        <v/>
      </c>
      <c r="S479" t="str">
        <f>IFERROR(VLOOKUP('OB Format'!D479,'Team Data'!C:AC,25,FALSE),"")</f>
        <v/>
      </c>
    </row>
    <row r="480" spans="5:19" x14ac:dyDescent="0.25">
      <c r="E480" t="str">
        <f>IFERROR(VLOOKUP(D480,'Team Data'!C:AB,4,FALSE),"")</f>
        <v/>
      </c>
      <c r="F480" t="str">
        <f>IFERROR(VLOOKUP(D480,'Team Data'!C:AB,5,FALSE),"")</f>
        <v/>
      </c>
      <c r="G480" t="str">
        <f>IFERROR(VLOOKUP('OB Format'!D480,'Team Data'!C:AB,17,FALSE),"")</f>
        <v/>
      </c>
      <c r="H480" t="str">
        <f>IFERROR(VLOOKUP(D480,'Team Data'!C:AB,7,FALSE),"")</f>
        <v/>
      </c>
      <c r="I480" t="str">
        <f>IFERROR(VLOOKUP(D480,'Team Data'!C:AB,14,FALSE),"")</f>
        <v/>
      </c>
      <c r="J480" t="str">
        <f>IFERROR(VLOOKUP(D480,'Team Data'!C:AB,8,FALSE),"")</f>
        <v/>
      </c>
      <c r="K480" t="str">
        <f>IFERROR(VLOOKUP(D480,'Team Data'!C:AB,9,FALSE),"")</f>
        <v/>
      </c>
      <c r="L480" t="str">
        <f>IFERROR(VLOOKUP(D480,'Team Data'!C:AB,10,FALSE),"")</f>
        <v/>
      </c>
      <c r="M480" t="str">
        <f t="shared" si="16"/>
        <v/>
      </c>
      <c r="N480" t="str">
        <f>IFERROR(VLOOKUP(D480,'Team Data'!C:AB,23,FALSE),"")</f>
        <v/>
      </c>
      <c r="O480" t="str">
        <f>IFERROR(VLOOKUP(D480,'Team Data'!C:AB,22,FALSE),"")</f>
        <v/>
      </c>
      <c r="P480" t="str">
        <f t="shared" si="17"/>
        <v/>
      </c>
      <c r="Q480" t="str">
        <f>IFERROR(VLOOKUP(D480,'Team Data'!C:AB,15,FALSE),"")</f>
        <v/>
      </c>
      <c r="R480" t="str">
        <f>IFERROR(VLOOKUP('OB Format'!D480,'Team Data'!C:AB,24,FALSE),"")</f>
        <v/>
      </c>
      <c r="S480" t="str">
        <f>IFERROR(VLOOKUP('OB Format'!D480,'Team Data'!C:AC,25,FALSE),"")</f>
        <v/>
      </c>
    </row>
    <row r="481" spans="5:19" x14ac:dyDescent="0.25">
      <c r="E481" t="str">
        <f>IFERROR(VLOOKUP(D481,'Team Data'!C:AB,4,FALSE),"")</f>
        <v/>
      </c>
      <c r="F481" t="str">
        <f>IFERROR(VLOOKUP(D481,'Team Data'!C:AB,5,FALSE),"")</f>
        <v/>
      </c>
      <c r="G481" t="str">
        <f>IFERROR(VLOOKUP('OB Format'!D481,'Team Data'!C:AB,17,FALSE),"")</f>
        <v/>
      </c>
      <c r="H481" t="str">
        <f>IFERROR(VLOOKUP(D481,'Team Data'!C:AB,7,FALSE),"")</f>
        <v/>
      </c>
      <c r="I481" t="str">
        <f>IFERROR(VLOOKUP(D481,'Team Data'!C:AB,14,FALSE),"")</f>
        <v/>
      </c>
      <c r="J481" t="str">
        <f>IFERROR(VLOOKUP(D481,'Team Data'!C:AB,8,FALSE),"")</f>
        <v/>
      </c>
      <c r="K481" t="str">
        <f>IFERROR(VLOOKUP(D481,'Team Data'!C:AB,9,FALSE),"")</f>
        <v/>
      </c>
      <c r="L481" t="str">
        <f>IFERROR(VLOOKUP(D481,'Team Data'!C:AB,10,FALSE),"")</f>
        <v/>
      </c>
      <c r="M481" t="str">
        <f t="shared" si="16"/>
        <v/>
      </c>
      <c r="N481" t="str">
        <f>IFERROR(VLOOKUP(D481,'Team Data'!C:AB,23,FALSE),"")</f>
        <v/>
      </c>
      <c r="O481" t="str">
        <f>IFERROR(VLOOKUP(D481,'Team Data'!C:AB,22,FALSE),"")</f>
        <v/>
      </c>
      <c r="P481" t="str">
        <f t="shared" si="17"/>
        <v/>
      </c>
      <c r="Q481" t="str">
        <f>IFERROR(VLOOKUP(D481,'Team Data'!C:AB,15,FALSE),"")</f>
        <v/>
      </c>
      <c r="R481" t="str">
        <f>IFERROR(VLOOKUP('OB Format'!D481,'Team Data'!C:AB,24,FALSE),"")</f>
        <v/>
      </c>
      <c r="S481" t="str">
        <f>IFERROR(VLOOKUP('OB Format'!D481,'Team Data'!C:AC,25,FALSE),"")</f>
        <v/>
      </c>
    </row>
    <row r="482" spans="5:19" x14ac:dyDescent="0.25">
      <c r="E482" t="str">
        <f>IFERROR(VLOOKUP(D482,'Team Data'!C:AB,4,FALSE),"")</f>
        <v/>
      </c>
      <c r="F482" t="str">
        <f>IFERROR(VLOOKUP(D482,'Team Data'!C:AB,5,FALSE),"")</f>
        <v/>
      </c>
      <c r="G482" t="str">
        <f>IFERROR(VLOOKUP('OB Format'!D482,'Team Data'!C:AB,17,FALSE),"")</f>
        <v/>
      </c>
      <c r="H482" t="str">
        <f>IFERROR(VLOOKUP(D482,'Team Data'!C:AB,7,FALSE),"")</f>
        <v/>
      </c>
      <c r="I482" t="str">
        <f>IFERROR(VLOOKUP(D482,'Team Data'!C:AB,14,FALSE),"")</f>
        <v/>
      </c>
      <c r="J482" t="str">
        <f>IFERROR(VLOOKUP(D482,'Team Data'!C:AB,8,FALSE),"")</f>
        <v/>
      </c>
      <c r="K482" t="str">
        <f>IFERROR(VLOOKUP(D482,'Team Data'!C:AB,9,FALSE),"")</f>
        <v/>
      </c>
      <c r="L482" t="str">
        <f>IFERROR(VLOOKUP(D482,'Team Data'!C:AB,10,FALSE),"")</f>
        <v/>
      </c>
      <c r="M482" t="str">
        <f t="shared" si="16"/>
        <v/>
      </c>
      <c r="N482" t="str">
        <f>IFERROR(VLOOKUP(D482,'Team Data'!C:AB,23,FALSE),"")</f>
        <v/>
      </c>
      <c r="O482" t="str">
        <f>IFERROR(VLOOKUP(D482,'Team Data'!C:AB,22,FALSE),"")</f>
        <v/>
      </c>
      <c r="P482" t="str">
        <f t="shared" si="17"/>
        <v/>
      </c>
      <c r="Q482" t="str">
        <f>IFERROR(VLOOKUP(D482,'Team Data'!C:AB,15,FALSE),"")</f>
        <v/>
      </c>
      <c r="R482" t="str">
        <f>IFERROR(VLOOKUP('OB Format'!D482,'Team Data'!C:AB,24,FALSE),"")</f>
        <v/>
      </c>
      <c r="S482" t="str">
        <f>IFERROR(VLOOKUP('OB Format'!D482,'Team Data'!C:AC,25,FALSE),"")</f>
        <v/>
      </c>
    </row>
    <row r="483" spans="5:19" x14ac:dyDescent="0.25">
      <c r="E483" t="str">
        <f>IFERROR(VLOOKUP(D483,'Team Data'!C:AB,4,FALSE),"")</f>
        <v/>
      </c>
      <c r="F483" t="str">
        <f>IFERROR(VLOOKUP(D483,'Team Data'!C:AB,5,FALSE),"")</f>
        <v/>
      </c>
      <c r="G483" t="str">
        <f>IFERROR(VLOOKUP('OB Format'!D483,'Team Data'!C:AB,17,FALSE),"")</f>
        <v/>
      </c>
      <c r="H483" t="str">
        <f>IFERROR(VLOOKUP(D483,'Team Data'!C:AB,7,FALSE),"")</f>
        <v/>
      </c>
      <c r="I483" t="str">
        <f>IFERROR(VLOOKUP(D483,'Team Data'!C:AB,14,FALSE),"")</f>
        <v/>
      </c>
      <c r="J483" t="str">
        <f>IFERROR(VLOOKUP(D483,'Team Data'!C:AB,8,FALSE),"")</f>
        <v/>
      </c>
      <c r="K483" t="str">
        <f>IFERROR(VLOOKUP(D483,'Team Data'!C:AB,9,FALSE),"")</f>
        <v/>
      </c>
      <c r="L483" t="str">
        <f>IFERROR(VLOOKUP(D483,'Team Data'!C:AB,10,FALSE),"")</f>
        <v/>
      </c>
      <c r="M483" t="str">
        <f t="shared" si="16"/>
        <v/>
      </c>
      <c r="N483" t="str">
        <f>IFERROR(VLOOKUP(D483,'Team Data'!C:AB,23,FALSE),"")</f>
        <v/>
      </c>
      <c r="O483" t="str">
        <f>IFERROR(VLOOKUP(D483,'Team Data'!C:AB,22,FALSE),"")</f>
        <v/>
      </c>
      <c r="P483" t="str">
        <f t="shared" si="17"/>
        <v/>
      </c>
      <c r="Q483" t="str">
        <f>IFERROR(VLOOKUP(D483,'Team Data'!C:AB,15,FALSE),"")</f>
        <v/>
      </c>
      <c r="R483" t="str">
        <f>IFERROR(VLOOKUP('OB Format'!D483,'Team Data'!C:AB,24,FALSE),"")</f>
        <v/>
      </c>
      <c r="S483" t="str">
        <f>IFERROR(VLOOKUP('OB Format'!D483,'Team Data'!C:AC,25,FALSE),"")</f>
        <v/>
      </c>
    </row>
    <row r="484" spans="5:19" x14ac:dyDescent="0.25">
      <c r="E484" t="str">
        <f>IFERROR(VLOOKUP(D484,'Team Data'!C:AB,4,FALSE),"")</f>
        <v/>
      </c>
      <c r="F484" t="str">
        <f>IFERROR(VLOOKUP(D484,'Team Data'!C:AB,5,FALSE),"")</f>
        <v/>
      </c>
      <c r="G484" t="str">
        <f>IFERROR(VLOOKUP('OB Format'!D484,'Team Data'!C:AB,17,FALSE),"")</f>
        <v/>
      </c>
      <c r="H484" t="str">
        <f>IFERROR(VLOOKUP(D484,'Team Data'!C:AB,7,FALSE),"")</f>
        <v/>
      </c>
      <c r="I484" t="str">
        <f>IFERROR(VLOOKUP(D484,'Team Data'!C:AB,14,FALSE),"")</f>
        <v/>
      </c>
      <c r="J484" t="str">
        <f>IFERROR(VLOOKUP(D484,'Team Data'!C:AB,8,FALSE),"")</f>
        <v/>
      </c>
      <c r="K484" t="str">
        <f>IFERROR(VLOOKUP(D484,'Team Data'!C:AB,9,FALSE),"")</f>
        <v/>
      </c>
      <c r="L484" t="str">
        <f>IFERROR(VLOOKUP(D484,'Team Data'!C:AB,10,FALSE),"")</f>
        <v/>
      </c>
      <c r="M484" t="str">
        <f t="shared" si="16"/>
        <v/>
      </c>
      <c r="N484" t="str">
        <f>IFERROR(VLOOKUP(D484,'Team Data'!C:AB,23,FALSE),"")</f>
        <v/>
      </c>
      <c r="O484" t="str">
        <f>IFERROR(VLOOKUP(D484,'Team Data'!C:AB,22,FALSE),"")</f>
        <v/>
      </c>
      <c r="P484" t="str">
        <f t="shared" si="17"/>
        <v/>
      </c>
      <c r="Q484" t="str">
        <f>IFERROR(VLOOKUP(D484,'Team Data'!C:AB,15,FALSE),"")</f>
        <v/>
      </c>
      <c r="R484" t="str">
        <f>IFERROR(VLOOKUP('OB Format'!D484,'Team Data'!C:AB,24,FALSE),"")</f>
        <v/>
      </c>
      <c r="S484" t="str">
        <f>IFERROR(VLOOKUP('OB Format'!D484,'Team Data'!C:AC,25,FALSE),"")</f>
        <v/>
      </c>
    </row>
    <row r="485" spans="5:19" x14ac:dyDescent="0.25">
      <c r="E485" t="str">
        <f>IFERROR(VLOOKUP(D485,'Team Data'!C:AB,4,FALSE),"")</f>
        <v/>
      </c>
      <c r="F485" t="str">
        <f>IFERROR(VLOOKUP(D485,'Team Data'!C:AB,5,FALSE),"")</f>
        <v/>
      </c>
      <c r="G485" t="str">
        <f>IFERROR(VLOOKUP('OB Format'!D485,'Team Data'!C:AB,17,FALSE),"")</f>
        <v/>
      </c>
      <c r="H485" t="str">
        <f>IFERROR(VLOOKUP(D485,'Team Data'!C:AB,7,FALSE),"")</f>
        <v/>
      </c>
      <c r="I485" t="str">
        <f>IFERROR(VLOOKUP(D485,'Team Data'!C:AB,14,FALSE),"")</f>
        <v/>
      </c>
      <c r="J485" t="str">
        <f>IFERROR(VLOOKUP(D485,'Team Data'!C:AB,8,FALSE),"")</f>
        <v/>
      </c>
      <c r="K485" t="str">
        <f>IFERROR(VLOOKUP(D485,'Team Data'!C:AB,9,FALSE),"")</f>
        <v/>
      </c>
      <c r="L485" t="str">
        <f>IFERROR(VLOOKUP(D485,'Team Data'!C:AB,10,FALSE),"")</f>
        <v/>
      </c>
      <c r="M485" t="str">
        <f t="shared" si="16"/>
        <v/>
      </c>
      <c r="N485" t="str">
        <f>IFERROR(VLOOKUP(D485,'Team Data'!C:AB,23,FALSE),"")</f>
        <v/>
      </c>
      <c r="O485" t="str">
        <f>IFERROR(VLOOKUP(D485,'Team Data'!C:AB,22,FALSE),"")</f>
        <v/>
      </c>
      <c r="P485" t="str">
        <f t="shared" si="17"/>
        <v/>
      </c>
      <c r="Q485" t="str">
        <f>IFERROR(VLOOKUP(D485,'Team Data'!C:AB,15,FALSE),"")</f>
        <v/>
      </c>
      <c r="R485" t="str">
        <f>IFERROR(VLOOKUP('OB Format'!D485,'Team Data'!C:AB,24,FALSE),"")</f>
        <v/>
      </c>
      <c r="S485" t="str">
        <f>IFERROR(VLOOKUP('OB Format'!D485,'Team Data'!C:AC,25,FALSE),"")</f>
        <v/>
      </c>
    </row>
    <row r="486" spans="5:19" x14ac:dyDescent="0.25">
      <c r="E486" t="str">
        <f>IFERROR(VLOOKUP(D486,'Team Data'!C:AB,4,FALSE),"")</f>
        <v/>
      </c>
      <c r="F486" t="str">
        <f>IFERROR(VLOOKUP(D486,'Team Data'!C:AB,5,FALSE),"")</f>
        <v/>
      </c>
      <c r="G486" t="str">
        <f>IFERROR(VLOOKUP('OB Format'!D486,'Team Data'!C:AB,17,FALSE),"")</f>
        <v/>
      </c>
      <c r="H486" t="str">
        <f>IFERROR(VLOOKUP(D486,'Team Data'!C:AB,7,FALSE),"")</f>
        <v/>
      </c>
      <c r="I486" t="str">
        <f>IFERROR(VLOOKUP(D486,'Team Data'!C:AB,14,FALSE),"")</f>
        <v/>
      </c>
      <c r="J486" t="str">
        <f>IFERROR(VLOOKUP(D486,'Team Data'!C:AB,8,FALSE),"")</f>
        <v/>
      </c>
      <c r="K486" t="str">
        <f>IFERROR(VLOOKUP(D486,'Team Data'!C:AB,9,FALSE),"")</f>
        <v/>
      </c>
      <c r="L486" t="str">
        <f>IFERROR(VLOOKUP(D486,'Team Data'!C:AB,10,FALSE),"")</f>
        <v/>
      </c>
      <c r="M486" t="str">
        <f t="shared" si="16"/>
        <v/>
      </c>
      <c r="N486" t="str">
        <f>IFERROR(VLOOKUP(D486,'Team Data'!C:AB,23,FALSE),"")</f>
        <v/>
      </c>
      <c r="O486" t="str">
        <f>IFERROR(VLOOKUP(D486,'Team Data'!C:AB,22,FALSE),"")</f>
        <v/>
      </c>
      <c r="P486" t="str">
        <f t="shared" si="17"/>
        <v/>
      </c>
      <c r="Q486" t="str">
        <f>IFERROR(VLOOKUP(D486,'Team Data'!C:AB,15,FALSE),"")</f>
        <v/>
      </c>
      <c r="R486" t="str">
        <f>IFERROR(VLOOKUP('OB Format'!D486,'Team Data'!C:AB,24,FALSE),"")</f>
        <v/>
      </c>
      <c r="S486" t="str">
        <f>IFERROR(VLOOKUP('OB Format'!D486,'Team Data'!C:AC,25,FALSE),"")</f>
        <v/>
      </c>
    </row>
    <row r="487" spans="5:19" x14ac:dyDescent="0.25">
      <c r="E487" t="str">
        <f>IFERROR(VLOOKUP(D487,'Team Data'!C:AB,4,FALSE),"")</f>
        <v/>
      </c>
      <c r="F487" t="str">
        <f>IFERROR(VLOOKUP(D487,'Team Data'!C:AB,5,FALSE),"")</f>
        <v/>
      </c>
      <c r="G487" t="str">
        <f>IFERROR(VLOOKUP('OB Format'!D487,'Team Data'!C:AB,17,FALSE),"")</f>
        <v/>
      </c>
      <c r="H487" t="str">
        <f>IFERROR(VLOOKUP(D487,'Team Data'!C:AB,7,FALSE),"")</f>
        <v/>
      </c>
      <c r="I487" t="str">
        <f>IFERROR(VLOOKUP(D487,'Team Data'!C:AB,14,FALSE),"")</f>
        <v/>
      </c>
      <c r="J487" t="str">
        <f>IFERROR(VLOOKUP(D487,'Team Data'!C:AB,8,FALSE),"")</f>
        <v/>
      </c>
      <c r="K487" t="str">
        <f>IFERROR(VLOOKUP(D487,'Team Data'!C:AB,9,FALSE),"")</f>
        <v/>
      </c>
      <c r="L487" t="str">
        <f>IFERROR(VLOOKUP(D487,'Team Data'!C:AB,10,FALSE),"")</f>
        <v/>
      </c>
      <c r="M487" t="str">
        <f t="shared" si="16"/>
        <v/>
      </c>
      <c r="N487" t="str">
        <f>IFERROR(VLOOKUP(D487,'Team Data'!C:AB,23,FALSE),"")</f>
        <v/>
      </c>
      <c r="O487" t="str">
        <f>IFERROR(VLOOKUP(D487,'Team Data'!C:AB,22,FALSE),"")</f>
        <v/>
      </c>
      <c r="P487" t="str">
        <f t="shared" si="17"/>
        <v/>
      </c>
      <c r="Q487" t="str">
        <f>IFERROR(VLOOKUP(D487,'Team Data'!C:AB,15,FALSE),"")</f>
        <v/>
      </c>
      <c r="R487" t="str">
        <f>IFERROR(VLOOKUP('OB Format'!D487,'Team Data'!C:AB,24,FALSE),"")</f>
        <v/>
      </c>
      <c r="S487" t="str">
        <f>IFERROR(VLOOKUP('OB Format'!D487,'Team Data'!C:AC,25,FALSE),"")</f>
        <v/>
      </c>
    </row>
    <row r="488" spans="5:19" x14ac:dyDescent="0.25">
      <c r="E488" t="str">
        <f>IFERROR(VLOOKUP(D488,'Team Data'!C:AB,4,FALSE),"")</f>
        <v/>
      </c>
      <c r="F488" t="str">
        <f>IFERROR(VLOOKUP(D488,'Team Data'!C:AB,5,FALSE),"")</f>
        <v/>
      </c>
      <c r="G488" t="str">
        <f>IFERROR(VLOOKUP('OB Format'!D488,'Team Data'!C:AB,17,FALSE),"")</f>
        <v/>
      </c>
      <c r="H488" t="str">
        <f>IFERROR(VLOOKUP(D488,'Team Data'!C:AB,7,FALSE),"")</f>
        <v/>
      </c>
      <c r="I488" t="str">
        <f>IFERROR(VLOOKUP(D488,'Team Data'!C:AB,14,FALSE),"")</f>
        <v/>
      </c>
      <c r="J488" t="str">
        <f>IFERROR(VLOOKUP(D488,'Team Data'!C:AB,8,FALSE),"")</f>
        <v/>
      </c>
      <c r="K488" t="str">
        <f>IFERROR(VLOOKUP(D488,'Team Data'!C:AB,9,FALSE),"")</f>
        <v/>
      </c>
      <c r="L488" t="str">
        <f>IFERROR(VLOOKUP(D488,'Team Data'!C:AB,10,FALSE),"")</f>
        <v/>
      </c>
      <c r="M488" t="str">
        <f t="shared" si="16"/>
        <v/>
      </c>
      <c r="N488" t="str">
        <f>IFERROR(VLOOKUP(D488,'Team Data'!C:AB,23,FALSE),"")</f>
        <v/>
      </c>
      <c r="O488" t="str">
        <f>IFERROR(VLOOKUP(D488,'Team Data'!C:AB,22,FALSE),"")</f>
        <v/>
      </c>
      <c r="P488" t="str">
        <f t="shared" si="17"/>
        <v/>
      </c>
      <c r="Q488" t="str">
        <f>IFERROR(VLOOKUP(D488,'Team Data'!C:AB,15,FALSE),"")</f>
        <v/>
      </c>
      <c r="R488" t="str">
        <f>IFERROR(VLOOKUP('OB Format'!D488,'Team Data'!C:AB,24,FALSE),"")</f>
        <v/>
      </c>
      <c r="S488" t="str">
        <f>IFERROR(VLOOKUP('OB Format'!D488,'Team Data'!C:AC,25,FALSE),"")</f>
        <v/>
      </c>
    </row>
    <row r="489" spans="5:19" x14ac:dyDescent="0.25">
      <c r="E489" t="str">
        <f>IFERROR(VLOOKUP(D489,'Team Data'!C:AB,4,FALSE),"")</f>
        <v/>
      </c>
      <c r="F489" t="str">
        <f>IFERROR(VLOOKUP(D489,'Team Data'!C:AB,5,FALSE),"")</f>
        <v/>
      </c>
      <c r="G489" t="str">
        <f>IFERROR(VLOOKUP('OB Format'!D489,'Team Data'!C:AB,17,FALSE),"")</f>
        <v/>
      </c>
      <c r="H489" t="str">
        <f>IFERROR(VLOOKUP(D489,'Team Data'!C:AB,7,FALSE),"")</f>
        <v/>
      </c>
      <c r="I489" t="str">
        <f>IFERROR(VLOOKUP(D489,'Team Data'!C:AB,14,FALSE),"")</f>
        <v/>
      </c>
      <c r="J489" t="str">
        <f>IFERROR(VLOOKUP(D489,'Team Data'!C:AB,8,FALSE),"")</f>
        <v/>
      </c>
      <c r="K489" t="str">
        <f>IFERROR(VLOOKUP(D489,'Team Data'!C:AB,9,FALSE),"")</f>
        <v/>
      </c>
      <c r="L489" t="str">
        <f>IFERROR(VLOOKUP(D489,'Team Data'!C:AB,10,FALSE),"")</f>
        <v/>
      </c>
      <c r="M489" t="str">
        <f t="shared" si="16"/>
        <v/>
      </c>
      <c r="N489" t="str">
        <f>IFERROR(VLOOKUP(D489,'Team Data'!C:AB,23,FALSE),"")</f>
        <v/>
      </c>
      <c r="O489" t="str">
        <f>IFERROR(VLOOKUP(D489,'Team Data'!C:AB,22,FALSE),"")</f>
        <v/>
      </c>
      <c r="P489" t="str">
        <f t="shared" si="17"/>
        <v/>
      </c>
      <c r="Q489" t="str">
        <f>IFERROR(VLOOKUP(D489,'Team Data'!C:AB,15,FALSE),"")</f>
        <v/>
      </c>
      <c r="R489" t="str">
        <f>IFERROR(VLOOKUP('OB Format'!D489,'Team Data'!C:AB,24,FALSE),"")</f>
        <v/>
      </c>
      <c r="S489" t="str">
        <f>IFERROR(VLOOKUP('OB Format'!D489,'Team Data'!C:AC,25,FALSE),"")</f>
        <v/>
      </c>
    </row>
    <row r="490" spans="5:19" x14ac:dyDescent="0.25">
      <c r="E490" t="str">
        <f>IFERROR(VLOOKUP(D490,'Team Data'!C:AB,4,FALSE),"")</f>
        <v/>
      </c>
      <c r="F490" t="str">
        <f>IFERROR(VLOOKUP(D490,'Team Data'!C:AB,5,FALSE),"")</f>
        <v/>
      </c>
      <c r="G490" t="str">
        <f>IFERROR(VLOOKUP('OB Format'!D490,'Team Data'!C:AB,17,FALSE),"")</f>
        <v/>
      </c>
      <c r="H490" t="str">
        <f>IFERROR(VLOOKUP(D490,'Team Data'!C:AB,7,FALSE),"")</f>
        <v/>
      </c>
      <c r="I490" t="str">
        <f>IFERROR(VLOOKUP(D490,'Team Data'!C:AB,14,FALSE),"")</f>
        <v/>
      </c>
      <c r="J490" t="str">
        <f>IFERROR(VLOOKUP(D490,'Team Data'!C:AB,8,FALSE),"")</f>
        <v/>
      </c>
      <c r="K490" t="str">
        <f>IFERROR(VLOOKUP(D490,'Team Data'!C:AB,9,FALSE),"")</f>
        <v/>
      </c>
      <c r="L490" t="str">
        <f>IFERROR(VLOOKUP(D490,'Team Data'!C:AB,10,FALSE),"")</f>
        <v/>
      </c>
      <c r="M490" t="str">
        <f t="shared" si="16"/>
        <v/>
      </c>
      <c r="N490" t="str">
        <f>IFERROR(VLOOKUP(D490,'Team Data'!C:AB,23,FALSE),"")</f>
        <v/>
      </c>
      <c r="O490" t="str">
        <f>IFERROR(VLOOKUP(D490,'Team Data'!C:AB,22,FALSE),"")</f>
        <v/>
      </c>
      <c r="P490" t="str">
        <f t="shared" si="17"/>
        <v/>
      </c>
      <c r="Q490" t="str">
        <f>IFERROR(VLOOKUP(D490,'Team Data'!C:AB,15,FALSE),"")</f>
        <v/>
      </c>
      <c r="R490" t="str">
        <f>IFERROR(VLOOKUP('OB Format'!D490,'Team Data'!C:AB,24,FALSE),"")</f>
        <v/>
      </c>
      <c r="S490" t="str">
        <f>IFERROR(VLOOKUP('OB Format'!D490,'Team Data'!C:AC,25,FALSE),"")</f>
        <v/>
      </c>
    </row>
    <row r="491" spans="5:19" x14ac:dyDescent="0.25">
      <c r="E491" t="str">
        <f>IFERROR(VLOOKUP(D491,'Team Data'!C:AB,4,FALSE),"")</f>
        <v/>
      </c>
      <c r="F491" t="str">
        <f>IFERROR(VLOOKUP(D491,'Team Data'!C:AB,5,FALSE),"")</f>
        <v/>
      </c>
      <c r="G491" t="str">
        <f>IFERROR(VLOOKUP('OB Format'!D491,'Team Data'!C:AB,17,FALSE),"")</f>
        <v/>
      </c>
      <c r="H491" t="str">
        <f>IFERROR(VLOOKUP(D491,'Team Data'!C:AB,7,FALSE),"")</f>
        <v/>
      </c>
      <c r="I491" t="str">
        <f>IFERROR(VLOOKUP(D491,'Team Data'!C:AB,14,FALSE),"")</f>
        <v/>
      </c>
      <c r="J491" t="str">
        <f>IFERROR(VLOOKUP(D491,'Team Data'!C:AB,8,FALSE),"")</f>
        <v/>
      </c>
      <c r="K491" t="str">
        <f>IFERROR(VLOOKUP(D491,'Team Data'!C:AB,9,FALSE),"")</f>
        <v/>
      </c>
      <c r="L491" t="str">
        <f>IFERROR(VLOOKUP(D491,'Team Data'!C:AB,10,FALSE),"")</f>
        <v/>
      </c>
      <c r="M491" t="str">
        <f t="shared" si="16"/>
        <v/>
      </c>
      <c r="N491" t="str">
        <f>IFERROR(VLOOKUP(D491,'Team Data'!C:AB,23,FALSE),"")</f>
        <v/>
      </c>
      <c r="O491" t="str">
        <f>IFERROR(VLOOKUP(D491,'Team Data'!C:AB,22,FALSE),"")</f>
        <v/>
      </c>
      <c r="P491" t="str">
        <f t="shared" si="17"/>
        <v/>
      </c>
      <c r="Q491" t="str">
        <f>IFERROR(VLOOKUP(D491,'Team Data'!C:AB,15,FALSE),"")</f>
        <v/>
      </c>
      <c r="R491" t="str">
        <f>IFERROR(VLOOKUP('OB Format'!D491,'Team Data'!C:AB,24,FALSE),"")</f>
        <v/>
      </c>
      <c r="S491" t="str">
        <f>IFERROR(VLOOKUP('OB Format'!D491,'Team Data'!C:AC,25,FALSE),"")</f>
        <v/>
      </c>
    </row>
    <row r="492" spans="5:19" x14ac:dyDescent="0.25">
      <c r="E492" t="str">
        <f>IFERROR(VLOOKUP(D492,'Team Data'!C:AB,4,FALSE),"")</f>
        <v/>
      </c>
      <c r="F492" t="str">
        <f>IFERROR(VLOOKUP(D492,'Team Data'!C:AB,5,FALSE),"")</f>
        <v/>
      </c>
      <c r="G492" t="str">
        <f>IFERROR(VLOOKUP('OB Format'!D492,'Team Data'!C:AB,17,FALSE),"")</f>
        <v/>
      </c>
      <c r="H492" t="str">
        <f>IFERROR(VLOOKUP(D492,'Team Data'!C:AB,7,FALSE),"")</f>
        <v/>
      </c>
      <c r="I492" t="str">
        <f>IFERROR(VLOOKUP(D492,'Team Data'!C:AB,14,FALSE),"")</f>
        <v/>
      </c>
      <c r="J492" t="str">
        <f>IFERROR(VLOOKUP(D492,'Team Data'!C:AB,8,FALSE),"")</f>
        <v/>
      </c>
      <c r="K492" t="str">
        <f>IFERROR(VLOOKUP(D492,'Team Data'!C:AB,9,FALSE),"")</f>
        <v/>
      </c>
      <c r="L492" t="str">
        <f>IFERROR(VLOOKUP(D492,'Team Data'!C:AB,10,FALSE),"")</f>
        <v/>
      </c>
      <c r="M492" t="str">
        <f t="shared" si="16"/>
        <v/>
      </c>
      <c r="N492" t="str">
        <f>IFERROR(VLOOKUP(D492,'Team Data'!C:AB,23,FALSE),"")</f>
        <v/>
      </c>
      <c r="O492" t="str">
        <f>IFERROR(VLOOKUP(D492,'Team Data'!C:AB,22,FALSE),"")</f>
        <v/>
      </c>
      <c r="P492" t="str">
        <f t="shared" si="17"/>
        <v/>
      </c>
      <c r="Q492" t="str">
        <f>IFERROR(VLOOKUP(D492,'Team Data'!C:AB,15,FALSE),"")</f>
        <v/>
      </c>
      <c r="R492" t="str">
        <f>IFERROR(VLOOKUP('OB Format'!D492,'Team Data'!C:AB,24,FALSE),"")</f>
        <v/>
      </c>
      <c r="S492" t="str">
        <f>IFERROR(VLOOKUP('OB Format'!D492,'Team Data'!C:AC,25,FALSE),"")</f>
        <v/>
      </c>
    </row>
    <row r="493" spans="5:19" x14ac:dyDescent="0.25">
      <c r="E493" t="str">
        <f>IFERROR(VLOOKUP(D493,'Team Data'!C:AB,4,FALSE),"")</f>
        <v/>
      </c>
      <c r="F493" t="str">
        <f>IFERROR(VLOOKUP(D493,'Team Data'!C:AB,5,FALSE),"")</f>
        <v/>
      </c>
      <c r="G493" t="str">
        <f>IFERROR(VLOOKUP('OB Format'!D493,'Team Data'!C:AB,17,FALSE),"")</f>
        <v/>
      </c>
      <c r="H493" t="str">
        <f>IFERROR(VLOOKUP(D493,'Team Data'!C:AB,7,FALSE),"")</f>
        <v/>
      </c>
      <c r="I493" t="str">
        <f>IFERROR(VLOOKUP(D493,'Team Data'!C:AB,14,FALSE),"")</f>
        <v/>
      </c>
      <c r="J493" t="str">
        <f>IFERROR(VLOOKUP(D493,'Team Data'!C:AB,8,FALSE),"")</f>
        <v/>
      </c>
      <c r="K493" t="str">
        <f>IFERROR(VLOOKUP(D493,'Team Data'!C:AB,9,FALSE),"")</f>
        <v/>
      </c>
      <c r="L493" t="str">
        <f>IFERROR(VLOOKUP(D493,'Team Data'!C:AB,10,FALSE),"")</f>
        <v/>
      </c>
      <c r="M493" t="str">
        <f t="shared" si="16"/>
        <v/>
      </c>
      <c r="N493" t="str">
        <f>IFERROR(VLOOKUP(D493,'Team Data'!C:AB,23,FALSE),"")</f>
        <v/>
      </c>
      <c r="O493" t="str">
        <f>IFERROR(VLOOKUP(D493,'Team Data'!C:AB,22,FALSE),"")</f>
        <v/>
      </c>
      <c r="P493" t="str">
        <f t="shared" si="17"/>
        <v/>
      </c>
      <c r="Q493" t="str">
        <f>IFERROR(VLOOKUP(D493,'Team Data'!C:AB,15,FALSE),"")</f>
        <v/>
      </c>
      <c r="R493" t="str">
        <f>IFERROR(VLOOKUP('OB Format'!D493,'Team Data'!C:AB,24,FALSE),"")</f>
        <v/>
      </c>
      <c r="S493" t="str">
        <f>IFERROR(VLOOKUP('OB Format'!D493,'Team Data'!C:AC,25,FALSE),"")</f>
        <v/>
      </c>
    </row>
    <row r="494" spans="5:19" x14ac:dyDescent="0.25">
      <c r="E494" t="str">
        <f>IFERROR(VLOOKUP(D494,'Team Data'!C:AB,4,FALSE),"")</f>
        <v/>
      </c>
      <c r="F494" t="str">
        <f>IFERROR(VLOOKUP(D494,'Team Data'!C:AB,5,FALSE),"")</f>
        <v/>
      </c>
      <c r="G494" t="str">
        <f>IFERROR(VLOOKUP('OB Format'!D494,'Team Data'!C:AB,17,FALSE),"")</f>
        <v/>
      </c>
      <c r="H494" t="str">
        <f>IFERROR(VLOOKUP(D494,'Team Data'!C:AB,7,FALSE),"")</f>
        <v/>
      </c>
      <c r="I494" t="str">
        <f>IFERROR(VLOOKUP(D494,'Team Data'!C:AB,14,FALSE),"")</f>
        <v/>
      </c>
      <c r="J494" t="str">
        <f>IFERROR(VLOOKUP(D494,'Team Data'!C:AB,8,FALSE),"")</f>
        <v/>
      </c>
      <c r="K494" t="str">
        <f>IFERROR(VLOOKUP(D494,'Team Data'!C:AB,9,FALSE),"")</f>
        <v/>
      </c>
      <c r="L494" t="str">
        <f>IFERROR(VLOOKUP(D494,'Team Data'!C:AB,10,FALSE),"")</f>
        <v/>
      </c>
      <c r="M494" t="str">
        <f t="shared" si="16"/>
        <v/>
      </c>
      <c r="N494" t="str">
        <f>IFERROR(VLOOKUP(D494,'Team Data'!C:AB,23,FALSE),"")</f>
        <v/>
      </c>
      <c r="O494" t="str">
        <f>IFERROR(VLOOKUP(D494,'Team Data'!C:AB,22,FALSE),"")</f>
        <v/>
      </c>
      <c r="P494" t="str">
        <f t="shared" si="17"/>
        <v/>
      </c>
      <c r="Q494" t="str">
        <f>IFERROR(VLOOKUP(D494,'Team Data'!C:AB,15,FALSE),"")</f>
        <v/>
      </c>
      <c r="R494" t="str">
        <f>IFERROR(VLOOKUP('OB Format'!D494,'Team Data'!C:AB,24,FALSE),"")</f>
        <v/>
      </c>
      <c r="S494" t="str">
        <f>IFERROR(VLOOKUP('OB Format'!D494,'Team Data'!C:AC,25,FALSE),"")</f>
        <v/>
      </c>
    </row>
    <row r="495" spans="5:19" x14ac:dyDescent="0.25">
      <c r="E495" t="str">
        <f>IFERROR(VLOOKUP(D495,'Team Data'!C:AB,4,FALSE),"")</f>
        <v/>
      </c>
      <c r="F495" t="str">
        <f>IFERROR(VLOOKUP(D495,'Team Data'!C:AB,5,FALSE),"")</f>
        <v/>
      </c>
      <c r="G495" t="str">
        <f>IFERROR(VLOOKUP('OB Format'!D495,'Team Data'!C:AB,17,FALSE),"")</f>
        <v/>
      </c>
      <c r="H495" t="str">
        <f>IFERROR(VLOOKUP(D495,'Team Data'!C:AB,7,FALSE),"")</f>
        <v/>
      </c>
      <c r="I495" t="str">
        <f>IFERROR(VLOOKUP(D495,'Team Data'!C:AB,14,FALSE),"")</f>
        <v/>
      </c>
      <c r="J495" t="str">
        <f>IFERROR(VLOOKUP(D495,'Team Data'!C:AB,8,FALSE),"")</f>
        <v/>
      </c>
      <c r="K495" t="str">
        <f>IFERROR(VLOOKUP(D495,'Team Data'!C:AB,9,FALSE),"")</f>
        <v/>
      </c>
      <c r="L495" t="str">
        <f>IFERROR(VLOOKUP(D495,'Team Data'!C:AB,10,FALSE),"")</f>
        <v/>
      </c>
      <c r="M495" t="str">
        <f t="shared" si="16"/>
        <v/>
      </c>
      <c r="N495" t="str">
        <f>IFERROR(VLOOKUP(D495,'Team Data'!C:AB,23,FALSE),"")</f>
        <v/>
      </c>
      <c r="O495" t="str">
        <f>IFERROR(VLOOKUP(D495,'Team Data'!C:AB,22,FALSE),"")</f>
        <v/>
      </c>
      <c r="P495" t="str">
        <f t="shared" si="17"/>
        <v/>
      </c>
      <c r="Q495" t="str">
        <f>IFERROR(VLOOKUP(D495,'Team Data'!C:AB,15,FALSE),"")</f>
        <v/>
      </c>
      <c r="R495" t="str">
        <f>IFERROR(VLOOKUP('OB Format'!D495,'Team Data'!C:AB,24,FALSE),"")</f>
        <v/>
      </c>
      <c r="S495" t="str">
        <f>IFERROR(VLOOKUP('OB Format'!D495,'Team Data'!C:AC,25,FALSE),"")</f>
        <v/>
      </c>
    </row>
    <row r="496" spans="5:19" x14ac:dyDescent="0.25">
      <c r="E496" t="str">
        <f>IFERROR(VLOOKUP(D496,'Team Data'!C:AB,4,FALSE),"")</f>
        <v/>
      </c>
      <c r="F496" t="str">
        <f>IFERROR(VLOOKUP(D496,'Team Data'!C:AB,5,FALSE),"")</f>
        <v/>
      </c>
      <c r="G496" t="str">
        <f>IFERROR(VLOOKUP('OB Format'!D496,'Team Data'!C:AB,17,FALSE),"")</f>
        <v/>
      </c>
      <c r="H496" t="str">
        <f>IFERROR(VLOOKUP(D496,'Team Data'!C:AB,7,FALSE),"")</f>
        <v/>
      </c>
      <c r="I496" t="str">
        <f>IFERROR(VLOOKUP(D496,'Team Data'!C:AB,14,FALSE),"")</f>
        <v/>
      </c>
      <c r="J496" t="str">
        <f>IFERROR(VLOOKUP(D496,'Team Data'!C:AB,8,FALSE),"")</f>
        <v/>
      </c>
      <c r="K496" t="str">
        <f>IFERROR(VLOOKUP(D496,'Team Data'!C:AB,9,FALSE),"")</f>
        <v/>
      </c>
      <c r="L496" t="str">
        <f>IFERROR(VLOOKUP(D496,'Team Data'!C:AB,10,FALSE),"")</f>
        <v/>
      </c>
      <c r="M496" t="str">
        <f t="shared" si="16"/>
        <v/>
      </c>
      <c r="N496" t="str">
        <f>IFERROR(VLOOKUP(D496,'Team Data'!C:AB,23,FALSE),"")</f>
        <v/>
      </c>
      <c r="O496" t="str">
        <f>IFERROR(VLOOKUP(D496,'Team Data'!C:AB,22,FALSE),"")</f>
        <v/>
      </c>
      <c r="P496" t="str">
        <f t="shared" si="17"/>
        <v/>
      </c>
      <c r="Q496" t="str">
        <f>IFERROR(VLOOKUP(D496,'Team Data'!C:AB,15,FALSE),"")</f>
        <v/>
      </c>
      <c r="R496" t="str">
        <f>IFERROR(VLOOKUP('OB Format'!D496,'Team Data'!C:AB,24,FALSE),"")</f>
        <v/>
      </c>
      <c r="S496" t="str">
        <f>IFERROR(VLOOKUP('OB Format'!D496,'Team Data'!C:AC,25,FALSE),"")</f>
        <v/>
      </c>
    </row>
    <row r="497" spans="5:19" x14ac:dyDescent="0.25">
      <c r="E497" t="str">
        <f>IFERROR(VLOOKUP(D497,'Team Data'!C:AB,4,FALSE),"")</f>
        <v/>
      </c>
      <c r="F497" t="str">
        <f>IFERROR(VLOOKUP(D497,'Team Data'!C:AB,5,FALSE),"")</f>
        <v/>
      </c>
      <c r="G497" t="str">
        <f>IFERROR(VLOOKUP('OB Format'!D497,'Team Data'!C:AB,17,FALSE),"")</f>
        <v/>
      </c>
      <c r="H497" t="str">
        <f>IFERROR(VLOOKUP(D497,'Team Data'!C:AB,7,FALSE),"")</f>
        <v/>
      </c>
      <c r="I497" t="str">
        <f>IFERROR(VLOOKUP(D497,'Team Data'!C:AB,14,FALSE),"")</f>
        <v/>
      </c>
      <c r="J497" t="str">
        <f>IFERROR(VLOOKUP(D497,'Team Data'!C:AB,8,FALSE),"")</f>
        <v/>
      </c>
      <c r="K497" t="str">
        <f>IFERROR(VLOOKUP(D497,'Team Data'!C:AB,9,FALSE),"")</f>
        <v/>
      </c>
      <c r="L497" t="str">
        <f>IFERROR(VLOOKUP(D497,'Team Data'!C:AB,10,FALSE),"")</f>
        <v/>
      </c>
      <c r="M497" t="str">
        <f t="shared" si="16"/>
        <v/>
      </c>
      <c r="N497" t="str">
        <f>IFERROR(VLOOKUP(D497,'Team Data'!C:AB,23,FALSE),"")</f>
        <v/>
      </c>
      <c r="O497" t="str">
        <f>IFERROR(VLOOKUP(D497,'Team Data'!C:AB,22,FALSE),"")</f>
        <v/>
      </c>
      <c r="P497" t="str">
        <f t="shared" si="17"/>
        <v/>
      </c>
      <c r="Q497" t="str">
        <f>IFERROR(VLOOKUP(D497,'Team Data'!C:AB,15,FALSE),"")</f>
        <v/>
      </c>
      <c r="R497" t="str">
        <f>IFERROR(VLOOKUP('OB Format'!D497,'Team Data'!C:AB,24,FALSE),"")</f>
        <v/>
      </c>
      <c r="S497" t="str">
        <f>IFERROR(VLOOKUP('OB Format'!D497,'Team Data'!C:AC,25,FALSE),"")</f>
        <v/>
      </c>
    </row>
    <row r="498" spans="5:19" x14ac:dyDescent="0.25">
      <c r="E498" t="str">
        <f>IFERROR(VLOOKUP(D498,'Team Data'!C:AB,4,FALSE),"")</f>
        <v/>
      </c>
      <c r="F498" t="str">
        <f>IFERROR(VLOOKUP(D498,'Team Data'!C:AB,5,FALSE),"")</f>
        <v/>
      </c>
      <c r="G498" t="str">
        <f>IFERROR(VLOOKUP('OB Format'!D498,'Team Data'!C:AB,17,FALSE),"")</f>
        <v/>
      </c>
      <c r="H498" t="str">
        <f>IFERROR(VLOOKUP(D498,'Team Data'!C:AB,7,FALSE),"")</f>
        <v/>
      </c>
      <c r="I498" t="str">
        <f>IFERROR(VLOOKUP(D498,'Team Data'!C:AB,14,FALSE),"")</f>
        <v/>
      </c>
      <c r="J498" t="str">
        <f>IFERROR(VLOOKUP(D498,'Team Data'!C:AB,8,FALSE),"")</f>
        <v/>
      </c>
      <c r="K498" t="str">
        <f>IFERROR(VLOOKUP(D498,'Team Data'!C:AB,9,FALSE),"")</f>
        <v/>
      </c>
      <c r="L498" t="str">
        <f>IFERROR(VLOOKUP(D498,'Team Data'!C:AB,10,FALSE),"")</f>
        <v/>
      </c>
      <c r="M498" t="str">
        <f t="shared" si="16"/>
        <v/>
      </c>
      <c r="N498" t="str">
        <f>IFERROR(VLOOKUP(D498,'Team Data'!C:AB,23,FALSE),"")</f>
        <v/>
      </c>
      <c r="O498" t="str">
        <f>IFERROR(VLOOKUP(D498,'Team Data'!C:AB,22,FALSE),"")</f>
        <v/>
      </c>
      <c r="P498" t="str">
        <f t="shared" si="17"/>
        <v/>
      </c>
      <c r="Q498" t="str">
        <f>IFERROR(VLOOKUP(D498,'Team Data'!C:AB,15,FALSE),"")</f>
        <v/>
      </c>
      <c r="R498" t="str">
        <f>IFERROR(VLOOKUP('OB Format'!D498,'Team Data'!C:AB,24,FALSE),"")</f>
        <v/>
      </c>
      <c r="S498" t="str">
        <f>IFERROR(VLOOKUP('OB Format'!D498,'Team Data'!C:AC,25,FALSE),"")</f>
        <v/>
      </c>
    </row>
    <row r="499" spans="5:19" x14ac:dyDescent="0.25">
      <c r="E499" t="str">
        <f>IFERROR(VLOOKUP(D499,'Team Data'!C:AB,4,FALSE),"")</f>
        <v/>
      </c>
      <c r="F499" t="str">
        <f>IFERROR(VLOOKUP(D499,'Team Data'!C:AB,5,FALSE),"")</f>
        <v/>
      </c>
      <c r="G499" t="str">
        <f>IFERROR(VLOOKUP('OB Format'!D499,'Team Data'!C:AB,17,FALSE),"")</f>
        <v/>
      </c>
      <c r="H499" t="str">
        <f>IFERROR(VLOOKUP(D499,'Team Data'!C:AB,7,FALSE),"")</f>
        <v/>
      </c>
      <c r="I499" t="str">
        <f>IFERROR(VLOOKUP(D499,'Team Data'!C:AB,14,FALSE),"")</f>
        <v/>
      </c>
      <c r="J499" t="str">
        <f>IFERROR(VLOOKUP(D499,'Team Data'!C:AB,8,FALSE),"")</f>
        <v/>
      </c>
      <c r="K499" t="str">
        <f>IFERROR(VLOOKUP(D499,'Team Data'!C:AB,9,FALSE),"")</f>
        <v/>
      </c>
      <c r="L499" t="str">
        <f>IFERROR(VLOOKUP(D499,'Team Data'!C:AB,10,FALSE),"")</f>
        <v/>
      </c>
      <c r="M499" t="str">
        <f t="shared" si="16"/>
        <v/>
      </c>
      <c r="N499" t="str">
        <f>IFERROR(VLOOKUP(D499,'Team Data'!C:AB,23,FALSE),"")</f>
        <v/>
      </c>
      <c r="O499" t="str">
        <f>IFERROR(VLOOKUP(D499,'Team Data'!C:AB,22,FALSE),"")</f>
        <v/>
      </c>
      <c r="P499" t="str">
        <f t="shared" si="17"/>
        <v/>
      </c>
      <c r="Q499" t="str">
        <f>IFERROR(VLOOKUP(D499,'Team Data'!C:AB,15,FALSE),"")</f>
        <v/>
      </c>
      <c r="R499" t="str">
        <f>IFERROR(VLOOKUP('OB Format'!D499,'Team Data'!C:AB,24,FALSE),"")</f>
        <v/>
      </c>
      <c r="S499" t="str">
        <f>IFERROR(VLOOKUP('OB Format'!D499,'Team Data'!C:AC,25,FALSE),"")</f>
        <v/>
      </c>
    </row>
    <row r="500" spans="5:19" x14ac:dyDescent="0.25">
      <c r="E500" t="str">
        <f>IFERROR(VLOOKUP(D500,'Team Data'!C:AB,4,FALSE),"")</f>
        <v/>
      </c>
      <c r="F500" t="str">
        <f>IFERROR(VLOOKUP(D500,'Team Data'!C:AB,5,FALSE),"")</f>
        <v/>
      </c>
      <c r="G500" t="str">
        <f>IFERROR(VLOOKUP('OB Format'!D500,'Team Data'!C:AB,17,FALSE),"")</f>
        <v/>
      </c>
      <c r="H500" t="str">
        <f>IFERROR(VLOOKUP(D500,'Team Data'!C:AB,7,FALSE),"")</f>
        <v/>
      </c>
      <c r="I500" t="str">
        <f>IFERROR(VLOOKUP(D500,'Team Data'!C:AB,14,FALSE),"")</f>
        <v/>
      </c>
      <c r="J500" t="str">
        <f>IFERROR(VLOOKUP(D500,'Team Data'!C:AB,8,FALSE),"")</f>
        <v/>
      </c>
      <c r="K500" t="str">
        <f>IFERROR(VLOOKUP(D500,'Team Data'!C:AB,9,FALSE),"")</f>
        <v/>
      </c>
      <c r="L500" t="str">
        <f>IFERROR(VLOOKUP(D500,'Team Data'!C:AB,10,FALSE),"")</f>
        <v/>
      </c>
      <c r="M500" t="str">
        <f t="shared" si="16"/>
        <v/>
      </c>
      <c r="N500" t="str">
        <f>IFERROR(VLOOKUP(D500,'Team Data'!C:AB,23,FALSE),"")</f>
        <v/>
      </c>
      <c r="O500" t="str">
        <f>IFERROR(VLOOKUP(D500,'Team Data'!C:AB,22,FALSE),"")</f>
        <v/>
      </c>
      <c r="P500" t="str">
        <f t="shared" si="17"/>
        <v/>
      </c>
      <c r="Q500" t="str">
        <f>IFERROR(VLOOKUP(D500,'Team Data'!C:AB,15,FALSE),"")</f>
        <v/>
      </c>
      <c r="R500" t="str">
        <f>IFERROR(VLOOKUP('OB Format'!D500,'Team Data'!C:AB,24,FALSE),"")</f>
        <v/>
      </c>
      <c r="S500" t="str">
        <f>IFERROR(VLOOKUP('OB Format'!D500,'Team Data'!C:AC,25,FALSE),"")</f>
        <v/>
      </c>
    </row>
    <row r="501" spans="5:19" x14ac:dyDescent="0.25">
      <c r="E501" t="str">
        <f>IFERROR(VLOOKUP(D501,'Team Data'!C:AB,4,FALSE),"")</f>
        <v/>
      </c>
      <c r="F501" t="str">
        <f>IFERROR(VLOOKUP(D501,'Team Data'!C:AB,5,FALSE),"")</f>
        <v/>
      </c>
      <c r="G501" t="str">
        <f>IFERROR(VLOOKUP('OB Format'!D501,'Team Data'!C:AB,17,FALSE),"")</f>
        <v/>
      </c>
      <c r="H501" t="str">
        <f>IFERROR(VLOOKUP(D501,'Team Data'!C:AB,7,FALSE),"")</f>
        <v/>
      </c>
      <c r="I501" t="str">
        <f>IFERROR(VLOOKUP(D501,'Team Data'!C:AB,14,FALSE),"")</f>
        <v/>
      </c>
      <c r="J501" t="str">
        <f>IFERROR(VLOOKUP(D501,'Team Data'!C:AB,8,FALSE),"")</f>
        <v/>
      </c>
      <c r="K501" t="str">
        <f>IFERROR(VLOOKUP(D501,'Team Data'!C:AB,9,FALSE),"")</f>
        <v/>
      </c>
      <c r="L501" t="str">
        <f>IFERROR(VLOOKUP(D501,'Team Data'!C:AB,10,FALSE),"")</f>
        <v/>
      </c>
      <c r="M501" t="str">
        <f t="shared" si="16"/>
        <v/>
      </c>
      <c r="N501" t="str">
        <f>IFERROR(VLOOKUP(D501,'Team Data'!C:AB,23,FALSE),"")</f>
        <v/>
      </c>
      <c r="O501" t="str">
        <f>IFERROR(VLOOKUP(D501,'Team Data'!C:AB,22,FALSE),"")</f>
        <v/>
      </c>
      <c r="P501" t="str">
        <f t="shared" si="17"/>
        <v/>
      </c>
      <c r="Q501" t="str">
        <f>IFERROR(VLOOKUP(D501,'Team Data'!C:AB,15,FALSE),"")</f>
        <v/>
      </c>
      <c r="R501" t="str">
        <f>IFERROR(VLOOKUP('OB Format'!D501,'Team Data'!C:AB,24,FALSE),"")</f>
        <v/>
      </c>
      <c r="S501" t="str">
        <f>IFERROR(VLOOKUP('OB Format'!D501,'Team Data'!C:AC,25,FALSE),"")</f>
        <v/>
      </c>
    </row>
    <row r="502" spans="5:19" x14ac:dyDescent="0.25">
      <c r="E502" t="str">
        <f>IFERROR(VLOOKUP(D502,'Team Data'!C:AB,4,FALSE),"")</f>
        <v/>
      </c>
      <c r="F502" t="str">
        <f>IFERROR(VLOOKUP(D502,'Team Data'!C:AB,5,FALSE),"")</f>
        <v/>
      </c>
      <c r="G502" t="str">
        <f>IFERROR(VLOOKUP('OB Format'!D502,'Team Data'!C:AB,17,FALSE),"")</f>
        <v/>
      </c>
      <c r="H502" t="str">
        <f>IFERROR(VLOOKUP(D502,'Team Data'!C:AB,7,FALSE),"")</f>
        <v/>
      </c>
      <c r="I502" t="str">
        <f>IFERROR(VLOOKUP(D502,'Team Data'!C:AB,14,FALSE),"")</f>
        <v/>
      </c>
      <c r="J502" t="str">
        <f>IFERROR(VLOOKUP(D502,'Team Data'!C:AB,8,FALSE),"")</f>
        <v/>
      </c>
      <c r="K502" t="str">
        <f>IFERROR(VLOOKUP(D502,'Team Data'!C:AB,9,FALSE),"")</f>
        <v/>
      </c>
      <c r="L502" t="str">
        <f>IFERROR(VLOOKUP(D502,'Team Data'!C:AB,10,FALSE),"")</f>
        <v/>
      </c>
      <c r="M502" t="str">
        <f t="shared" si="16"/>
        <v/>
      </c>
      <c r="N502" t="str">
        <f>IFERROR(VLOOKUP(D502,'Team Data'!C:AB,23,FALSE),"")</f>
        <v/>
      </c>
      <c r="O502" t="str">
        <f>IFERROR(VLOOKUP(D502,'Team Data'!C:AB,22,FALSE),"")</f>
        <v/>
      </c>
      <c r="P502" t="str">
        <f t="shared" si="17"/>
        <v/>
      </c>
      <c r="Q502" t="str">
        <f>IFERROR(VLOOKUP(D502,'Team Data'!C:AB,15,FALSE),"")</f>
        <v/>
      </c>
      <c r="R502" t="str">
        <f>IFERROR(VLOOKUP('OB Format'!D502,'Team Data'!C:AB,24,FALSE),"")</f>
        <v/>
      </c>
      <c r="S502" t="str">
        <f>IFERROR(VLOOKUP('OB Format'!D502,'Team Data'!C:AC,25,FALSE),"")</f>
        <v/>
      </c>
    </row>
    <row r="503" spans="5:19" x14ac:dyDescent="0.25">
      <c r="E503" t="str">
        <f>IFERROR(VLOOKUP(D503,'Team Data'!C:AB,4,FALSE),"")</f>
        <v/>
      </c>
      <c r="F503" t="str">
        <f>IFERROR(VLOOKUP(D503,'Team Data'!C:AB,5,FALSE),"")</f>
        <v/>
      </c>
      <c r="G503" t="str">
        <f>IFERROR(VLOOKUP('OB Format'!D503,'Team Data'!C:AB,17,FALSE),"")</f>
        <v/>
      </c>
      <c r="H503" t="str">
        <f>IFERROR(VLOOKUP(D503,'Team Data'!C:AB,7,FALSE),"")</f>
        <v/>
      </c>
      <c r="I503" t="str">
        <f>IFERROR(VLOOKUP(D503,'Team Data'!C:AB,14,FALSE),"")</f>
        <v/>
      </c>
      <c r="J503" t="str">
        <f>IFERROR(VLOOKUP(D503,'Team Data'!C:AB,8,FALSE),"")</f>
        <v/>
      </c>
      <c r="K503" t="str">
        <f>IFERROR(VLOOKUP(D503,'Team Data'!C:AB,9,FALSE),"")</f>
        <v/>
      </c>
      <c r="L503" t="str">
        <f>IFERROR(VLOOKUP(D503,'Team Data'!C:AB,10,FALSE),"")</f>
        <v/>
      </c>
      <c r="M503" t="str">
        <f t="shared" si="16"/>
        <v/>
      </c>
      <c r="N503" t="str">
        <f>IFERROR(VLOOKUP(D503,'Team Data'!C:AB,23,FALSE),"")</f>
        <v/>
      </c>
      <c r="O503" t="str">
        <f>IFERROR(VLOOKUP(D503,'Team Data'!C:AB,22,FALSE),"")</f>
        <v/>
      </c>
      <c r="P503" t="str">
        <f t="shared" si="17"/>
        <v/>
      </c>
      <c r="Q503" t="str">
        <f>IFERROR(VLOOKUP(D503,'Team Data'!C:AB,15,FALSE),"")</f>
        <v/>
      </c>
      <c r="R503" t="str">
        <f>IFERROR(VLOOKUP('OB Format'!D503,'Team Data'!C:AB,24,FALSE),"")</f>
        <v/>
      </c>
      <c r="S503" t="str">
        <f>IFERROR(VLOOKUP('OB Format'!D503,'Team Data'!C:AC,25,FALSE),"")</f>
        <v/>
      </c>
    </row>
    <row r="504" spans="5:19" x14ac:dyDescent="0.25">
      <c r="E504" t="str">
        <f>IFERROR(VLOOKUP(D504,'Team Data'!C:AB,4,FALSE),"")</f>
        <v/>
      </c>
      <c r="F504" t="str">
        <f>IFERROR(VLOOKUP(D504,'Team Data'!C:AB,5,FALSE),"")</f>
        <v/>
      </c>
      <c r="G504" t="str">
        <f>IFERROR(VLOOKUP('OB Format'!D504,'Team Data'!C:AB,17,FALSE),"")</f>
        <v/>
      </c>
      <c r="H504" t="str">
        <f>IFERROR(VLOOKUP(D504,'Team Data'!C:AB,7,FALSE),"")</f>
        <v/>
      </c>
      <c r="I504" t="str">
        <f>IFERROR(VLOOKUP(D504,'Team Data'!C:AB,14,FALSE),"")</f>
        <v/>
      </c>
      <c r="J504" t="str">
        <f>IFERROR(VLOOKUP(D504,'Team Data'!C:AB,8,FALSE),"")</f>
        <v/>
      </c>
      <c r="K504" t="str">
        <f>IFERROR(VLOOKUP(D504,'Team Data'!C:AB,9,FALSE),"")</f>
        <v/>
      </c>
      <c r="L504" t="str">
        <f>IFERROR(VLOOKUP(D504,'Team Data'!C:AB,10,FALSE),"")</f>
        <v/>
      </c>
      <c r="M504" t="str">
        <f t="shared" si="16"/>
        <v/>
      </c>
      <c r="N504" t="str">
        <f>IFERROR(VLOOKUP(D504,'Team Data'!C:AB,23,FALSE),"")</f>
        <v/>
      </c>
      <c r="O504" t="str">
        <f>IFERROR(VLOOKUP(D504,'Team Data'!C:AB,22,FALSE),"")</f>
        <v/>
      </c>
      <c r="P504" t="str">
        <f t="shared" si="17"/>
        <v/>
      </c>
      <c r="Q504" t="str">
        <f>IFERROR(VLOOKUP(D504,'Team Data'!C:AB,15,FALSE),"")</f>
        <v/>
      </c>
      <c r="R504" t="str">
        <f>IFERROR(VLOOKUP('OB Format'!D504,'Team Data'!C:AB,24,FALSE),"")</f>
        <v/>
      </c>
      <c r="S504" t="str">
        <f>IFERROR(VLOOKUP('OB Format'!D504,'Team Data'!C:AC,25,FALSE),"")</f>
        <v/>
      </c>
    </row>
    <row r="505" spans="5:19" x14ac:dyDescent="0.25">
      <c r="E505" t="str">
        <f>IFERROR(VLOOKUP(D505,'Team Data'!C:AB,4,FALSE),"")</f>
        <v/>
      </c>
      <c r="F505" t="str">
        <f>IFERROR(VLOOKUP(D505,'Team Data'!C:AB,5,FALSE),"")</f>
        <v/>
      </c>
      <c r="G505" t="str">
        <f>IFERROR(VLOOKUP('OB Format'!D505,'Team Data'!C:AB,17,FALSE),"")</f>
        <v/>
      </c>
      <c r="H505" t="str">
        <f>IFERROR(VLOOKUP(D505,'Team Data'!C:AB,7,FALSE),"")</f>
        <v/>
      </c>
      <c r="I505" t="str">
        <f>IFERROR(VLOOKUP(D505,'Team Data'!C:AB,14,FALSE),"")</f>
        <v/>
      </c>
      <c r="J505" t="str">
        <f>IFERROR(VLOOKUP(D505,'Team Data'!C:AB,8,FALSE),"")</f>
        <v/>
      </c>
      <c r="K505" t="str">
        <f>IFERROR(VLOOKUP(D505,'Team Data'!C:AB,9,FALSE),"")</f>
        <v/>
      </c>
      <c r="L505" t="str">
        <f>IFERROR(VLOOKUP(D505,'Team Data'!C:AB,10,FALSE),"")</f>
        <v/>
      </c>
      <c r="M505" t="str">
        <f t="shared" si="16"/>
        <v/>
      </c>
      <c r="N505" t="str">
        <f>IFERROR(VLOOKUP(D505,'Team Data'!C:AB,23,FALSE),"")</f>
        <v/>
      </c>
      <c r="O505" t="str">
        <f>IFERROR(VLOOKUP(D505,'Team Data'!C:AB,22,FALSE),"")</f>
        <v/>
      </c>
      <c r="P505" t="str">
        <f t="shared" si="17"/>
        <v/>
      </c>
      <c r="Q505" t="str">
        <f>IFERROR(VLOOKUP(D505,'Team Data'!C:AB,15,FALSE),"")</f>
        <v/>
      </c>
      <c r="R505" t="str">
        <f>IFERROR(VLOOKUP('OB Format'!D505,'Team Data'!C:AB,24,FALSE),"")</f>
        <v/>
      </c>
      <c r="S505" t="str">
        <f>IFERROR(VLOOKUP('OB Format'!D505,'Team Data'!C:AC,25,FALSE),"")</f>
        <v/>
      </c>
    </row>
    <row r="506" spans="5:19" x14ac:dyDescent="0.25">
      <c r="E506" t="str">
        <f>IFERROR(VLOOKUP(D506,'Team Data'!C:AB,4,FALSE),"")</f>
        <v/>
      </c>
      <c r="F506" t="str">
        <f>IFERROR(VLOOKUP(D506,'Team Data'!C:AB,5,FALSE),"")</f>
        <v/>
      </c>
      <c r="G506" t="str">
        <f>IFERROR(VLOOKUP('OB Format'!D506,'Team Data'!C:AB,17,FALSE),"")</f>
        <v/>
      </c>
      <c r="H506" t="str">
        <f>IFERROR(VLOOKUP(D506,'Team Data'!C:AB,7,FALSE),"")</f>
        <v/>
      </c>
      <c r="I506" t="str">
        <f>IFERROR(VLOOKUP(D506,'Team Data'!C:AB,14,FALSE),"")</f>
        <v/>
      </c>
      <c r="J506" t="str">
        <f>IFERROR(VLOOKUP(D506,'Team Data'!C:AB,8,FALSE),"")</f>
        <v/>
      </c>
      <c r="K506" t="str">
        <f>IFERROR(VLOOKUP(D506,'Team Data'!C:AB,9,FALSE),"")</f>
        <v/>
      </c>
      <c r="L506" t="str">
        <f>IFERROR(VLOOKUP(D506,'Team Data'!C:AB,10,FALSE),"")</f>
        <v/>
      </c>
      <c r="M506" t="str">
        <f t="shared" si="16"/>
        <v/>
      </c>
      <c r="N506" t="str">
        <f>IFERROR(VLOOKUP(D506,'Team Data'!C:AB,23,FALSE),"")</f>
        <v/>
      </c>
      <c r="O506" t="str">
        <f>IFERROR(VLOOKUP(D506,'Team Data'!C:AB,22,FALSE),"")</f>
        <v/>
      </c>
      <c r="P506" t="str">
        <f t="shared" si="17"/>
        <v/>
      </c>
      <c r="Q506" t="str">
        <f>IFERROR(VLOOKUP(D506,'Team Data'!C:AB,15,FALSE),"")</f>
        <v/>
      </c>
      <c r="R506" t="str">
        <f>IFERROR(VLOOKUP('OB Format'!D506,'Team Data'!C:AB,24,FALSE),"")</f>
        <v/>
      </c>
      <c r="S506" t="str">
        <f>IFERROR(VLOOKUP('OB Format'!D506,'Team Data'!C:AC,25,FALSE),"")</f>
        <v/>
      </c>
    </row>
    <row r="507" spans="5:19" x14ac:dyDescent="0.25">
      <c r="E507" t="str">
        <f>IFERROR(VLOOKUP(D507,'Team Data'!C:AB,4,FALSE),"")</f>
        <v/>
      </c>
      <c r="F507" t="str">
        <f>IFERROR(VLOOKUP(D507,'Team Data'!C:AB,5,FALSE),"")</f>
        <v/>
      </c>
      <c r="G507" t="str">
        <f>IFERROR(VLOOKUP('OB Format'!D507,'Team Data'!C:AB,17,FALSE),"")</f>
        <v/>
      </c>
      <c r="H507" t="str">
        <f>IFERROR(VLOOKUP(D507,'Team Data'!C:AB,7,FALSE),"")</f>
        <v/>
      </c>
      <c r="I507" t="str">
        <f>IFERROR(VLOOKUP(D507,'Team Data'!C:AB,14,FALSE),"")</f>
        <v/>
      </c>
      <c r="J507" t="str">
        <f>IFERROR(VLOOKUP(D507,'Team Data'!C:AB,8,FALSE),"")</f>
        <v/>
      </c>
      <c r="K507" t="str">
        <f>IFERROR(VLOOKUP(D507,'Team Data'!C:AB,9,FALSE),"")</f>
        <v/>
      </c>
      <c r="L507" t="str">
        <f>IFERROR(VLOOKUP(D507,'Team Data'!C:AB,10,FALSE),"")</f>
        <v/>
      </c>
      <c r="M507" t="str">
        <f t="shared" si="16"/>
        <v/>
      </c>
      <c r="N507" t="str">
        <f>IFERROR(VLOOKUP(D507,'Team Data'!C:AB,23,FALSE),"")</f>
        <v/>
      </c>
      <c r="O507" t="str">
        <f>IFERROR(VLOOKUP(D507,'Team Data'!C:AB,22,FALSE),"")</f>
        <v/>
      </c>
      <c r="P507" t="str">
        <f t="shared" si="17"/>
        <v/>
      </c>
      <c r="Q507" t="str">
        <f>IFERROR(VLOOKUP(D507,'Team Data'!C:AB,15,FALSE),"")</f>
        <v/>
      </c>
      <c r="R507" t="str">
        <f>IFERROR(VLOOKUP('OB Format'!D507,'Team Data'!C:AB,24,FALSE),"")</f>
        <v/>
      </c>
      <c r="S507" t="str">
        <f>IFERROR(VLOOKUP('OB Format'!D507,'Team Data'!C:AC,25,FALSE),"")</f>
        <v/>
      </c>
    </row>
    <row r="508" spans="5:19" x14ac:dyDescent="0.25">
      <c r="E508" t="str">
        <f>IFERROR(VLOOKUP(D508,'Team Data'!C:AB,4,FALSE),"")</f>
        <v/>
      </c>
      <c r="F508" t="str">
        <f>IFERROR(VLOOKUP(D508,'Team Data'!C:AB,5,FALSE),"")</f>
        <v/>
      </c>
      <c r="G508" t="str">
        <f>IFERROR(VLOOKUP('OB Format'!D508,'Team Data'!C:AB,17,FALSE),"")</f>
        <v/>
      </c>
      <c r="H508" t="str">
        <f>IFERROR(VLOOKUP(D508,'Team Data'!C:AB,7,FALSE),"")</f>
        <v/>
      </c>
      <c r="I508" t="str">
        <f>IFERROR(VLOOKUP(D508,'Team Data'!C:AB,14,FALSE),"")</f>
        <v/>
      </c>
      <c r="J508" t="str">
        <f>IFERROR(VLOOKUP(D508,'Team Data'!C:AB,8,FALSE),"")</f>
        <v/>
      </c>
      <c r="K508" t="str">
        <f>IFERROR(VLOOKUP(D508,'Team Data'!C:AB,9,FALSE),"")</f>
        <v/>
      </c>
      <c r="L508" t="str">
        <f>IFERROR(VLOOKUP(D508,'Team Data'!C:AB,10,FALSE),"")</f>
        <v/>
      </c>
      <c r="M508" t="str">
        <f t="shared" si="16"/>
        <v/>
      </c>
      <c r="N508" t="str">
        <f>IFERROR(VLOOKUP(D508,'Team Data'!C:AB,23,FALSE),"")</f>
        <v/>
      </c>
      <c r="O508" t="str">
        <f>IFERROR(VLOOKUP(D508,'Team Data'!C:AB,22,FALSE),"")</f>
        <v/>
      </c>
      <c r="P508" t="str">
        <f t="shared" si="17"/>
        <v/>
      </c>
      <c r="Q508" t="str">
        <f>IFERROR(VLOOKUP(D508,'Team Data'!C:AB,15,FALSE),"")</f>
        <v/>
      </c>
      <c r="R508" t="str">
        <f>IFERROR(VLOOKUP('OB Format'!D508,'Team Data'!C:AB,24,FALSE),"")</f>
        <v/>
      </c>
      <c r="S508" t="str">
        <f>IFERROR(VLOOKUP('OB Format'!D508,'Team Data'!C:AC,25,FALSE),"")</f>
        <v/>
      </c>
    </row>
    <row r="509" spans="5:19" x14ac:dyDescent="0.25">
      <c r="E509" t="str">
        <f>IFERROR(VLOOKUP(D509,'Team Data'!C:AB,4,FALSE),"")</f>
        <v/>
      </c>
      <c r="F509" t="str">
        <f>IFERROR(VLOOKUP(D509,'Team Data'!C:AB,5,FALSE),"")</f>
        <v/>
      </c>
      <c r="G509" t="str">
        <f>IFERROR(VLOOKUP('OB Format'!D509,'Team Data'!C:AB,17,FALSE),"")</f>
        <v/>
      </c>
      <c r="H509" t="str">
        <f>IFERROR(VLOOKUP(D509,'Team Data'!C:AB,7,FALSE),"")</f>
        <v/>
      </c>
      <c r="I509" t="str">
        <f>IFERROR(VLOOKUP(D509,'Team Data'!C:AB,14,FALSE),"")</f>
        <v/>
      </c>
      <c r="J509" t="str">
        <f>IFERROR(VLOOKUP(D509,'Team Data'!C:AB,8,FALSE),"")</f>
        <v/>
      </c>
      <c r="K509" t="str">
        <f>IFERROR(VLOOKUP(D509,'Team Data'!C:AB,9,FALSE),"")</f>
        <v/>
      </c>
      <c r="L509" t="str">
        <f>IFERROR(VLOOKUP(D509,'Team Data'!C:AB,10,FALSE),"")</f>
        <v/>
      </c>
      <c r="M509" t="str">
        <f t="shared" si="16"/>
        <v/>
      </c>
      <c r="N509" t="str">
        <f>IFERROR(VLOOKUP(D509,'Team Data'!C:AB,23,FALSE),"")</f>
        <v/>
      </c>
      <c r="O509" t="str">
        <f>IFERROR(VLOOKUP(D509,'Team Data'!C:AB,22,FALSE),"")</f>
        <v/>
      </c>
      <c r="P509" t="str">
        <f t="shared" si="17"/>
        <v/>
      </c>
      <c r="Q509" t="str">
        <f>IFERROR(VLOOKUP(D509,'Team Data'!C:AB,15,FALSE),"")</f>
        <v/>
      </c>
      <c r="R509" t="str">
        <f>IFERROR(VLOOKUP('OB Format'!D509,'Team Data'!C:AB,24,FALSE),"")</f>
        <v/>
      </c>
      <c r="S509" t="str">
        <f>IFERROR(VLOOKUP('OB Format'!D509,'Team Data'!C:AC,25,FALSE),"")</f>
        <v/>
      </c>
    </row>
    <row r="510" spans="5:19" x14ac:dyDescent="0.25">
      <c r="E510" t="str">
        <f>IFERROR(VLOOKUP(D510,'Team Data'!C:AB,4,FALSE),"")</f>
        <v/>
      </c>
      <c r="F510" t="str">
        <f>IFERROR(VLOOKUP(D510,'Team Data'!C:AB,5,FALSE),"")</f>
        <v/>
      </c>
      <c r="G510" t="str">
        <f>IFERROR(VLOOKUP('OB Format'!D510,'Team Data'!C:AB,17,FALSE),"")</f>
        <v/>
      </c>
      <c r="H510" t="str">
        <f>IFERROR(VLOOKUP(D510,'Team Data'!C:AB,7,FALSE),"")</f>
        <v/>
      </c>
      <c r="I510" t="str">
        <f>IFERROR(VLOOKUP(D510,'Team Data'!C:AB,14,FALSE),"")</f>
        <v/>
      </c>
      <c r="J510" t="str">
        <f>IFERROR(VLOOKUP(D510,'Team Data'!C:AB,8,FALSE),"")</f>
        <v/>
      </c>
      <c r="K510" t="str">
        <f>IFERROR(VLOOKUP(D510,'Team Data'!C:AB,9,FALSE),"")</f>
        <v/>
      </c>
      <c r="L510" t="str">
        <f>IFERROR(VLOOKUP(D510,'Team Data'!C:AB,10,FALSE),"")</f>
        <v/>
      </c>
      <c r="M510" t="str">
        <f t="shared" si="16"/>
        <v/>
      </c>
      <c r="N510" t="str">
        <f>IFERROR(VLOOKUP(D510,'Team Data'!C:AB,23,FALSE),"")</f>
        <v/>
      </c>
      <c r="O510" t="str">
        <f>IFERROR(VLOOKUP(D510,'Team Data'!C:AB,22,FALSE),"")</f>
        <v/>
      </c>
      <c r="P510" t="str">
        <f t="shared" si="17"/>
        <v/>
      </c>
      <c r="Q510" t="str">
        <f>IFERROR(VLOOKUP(D510,'Team Data'!C:AB,15,FALSE),"")</f>
        <v/>
      </c>
      <c r="R510" t="str">
        <f>IFERROR(VLOOKUP('OB Format'!D510,'Team Data'!C:AB,24,FALSE),"")</f>
        <v/>
      </c>
      <c r="S510" t="str">
        <f>IFERROR(VLOOKUP('OB Format'!D510,'Team Data'!C:AC,25,FALSE),"")</f>
        <v/>
      </c>
    </row>
    <row r="511" spans="5:19" x14ac:dyDescent="0.25">
      <c r="E511" t="str">
        <f>IFERROR(VLOOKUP(D511,'Team Data'!C:AB,4,FALSE),"")</f>
        <v/>
      </c>
      <c r="F511" t="str">
        <f>IFERROR(VLOOKUP(D511,'Team Data'!C:AB,5,FALSE),"")</f>
        <v/>
      </c>
      <c r="G511" t="str">
        <f>IFERROR(VLOOKUP('OB Format'!D511,'Team Data'!C:AB,17,FALSE),"")</f>
        <v/>
      </c>
      <c r="H511" t="str">
        <f>IFERROR(VLOOKUP(D511,'Team Data'!C:AB,7,FALSE),"")</f>
        <v/>
      </c>
      <c r="I511" t="str">
        <f>IFERROR(VLOOKUP(D511,'Team Data'!C:AB,14,FALSE),"")</f>
        <v/>
      </c>
      <c r="J511" t="str">
        <f>IFERROR(VLOOKUP(D511,'Team Data'!C:AB,8,FALSE),"")</f>
        <v/>
      </c>
      <c r="K511" t="str">
        <f>IFERROR(VLOOKUP(D511,'Team Data'!C:AB,9,FALSE),"")</f>
        <v/>
      </c>
      <c r="L511" t="str">
        <f>IFERROR(VLOOKUP(D511,'Team Data'!C:AB,10,FALSE),"")</f>
        <v/>
      </c>
      <c r="M511" t="str">
        <f t="shared" si="16"/>
        <v/>
      </c>
      <c r="N511" t="str">
        <f>IFERROR(VLOOKUP(D511,'Team Data'!C:AB,23,FALSE),"")</f>
        <v/>
      </c>
      <c r="O511" t="str">
        <f>IFERROR(VLOOKUP(D511,'Team Data'!C:AB,22,FALSE),"")</f>
        <v/>
      </c>
      <c r="P511" t="str">
        <f t="shared" si="17"/>
        <v/>
      </c>
      <c r="Q511" t="str">
        <f>IFERROR(VLOOKUP(D511,'Team Data'!C:AB,15,FALSE),"")</f>
        <v/>
      </c>
      <c r="R511" t="str">
        <f>IFERROR(VLOOKUP('OB Format'!D511,'Team Data'!C:AB,24,FALSE),"")</f>
        <v/>
      </c>
      <c r="S511" t="str">
        <f>IFERROR(VLOOKUP('OB Format'!D511,'Team Data'!C:AC,25,FALSE),"")</f>
        <v/>
      </c>
    </row>
    <row r="512" spans="5:19" x14ac:dyDescent="0.25">
      <c r="E512" t="str">
        <f>IFERROR(VLOOKUP(D512,'Team Data'!C:AB,4,FALSE),"")</f>
        <v/>
      </c>
      <c r="F512" t="str">
        <f>IFERROR(VLOOKUP(D512,'Team Data'!C:AB,5,FALSE),"")</f>
        <v/>
      </c>
      <c r="G512" t="str">
        <f>IFERROR(VLOOKUP('OB Format'!D512,'Team Data'!C:AB,17,FALSE),"")</f>
        <v/>
      </c>
      <c r="H512" t="str">
        <f>IFERROR(VLOOKUP(D512,'Team Data'!C:AB,7,FALSE),"")</f>
        <v/>
      </c>
      <c r="I512" t="str">
        <f>IFERROR(VLOOKUP(D512,'Team Data'!C:AB,14,FALSE),"")</f>
        <v/>
      </c>
      <c r="J512" t="str">
        <f>IFERROR(VLOOKUP(D512,'Team Data'!C:AB,8,FALSE),"")</f>
        <v/>
      </c>
      <c r="K512" t="str">
        <f>IFERROR(VLOOKUP(D512,'Team Data'!C:AB,9,FALSE),"")</f>
        <v/>
      </c>
      <c r="L512" t="str">
        <f>IFERROR(VLOOKUP(D512,'Team Data'!C:AB,10,FALSE),"")</f>
        <v/>
      </c>
      <c r="M512" t="str">
        <f t="shared" si="16"/>
        <v/>
      </c>
      <c r="N512" t="str">
        <f>IFERROR(VLOOKUP(D512,'Team Data'!C:AB,23,FALSE),"")</f>
        <v/>
      </c>
      <c r="O512" t="str">
        <f>IFERROR(VLOOKUP(D512,'Team Data'!C:AB,22,FALSE),"")</f>
        <v/>
      </c>
      <c r="P512" t="str">
        <f t="shared" si="17"/>
        <v/>
      </c>
      <c r="Q512" t="str">
        <f>IFERROR(VLOOKUP(D512,'Team Data'!C:AB,15,FALSE),"")</f>
        <v/>
      </c>
      <c r="R512" t="str">
        <f>IFERROR(VLOOKUP('OB Format'!D512,'Team Data'!C:AB,24,FALSE),"")</f>
        <v/>
      </c>
      <c r="S512" t="str">
        <f>IFERROR(VLOOKUP('OB Format'!D512,'Team Data'!C:AC,25,FALSE),"")</f>
        <v/>
      </c>
    </row>
    <row r="513" spans="5:19" x14ac:dyDescent="0.25">
      <c r="E513" t="str">
        <f>IFERROR(VLOOKUP(D513,'Team Data'!C:AB,4,FALSE),"")</f>
        <v/>
      </c>
      <c r="F513" t="str">
        <f>IFERROR(VLOOKUP(D513,'Team Data'!C:AB,5,FALSE),"")</f>
        <v/>
      </c>
      <c r="G513" t="str">
        <f>IFERROR(VLOOKUP('OB Format'!D513,'Team Data'!C:AB,17,FALSE),"")</f>
        <v/>
      </c>
      <c r="H513" t="str">
        <f>IFERROR(VLOOKUP(D513,'Team Data'!C:AB,7,FALSE),"")</f>
        <v/>
      </c>
      <c r="I513" t="str">
        <f>IFERROR(VLOOKUP(D513,'Team Data'!C:AB,14,FALSE),"")</f>
        <v/>
      </c>
      <c r="J513" t="str">
        <f>IFERROR(VLOOKUP(D513,'Team Data'!C:AB,8,FALSE),"")</f>
        <v/>
      </c>
      <c r="K513" t="str">
        <f>IFERROR(VLOOKUP(D513,'Team Data'!C:AB,9,FALSE),"")</f>
        <v/>
      </c>
      <c r="L513" t="str">
        <f>IFERROR(VLOOKUP(D513,'Team Data'!C:AB,10,FALSE),"")</f>
        <v/>
      </c>
      <c r="M513" t="str">
        <f t="shared" si="16"/>
        <v/>
      </c>
      <c r="N513" t="str">
        <f>IFERROR(VLOOKUP(D513,'Team Data'!C:AB,23,FALSE),"")</f>
        <v/>
      </c>
      <c r="O513" t="str">
        <f>IFERROR(VLOOKUP(D513,'Team Data'!C:AB,22,FALSE),"")</f>
        <v/>
      </c>
      <c r="P513" t="str">
        <f t="shared" si="17"/>
        <v/>
      </c>
      <c r="Q513" t="str">
        <f>IFERROR(VLOOKUP(D513,'Team Data'!C:AB,15,FALSE),"")</f>
        <v/>
      </c>
      <c r="R513" t="str">
        <f>IFERROR(VLOOKUP('OB Format'!D513,'Team Data'!C:AB,24,FALSE),"")</f>
        <v/>
      </c>
      <c r="S513" t="str">
        <f>IFERROR(VLOOKUP('OB Format'!D513,'Team Data'!C:AC,25,FALSE),"")</f>
        <v/>
      </c>
    </row>
    <row r="514" spans="5:19" x14ac:dyDescent="0.25">
      <c r="E514" t="str">
        <f>IFERROR(VLOOKUP(D514,'Team Data'!C:AB,4,FALSE),"")</f>
        <v/>
      </c>
      <c r="F514" t="str">
        <f>IFERROR(VLOOKUP(D514,'Team Data'!C:AB,5,FALSE),"")</f>
        <v/>
      </c>
      <c r="G514" t="str">
        <f>IFERROR(VLOOKUP('OB Format'!D514,'Team Data'!C:AB,17,FALSE),"")</f>
        <v/>
      </c>
      <c r="H514" t="str">
        <f>IFERROR(VLOOKUP(D514,'Team Data'!C:AB,7,FALSE),"")</f>
        <v/>
      </c>
      <c r="I514" t="str">
        <f>IFERROR(VLOOKUP(D514,'Team Data'!C:AB,14,FALSE),"")</f>
        <v/>
      </c>
      <c r="J514" t="str">
        <f>IFERROR(VLOOKUP(D514,'Team Data'!C:AB,8,FALSE),"")</f>
        <v/>
      </c>
      <c r="K514" t="str">
        <f>IFERROR(VLOOKUP(D514,'Team Data'!C:AB,9,FALSE),"")</f>
        <v/>
      </c>
      <c r="L514" t="str">
        <f>IFERROR(VLOOKUP(D514,'Team Data'!C:AB,10,FALSE),"")</f>
        <v/>
      </c>
      <c r="M514" t="str">
        <f t="shared" si="16"/>
        <v/>
      </c>
      <c r="N514" t="str">
        <f>IFERROR(VLOOKUP(D514,'Team Data'!C:AB,23,FALSE),"")</f>
        <v/>
      </c>
      <c r="O514" t="str">
        <f>IFERROR(VLOOKUP(D514,'Team Data'!C:AB,22,FALSE),"")</f>
        <v/>
      </c>
      <c r="P514" t="str">
        <f t="shared" si="17"/>
        <v/>
      </c>
      <c r="Q514" t="str">
        <f>IFERROR(VLOOKUP(D514,'Team Data'!C:AB,15,FALSE),"")</f>
        <v/>
      </c>
      <c r="R514" t="str">
        <f>IFERROR(VLOOKUP('OB Format'!D514,'Team Data'!C:AB,24,FALSE),"")</f>
        <v/>
      </c>
      <c r="S514" t="str">
        <f>IFERROR(VLOOKUP('OB Format'!D514,'Team Data'!C:AC,25,FALSE),"")</f>
        <v/>
      </c>
    </row>
    <row r="515" spans="5:19" x14ac:dyDescent="0.25">
      <c r="E515" t="str">
        <f>IFERROR(VLOOKUP(D515,'Team Data'!C:AB,4,FALSE),"")</f>
        <v/>
      </c>
      <c r="F515" t="str">
        <f>IFERROR(VLOOKUP(D515,'Team Data'!C:AB,5,FALSE),"")</f>
        <v/>
      </c>
      <c r="G515" t="str">
        <f>IFERROR(VLOOKUP('OB Format'!D515,'Team Data'!C:AB,17,FALSE),"")</f>
        <v/>
      </c>
      <c r="H515" t="str">
        <f>IFERROR(VLOOKUP(D515,'Team Data'!C:AB,7,FALSE),"")</f>
        <v/>
      </c>
      <c r="I515" t="str">
        <f>IFERROR(VLOOKUP(D515,'Team Data'!C:AB,14,FALSE),"")</f>
        <v/>
      </c>
      <c r="J515" t="str">
        <f>IFERROR(VLOOKUP(D515,'Team Data'!C:AB,8,FALSE),"")</f>
        <v/>
      </c>
      <c r="K515" t="str">
        <f>IFERROR(VLOOKUP(D515,'Team Data'!C:AB,9,FALSE),"")</f>
        <v/>
      </c>
      <c r="L515" t="str">
        <f>IFERROR(VLOOKUP(D515,'Team Data'!C:AB,10,FALSE),"")</f>
        <v/>
      </c>
      <c r="M515" t="str">
        <f t="shared" si="16"/>
        <v/>
      </c>
      <c r="N515" t="str">
        <f>IFERROR(VLOOKUP(D515,'Team Data'!C:AB,23,FALSE),"")</f>
        <v/>
      </c>
      <c r="O515" t="str">
        <f>IFERROR(VLOOKUP(D515,'Team Data'!C:AB,22,FALSE),"")</f>
        <v/>
      </c>
      <c r="P515" t="str">
        <f t="shared" si="17"/>
        <v/>
      </c>
      <c r="Q515" t="str">
        <f>IFERROR(VLOOKUP(D515,'Team Data'!C:AB,15,FALSE),"")</f>
        <v/>
      </c>
      <c r="R515" t="str">
        <f>IFERROR(VLOOKUP('OB Format'!D515,'Team Data'!C:AB,24,FALSE),"")</f>
        <v/>
      </c>
      <c r="S515" t="str">
        <f>IFERROR(VLOOKUP('OB Format'!D515,'Team Data'!C:AC,25,FALSE),"")</f>
        <v/>
      </c>
    </row>
    <row r="516" spans="5:19" x14ac:dyDescent="0.25">
      <c r="E516" t="str">
        <f>IFERROR(VLOOKUP(D516,'Team Data'!C:AB,4,FALSE),"")</f>
        <v/>
      </c>
      <c r="F516" t="str">
        <f>IFERROR(VLOOKUP(D516,'Team Data'!C:AB,5,FALSE),"")</f>
        <v/>
      </c>
      <c r="G516" t="str">
        <f>IFERROR(VLOOKUP('OB Format'!D516,'Team Data'!C:AB,17,FALSE),"")</f>
        <v/>
      </c>
      <c r="H516" t="str">
        <f>IFERROR(VLOOKUP(D516,'Team Data'!C:AB,7,FALSE),"")</f>
        <v/>
      </c>
      <c r="I516" t="str">
        <f>IFERROR(VLOOKUP(D516,'Team Data'!C:AB,14,FALSE),"")</f>
        <v/>
      </c>
      <c r="J516" t="str">
        <f>IFERROR(VLOOKUP(D516,'Team Data'!C:AB,8,FALSE),"")</f>
        <v/>
      </c>
      <c r="K516" t="str">
        <f>IFERROR(VLOOKUP(D516,'Team Data'!C:AB,9,FALSE),"")</f>
        <v/>
      </c>
      <c r="L516" t="str">
        <f>IFERROR(VLOOKUP(D516,'Team Data'!C:AB,10,FALSE),"")</f>
        <v/>
      </c>
      <c r="M516" t="str">
        <f t="shared" si="16"/>
        <v/>
      </c>
      <c r="N516" t="str">
        <f>IFERROR(VLOOKUP(D516,'Team Data'!C:AB,23,FALSE),"")</f>
        <v/>
      </c>
      <c r="O516" t="str">
        <f>IFERROR(VLOOKUP(D516,'Team Data'!C:AB,22,FALSE),"")</f>
        <v/>
      </c>
      <c r="P516" t="str">
        <f t="shared" si="17"/>
        <v/>
      </c>
      <c r="Q516" t="str">
        <f>IFERROR(VLOOKUP(D516,'Team Data'!C:AB,15,FALSE),"")</f>
        <v/>
      </c>
      <c r="R516" t="str">
        <f>IFERROR(VLOOKUP('OB Format'!D516,'Team Data'!C:AB,24,FALSE),"")</f>
        <v/>
      </c>
      <c r="S516" t="str">
        <f>IFERROR(VLOOKUP('OB Format'!D516,'Team Data'!C:AC,25,FALSE),"")</f>
        <v/>
      </c>
    </row>
    <row r="517" spans="5:19" x14ac:dyDescent="0.25">
      <c r="E517" t="str">
        <f>IFERROR(VLOOKUP(D517,'Team Data'!C:AB,4,FALSE),"")</f>
        <v/>
      </c>
      <c r="F517" t="str">
        <f>IFERROR(VLOOKUP(D517,'Team Data'!C:AB,5,FALSE),"")</f>
        <v/>
      </c>
      <c r="G517" t="str">
        <f>IFERROR(VLOOKUP('OB Format'!D517,'Team Data'!C:AB,17,FALSE),"")</f>
        <v/>
      </c>
      <c r="H517" t="str">
        <f>IFERROR(VLOOKUP(D517,'Team Data'!C:AB,7,FALSE),"")</f>
        <v/>
      </c>
      <c r="I517" t="str">
        <f>IFERROR(VLOOKUP(D517,'Team Data'!C:AB,14,FALSE),"")</f>
        <v/>
      </c>
      <c r="J517" t="str">
        <f>IFERROR(VLOOKUP(D517,'Team Data'!C:AB,8,FALSE),"")</f>
        <v/>
      </c>
      <c r="K517" t="str">
        <f>IFERROR(VLOOKUP(D517,'Team Data'!C:AB,9,FALSE),"")</f>
        <v/>
      </c>
      <c r="L517" t="str">
        <f>IFERROR(VLOOKUP(D517,'Team Data'!C:AB,10,FALSE),"")</f>
        <v/>
      </c>
      <c r="M517" t="str">
        <f t="shared" si="16"/>
        <v/>
      </c>
      <c r="N517" t="str">
        <f>IFERROR(VLOOKUP(D517,'Team Data'!C:AB,23,FALSE),"")</f>
        <v/>
      </c>
      <c r="O517" t="str">
        <f>IFERROR(VLOOKUP(D517,'Team Data'!C:AB,22,FALSE),"")</f>
        <v/>
      </c>
      <c r="P517" t="str">
        <f t="shared" si="17"/>
        <v/>
      </c>
      <c r="Q517" t="str">
        <f>IFERROR(VLOOKUP(D517,'Team Data'!C:AB,15,FALSE),"")</f>
        <v/>
      </c>
      <c r="R517" t="str">
        <f>IFERROR(VLOOKUP('OB Format'!D517,'Team Data'!C:AB,24,FALSE),"")</f>
        <v/>
      </c>
      <c r="S517" t="str">
        <f>IFERROR(VLOOKUP('OB Format'!D517,'Team Data'!C:AC,25,FALSE),"")</f>
        <v/>
      </c>
    </row>
    <row r="518" spans="5:19" x14ac:dyDescent="0.25">
      <c r="E518" t="str">
        <f>IFERROR(VLOOKUP(D518,'Team Data'!C:AB,4,FALSE),"")</f>
        <v/>
      </c>
      <c r="F518" t="str">
        <f>IFERROR(VLOOKUP(D518,'Team Data'!C:AB,5,FALSE),"")</f>
        <v/>
      </c>
      <c r="G518" t="str">
        <f>IFERROR(VLOOKUP('OB Format'!D518,'Team Data'!C:AB,17,FALSE),"")</f>
        <v/>
      </c>
      <c r="H518" t="str">
        <f>IFERROR(VLOOKUP(D518,'Team Data'!C:AB,7,FALSE),"")</f>
        <v/>
      </c>
      <c r="I518" t="str">
        <f>IFERROR(VLOOKUP(D518,'Team Data'!C:AB,14,FALSE),"")</f>
        <v/>
      </c>
      <c r="J518" t="str">
        <f>IFERROR(VLOOKUP(D518,'Team Data'!C:AB,8,FALSE),"")</f>
        <v/>
      </c>
      <c r="K518" t="str">
        <f>IFERROR(VLOOKUP(D518,'Team Data'!C:AB,9,FALSE),"")</f>
        <v/>
      </c>
      <c r="L518" t="str">
        <f>IFERROR(VLOOKUP(D518,'Team Data'!C:AB,10,FALSE),"")</f>
        <v/>
      </c>
      <c r="M518" t="str">
        <f t="shared" si="16"/>
        <v/>
      </c>
      <c r="N518" t="str">
        <f>IFERROR(VLOOKUP(D518,'Team Data'!C:AB,23,FALSE),"")</f>
        <v/>
      </c>
      <c r="O518" t="str">
        <f>IFERROR(VLOOKUP(D518,'Team Data'!C:AB,22,FALSE),"")</f>
        <v/>
      </c>
      <c r="P518" t="str">
        <f t="shared" si="17"/>
        <v/>
      </c>
      <c r="Q518" t="str">
        <f>IFERROR(VLOOKUP(D518,'Team Data'!C:AB,15,FALSE),"")</f>
        <v/>
      </c>
      <c r="R518" t="str">
        <f>IFERROR(VLOOKUP('OB Format'!D518,'Team Data'!C:AB,24,FALSE),"")</f>
        <v/>
      </c>
      <c r="S518" t="str">
        <f>IFERROR(VLOOKUP('OB Format'!D518,'Team Data'!C:AC,25,FALSE),"")</f>
        <v/>
      </c>
    </row>
    <row r="519" spans="5:19" x14ac:dyDescent="0.25">
      <c r="E519" t="str">
        <f>IFERROR(VLOOKUP(D519,'Team Data'!C:AB,4,FALSE),"")</f>
        <v/>
      </c>
      <c r="F519" t="str">
        <f>IFERROR(VLOOKUP(D519,'Team Data'!C:AB,5,FALSE),"")</f>
        <v/>
      </c>
      <c r="G519" t="str">
        <f>IFERROR(VLOOKUP('OB Format'!D519,'Team Data'!C:AB,17,FALSE),"")</f>
        <v/>
      </c>
      <c r="H519" t="str">
        <f>IFERROR(VLOOKUP(D519,'Team Data'!C:AB,7,FALSE),"")</f>
        <v/>
      </c>
      <c r="I519" t="str">
        <f>IFERROR(VLOOKUP(D519,'Team Data'!C:AB,14,FALSE),"")</f>
        <v/>
      </c>
      <c r="J519" t="str">
        <f>IFERROR(VLOOKUP(D519,'Team Data'!C:AB,8,FALSE),"")</f>
        <v/>
      </c>
      <c r="K519" t="str">
        <f>IFERROR(VLOOKUP(D519,'Team Data'!C:AB,9,FALSE),"")</f>
        <v/>
      </c>
      <c r="L519" t="str">
        <f>IFERROR(VLOOKUP(D519,'Team Data'!C:AB,10,FALSE),"")</f>
        <v/>
      </c>
      <c r="M519" t="str">
        <f t="shared" si="16"/>
        <v/>
      </c>
      <c r="N519" t="str">
        <f>IFERROR(VLOOKUP(D519,'Team Data'!C:AB,23,FALSE),"")</f>
        <v/>
      </c>
      <c r="O519" t="str">
        <f>IFERROR(VLOOKUP(D519,'Team Data'!C:AB,22,FALSE),"")</f>
        <v/>
      </c>
      <c r="P519" t="str">
        <f t="shared" si="17"/>
        <v/>
      </c>
      <c r="Q519" t="str">
        <f>IFERROR(VLOOKUP(D519,'Team Data'!C:AB,15,FALSE),"")</f>
        <v/>
      </c>
      <c r="R519" t="str">
        <f>IFERROR(VLOOKUP('OB Format'!D519,'Team Data'!C:AB,24,FALSE),"")</f>
        <v/>
      </c>
      <c r="S519" t="str">
        <f>IFERROR(VLOOKUP('OB Format'!D519,'Team Data'!C:AC,25,FALSE),"")</f>
        <v/>
      </c>
    </row>
    <row r="520" spans="5:19" x14ac:dyDescent="0.25">
      <c r="E520" t="str">
        <f>IFERROR(VLOOKUP(D520,'Team Data'!C:AB,4,FALSE),"")</f>
        <v/>
      </c>
      <c r="F520" t="str">
        <f>IFERROR(VLOOKUP(D520,'Team Data'!C:AB,5,FALSE),"")</f>
        <v/>
      </c>
      <c r="G520" t="str">
        <f>IFERROR(VLOOKUP('OB Format'!D520,'Team Data'!C:AB,17,FALSE),"")</f>
        <v/>
      </c>
      <c r="H520" t="str">
        <f>IFERROR(VLOOKUP(D520,'Team Data'!C:AB,7,FALSE),"")</f>
        <v/>
      </c>
      <c r="I520" t="str">
        <f>IFERROR(VLOOKUP(D520,'Team Data'!C:AB,14,FALSE),"")</f>
        <v/>
      </c>
      <c r="J520" t="str">
        <f>IFERROR(VLOOKUP(D520,'Team Data'!C:AB,8,FALSE),"")</f>
        <v/>
      </c>
      <c r="K520" t="str">
        <f>IFERROR(VLOOKUP(D520,'Team Data'!C:AB,9,FALSE),"")</f>
        <v/>
      </c>
      <c r="L520" t="str">
        <f>IFERROR(VLOOKUP(D520,'Team Data'!C:AB,10,FALSE),"")</f>
        <v/>
      </c>
      <c r="M520" t="str">
        <f t="shared" si="16"/>
        <v/>
      </c>
      <c r="N520" t="str">
        <f>IFERROR(VLOOKUP(D520,'Team Data'!C:AB,23,FALSE),"")</f>
        <v/>
      </c>
      <c r="O520" t="str">
        <f>IFERROR(VLOOKUP(D520,'Team Data'!C:AB,22,FALSE),"")</f>
        <v/>
      </c>
      <c r="P520" t="str">
        <f t="shared" si="17"/>
        <v/>
      </c>
      <c r="Q520" t="str">
        <f>IFERROR(VLOOKUP(D520,'Team Data'!C:AB,15,FALSE),"")</f>
        <v/>
      </c>
      <c r="R520" t="str">
        <f>IFERROR(VLOOKUP('OB Format'!D520,'Team Data'!C:AB,24,FALSE),"")</f>
        <v/>
      </c>
      <c r="S520" t="str">
        <f>IFERROR(VLOOKUP('OB Format'!D520,'Team Data'!C:AC,25,FALSE),"")</f>
        <v/>
      </c>
    </row>
    <row r="521" spans="5:19" x14ac:dyDescent="0.25">
      <c r="E521" t="str">
        <f>IFERROR(VLOOKUP(D521,'Team Data'!C:AB,4,FALSE),"")</f>
        <v/>
      </c>
      <c r="F521" t="str">
        <f>IFERROR(VLOOKUP(D521,'Team Data'!C:AB,5,FALSE),"")</f>
        <v/>
      </c>
      <c r="G521" t="str">
        <f>IFERROR(VLOOKUP('OB Format'!D521,'Team Data'!C:AB,17,FALSE),"")</f>
        <v/>
      </c>
      <c r="H521" t="str">
        <f>IFERROR(VLOOKUP(D521,'Team Data'!C:AB,7,FALSE),"")</f>
        <v/>
      </c>
      <c r="I521" t="str">
        <f>IFERROR(VLOOKUP(D521,'Team Data'!C:AB,14,FALSE),"")</f>
        <v/>
      </c>
      <c r="J521" t="str">
        <f>IFERROR(VLOOKUP(D521,'Team Data'!C:AB,8,FALSE),"")</f>
        <v/>
      </c>
      <c r="K521" t="str">
        <f>IFERROR(VLOOKUP(D521,'Team Data'!C:AB,9,FALSE),"")</f>
        <v/>
      </c>
      <c r="L521" t="str">
        <f>IFERROR(VLOOKUP(D521,'Team Data'!C:AB,10,FALSE),"")</f>
        <v/>
      </c>
      <c r="M521" t="str">
        <f t="shared" si="16"/>
        <v/>
      </c>
      <c r="N521" t="str">
        <f>IFERROR(VLOOKUP(D521,'Team Data'!C:AB,23,FALSE),"")</f>
        <v/>
      </c>
      <c r="O521" t="str">
        <f>IFERROR(VLOOKUP(D521,'Team Data'!C:AB,22,FALSE),"")</f>
        <v/>
      </c>
      <c r="P521" t="str">
        <f t="shared" si="17"/>
        <v/>
      </c>
      <c r="Q521" t="str">
        <f>IFERROR(VLOOKUP(D521,'Team Data'!C:AB,15,FALSE),"")</f>
        <v/>
      </c>
      <c r="R521" t="str">
        <f>IFERROR(VLOOKUP('OB Format'!D521,'Team Data'!C:AB,24,FALSE),"")</f>
        <v/>
      </c>
      <c r="S521" t="str">
        <f>IFERROR(VLOOKUP('OB Format'!D521,'Team Data'!C:AC,25,FALSE),"")</f>
        <v/>
      </c>
    </row>
    <row r="522" spans="5:19" x14ac:dyDescent="0.25">
      <c r="E522" t="str">
        <f>IFERROR(VLOOKUP(D522,'Team Data'!C:AB,4,FALSE),"")</f>
        <v/>
      </c>
      <c r="F522" t="str">
        <f>IFERROR(VLOOKUP(D522,'Team Data'!C:AB,5,FALSE),"")</f>
        <v/>
      </c>
      <c r="G522" t="str">
        <f>IFERROR(VLOOKUP('OB Format'!D522,'Team Data'!C:AB,17,FALSE),"")</f>
        <v/>
      </c>
      <c r="H522" t="str">
        <f>IFERROR(VLOOKUP(D522,'Team Data'!C:AB,7,FALSE),"")</f>
        <v/>
      </c>
      <c r="I522" t="str">
        <f>IFERROR(VLOOKUP(D522,'Team Data'!C:AB,14,FALSE),"")</f>
        <v/>
      </c>
      <c r="J522" t="str">
        <f>IFERROR(VLOOKUP(D522,'Team Data'!C:AB,8,FALSE),"")</f>
        <v/>
      </c>
      <c r="K522" t="str">
        <f>IFERROR(VLOOKUP(D522,'Team Data'!C:AB,9,FALSE),"")</f>
        <v/>
      </c>
      <c r="L522" t="str">
        <f>IFERROR(VLOOKUP(D522,'Team Data'!C:AB,10,FALSE),"")</f>
        <v/>
      </c>
      <c r="M522" t="str">
        <f t="shared" si="16"/>
        <v/>
      </c>
      <c r="N522" t="str">
        <f>IFERROR(VLOOKUP(D522,'Team Data'!C:AB,23,FALSE),"")</f>
        <v/>
      </c>
      <c r="O522" t="str">
        <f>IFERROR(VLOOKUP(D522,'Team Data'!C:AB,22,FALSE),"")</f>
        <v/>
      </c>
      <c r="P522" t="str">
        <f t="shared" si="17"/>
        <v/>
      </c>
      <c r="Q522" t="str">
        <f>IFERROR(VLOOKUP(D522,'Team Data'!C:AB,15,FALSE),"")</f>
        <v/>
      </c>
      <c r="R522" t="str">
        <f>IFERROR(VLOOKUP('OB Format'!D522,'Team Data'!C:AB,24,FALSE),"")</f>
        <v/>
      </c>
      <c r="S522" t="str">
        <f>IFERROR(VLOOKUP('OB Format'!D522,'Team Data'!C:AC,25,FALSE),"")</f>
        <v/>
      </c>
    </row>
    <row r="523" spans="5:19" x14ac:dyDescent="0.25">
      <c r="E523" t="str">
        <f>IFERROR(VLOOKUP(D523,'Team Data'!C:AB,4,FALSE),"")</f>
        <v/>
      </c>
      <c r="F523" t="str">
        <f>IFERROR(VLOOKUP(D523,'Team Data'!C:AB,5,FALSE),"")</f>
        <v/>
      </c>
      <c r="G523" t="str">
        <f>IFERROR(VLOOKUP('OB Format'!D523,'Team Data'!C:AB,17,FALSE),"")</f>
        <v/>
      </c>
      <c r="H523" t="str">
        <f>IFERROR(VLOOKUP(D523,'Team Data'!C:AB,7,FALSE),"")</f>
        <v/>
      </c>
      <c r="I523" t="str">
        <f>IFERROR(VLOOKUP(D523,'Team Data'!C:AB,14,FALSE),"")</f>
        <v/>
      </c>
      <c r="J523" t="str">
        <f>IFERROR(VLOOKUP(D523,'Team Data'!C:AB,8,FALSE),"")</f>
        <v/>
      </c>
      <c r="K523" t="str">
        <f>IFERROR(VLOOKUP(D523,'Team Data'!C:AB,9,FALSE),"")</f>
        <v/>
      </c>
      <c r="L523" t="str">
        <f>IFERROR(VLOOKUP(D523,'Team Data'!C:AB,10,FALSE),"")</f>
        <v/>
      </c>
      <c r="M523" t="str">
        <f t="shared" si="16"/>
        <v/>
      </c>
      <c r="N523" t="str">
        <f>IFERROR(VLOOKUP(D523,'Team Data'!C:AB,23,FALSE),"")</f>
        <v/>
      </c>
      <c r="O523" t="str">
        <f>IFERROR(VLOOKUP(D523,'Team Data'!C:AB,22,FALSE),"")</f>
        <v/>
      </c>
      <c r="P523" t="str">
        <f t="shared" si="17"/>
        <v/>
      </c>
      <c r="Q523" t="str">
        <f>IFERROR(VLOOKUP(D523,'Team Data'!C:AB,15,FALSE),"")</f>
        <v/>
      </c>
      <c r="R523" t="str">
        <f>IFERROR(VLOOKUP('OB Format'!D523,'Team Data'!C:AB,24,FALSE),"")</f>
        <v/>
      </c>
      <c r="S523" t="str">
        <f>IFERROR(VLOOKUP('OB Format'!D523,'Team Data'!C:AC,25,FALSE),"")</f>
        <v/>
      </c>
    </row>
    <row r="524" spans="5:19" x14ac:dyDescent="0.25">
      <c r="E524" t="str">
        <f>IFERROR(VLOOKUP(D524,'Team Data'!C:AB,4,FALSE),"")</f>
        <v/>
      </c>
      <c r="F524" t="str">
        <f>IFERROR(VLOOKUP(D524,'Team Data'!C:AB,5,FALSE),"")</f>
        <v/>
      </c>
      <c r="G524" t="str">
        <f>IFERROR(VLOOKUP('OB Format'!D524,'Team Data'!C:AB,17,FALSE),"")</f>
        <v/>
      </c>
      <c r="H524" t="str">
        <f>IFERROR(VLOOKUP(D524,'Team Data'!C:AB,7,FALSE),"")</f>
        <v/>
      </c>
      <c r="I524" t="str">
        <f>IFERROR(VLOOKUP(D524,'Team Data'!C:AB,14,FALSE),"")</f>
        <v/>
      </c>
      <c r="J524" t="str">
        <f>IFERROR(VLOOKUP(D524,'Team Data'!C:AB,8,FALSE),"")</f>
        <v/>
      </c>
      <c r="K524" t="str">
        <f>IFERROR(VLOOKUP(D524,'Team Data'!C:AB,9,FALSE),"")</f>
        <v/>
      </c>
      <c r="L524" t="str">
        <f>IFERROR(VLOOKUP(D524,'Team Data'!C:AB,10,FALSE),"")</f>
        <v/>
      </c>
      <c r="M524" t="str">
        <f t="shared" si="16"/>
        <v/>
      </c>
      <c r="N524" t="str">
        <f>IFERROR(VLOOKUP(D524,'Team Data'!C:AB,23,FALSE),"")</f>
        <v/>
      </c>
      <c r="O524" t="str">
        <f>IFERROR(VLOOKUP(D524,'Team Data'!C:AB,22,FALSE),"")</f>
        <v/>
      </c>
      <c r="P524" t="str">
        <f t="shared" si="17"/>
        <v/>
      </c>
      <c r="Q524" t="str">
        <f>IFERROR(VLOOKUP(D524,'Team Data'!C:AB,15,FALSE),"")</f>
        <v/>
      </c>
      <c r="R524" t="str">
        <f>IFERROR(VLOOKUP('OB Format'!D524,'Team Data'!C:AB,24,FALSE),"")</f>
        <v/>
      </c>
      <c r="S524" t="str">
        <f>IFERROR(VLOOKUP('OB Format'!D524,'Team Data'!C:AC,25,FALSE),"")</f>
        <v/>
      </c>
    </row>
    <row r="525" spans="5:19" x14ac:dyDescent="0.25">
      <c r="E525" t="str">
        <f>IFERROR(VLOOKUP(D525,'Team Data'!C:AB,4,FALSE),"")</f>
        <v/>
      </c>
      <c r="F525" t="str">
        <f>IFERROR(VLOOKUP(D525,'Team Data'!C:AB,5,FALSE),"")</f>
        <v/>
      </c>
      <c r="G525" t="str">
        <f>IFERROR(VLOOKUP('OB Format'!D525,'Team Data'!C:AB,17,FALSE),"")</f>
        <v/>
      </c>
      <c r="H525" t="str">
        <f>IFERROR(VLOOKUP(D525,'Team Data'!C:AB,7,FALSE),"")</f>
        <v/>
      </c>
      <c r="I525" t="str">
        <f>IFERROR(VLOOKUP(D525,'Team Data'!C:AB,14,FALSE),"")</f>
        <v/>
      </c>
      <c r="J525" t="str">
        <f>IFERROR(VLOOKUP(D525,'Team Data'!C:AB,8,FALSE),"")</f>
        <v/>
      </c>
      <c r="K525" t="str">
        <f>IFERROR(VLOOKUP(D525,'Team Data'!C:AB,9,FALSE),"")</f>
        <v/>
      </c>
      <c r="L525" t="str">
        <f>IFERROR(VLOOKUP(D525,'Team Data'!C:AB,10,FALSE),"")</f>
        <v/>
      </c>
      <c r="M525" t="str">
        <f t="shared" ref="M525:M588" si="18">IFERROR(H525-(J525+L525+K525),"")</f>
        <v/>
      </c>
      <c r="N525" t="str">
        <f>IFERROR(VLOOKUP(D525,'Team Data'!C:AB,23,FALSE),"")</f>
        <v/>
      </c>
      <c r="O525" t="str">
        <f>IFERROR(VLOOKUP(D525,'Team Data'!C:AB,22,FALSE),"")</f>
        <v/>
      </c>
      <c r="P525" t="str">
        <f t="shared" ref="P525:P588" si="19">IFERROR(E525-(H525+N525+Q525+I525+O525),"")</f>
        <v/>
      </c>
      <c r="Q525" t="str">
        <f>IFERROR(VLOOKUP(D525,'Team Data'!C:AB,15,FALSE),"")</f>
        <v/>
      </c>
      <c r="R525" t="str">
        <f>IFERROR(VLOOKUP('OB Format'!D525,'Team Data'!C:AB,24,FALSE),"")</f>
        <v/>
      </c>
      <c r="S525" t="str">
        <f>IFERROR(VLOOKUP('OB Format'!D525,'Team Data'!C:AC,25,FALSE),"")</f>
        <v/>
      </c>
    </row>
    <row r="526" spans="5:19" x14ac:dyDescent="0.25">
      <c r="E526" t="str">
        <f>IFERROR(VLOOKUP(D526,'Team Data'!C:AB,4,FALSE),"")</f>
        <v/>
      </c>
      <c r="F526" t="str">
        <f>IFERROR(VLOOKUP(D526,'Team Data'!C:AB,5,FALSE),"")</f>
        <v/>
      </c>
      <c r="G526" t="str">
        <f>IFERROR(VLOOKUP('OB Format'!D526,'Team Data'!C:AB,17,FALSE),"")</f>
        <v/>
      </c>
      <c r="H526" t="str">
        <f>IFERROR(VLOOKUP(D526,'Team Data'!C:AB,7,FALSE),"")</f>
        <v/>
      </c>
      <c r="I526" t="str">
        <f>IFERROR(VLOOKUP(D526,'Team Data'!C:AB,14,FALSE),"")</f>
        <v/>
      </c>
      <c r="J526" t="str">
        <f>IFERROR(VLOOKUP(D526,'Team Data'!C:AB,8,FALSE),"")</f>
        <v/>
      </c>
      <c r="K526" t="str">
        <f>IFERROR(VLOOKUP(D526,'Team Data'!C:AB,9,FALSE),"")</f>
        <v/>
      </c>
      <c r="L526" t="str">
        <f>IFERROR(VLOOKUP(D526,'Team Data'!C:AB,10,FALSE),"")</f>
        <v/>
      </c>
      <c r="M526" t="str">
        <f t="shared" si="18"/>
        <v/>
      </c>
      <c r="N526" t="str">
        <f>IFERROR(VLOOKUP(D526,'Team Data'!C:AB,23,FALSE),"")</f>
        <v/>
      </c>
      <c r="O526" t="str">
        <f>IFERROR(VLOOKUP(D526,'Team Data'!C:AB,22,FALSE),"")</f>
        <v/>
      </c>
      <c r="P526" t="str">
        <f t="shared" si="19"/>
        <v/>
      </c>
      <c r="Q526" t="str">
        <f>IFERROR(VLOOKUP(D526,'Team Data'!C:AB,15,FALSE),"")</f>
        <v/>
      </c>
      <c r="R526" t="str">
        <f>IFERROR(VLOOKUP('OB Format'!D526,'Team Data'!C:AB,24,FALSE),"")</f>
        <v/>
      </c>
      <c r="S526" t="str">
        <f>IFERROR(VLOOKUP('OB Format'!D526,'Team Data'!C:AC,25,FALSE),"")</f>
        <v/>
      </c>
    </row>
    <row r="527" spans="5:19" x14ac:dyDescent="0.25">
      <c r="E527" t="str">
        <f>IFERROR(VLOOKUP(D527,'Team Data'!C:AB,4,FALSE),"")</f>
        <v/>
      </c>
      <c r="F527" t="str">
        <f>IFERROR(VLOOKUP(D527,'Team Data'!C:AB,5,FALSE),"")</f>
        <v/>
      </c>
      <c r="G527" t="str">
        <f>IFERROR(VLOOKUP('OB Format'!D527,'Team Data'!C:AB,17,FALSE),"")</f>
        <v/>
      </c>
      <c r="H527" t="str">
        <f>IFERROR(VLOOKUP(D527,'Team Data'!C:AB,7,FALSE),"")</f>
        <v/>
      </c>
      <c r="I527" t="str">
        <f>IFERROR(VLOOKUP(D527,'Team Data'!C:AB,14,FALSE),"")</f>
        <v/>
      </c>
      <c r="J527" t="str">
        <f>IFERROR(VLOOKUP(D527,'Team Data'!C:AB,8,FALSE),"")</f>
        <v/>
      </c>
      <c r="K527" t="str">
        <f>IFERROR(VLOOKUP(D527,'Team Data'!C:AB,9,FALSE),"")</f>
        <v/>
      </c>
      <c r="L527" t="str">
        <f>IFERROR(VLOOKUP(D527,'Team Data'!C:AB,10,FALSE),"")</f>
        <v/>
      </c>
      <c r="M527" t="str">
        <f t="shared" si="18"/>
        <v/>
      </c>
      <c r="N527" t="str">
        <f>IFERROR(VLOOKUP(D527,'Team Data'!C:AB,23,FALSE),"")</f>
        <v/>
      </c>
      <c r="O527" t="str">
        <f>IFERROR(VLOOKUP(D527,'Team Data'!C:AB,22,FALSE),"")</f>
        <v/>
      </c>
      <c r="P527" t="str">
        <f t="shared" si="19"/>
        <v/>
      </c>
      <c r="Q527" t="str">
        <f>IFERROR(VLOOKUP(D527,'Team Data'!C:AB,15,FALSE),"")</f>
        <v/>
      </c>
      <c r="R527" t="str">
        <f>IFERROR(VLOOKUP('OB Format'!D527,'Team Data'!C:AB,24,FALSE),"")</f>
        <v/>
      </c>
      <c r="S527" t="str">
        <f>IFERROR(VLOOKUP('OB Format'!D527,'Team Data'!C:AC,25,FALSE),"")</f>
        <v/>
      </c>
    </row>
    <row r="528" spans="5:19" x14ac:dyDescent="0.25">
      <c r="E528" t="str">
        <f>IFERROR(VLOOKUP(D528,'Team Data'!C:AB,4,FALSE),"")</f>
        <v/>
      </c>
      <c r="F528" t="str">
        <f>IFERROR(VLOOKUP(D528,'Team Data'!C:AB,5,FALSE),"")</f>
        <v/>
      </c>
      <c r="G528" t="str">
        <f>IFERROR(VLOOKUP('OB Format'!D528,'Team Data'!C:AB,17,FALSE),"")</f>
        <v/>
      </c>
      <c r="H528" t="str">
        <f>IFERROR(VLOOKUP(D528,'Team Data'!C:AB,7,FALSE),"")</f>
        <v/>
      </c>
      <c r="I528" t="str">
        <f>IFERROR(VLOOKUP(D528,'Team Data'!C:AB,14,FALSE),"")</f>
        <v/>
      </c>
      <c r="J528" t="str">
        <f>IFERROR(VLOOKUP(D528,'Team Data'!C:AB,8,FALSE),"")</f>
        <v/>
      </c>
      <c r="K528" t="str">
        <f>IFERROR(VLOOKUP(D528,'Team Data'!C:AB,9,FALSE),"")</f>
        <v/>
      </c>
      <c r="L528" t="str">
        <f>IFERROR(VLOOKUP(D528,'Team Data'!C:AB,10,FALSE),"")</f>
        <v/>
      </c>
      <c r="M528" t="str">
        <f t="shared" si="18"/>
        <v/>
      </c>
      <c r="N528" t="str">
        <f>IFERROR(VLOOKUP(D528,'Team Data'!C:AB,23,FALSE),"")</f>
        <v/>
      </c>
      <c r="O528" t="str">
        <f>IFERROR(VLOOKUP(D528,'Team Data'!C:AB,22,FALSE),"")</f>
        <v/>
      </c>
      <c r="P528" t="str">
        <f t="shared" si="19"/>
        <v/>
      </c>
      <c r="Q528" t="str">
        <f>IFERROR(VLOOKUP(D528,'Team Data'!C:AB,15,FALSE),"")</f>
        <v/>
      </c>
      <c r="R528" t="str">
        <f>IFERROR(VLOOKUP('OB Format'!D528,'Team Data'!C:AB,24,FALSE),"")</f>
        <v/>
      </c>
      <c r="S528" t="str">
        <f>IFERROR(VLOOKUP('OB Format'!D528,'Team Data'!C:AC,25,FALSE),"")</f>
        <v/>
      </c>
    </row>
    <row r="529" spans="5:19" x14ac:dyDescent="0.25">
      <c r="E529" t="str">
        <f>IFERROR(VLOOKUP(D529,'Team Data'!C:AB,4,FALSE),"")</f>
        <v/>
      </c>
      <c r="F529" t="str">
        <f>IFERROR(VLOOKUP(D529,'Team Data'!C:AB,5,FALSE),"")</f>
        <v/>
      </c>
      <c r="G529" t="str">
        <f>IFERROR(VLOOKUP('OB Format'!D529,'Team Data'!C:AB,17,FALSE),"")</f>
        <v/>
      </c>
      <c r="H529" t="str">
        <f>IFERROR(VLOOKUP(D529,'Team Data'!C:AB,7,FALSE),"")</f>
        <v/>
      </c>
      <c r="I529" t="str">
        <f>IFERROR(VLOOKUP(D529,'Team Data'!C:AB,14,FALSE),"")</f>
        <v/>
      </c>
      <c r="J529" t="str">
        <f>IFERROR(VLOOKUP(D529,'Team Data'!C:AB,8,FALSE),"")</f>
        <v/>
      </c>
      <c r="K529" t="str">
        <f>IFERROR(VLOOKUP(D529,'Team Data'!C:AB,9,FALSE),"")</f>
        <v/>
      </c>
      <c r="L529" t="str">
        <f>IFERROR(VLOOKUP(D529,'Team Data'!C:AB,10,FALSE),"")</f>
        <v/>
      </c>
      <c r="M529" t="str">
        <f t="shared" si="18"/>
        <v/>
      </c>
      <c r="N529" t="str">
        <f>IFERROR(VLOOKUP(D529,'Team Data'!C:AB,23,FALSE),"")</f>
        <v/>
      </c>
      <c r="O529" t="str">
        <f>IFERROR(VLOOKUP(D529,'Team Data'!C:AB,22,FALSE),"")</f>
        <v/>
      </c>
      <c r="P529" t="str">
        <f t="shared" si="19"/>
        <v/>
      </c>
      <c r="Q529" t="str">
        <f>IFERROR(VLOOKUP(D529,'Team Data'!C:AB,15,FALSE),"")</f>
        <v/>
      </c>
      <c r="R529" t="str">
        <f>IFERROR(VLOOKUP('OB Format'!D529,'Team Data'!C:AB,24,FALSE),"")</f>
        <v/>
      </c>
      <c r="S529" t="str">
        <f>IFERROR(VLOOKUP('OB Format'!D529,'Team Data'!C:AC,25,FALSE),"")</f>
        <v/>
      </c>
    </row>
    <row r="530" spans="5:19" x14ac:dyDescent="0.25">
      <c r="E530" t="str">
        <f>IFERROR(VLOOKUP(D530,'Team Data'!C:AB,4,FALSE),"")</f>
        <v/>
      </c>
      <c r="F530" t="str">
        <f>IFERROR(VLOOKUP(D530,'Team Data'!C:AB,5,FALSE),"")</f>
        <v/>
      </c>
      <c r="G530" t="str">
        <f>IFERROR(VLOOKUP('OB Format'!D530,'Team Data'!C:AB,17,FALSE),"")</f>
        <v/>
      </c>
      <c r="H530" t="str">
        <f>IFERROR(VLOOKUP(D530,'Team Data'!C:AB,7,FALSE),"")</f>
        <v/>
      </c>
      <c r="I530" t="str">
        <f>IFERROR(VLOOKUP(D530,'Team Data'!C:AB,14,FALSE),"")</f>
        <v/>
      </c>
      <c r="J530" t="str">
        <f>IFERROR(VLOOKUP(D530,'Team Data'!C:AB,8,FALSE),"")</f>
        <v/>
      </c>
      <c r="K530" t="str">
        <f>IFERROR(VLOOKUP(D530,'Team Data'!C:AB,9,FALSE),"")</f>
        <v/>
      </c>
      <c r="L530" t="str">
        <f>IFERROR(VLOOKUP(D530,'Team Data'!C:AB,10,FALSE),"")</f>
        <v/>
      </c>
      <c r="M530" t="str">
        <f t="shared" si="18"/>
        <v/>
      </c>
      <c r="N530" t="str">
        <f>IFERROR(VLOOKUP(D530,'Team Data'!C:AB,23,FALSE),"")</f>
        <v/>
      </c>
      <c r="O530" t="str">
        <f>IFERROR(VLOOKUP(D530,'Team Data'!C:AB,22,FALSE),"")</f>
        <v/>
      </c>
      <c r="P530" t="str">
        <f t="shared" si="19"/>
        <v/>
      </c>
      <c r="Q530" t="str">
        <f>IFERROR(VLOOKUP(D530,'Team Data'!C:AB,15,FALSE),"")</f>
        <v/>
      </c>
      <c r="R530" t="str">
        <f>IFERROR(VLOOKUP('OB Format'!D530,'Team Data'!C:AB,24,FALSE),"")</f>
        <v/>
      </c>
      <c r="S530" t="str">
        <f>IFERROR(VLOOKUP('OB Format'!D530,'Team Data'!C:AC,25,FALSE),"")</f>
        <v/>
      </c>
    </row>
    <row r="531" spans="5:19" x14ac:dyDescent="0.25">
      <c r="E531" t="str">
        <f>IFERROR(VLOOKUP(D531,'Team Data'!C:AB,4,FALSE),"")</f>
        <v/>
      </c>
      <c r="F531" t="str">
        <f>IFERROR(VLOOKUP(D531,'Team Data'!C:AB,5,FALSE),"")</f>
        <v/>
      </c>
      <c r="G531" t="str">
        <f>IFERROR(VLOOKUP('OB Format'!D531,'Team Data'!C:AB,17,FALSE),"")</f>
        <v/>
      </c>
      <c r="H531" t="str">
        <f>IFERROR(VLOOKUP(D531,'Team Data'!C:AB,7,FALSE),"")</f>
        <v/>
      </c>
      <c r="I531" t="str">
        <f>IFERROR(VLOOKUP(D531,'Team Data'!C:AB,14,FALSE),"")</f>
        <v/>
      </c>
      <c r="J531" t="str">
        <f>IFERROR(VLOOKUP(D531,'Team Data'!C:AB,8,FALSE),"")</f>
        <v/>
      </c>
      <c r="K531" t="str">
        <f>IFERROR(VLOOKUP(D531,'Team Data'!C:AB,9,FALSE),"")</f>
        <v/>
      </c>
      <c r="L531" t="str">
        <f>IFERROR(VLOOKUP(D531,'Team Data'!C:AB,10,FALSE),"")</f>
        <v/>
      </c>
      <c r="M531" t="str">
        <f t="shared" si="18"/>
        <v/>
      </c>
      <c r="N531" t="str">
        <f>IFERROR(VLOOKUP(D531,'Team Data'!C:AB,23,FALSE),"")</f>
        <v/>
      </c>
      <c r="O531" t="str">
        <f>IFERROR(VLOOKUP(D531,'Team Data'!C:AB,22,FALSE),"")</f>
        <v/>
      </c>
      <c r="P531" t="str">
        <f t="shared" si="19"/>
        <v/>
      </c>
      <c r="Q531" t="str">
        <f>IFERROR(VLOOKUP(D531,'Team Data'!C:AB,15,FALSE),"")</f>
        <v/>
      </c>
      <c r="R531" t="str">
        <f>IFERROR(VLOOKUP('OB Format'!D531,'Team Data'!C:AB,24,FALSE),"")</f>
        <v/>
      </c>
      <c r="S531" t="str">
        <f>IFERROR(VLOOKUP('OB Format'!D531,'Team Data'!C:AC,25,FALSE),"")</f>
        <v/>
      </c>
    </row>
    <row r="532" spans="5:19" x14ac:dyDescent="0.25">
      <c r="E532" t="str">
        <f>IFERROR(VLOOKUP(D532,'Team Data'!C:AB,4,FALSE),"")</f>
        <v/>
      </c>
      <c r="F532" t="str">
        <f>IFERROR(VLOOKUP(D532,'Team Data'!C:AB,5,FALSE),"")</f>
        <v/>
      </c>
      <c r="G532" t="str">
        <f>IFERROR(VLOOKUP('OB Format'!D532,'Team Data'!C:AB,17,FALSE),"")</f>
        <v/>
      </c>
      <c r="H532" t="str">
        <f>IFERROR(VLOOKUP(D532,'Team Data'!C:AB,7,FALSE),"")</f>
        <v/>
      </c>
      <c r="I532" t="str">
        <f>IFERROR(VLOOKUP(D532,'Team Data'!C:AB,14,FALSE),"")</f>
        <v/>
      </c>
      <c r="J532" t="str">
        <f>IFERROR(VLOOKUP(D532,'Team Data'!C:AB,8,FALSE),"")</f>
        <v/>
      </c>
      <c r="K532" t="str">
        <f>IFERROR(VLOOKUP(D532,'Team Data'!C:AB,9,FALSE),"")</f>
        <v/>
      </c>
      <c r="L532" t="str">
        <f>IFERROR(VLOOKUP(D532,'Team Data'!C:AB,10,FALSE),"")</f>
        <v/>
      </c>
      <c r="M532" t="str">
        <f t="shared" si="18"/>
        <v/>
      </c>
      <c r="N532" t="str">
        <f>IFERROR(VLOOKUP(D532,'Team Data'!C:AB,23,FALSE),"")</f>
        <v/>
      </c>
      <c r="O532" t="str">
        <f>IFERROR(VLOOKUP(D532,'Team Data'!C:AB,22,FALSE),"")</f>
        <v/>
      </c>
      <c r="P532" t="str">
        <f t="shared" si="19"/>
        <v/>
      </c>
      <c r="Q532" t="str">
        <f>IFERROR(VLOOKUP(D532,'Team Data'!C:AB,15,FALSE),"")</f>
        <v/>
      </c>
      <c r="R532" t="str">
        <f>IFERROR(VLOOKUP('OB Format'!D532,'Team Data'!C:AB,24,FALSE),"")</f>
        <v/>
      </c>
      <c r="S532" t="str">
        <f>IFERROR(VLOOKUP('OB Format'!D532,'Team Data'!C:AC,25,FALSE),"")</f>
        <v/>
      </c>
    </row>
    <row r="533" spans="5:19" x14ac:dyDescent="0.25">
      <c r="E533" t="str">
        <f>IFERROR(VLOOKUP(D533,'Team Data'!C:AB,4,FALSE),"")</f>
        <v/>
      </c>
      <c r="F533" t="str">
        <f>IFERROR(VLOOKUP(D533,'Team Data'!C:AB,5,FALSE),"")</f>
        <v/>
      </c>
      <c r="G533" t="str">
        <f>IFERROR(VLOOKUP('OB Format'!D533,'Team Data'!C:AB,17,FALSE),"")</f>
        <v/>
      </c>
      <c r="H533" t="str">
        <f>IFERROR(VLOOKUP(D533,'Team Data'!C:AB,7,FALSE),"")</f>
        <v/>
      </c>
      <c r="I533" t="str">
        <f>IFERROR(VLOOKUP(D533,'Team Data'!C:AB,14,FALSE),"")</f>
        <v/>
      </c>
      <c r="J533" t="str">
        <f>IFERROR(VLOOKUP(D533,'Team Data'!C:AB,8,FALSE),"")</f>
        <v/>
      </c>
      <c r="K533" t="str">
        <f>IFERROR(VLOOKUP(D533,'Team Data'!C:AB,9,FALSE),"")</f>
        <v/>
      </c>
      <c r="L533" t="str">
        <f>IFERROR(VLOOKUP(D533,'Team Data'!C:AB,10,FALSE),"")</f>
        <v/>
      </c>
      <c r="M533" t="str">
        <f t="shared" si="18"/>
        <v/>
      </c>
      <c r="N533" t="str">
        <f>IFERROR(VLOOKUP(D533,'Team Data'!C:AB,23,FALSE),"")</f>
        <v/>
      </c>
      <c r="O533" t="str">
        <f>IFERROR(VLOOKUP(D533,'Team Data'!C:AB,22,FALSE),"")</f>
        <v/>
      </c>
      <c r="P533" t="str">
        <f t="shared" si="19"/>
        <v/>
      </c>
      <c r="Q533" t="str">
        <f>IFERROR(VLOOKUP(D533,'Team Data'!C:AB,15,FALSE),"")</f>
        <v/>
      </c>
      <c r="R533" t="str">
        <f>IFERROR(VLOOKUP('OB Format'!D533,'Team Data'!C:AB,24,FALSE),"")</f>
        <v/>
      </c>
      <c r="S533" t="str">
        <f>IFERROR(VLOOKUP('OB Format'!D533,'Team Data'!C:AC,25,FALSE),"")</f>
        <v/>
      </c>
    </row>
    <row r="534" spans="5:19" x14ac:dyDescent="0.25">
      <c r="E534" t="str">
        <f>IFERROR(VLOOKUP(D534,'Team Data'!C:AB,4,FALSE),"")</f>
        <v/>
      </c>
      <c r="F534" t="str">
        <f>IFERROR(VLOOKUP(D534,'Team Data'!C:AB,5,FALSE),"")</f>
        <v/>
      </c>
      <c r="G534" t="str">
        <f>IFERROR(VLOOKUP('OB Format'!D534,'Team Data'!C:AB,17,FALSE),"")</f>
        <v/>
      </c>
      <c r="H534" t="str">
        <f>IFERROR(VLOOKUP(D534,'Team Data'!C:AB,7,FALSE),"")</f>
        <v/>
      </c>
      <c r="I534" t="str">
        <f>IFERROR(VLOOKUP(D534,'Team Data'!C:AB,14,FALSE),"")</f>
        <v/>
      </c>
      <c r="J534" t="str">
        <f>IFERROR(VLOOKUP(D534,'Team Data'!C:AB,8,FALSE),"")</f>
        <v/>
      </c>
      <c r="K534" t="str">
        <f>IFERROR(VLOOKUP(D534,'Team Data'!C:AB,9,FALSE),"")</f>
        <v/>
      </c>
      <c r="L534" t="str">
        <f>IFERROR(VLOOKUP(D534,'Team Data'!C:AB,10,FALSE),"")</f>
        <v/>
      </c>
      <c r="M534" t="str">
        <f t="shared" si="18"/>
        <v/>
      </c>
      <c r="N534" t="str">
        <f>IFERROR(VLOOKUP(D534,'Team Data'!C:AB,23,FALSE),"")</f>
        <v/>
      </c>
      <c r="O534" t="str">
        <f>IFERROR(VLOOKUP(D534,'Team Data'!C:AB,22,FALSE),"")</f>
        <v/>
      </c>
      <c r="P534" t="str">
        <f t="shared" si="19"/>
        <v/>
      </c>
      <c r="Q534" t="str">
        <f>IFERROR(VLOOKUP(D534,'Team Data'!C:AB,15,FALSE),"")</f>
        <v/>
      </c>
      <c r="R534" t="str">
        <f>IFERROR(VLOOKUP('OB Format'!D534,'Team Data'!C:AB,24,FALSE),"")</f>
        <v/>
      </c>
      <c r="S534" t="str">
        <f>IFERROR(VLOOKUP('OB Format'!D534,'Team Data'!C:AC,25,FALSE),"")</f>
        <v/>
      </c>
    </row>
    <row r="535" spans="5:19" x14ac:dyDescent="0.25">
      <c r="E535" t="str">
        <f>IFERROR(VLOOKUP(D535,'Team Data'!C:AB,4,FALSE),"")</f>
        <v/>
      </c>
      <c r="F535" t="str">
        <f>IFERROR(VLOOKUP(D535,'Team Data'!C:AB,5,FALSE),"")</f>
        <v/>
      </c>
      <c r="G535" t="str">
        <f>IFERROR(VLOOKUP('OB Format'!D535,'Team Data'!C:AB,17,FALSE),"")</f>
        <v/>
      </c>
      <c r="H535" t="str">
        <f>IFERROR(VLOOKUP(D535,'Team Data'!C:AB,7,FALSE),"")</f>
        <v/>
      </c>
      <c r="I535" t="str">
        <f>IFERROR(VLOOKUP(D535,'Team Data'!C:AB,14,FALSE),"")</f>
        <v/>
      </c>
      <c r="J535" t="str">
        <f>IFERROR(VLOOKUP(D535,'Team Data'!C:AB,8,FALSE),"")</f>
        <v/>
      </c>
      <c r="K535" t="str">
        <f>IFERROR(VLOOKUP(D535,'Team Data'!C:AB,9,FALSE),"")</f>
        <v/>
      </c>
      <c r="L535" t="str">
        <f>IFERROR(VLOOKUP(D535,'Team Data'!C:AB,10,FALSE),"")</f>
        <v/>
      </c>
      <c r="M535" t="str">
        <f t="shared" si="18"/>
        <v/>
      </c>
      <c r="N535" t="str">
        <f>IFERROR(VLOOKUP(D535,'Team Data'!C:AB,23,FALSE),"")</f>
        <v/>
      </c>
      <c r="O535" t="str">
        <f>IFERROR(VLOOKUP(D535,'Team Data'!C:AB,22,FALSE),"")</f>
        <v/>
      </c>
      <c r="P535" t="str">
        <f t="shared" si="19"/>
        <v/>
      </c>
      <c r="Q535" t="str">
        <f>IFERROR(VLOOKUP(D535,'Team Data'!C:AB,15,FALSE),"")</f>
        <v/>
      </c>
      <c r="R535" t="str">
        <f>IFERROR(VLOOKUP('OB Format'!D535,'Team Data'!C:AB,24,FALSE),"")</f>
        <v/>
      </c>
      <c r="S535" t="str">
        <f>IFERROR(VLOOKUP('OB Format'!D535,'Team Data'!C:AC,25,FALSE),"")</f>
        <v/>
      </c>
    </row>
    <row r="536" spans="5:19" x14ac:dyDescent="0.25">
      <c r="E536" t="str">
        <f>IFERROR(VLOOKUP(D536,'Team Data'!C:AB,4,FALSE),"")</f>
        <v/>
      </c>
      <c r="F536" t="str">
        <f>IFERROR(VLOOKUP(D536,'Team Data'!C:AB,5,FALSE),"")</f>
        <v/>
      </c>
      <c r="G536" t="str">
        <f>IFERROR(VLOOKUP('OB Format'!D536,'Team Data'!C:AB,17,FALSE),"")</f>
        <v/>
      </c>
      <c r="H536" t="str">
        <f>IFERROR(VLOOKUP(D536,'Team Data'!C:AB,7,FALSE),"")</f>
        <v/>
      </c>
      <c r="I536" t="str">
        <f>IFERROR(VLOOKUP(D536,'Team Data'!C:AB,14,FALSE),"")</f>
        <v/>
      </c>
      <c r="J536" t="str">
        <f>IFERROR(VLOOKUP(D536,'Team Data'!C:AB,8,FALSE),"")</f>
        <v/>
      </c>
      <c r="K536" t="str">
        <f>IFERROR(VLOOKUP(D536,'Team Data'!C:AB,9,FALSE),"")</f>
        <v/>
      </c>
      <c r="L536" t="str">
        <f>IFERROR(VLOOKUP(D536,'Team Data'!C:AB,10,FALSE),"")</f>
        <v/>
      </c>
      <c r="M536" t="str">
        <f t="shared" si="18"/>
        <v/>
      </c>
      <c r="N536" t="str">
        <f>IFERROR(VLOOKUP(D536,'Team Data'!C:AB,23,FALSE),"")</f>
        <v/>
      </c>
      <c r="O536" t="str">
        <f>IFERROR(VLOOKUP(D536,'Team Data'!C:AB,22,FALSE),"")</f>
        <v/>
      </c>
      <c r="P536" t="str">
        <f t="shared" si="19"/>
        <v/>
      </c>
      <c r="Q536" t="str">
        <f>IFERROR(VLOOKUP(D536,'Team Data'!C:AB,15,FALSE),"")</f>
        <v/>
      </c>
      <c r="R536" t="str">
        <f>IFERROR(VLOOKUP('OB Format'!D536,'Team Data'!C:AB,24,FALSE),"")</f>
        <v/>
      </c>
      <c r="S536" t="str">
        <f>IFERROR(VLOOKUP('OB Format'!D536,'Team Data'!C:AC,25,FALSE),"")</f>
        <v/>
      </c>
    </row>
    <row r="537" spans="5:19" x14ac:dyDescent="0.25">
      <c r="E537" t="str">
        <f>IFERROR(VLOOKUP(D537,'Team Data'!C:AB,4,FALSE),"")</f>
        <v/>
      </c>
      <c r="F537" t="str">
        <f>IFERROR(VLOOKUP(D537,'Team Data'!C:AB,5,FALSE),"")</f>
        <v/>
      </c>
      <c r="G537" t="str">
        <f>IFERROR(VLOOKUP('OB Format'!D537,'Team Data'!C:AB,17,FALSE),"")</f>
        <v/>
      </c>
      <c r="H537" t="str">
        <f>IFERROR(VLOOKUP(D537,'Team Data'!C:AB,7,FALSE),"")</f>
        <v/>
      </c>
      <c r="I537" t="str">
        <f>IFERROR(VLOOKUP(D537,'Team Data'!C:AB,14,FALSE),"")</f>
        <v/>
      </c>
      <c r="J537" t="str">
        <f>IFERROR(VLOOKUP(D537,'Team Data'!C:AB,8,FALSE),"")</f>
        <v/>
      </c>
      <c r="K537" t="str">
        <f>IFERROR(VLOOKUP(D537,'Team Data'!C:AB,9,FALSE),"")</f>
        <v/>
      </c>
      <c r="L537" t="str">
        <f>IFERROR(VLOOKUP(D537,'Team Data'!C:AB,10,FALSE),"")</f>
        <v/>
      </c>
      <c r="M537" t="str">
        <f t="shared" si="18"/>
        <v/>
      </c>
      <c r="N537" t="str">
        <f>IFERROR(VLOOKUP(D537,'Team Data'!C:AB,23,FALSE),"")</f>
        <v/>
      </c>
      <c r="O537" t="str">
        <f>IFERROR(VLOOKUP(D537,'Team Data'!C:AB,22,FALSE),"")</f>
        <v/>
      </c>
      <c r="P537" t="str">
        <f t="shared" si="19"/>
        <v/>
      </c>
      <c r="Q537" t="str">
        <f>IFERROR(VLOOKUP(D537,'Team Data'!C:AB,15,FALSE),"")</f>
        <v/>
      </c>
      <c r="R537" t="str">
        <f>IFERROR(VLOOKUP('OB Format'!D537,'Team Data'!C:AB,24,FALSE),"")</f>
        <v/>
      </c>
      <c r="S537" t="str">
        <f>IFERROR(VLOOKUP('OB Format'!D537,'Team Data'!C:AC,25,FALSE),"")</f>
        <v/>
      </c>
    </row>
    <row r="538" spans="5:19" x14ac:dyDescent="0.25">
      <c r="E538" t="str">
        <f>IFERROR(VLOOKUP(D538,'Team Data'!C:AB,4,FALSE),"")</f>
        <v/>
      </c>
      <c r="F538" t="str">
        <f>IFERROR(VLOOKUP(D538,'Team Data'!C:AB,5,FALSE),"")</f>
        <v/>
      </c>
      <c r="G538" t="str">
        <f>IFERROR(VLOOKUP('OB Format'!D538,'Team Data'!C:AB,17,FALSE),"")</f>
        <v/>
      </c>
      <c r="H538" t="str">
        <f>IFERROR(VLOOKUP(D538,'Team Data'!C:AB,7,FALSE),"")</f>
        <v/>
      </c>
      <c r="I538" t="str">
        <f>IFERROR(VLOOKUP(D538,'Team Data'!C:AB,14,FALSE),"")</f>
        <v/>
      </c>
      <c r="J538" t="str">
        <f>IFERROR(VLOOKUP(D538,'Team Data'!C:AB,8,FALSE),"")</f>
        <v/>
      </c>
      <c r="K538" t="str">
        <f>IFERROR(VLOOKUP(D538,'Team Data'!C:AB,9,FALSE),"")</f>
        <v/>
      </c>
      <c r="L538" t="str">
        <f>IFERROR(VLOOKUP(D538,'Team Data'!C:AB,10,FALSE),"")</f>
        <v/>
      </c>
      <c r="M538" t="str">
        <f t="shared" si="18"/>
        <v/>
      </c>
      <c r="N538" t="str">
        <f>IFERROR(VLOOKUP(D538,'Team Data'!C:AB,23,FALSE),"")</f>
        <v/>
      </c>
      <c r="O538" t="str">
        <f>IFERROR(VLOOKUP(D538,'Team Data'!C:AB,22,FALSE),"")</f>
        <v/>
      </c>
      <c r="P538" t="str">
        <f t="shared" si="19"/>
        <v/>
      </c>
      <c r="Q538" t="str">
        <f>IFERROR(VLOOKUP(D538,'Team Data'!C:AB,15,FALSE),"")</f>
        <v/>
      </c>
      <c r="R538" t="str">
        <f>IFERROR(VLOOKUP('OB Format'!D538,'Team Data'!C:AB,24,FALSE),"")</f>
        <v/>
      </c>
      <c r="S538" t="str">
        <f>IFERROR(VLOOKUP('OB Format'!D538,'Team Data'!C:AC,25,FALSE),"")</f>
        <v/>
      </c>
    </row>
    <row r="539" spans="5:19" x14ac:dyDescent="0.25">
      <c r="E539" t="str">
        <f>IFERROR(VLOOKUP(D539,'Team Data'!C:AB,4,FALSE),"")</f>
        <v/>
      </c>
      <c r="F539" t="str">
        <f>IFERROR(VLOOKUP(D539,'Team Data'!C:AB,5,FALSE),"")</f>
        <v/>
      </c>
      <c r="G539" t="str">
        <f>IFERROR(VLOOKUP('OB Format'!D539,'Team Data'!C:AB,17,FALSE),"")</f>
        <v/>
      </c>
      <c r="H539" t="str">
        <f>IFERROR(VLOOKUP(D539,'Team Data'!C:AB,7,FALSE),"")</f>
        <v/>
      </c>
      <c r="I539" t="str">
        <f>IFERROR(VLOOKUP(D539,'Team Data'!C:AB,14,FALSE),"")</f>
        <v/>
      </c>
      <c r="J539" t="str">
        <f>IFERROR(VLOOKUP(D539,'Team Data'!C:AB,8,FALSE),"")</f>
        <v/>
      </c>
      <c r="K539" t="str">
        <f>IFERROR(VLOOKUP(D539,'Team Data'!C:AB,9,FALSE),"")</f>
        <v/>
      </c>
      <c r="L539" t="str">
        <f>IFERROR(VLOOKUP(D539,'Team Data'!C:AB,10,FALSE),"")</f>
        <v/>
      </c>
      <c r="M539" t="str">
        <f t="shared" si="18"/>
        <v/>
      </c>
      <c r="N539" t="str">
        <f>IFERROR(VLOOKUP(D539,'Team Data'!C:AB,23,FALSE),"")</f>
        <v/>
      </c>
      <c r="O539" t="str">
        <f>IFERROR(VLOOKUP(D539,'Team Data'!C:AB,22,FALSE),"")</f>
        <v/>
      </c>
      <c r="P539" t="str">
        <f t="shared" si="19"/>
        <v/>
      </c>
      <c r="Q539" t="str">
        <f>IFERROR(VLOOKUP(D539,'Team Data'!C:AB,15,FALSE),"")</f>
        <v/>
      </c>
      <c r="R539" t="str">
        <f>IFERROR(VLOOKUP('OB Format'!D539,'Team Data'!C:AB,24,FALSE),"")</f>
        <v/>
      </c>
      <c r="S539" t="str">
        <f>IFERROR(VLOOKUP('OB Format'!D539,'Team Data'!C:AC,25,FALSE),"")</f>
        <v/>
      </c>
    </row>
    <row r="540" spans="5:19" x14ac:dyDescent="0.25">
      <c r="E540" t="str">
        <f>IFERROR(VLOOKUP(D540,'Team Data'!C:AB,4,FALSE),"")</f>
        <v/>
      </c>
      <c r="F540" t="str">
        <f>IFERROR(VLOOKUP(D540,'Team Data'!C:AB,5,FALSE),"")</f>
        <v/>
      </c>
      <c r="G540" t="str">
        <f>IFERROR(VLOOKUP('OB Format'!D540,'Team Data'!C:AB,17,FALSE),"")</f>
        <v/>
      </c>
      <c r="H540" t="str">
        <f>IFERROR(VLOOKUP(D540,'Team Data'!C:AB,7,FALSE),"")</f>
        <v/>
      </c>
      <c r="I540" t="str">
        <f>IFERROR(VLOOKUP(D540,'Team Data'!C:AB,14,FALSE),"")</f>
        <v/>
      </c>
      <c r="J540" t="str">
        <f>IFERROR(VLOOKUP(D540,'Team Data'!C:AB,8,FALSE),"")</f>
        <v/>
      </c>
      <c r="K540" t="str">
        <f>IFERROR(VLOOKUP(D540,'Team Data'!C:AB,9,FALSE),"")</f>
        <v/>
      </c>
      <c r="L540" t="str">
        <f>IFERROR(VLOOKUP(D540,'Team Data'!C:AB,10,FALSE),"")</f>
        <v/>
      </c>
      <c r="M540" t="str">
        <f t="shared" si="18"/>
        <v/>
      </c>
      <c r="N540" t="str">
        <f>IFERROR(VLOOKUP(D540,'Team Data'!C:AB,23,FALSE),"")</f>
        <v/>
      </c>
      <c r="O540" t="str">
        <f>IFERROR(VLOOKUP(D540,'Team Data'!C:AB,22,FALSE),"")</f>
        <v/>
      </c>
      <c r="P540" t="str">
        <f t="shared" si="19"/>
        <v/>
      </c>
      <c r="Q540" t="str">
        <f>IFERROR(VLOOKUP(D540,'Team Data'!C:AB,15,FALSE),"")</f>
        <v/>
      </c>
      <c r="R540" t="str">
        <f>IFERROR(VLOOKUP('OB Format'!D540,'Team Data'!C:AB,24,FALSE),"")</f>
        <v/>
      </c>
      <c r="S540" t="str">
        <f>IFERROR(VLOOKUP('OB Format'!D540,'Team Data'!C:AC,25,FALSE),"")</f>
        <v/>
      </c>
    </row>
    <row r="541" spans="5:19" x14ac:dyDescent="0.25">
      <c r="E541" t="str">
        <f>IFERROR(VLOOKUP(D541,'Team Data'!C:AB,4,FALSE),"")</f>
        <v/>
      </c>
      <c r="F541" t="str">
        <f>IFERROR(VLOOKUP(D541,'Team Data'!C:AB,5,FALSE),"")</f>
        <v/>
      </c>
      <c r="G541" t="str">
        <f>IFERROR(VLOOKUP('OB Format'!D541,'Team Data'!C:AB,17,FALSE),"")</f>
        <v/>
      </c>
      <c r="H541" t="str">
        <f>IFERROR(VLOOKUP(D541,'Team Data'!C:AB,7,FALSE),"")</f>
        <v/>
      </c>
      <c r="I541" t="str">
        <f>IFERROR(VLOOKUP(D541,'Team Data'!C:AB,14,FALSE),"")</f>
        <v/>
      </c>
      <c r="J541" t="str">
        <f>IFERROR(VLOOKUP(D541,'Team Data'!C:AB,8,FALSE),"")</f>
        <v/>
      </c>
      <c r="K541" t="str">
        <f>IFERROR(VLOOKUP(D541,'Team Data'!C:AB,9,FALSE),"")</f>
        <v/>
      </c>
      <c r="L541" t="str">
        <f>IFERROR(VLOOKUP(D541,'Team Data'!C:AB,10,FALSE),"")</f>
        <v/>
      </c>
      <c r="M541" t="str">
        <f t="shared" si="18"/>
        <v/>
      </c>
      <c r="N541" t="str">
        <f>IFERROR(VLOOKUP(D541,'Team Data'!C:AB,23,FALSE),"")</f>
        <v/>
      </c>
      <c r="O541" t="str">
        <f>IFERROR(VLOOKUP(D541,'Team Data'!C:AB,22,FALSE),"")</f>
        <v/>
      </c>
      <c r="P541" t="str">
        <f t="shared" si="19"/>
        <v/>
      </c>
      <c r="Q541" t="str">
        <f>IFERROR(VLOOKUP(D541,'Team Data'!C:AB,15,FALSE),"")</f>
        <v/>
      </c>
      <c r="R541" t="str">
        <f>IFERROR(VLOOKUP('OB Format'!D541,'Team Data'!C:AB,24,FALSE),"")</f>
        <v/>
      </c>
      <c r="S541" t="str">
        <f>IFERROR(VLOOKUP('OB Format'!D541,'Team Data'!C:AC,25,FALSE),"")</f>
        <v/>
      </c>
    </row>
    <row r="542" spans="5:19" x14ac:dyDescent="0.25">
      <c r="E542" t="str">
        <f>IFERROR(VLOOKUP(D542,'Team Data'!C:AB,4,FALSE),"")</f>
        <v/>
      </c>
      <c r="F542" t="str">
        <f>IFERROR(VLOOKUP(D542,'Team Data'!C:AB,5,FALSE),"")</f>
        <v/>
      </c>
      <c r="G542" t="str">
        <f>IFERROR(VLOOKUP('OB Format'!D542,'Team Data'!C:AB,17,FALSE),"")</f>
        <v/>
      </c>
      <c r="H542" t="str">
        <f>IFERROR(VLOOKUP(D542,'Team Data'!C:AB,7,FALSE),"")</f>
        <v/>
      </c>
      <c r="I542" t="str">
        <f>IFERROR(VLOOKUP(D542,'Team Data'!C:AB,14,FALSE),"")</f>
        <v/>
      </c>
      <c r="J542" t="str">
        <f>IFERROR(VLOOKUP(D542,'Team Data'!C:AB,8,FALSE),"")</f>
        <v/>
      </c>
      <c r="K542" t="str">
        <f>IFERROR(VLOOKUP(D542,'Team Data'!C:AB,9,FALSE),"")</f>
        <v/>
      </c>
      <c r="L542" t="str">
        <f>IFERROR(VLOOKUP(D542,'Team Data'!C:AB,10,FALSE),"")</f>
        <v/>
      </c>
      <c r="M542" t="str">
        <f t="shared" si="18"/>
        <v/>
      </c>
      <c r="N542" t="str">
        <f>IFERROR(VLOOKUP(D542,'Team Data'!C:AB,23,FALSE),"")</f>
        <v/>
      </c>
      <c r="O542" t="str">
        <f>IFERROR(VLOOKUP(D542,'Team Data'!C:AB,22,FALSE),"")</f>
        <v/>
      </c>
      <c r="P542" t="str">
        <f t="shared" si="19"/>
        <v/>
      </c>
      <c r="Q542" t="str">
        <f>IFERROR(VLOOKUP(D542,'Team Data'!C:AB,15,FALSE),"")</f>
        <v/>
      </c>
      <c r="R542" t="str">
        <f>IFERROR(VLOOKUP('OB Format'!D542,'Team Data'!C:AB,24,FALSE),"")</f>
        <v/>
      </c>
      <c r="S542" t="str">
        <f>IFERROR(VLOOKUP('OB Format'!D542,'Team Data'!C:AC,25,FALSE),"")</f>
        <v/>
      </c>
    </row>
    <row r="543" spans="5:19" x14ac:dyDescent="0.25">
      <c r="E543" t="str">
        <f>IFERROR(VLOOKUP(D543,'Team Data'!C:AB,4,FALSE),"")</f>
        <v/>
      </c>
      <c r="F543" t="str">
        <f>IFERROR(VLOOKUP(D543,'Team Data'!C:AB,5,FALSE),"")</f>
        <v/>
      </c>
      <c r="G543" t="str">
        <f>IFERROR(VLOOKUP('OB Format'!D543,'Team Data'!C:AB,17,FALSE),"")</f>
        <v/>
      </c>
      <c r="H543" t="str">
        <f>IFERROR(VLOOKUP(D543,'Team Data'!C:AB,7,FALSE),"")</f>
        <v/>
      </c>
      <c r="I543" t="str">
        <f>IFERROR(VLOOKUP(D543,'Team Data'!C:AB,14,FALSE),"")</f>
        <v/>
      </c>
      <c r="J543" t="str">
        <f>IFERROR(VLOOKUP(D543,'Team Data'!C:AB,8,FALSE),"")</f>
        <v/>
      </c>
      <c r="K543" t="str">
        <f>IFERROR(VLOOKUP(D543,'Team Data'!C:AB,9,FALSE),"")</f>
        <v/>
      </c>
      <c r="L543" t="str">
        <f>IFERROR(VLOOKUP(D543,'Team Data'!C:AB,10,FALSE),"")</f>
        <v/>
      </c>
      <c r="M543" t="str">
        <f t="shared" si="18"/>
        <v/>
      </c>
      <c r="N543" t="str">
        <f>IFERROR(VLOOKUP(D543,'Team Data'!C:AB,23,FALSE),"")</f>
        <v/>
      </c>
      <c r="O543" t="str">
        <f>IFERROR(VLOOKUP(D543,'Team Data'!C:AB,22,FALSE),"")</f>
        <v/>
      </c>
      <c r="P543" t="str">
        <f t="shared" si="19"/>
        <v/>
      </c>
      <c r="Q543" t="str">
        <f>IFERROR(VLOOKUP(D543,'Team Data'!C:AB,15,FALSE),"")</f>
        <v/>
      </c>
      <c r="R543" t="str">
        <f>IFERROR(VLOOKUP('OB Format'!D543,'Team Data'!C:AB,24,FALSE),"")</f>
        <v/>
      </c>
      <c r="S543" t="str">
        <f>IFERROR(VLOOKUP('OB Format'!D543,'Team Data'!C:AC,25,FALSE),"")</f>
        <v/>
      </c>
    </row>
    <row r="544" spans="5:19" x14ac:dyDescent="0.25">
      <c r="E544" t="str">
        <f>IFERROR(VLOOKUP(D544,'Team Data'!C:AB,4,FALSE),"")</f>
        <v/>
      </c>
      <c r="F544" t="str">
        <f>IFERROR(VLOOKUP(D544,'Team Data'!C:AB,5,FALSE),"")</f>
        <v/>
      </c>
      <c r="G544" t="str">
        <f>IFERROR(VLOOKUP('OB Format'!D544,'Team Data'!C:AB,17,FALSE),"")</f>
        <v/>
      </c>
      <c r="H544" t="str">
        <f>IFERROR(VLOOKUP(D544,'Team Data'!C:AB,7,FALSE),"")</f>
        <v/>
      </c>
      <c r="I544" t="str">
        <f>IFERROR(VLOOKUP(D544,'Team Data'!C:AB,14,FALSE),"")</f>
        <v/>
      </c>
      <c r="J544" t="str">
        <f>IFERROR(VLOOKUP(D544,'Team Data'!C:AB,8,FALSE),"")</f>
        <v/>
      </c>
      <c r="K544" t="str">
        <f>IFERROR(VLOOKUP(D544,'Team Data'!C:AB,9,FALSE),"")</f>
        <v/>
      </c>
      <c r="L544" t="str">
        <f>IFERROR(VLOOKUP(D544,'Team Data'!C:AB,10,FALSE),"")</f>
        <v/>
      </c>
      <c r="M544" t="str">
        <f t="shared" si="18"/>
        <v/>
      </c>
      <c r="N544" t="str">
        <f>IFERROR(VLOOKUP(D544,'Team Data'!C:AB,23,FALSE),"")</f>
        <v/>
      </c>
      <c r="O544" t="str">
        <f>IFERROR(VLOOKUP(D544,'Team Data'!C:AB,22,FALSE),"")</f>
        <v/>
      </c>
      <c r="P544" t="str">
        <f t="shared" si="19"/>
        <v/>
      </c>
      <c r="Q544" t="str">
        <f>IFERROR(VLOOKUP(D544,'Team Data'!C:AB,15,FALSE),"")</f>
        <v/>
      </c>
      <c r="R544" t="str">
        <f>IFERROR(VLOOKUP('OB Format'!D544,'Team Data'!C:AB,24,FALSE),"")</f>
        <v/>
      </c>
      <c r="S544" t="str">
        <f>IFERROR(VLOOKUP('OB Format'!D544,'Team Data'!C:AC,25,FALSE),"")</f>
        <v/>
      </c>
    </row>
    <row r="545" spans="5:19" x14ac:dyDescent="0.25">
      <c r="E545" t="str">
        <f>IFERROR(VLOOKUP(D545,'Team Data'!C:AB,4,FALSE),"")</f>
        <v/>
      </c>
      <c r="F545" t="str">
        <f>IFERROR(VLOOKUP(D545,'Team Data'!C:AB,5,FALSE),"")</f>
        <v/>
      </c>
      <c r="G545" t="str">
        <f>IFERROR(VLOOKUP('OB Format'!D545,'Team Data'!C:AB,17,FALSE),"")</f>
        <v/>
      </c>
      <c r="H545" t="str">
        <f>IFERROR(VLOOKUP(D545,'Team Data'!C:AB,7,FALSE),"")</f>
        <v/>
      </c>
      <c r="I545" t="str">
        <f>IFERROR(VLOOKUP(D545,'Team Data'!C:AB,14,FALSE),"")</f>
        <v/>
      </c>
      <c r="J545" t="str">
        <f>IFERROR(VLOOKUP(D545,'Team Data'!C:AB,8,FALSE),"")</f>
        <v/>
      </c>
      <c r="K545" t="str">
        <f>IFERROR(VLOOKUP(D545,'Team Data'!C:AB,9,FALSE),"")</f>
        <v/>
      </c>
      <c r="L545" t="str">
        <f>IFERROR(VLOOKUP(D545,'Team Data'!C:AB,10,FALSE),"")</f>
        <v/>
      </c>
      <c r="M545" t="str">
        <f t="shared" si="18"/>
        <v/>
      </c>
      <c r="N545" t="str">
        <f>IFERROR(VLOOKUP(D545,'Team Data'!C:AB,23,FALSE),"")</f>
        <v/>
      </c>
      <c r="O545" t="str">
        <f>IFERROR(VLOOKUP(D545,'Team Data'!C:AB,22,FALSE),"")</f>
        <v/>
      </c>
      <c r="P545" t="str">
        <f t="shared" si="19"/>
        <v/>
      </c>
      <c r="Q545" t="str">
        <f>IFERROR(VLOOKUP(D545,'Team Data'!C:AB,15,FALSE),"")</f>
        <v/>
      </c>
      <c r="R545" t="str">
        <f>IFERROR(VLOOKUP('OB Format'!D545,'Team Data'!C:AB,24,FALSE),"")</f>
        <v/>
      </c>
      <c r="S545" t="str">
        <f>IFERROR(VLOOKUP('OB Format'!D545,'Team Data'!C:AC,25,FALSE),"")</f>
        <v/>
      </c>
    </row>
    <row r="546" spans="5:19" x14ac:dyDescent="0.25">
      <c r="E546" t="str">
        <f>IFERROR(VLOOKUP(D546,'Team Data'!C:AB,4,FALSE),"")</f>
        <v/>
      </c>
      <c r="F546" t="str">
        <f>IFERROR(VLOOKUP(D546,'Team Data'!C:AB,5,FALSE),"")</f>
        <v/>
      </c>
      <c r="G546" t="str">
        <f>IFERROR(VLOOKUP('OB Format'!D546,'Team Data'!C:AB,17,FALSE),"")</f>
        <v/>
      </c>
      <c r="H546" t="str">
        <f>IFERROR(VLOOKUP(D546,'Team Data'!C:AB,7,FALSE),"")</f>
        <v/>
      </c>
      <c r="I546" t="str">
        <f>IFERROR(VLOOKUP(D546,'Team Data'!C:AB,14,FALSE),"")</f>
        <v/>
      </c>
      <c r="J546" t="str">
        <f>IFERROR(VLOOKUP(D546,'Team Data'!C:AB,8,FALSE),"")</f>
        <v/>
      </c>
      <c r="K546" t="str">
        <f>IFERROR(VLOOKUP(D546,'Team Data'!C:AB,9,FALSE),"")</f>
        <v/>
      </c>
      <c r="L546" t="str">
        <f>IFERROR(VLOOKUP(D546,'Team Data'!C:AB,10,FALSE),"")</f>
        <v/>
      </c>
      <c r="M546" t="str">
        <f t="shared" si="18"/>
        <v/>
      </c>
      <c r="N546" t="str">
        <f>IFERROR(VLOOKUP(D546,'Team Data'!C:AB,23,FALSE),"")</f>
        <v/>
      </c>
      <c r="O546" t="str">
        <f>IFERROR(VLOOKUP(D546,'Team Data'!C:AB,22,FALSE),"")</f>
        <v/>
      </c>
      <c r="P546" t="str">
        <f t="shared" si="19"/>
        <v/>
      </c>
      <c r="Q546" t="str">
        <f>IFERROR(VLOOKUP(D546,'Team Data'!C:AB,15,FALSE),"")</f>
        <v/>
      </c>
      <c r="R546" t="str">
        <f>IFERROR(VLOOKUP('OB Format'!D546,'Team Data'!C:AB,24,FALSE),"")</f>
        <v/>
      </c>
      <c r="S546" t="str">
        <f>IFERROR(VLOOKUP('OB Format'!D546,'Team Data'!C:AC,25,FALSE),"")</f>
        <v/>
      </c>
    </row>
    <row r="547" spans="5:19" x14ac:dyDescent="0.25">
      <c r="E547" t="str">
        <f>IFERROR(VLOOKUP(D547,'Team Data'!C:AB,4,FALSE),"")</f>
        <v/>
      </c>
      <c r="F547" t="str">
        <f>IFERROR(VLOOKUP(D547,'Team Data'!C:AB,5,FALSE),"")</f>
        <v/>
      </c>
      <c r="G547" t="str">
        <f>IFERROR(VLOOKUP('OB Format'!D547,'Team Data'!C:AB,17,FALSE),"")</f>
        <v/>
      </c>
      <c r="H547" t="str">
        <f>IFERROR(VLOOKUP(D547,'Team Data'!C:AB,7,FALSE),"")</f>
        <v/>
      </c>
      <c r="I547" t="str">
        <f>IFERROR(VLOOKUP(D547,'Team Data'!C:AB,14,FALSE),"")</f>
        <v/>
      </c>
      <c r="J547" t="str">
        <f>IFERROR(VLOOKUP(D547,'Team Data'!C:AB,8,FALSE),"")</f>
        <v/>
      </c>
      <c r="K547" t="str">
        <f>IFERROR(VLOOKUP(D547,'Team Data'!C:AB,9,FALSE),"")</f>
        <v/>
      </c>
      <c r="L547" t="str">
        <f>IFERROR(VLOOKUP(D547,'Team Data'!C:AB,10,FALSE),"")</f>
        <v/>
      </c>
      <c r="M547" t="str">
        <f t="shared" si="18"/>
        <v/>
      </c>
      <c r="N547" t="str">
        <f>IFERROR(VLOOKUP(D547,'Team Data'!C:AB,23,FALSE),"")</f>
        <v/>
      </c>
      <c r="O547" t="str">
        <f>IFERROR(VLOOKUP(D547,'Team Data'!C:AB,22,FALSE),"")</f>
        <v/>
      </c>
      <c r="P547" t="str">
        <f t="shared" si="19"/>
        <v/>
      </c>
      <c r="Q547" t="str">
        <f>IFERROR(VLOOKUP(D547,'Team Data'!C:AB,15,FALSE),"")</f>
        <v/>
      </c>
      <c r="R547" t="str">
        <f>IFERROR(VLOOKUP('OB Format'!D547,'Team Data'!C:AB,24,FALSE),"")</f>
        <v/>
      </c>
      <c r="S547" t="str">
        <f>IFERROR(VLOOKUP('OB Format'!D547,'Team Data'!C:AC,25,FALSE),"")</f>
        <v/>
      </c>
    </row>
    <row r="548" spans="5:19" x14ac:dyDescent="0.25">
      <c r="E548" t="str">
        <f>IFERROR(VLOOKUP(D548,'Team Data'!C:AB,4,FALSE),"")</f>
        <v/>
      </c>
      <c r="F548" t="str">
        <f>IFERROR(VLOOKUP(D548,'Team Data'!C:AB,5,FALSE),"")</f>
        <v/>
      </c>
      <c r="G548" t="str">
        <f>IFERROR(VLOOKUP('OB Format'!D548,'Team Data'!C:AB,17,FALSE),"")</f>
        <v/>
      </c>
      <c r="H548" t="str">
        <f>IFERROR(VLOOKUP(D548,'Team Data'!C:AB,7,FALSE),"")</f>
        <v/>
      </c>
      <c r="I548" t="str">
        <f>IFERROR(VLOOKUP(D548,'Team Data'!C:AB,14,FALSE),"")</f>
        <v/>
      </c>
      <c r="J548" t="str">
        <f>IFERROR(VLOOKUP(D548,'Team Data'!C:AB,8,FALSE),"")</f>
        <v/>
      </c>
      <c r="K548" t="str">
        <f>IFERROR(VLOOKUP(D548,'Team Data'!C:AB,9,FALSE),"")</f>
        <v/>
      </c>
      <c r="L548" t="str">
        <f>IFERROR(VLOOKUP(D548,'Team Data'!C:AB,10,FALSE),"")</f>
        <v/>
      </c>
      <c r="M548" t="str">
        <f t="shared" si="18"/>
        <v/>
      </c>
      <c r="N548" t="str">
        <f>IFERROR(VLOOKUP(D548,'Team Data'!C:AB,23,FALSE),"")</f>
        <v/>
      </c>
      <c r="O548" t="str">
        <f>IFERROR(VLOOKUP(D548,'Team Data'!C:AB,22,FALSE),"")</f>
        <v/>
      </c>
      <c r="P548" t="str">
        <f t="shared" si="19"/>
        <v/>
      </c>
      <c r="Q548" t="str">
        <f>IFERROR(VLOOKUP(D548,'Team Data'!C:AB,15,FALSE),"")</f>
        <v/>
      </c>
      <c r="R548" t="str">
        <f>IFERROR(VLOOKUP('OB Format'!D548,'Team Data'!C:AB,24,FALSE),"")</f>
        <v/>
      </c>
      <c r="S548" t="str">
        <f>IFERROR(VLOOKUP('OB Format'!D548,'Team Data'!C:AC,25,FALSE),"")</f>
        <v/>
      </c>
    </row>
    <row r="549" spans="5:19" x14ac:dyDescent="0.25">
      <c r="E549" t="str">
        <f>IFERROR(VLOOKUP(D549,'Team Data'!C:AB,4,FALSE),"")</f>
        <v/>
      </c>
      <c r="F549" t="str">
        <f>IFERROR(VLOOKUP(D549,'Team Data'!C:AB,5,FALSE),"")</f>
        <v/>
      </c>
      <c r="G549" t="str">
        <f>IFERROR(VLOOKUP('OB Format'!D549,'Team Data'!C:AB,17,FALSE),"")</f>
        <v/>
      </c>
      <c r="H549" t="str">
        <f>IFERROR(VLOOKUP(D549,'Team Data'!C:AB,7,FALSE),"")</f>
        <v/>
      </c>
      <c r="I549" t="str">
        <f>IFERROR(VLOOKUP(D549,'Team Data'!C:AB,14,FALSE),"")</f>
        <v/>
      </c>
      <c r="J549" t="str">
        <f>IFERROR(VLOOKUP(D549,'Team Data'!C:AB,8,FALSE),"")</f>
        <v/>
      </c>
      <c r="K549" t="str">
        <f>IFERROR(VLOOKUP(D549,'Team Data'!C:AB,9,FALSE),"")</f>
        <v/>
      </c>
      <c r="L549" t="str">
        <f>IFERROR(VLOOKUP(D549,'Team Data'!C:AB,10,FALSE),"")</f>
        <v/>
      </c>
      <c r="M549" t="str">
        <f t="shared" si="18"/>
        <v/>
      </c>
      <c r="N549" t="str">
        <f>IFERROR(VLOOKUP(D549,'Team Data'!C:AB,23,FALSE),"")</f>
        <v/>
      </c>
      <c r="O549" t="str">
        <f>IFERROR(VLOOKUP(D549,'Team Data'!C:AB,22,FALSE),"")</f>
        <v/>
      </c>
      <c r="P549" t="str">
        <f t="shared" si="19"/>
        <v/>
      </c>
      <c r="Q549" t="str">
        <f>IFERROR(VLOOKUP(D549,'Team Data'!C:AB,15,FALSE),"")</f>
        <v/>
      </c>
      <c r="R549" t="str">
        <f>IFERROR(VLOOKUP('OB Format'!D549,'Team Data'!C:AB,24,FALSE),"")</f>
        <v/>
      </c>
      <c r="S549" t="str">
        <f>IFERROR(VLOOKUP('OB Format'!D549,'Team Data'!C:AC,25,FALSE),"")</f>
        <v/>
      </c>
    </row>
    <row r="550" spans="5:19" x14ac:dyDescent="0.25">
      <c r="E550" t="str">
        <f>IFERROR(VLOOKUP(D550,'Team Data'!C:AB,4,FALSE),"")</f>
        <v/>
      </c>
      <c r="F550" t="str">
        <f>IFERROR(VLOOKUP(D550,'Team Data'!C:AB,5,FALSE),"")</f>
        <v/>
      </c>
      <c r="G550" t="str">
        <f>IFERROR(VLOOKUP('OB Format'!D550,'Team Data'!C:AB,17,FALSE),"")</f>
        <v/>
      </c>
      <c r="H550" t="str">
        <f>IFERROR(VLOOKUP(D550,'Team Data'!C:AB,7,FALSE),"")</f>
        <v/>
      </c>
      <c r="I550" t="str">
        <f>IFERROR(VLOOKUP(D550,'Team Data'!C:AB,14,FALSE),"")</f>
        <v/>
      </c>
      <c r="J550" t="str">
        <f>IFERROR(VLOOKUP(D550,'Team Data'!C:AB,8,FALSE),"")</f>
        <v/>
      </c>
      <c r="K550" t="str">
        <f>IFERROR(VLOOKUP(D550,'Team Data'!C:AB,9,FALSE),"")</f>
        <v/>
      </c>
      <c r="L550" t="str">
        <f>IFERROR(VLOOKUP(D550,'Team Data'!C:AB,10,FALSE),"")</f>
        <v/>
      </c>
      <c r="M550" t="str">
        <f t="shared" si="18"/>
        <v/>
      </c>
      <c r="N550" t="str">
        <f>IFERROR(VLOOKUP(D550,'Team Data'!C:AB,23,FALSE),"")</f>
        <v/>
      </c>
      <c r="O550" t="str">
        <f>IFERROR(VLOOKUP(D550,'Team Data'!C:AB,22,FALSE),"")</f>
        <v/>
      </c>
      <c r="P550" t="str">
        <f t="shared" si="19"/>
        <v/>
      </c>
      <c r="Q550" t="str">
        <f>IFERROR(VLOOKUP(D550,'Team Data'!C:AB,15,FALSE),"")</f>
        <v/>
      </c>
      <c r="R550" t="str">
        <f>IFERROR(VLOOKUP('OB Format'!D550,'Team Data'!C:AB,24,FALSE),"")</f>
        <v/>
      </c>
      <c r="S550" t="str">
        <f>IFERROR(VLOOKUP('OB Format'!D550,'Team Data'!C:AC,25,FALSE),"")</f>
        <v/>
      </c>
    </row>
    <row r="551" spans="5:19" x14ac:dyDescent="0.25">
      <c r="E551" t="str">
        <f>IFERROR(VLOOKUP(D551,'Team Data'!C:AB,4,FALSE),"")</f>
        <v/>
      </c>
      <c r="F551" t="str">
        <f>IFERROR(VLOOKUP(D551,'Team Data'!C:AB,5,FALSE),"")</f>
        <v/>
      </c>
      <c r="G551" t="str">
        <f>IFERROR(VLOOKUP('OB Format'!D551,'Team Data'!C:AB,17,FALSE),"")</f>
        <v/>
      </c>
      <c r="H551" t="str">
        <f>IFERROR(VLOOKUP(D551,'Team Data'!C:AB,7,FALSE),"")</f>
        <v/>
      </c>
      <c r="I551" t="str">
        <f>IFERROR(VLOOKUP(D551,'Team Data'!C:AB,14,FALSE),"")</f>
        <v/>
      </c>
      <c r="J551" t="str">
        <f>IFERROR(VLOOKUP(D551,'Team Data'!C:AB,8,FALSE),"")</f>
        <v/>
      </c>
      <c r="K551" t="str">
        <f>IFERROR(VLOOKUP(D551,'Team Data'!C:AB,9,FALSE),"")</f>
        <v/>
      </c>
      <c r="L551" t="str">
        <f>IFERROR(VLOOKUP(D551,'Team Data'!C:AB,10,FALSE),"")</f>
        <v/>
      </c>
      <c r="M551" t="str">
        <f t="shared" si="18"/>
        <v/>
      </c>
      <c r="N551" t="str">
        <f>IFERROR(VLOOKUP(D551,'Team Data'!C:AB,23,FALSE),"")</f>
        <v/>
      </c>
      <c r="O551" t="str">
        <f>IFERROR(VLOOKUP(D551,'Team Data'!C:AB,22,FALSE),"")</f>
        <v/>
      </c>
      <c r="P551" t="str">
        <f t="shared" si="19"/>
        <v/>
      </c>
      <c r="Q551" t="str">
        <f>IFERROR(VLOOKUP(D551,'Team Data'!C:AB,15,FALSE),"")</f>
        <v/>
      </c>
      <c r="R551" t="str">
        <f>IFERROR(VLOOKUP('OB Format'!D551,'Team Data'!C:AB,24,FALSE),"")</f>
        <v/>
      </c>
      <c r="S551" t="str">
        <f>IFERROR(VLOOKUP('OB Format'!D551,'Team Data'!C:AC,25,FALSE),"")</f>
        <v/>
      </c>
    </row>
    <row r="552" spans="5:19" x14ac:dyDescent="0.25">
      <c r="E552" t="str">
        <f>IFERROR(VLOOKUP(D552,'Team Data'!C:AB,4,FALSE),"")</f>
        <v/>
      </c>
      <c r="F552" t="str">
        <f>IFERROR(VLOOKUP(D552,'Team Data'!C:AB,5,FALSE),"")</f>
        <v/>
      </c>
      <c r="G552" t="str">
        <f>IFERROR(VLOOKUP('OB Format'!D552,'Team Data'!C:AB,17,FALSE),"")</f>
        <v/>
      </c>
      <c r="H552" t="str">
        <f>IFERROR(VLOOKUP(D552,'Team Data'!C:AB,7,FALSE),"")</f>
        <v/>
      </c>
      <c r="I552" t="str">
        <f>IFERROR(VLOOKUP(D552,'Team Data'!C:AB,14,FALSE),"")</f>
        <v/>
      </c>
      <c r="J552" t="str">
        <f>IFERROR(VLOOKUP(D552,'Team Data'!C:AB,8,FALSE),"")</f>
        <v/>
      </c>
      <c r="K552" t="str">
        <f>IFERROR(VLOOKUP(D552,'Team Data'!C:AB,9,FALSE),"")</f>
        <v/>
      </c>
      <c r="L552" t="str">
        <f>IFERROR(VLOOKUP(D552,'Team Data'!C:AB,10,FALSE),"")</f>
        <v/>
      </c>
      <c r="M552" t="str">
        <f t="shared" si="18"/>
        <v/>
      </c>
      <c r="N552" t="str">
        <f>IFERROR(VLOOKUP(D552,'Team Data'!C:AB,23,FALSE),"")</f>
        <v/>
      </c>
      <c r="O552" t="str">
        <f>IFERROR(VLOOKUP(D552,'Team Data'!C:AB,22,FALSE),"")</f>
        <v/>
      </c>
      <c r="P552" t="str">
        <f t="shared" si="19"/>
        <v/>
      </c>
      <c r="Q552" t="str">
        <f>IFERROR(VLOOKUP(D552,'Team Data'!C:AB,15,FALSE),"")</f>
        <v/>
      </c>
      <c r="R552" t="str">
        <f>IFERROR(VLOOKUP('OB Format'!D552,'Team Data'!C:AB,24,FALSE),"")</f>
        <v/>
      </c>
      <c r="S552" t="str">
        <f>IFERROR(VLOOKUP('OB Format'!D552,'Team Data'!C:AC,25,FALSE),"")</f>
        <v/>
      </c>
    </row>
    <row r="553" spans="5:19" x14ac:dyDescent="0.25">
      <c r="E553" t="str">
        <f>IFERROR(VLOOKUP(D553,'Team Data'!C:AB,4,FALSE),"")</f>
        <v/>
      </c>
      <c r="F553" t="str">
        <f>IFERROR(VLOOKUP(D553,'Team Data'!C:AB,5,FALSE),"")</f>
        <v/>
      </c>
      <c r="G553" t="str">
        <f>IFERROR(VLOOKUP('OB Format'!D553,'Team Data'!C:AB,17,FALSE),"")</f>
        <v/>
      </c>
      <c r="H553" t="str">
        <f>IFERROR(VLOOKUP(D553,'Team Data'!C:AB,7,FALSE),"")</f>
        <v/>
      </c>
      <c r="I553" t="str">
        <f>IFERROR(VLOOKUP(D553,'Team Data'!C:AB,14,FALSE),"")</f>
        <v/>
      </c>
      <c r="J553" t="str">
        <f>IFERROR(VLOOKUP(D553,'Team Data'!C:AB,8,FALSE),"")</f>
        <v/>
      </c>
      <c r="K553" t="str">
        <f>IFERROR(VLOOKUP(D553,'Team Data'!C:AB,9,FALSE),"")</f>
        <v/>
      </c>
      <c r="L553" t="str">
        <f>IFERROR(VLOOKUP(D553,'Team Data'!C:AB,10,FALSE),"")</f>
        <v/>
      </c>
      <c r="M553" t="str">
        <f t="shared" si="18"/>
        <v/>
      </c>
      <c r="N553" t="str">
        <f>IFERROR(VLOOKUP(D553,'Team Data'!C:AB,23,FALSE),"")</f>
        <v/>
      </c>
      <c r="O553" t="str">
        <f>IFERROR(VLOOKUP(D553,'Team Data'!C:AB,22,FALSE),"")</f>
        <v/>
      </c>
      <c r="P553" t="str">
        <f t="shared" si="19"/>
        <v/>
      </c>
      <c r="Q553" t="str">
        <f>IFERROR(VLOOKUP(D553,'Team Data'!C:AB,15,FALSE),"")</f>
        <v/>
      </c>
      <c r="R553" t="str">
        <f>IFERROR(VLOOKUP('OB Format'!D553,'Team Data'!C:AB,24,FALSE),"")</f>
        <v/>
      </c>
      <c r="S553" t="str">
        <f>IFERROR(VLOOKUP('OB Format'!D553,'Team Data'!C:AC,25,FALSE),"")</f>
        <v/>
      </c>
    </row>
    <row r="554" spans="5:19" x14ac:dyDescent="0.25">
      <c r="E554" t="str">
        <f>IFERROR(VLOOKUP(D554,'Team Data'!C:AB,4,FALSE),"")</f>
        <v/>
      </c>
      <c r="F554" t="str">
        <f>IFERROR(VLOOKUP(D554,'Team Data'!C:AB,5,FALSE),"")</f>
        <v/>
      </c>
      <c r="G554" t="str">
        <f>IFERROR(VLOOKUP('OB Format'!D554,'Team Data'!C:AB,17,FALSE),"")</f>
        <v/>
      </c>
      <c r="H554" t="str">
        <f>IFERROR(VLOOKUP(D554,'Team Data'!C:AB,7,FALSE),"")</f>
        <v/>
      </c>
      <c r="I554" t="str">
        <f>IFERROR(VLOOKUP(D554,'Team Data'!C:AB,14,FALSE),"")</f>
        <v/>
      </c>
      <c r="J554" t="str">
        <f>IFERROR(VLOOKUP(D554,'Team Data'!C:AB,8,FALSE),"")</f>
        <v/>
      </c>
      <c r="K554" t="str">
        <f>IFERROR(VLOOKUP(D554,'Team Data'!C:AB,9,FALSE),"")</f>
        <v/>
      </c>
      <c r="L554" t="str">
        <f>IFERROR(VLOOKUP(D554,'Team Data'!C:AB,10,FALSE),"")</f>
        <v/>
      </c>
      <c r="M554" t="str">
        <f t="shared" si="18"/>
        <v/>
      </c>
      <c r="N554" t="str">
        <f>IFERROR(VLOOKUP(D554,'Team Data'!C:AB,23,FALSE),"")</f>
        <v/>
      </c>
      <c r="O554" t="str">
        <f>IFERROR(VLOOKUP(D554,'Team Data'!C:AB,22,FALSE),"")</f>
        <v/>
      </c>
      <c r="P554" t="str">
        <f t="shared" si="19"/>
        <v/>
      </c>
      <c r="Q554" t="str">
        <f>IFERROR(VLOOKUP(D554,'Team Data'!C:AB,15,FALSE),"")</f>
        <v/>
      </c>
      <c r="R554" t="str">
        <f>IFERROR(VLOOKUP('OB Format'!D554,'Team Data'!C:AB,24,FALSE),"")</f>
        <v/>
      </c>
      <c r="S554" t="str">
        <f>IFERROR(VLOOKUP('OB Format'!D554,'Team Data'!C:AC,25,FALSE),"")</f>
        <v/>
      </c>
    </row>
    <row r="555" spans="5:19" x14ac:dyDescent="0.25">
      <c r="E555" t="str">
        <f>IFERROR(VLOOKUP(D555,'Team Data'!C:AB,4,FALSE),"")</f>
        <v/>
      </c>
      <c r="F555" t="str">
        <f>IFERROR(VLOOKUP(D555,'Team Data'!C:AB,5,FALSE),"")</f>
        <v/>
      </c>
      <c r="G555" t="str">
        <f>IFERROR(VLOOKUP('OB Format'!D555,'Team Data'!C:AB,17,FALSE),"")</f>
        <v/>
      </c>
      <c r="H555" t="str">
        <f>IFERROR(VLOOKUP(D555,'Team Data'!C:AB,7,FALSE),"")</f>
        <v/>
      </c>
      <c r="I555" t="str">
        <f>IFERROR(VLOOKUP(D555,'Team Data'!C:AB,14,FALSE),"")</f>
        <v/>
      </c>
      <c r="J555" t="str">
        <f>IFERROR(VLOOKUP(D555,'Team Data'!C:AB,8,FALSE),"")</f>
        <v/>
      </c>
      <c r="K555" t="str">
        <f>IFERROR(VLOOKUP(D555,'Team Data'!C:AB,9,FALSE),"")</f>
        <v/>
      </c>
      <c r="L555" t="str">
        <f>IFERROR(VLOOKUP(D555,'Team Data'!C:AB,10,FALSE),"")</f>
        <v/>
      </c>
      <c r="M555" t="str">
        <f t="shared" si="18"/>
        <v/>
      </c>
      <c r="N555" t="str">
        <f>IFERROR(VLOOKUP(D555,'Team Data'!C:AB,23,FALSE),"")</f>
        <v/>
      </c>
      <c r="O555" t="str">
        <f>IFERROR(VLOOKUP(D555,'Team Data'!C:AB,22,FALSE),"")</f>
        <v/>
      </c>
      <c r="P555" t="str">
        <f t="shared" si="19"/>
        <v/>
      </c>
      <c r="Q555" t="str">
        <f>IFERROR(VLOOKUP(D555,'Team Data'!C:AB,15,FALSE),"")</f>
        <v/>
      </c>
      <c r="R555" t="str">
        <f>IFERROR(VLOOKUP('OB Format'!D555,'Team Data'!C:AB,24,FALSE),"")</f>
        <v/>
      </c>
      <c r="S555" t="str">
        <f>IFERROR(VLOOKUP('OB Format'!D555,'Team Data'!C:AC,25,FALSE),"")</f>
        <v/>
      </c>
    </row>
    <row r="556" spans="5:19" x14ac:dyDescent="0.25">
      <c r="E556" t="str">
        <f>IFERROR(VLOOKUP(D556,'Team Data'!C:AB,4,FALSE),"")</f>
        <v/>
      </c>
      <c r="F556" t="str">
        <f>IFERROR(VLOOKUP(D556,'Team Data'!C:AB,5,FALSE),"")</f>
        <v/>
      </c>
      <c r="G556" t="str">
        <f>IFERROR(VLOOKUP('OB Format'!D556,'Team Data'!C:AB,17,FALSE),"")</f>
        <v/>
      </c>
      <c r="H556" t="str">
        <f>IFERROR(VLOOKUP(D556,'Team Data'!C:AB,7,FALSE),"")</f>
        <v/>
      </c>
      <c r="I556" t="str">
        <f>IFERROR(VLOOKUP(D556,'Team Data'!C:AB,14,FALSE),"")</f>
        <v/>
      </c>
      <c r="J556" t="str">
        <f>IFERROR(VLOOKUP(D556,'Team Data'!C:AB,8,FALSE),"")</f>
        <v/>
      </c>
      <c r="K556" t="str">
        <f>IFERROR(VLOOKUP(D556,'Team Data'!C:AB,9,FALSE),"")</f>
        <v/>
      </c>
      <c r="L556" t="str">
        <f>IFERROR(VLOOKUP(D556,'Team Data'!C:AB,10,FALSE),"")</f>
        <v/>
      </c>
      <c r="M556" t="str">
        <f t="shared" si="18"/>
        <v/>
      </c>
      <c r="N556" t="str">
        <f>IFERROR(VLOOKUP(D556,'Team Data'!C:AB,23,FALSE),"")</f>
        <v/>
      </c>
      <c r="O556" t="str">
        <f>IFERROR(VLOOKUP(D556,'Team Data'!C:AB,22,FALSE),"")</f>
        <v/>
      </c>
      <c r="P556" t="str">
        <f t="shared" si="19"/>
        <v/>
      </c>
      <c r="Q556" t="str">
        <f>IFERROR(VLOOKUP(D556,'Team Data'!C:AB,15,FALSE),"")</f>
        <v/>
      </c>
      <c r="R556" t="str">
        <f>IFERROR(VLOOKUP('OB Format'!D556,'Team Data'!C:AB,24,FALSE),"")</f>
        <v/>
      </c>
      <c r="S556" t="str">
        <f>IFERROR(VLOOKUP('OB Format'!D556,'Team Data'!C:AC,25,FALSE),"")</f>
        <v/>
      </c>
    </row>
    <row r="557" spans="5:19" x14ac:dyDescent="0.25">
      <c r="E557" t="str">
        <f>IFERROR(VLOOKUP(D557,'Team Data'!C:AB,4,FALSE),"")</f>
        <v/>
      </c>
      <c r="F557" t="str">
        <f>IFERROR(VLOOKUP(D557,'Team Data'!C:AB,5,FALSE),"")</f>
        <v/>
      </c>
      <c r="G557" t="str">
        <f>IFERROR(VLOOKUP('OB Format'!D557,'Team Data'!C:AB,17,FALSE),"")</f>
        <v/>
      </c>
      <c r="H557" t="str">
        <f>IFERROR(VLOOKUP(D557,'Team Data'!C:AB,7,FALSE),"")</f>
        <v/>
      </c>
      <c r="I557" t="str">
        <f>IFERROR(VLOOKUP(D557,'Team Data'!C:AB,14,FALSE),"")</f>
        <v/>
      </c>
      <c r="J557" t="str">
        <f>IFERROR(VLOOKUP(D557,'Team Data'!C:AB,8,FALSE),"")</f>
        <v/>
      </c>
      <c r="K557" t="str">
        <f>IFERROR(VLOOKUP(D557,'Team Data'!C:AB,9,FALSE),"")</f>
        <v/>
      </c>
      <c r="L557" t="str">
        <f>IFERROR(VLOOKUP(D557,'Team Data'!C:AB,10,FALSE),"")</f>
        <v/>
      </c>
      <c r="M557" t="str">
        <f t="shared" si="18"/>
        <v/>
      </c>
      <c r="N557" t="str">
        <f>IFERROR(VLOOKUP(D557,'Team Data'!C:AB,23,FALSE),"")</f>
        <v/>
      </c>
      <c r="O557" t="str">
        <f>IFERROR(VLOOKUP(D557,'Team Data'!C:AB,22,FALSE),"")</f>
        <v/>
      </c>
      <c r="P557" t="str">
        <f t="shared" si="19"/>
        <v/>
      </c>
      <c r="Q557" t="str">
        <f>IFERROR(VLOOKUP(D557,'Team Data'!C:AB,15,FALSE),"")</f>
        <v/>
      </c>
      <c r="R557" t="str">
        <f>IFERROR(VLOOKUP('OB Format'!D557,'Team Data'!C:AB,24,FALSE),"")</f>
        <v/>
      </c>
      <c r="S557" t="str">
        <f>IFERROR(VLOOKUP('OB Format'!D557,'Team Data'!C:AC,25,FALSE),"")</f>
        <v/>
      </c>
    </row>
    <row r="558" spans="5:19" x14ac:dyDescent="0.25">
      <c r="E558" t="str">
        <f>IFERROR(VLOOKUP(D558,'Team Data'!C:AB,4,FALSE),"")</f>
        <v/>
      </c>
      <c r="F558" t="str">
        <f>IFERROR(VLOOKUP(D558,'Team Data'!C:AB,5,FALSE),"")</f>
        <v/>
      </c>
      <c r="G558" t="str">
        <f>IFERROR(VLOOKUP('OB Format'!D558,'Team Data'!C:AB,17,FALSE),"")</f>
        <v/>
      </c>
      <c r="H558" t="str">
        <f>IFERROR(VLOOKUP(D558,'Team Data'!C:AB,7,FALSE),"")</f>
        <v/>
      </c>
      <c r="I558" t="str">
        <f>IFERROR(VLOOKUP(D558,'Team Data'!C:AB,14,FALSE),"")</f>
        <v/>
      </c>
      <c r="J558" t="str">
        <f>IFERROR(VLOOKUP(D558,'Team Data'!C:AB,8,FALSE),"")</f>
        <v/>
      </c>
      <c r="K558" t="str">
        <f>IFERROR(VLOOKUP(D558,'Team Data'!C:AB,9,FALSE),"")</f>
        <v/>
      </c>
      <c r="L558" t="str">
        <f>IFERROR(VLOOKUP(D558,'Team Data'!C:AB,10,FALSE),"")</f>
        <v/>
      </c>
      <c r="M558" t="str">
        <f t="shared" si="18"/>
        <v/>
      </c>
      <c r="N558" t="str">
        <f>IFERROR(VLOOKUP(D558,'Team Data'!C:AB,23,FALSE),"")</f>
        <v/>
      </c>
      <c r="O558" t="str">
        <f>IFERROR(VLOOKUP(D558,'Team Data'!C:AB,22,FALSE),"")</f>
        <v/>
      </c>
      <c r="P558" t="str">
        <f t="shared" si="19"/>
        <v/>
      </c>
      <c r="Q558" t="str">
        <f>IFERROR(VLOOKUP(D558,'Team Data'!C:AB,15,FALSE),"")</f>
        <v/>
      </c>
      <c r="R558" t="str">
        <f>IFERROR(VLOOKUP('OB Format'!D558,'Team Data'!C:AB,24,FALSE),"")</f>
        <v/>
      </c>
      <c r="S558" t="str">
        <f>IFERROR(VLOOKUP('OB Format'!D558,'Team Data'!C:AC,25,FALSE),"")</f>
        <v/>
      </c>
    </row>
    <row r="559" spans="5:19" x14ac:dyDescent="0.25">
      <c r="E559" t="str">
        <f>IFERROR(VLOOKUP(D559,'Team Data'!C:AB,4,FALSE),"")</f>
        <v/>
      </c>
      <c r="F559" t="str">
        <f>IFERROR(VLOOKUP(D559,'Team Data'!C:AB,5,FALSE),"")</f>
        <v/>
      </c>
      <c r="G559" t="str">
        <f>IFERROR(VLOOKUP('OB Format'!D559,'Team Data'!C:AB,17,FALSE),"")</f>
        <v/>
      </c>
      <c r="H559" t="str">
        <f>IFERROR(VLOOKUP(D559,'Team Data'!C:AB,7,FALSE),"")</f>
        <v/>
      </c>
      <c r="I559" t="str">
        <f>IFERROR(VLOOKUP(D559,'Team Data'!C:AB,14,FALSE),"")</f>
        <v/>
      </c>
      <c r="J559" t="str">
        <f>IFERROR(VLOOKUP(D559,'Team Data'!C:AB,8,FALSE),"")</f>
        <v/>
      </c>
      <c r="K559" t="str">
        <f>IFERROR(VLOOKUP(D559,'Team Data'!C:AB,9,FALSE),"")</f>
        <v/>
      </c>
      <c r="L559" t="str">
        <f>IFERROR(VLOOKUP(D559,'Team Data'!C:AB,10,FALSE),"")</f>
        <v/>
      </c>
      <c r="M559" t="str">
        <f t="shared" si="18"/>
        <v/>
      </c>
      <c r="N559" t="str">
        <f>IFERROR(VLOOKUP(D559,'Team Data'!C:AB,23,FALSE),"")</f>
        <v/>
      </c>
      <c r="O559" t="str">
        <f>IFERROR(VLOOKUP(D559,'Team Data'!C:AB,22,FALSE),"")</f>
        <v/>
      </c>
      <c r="P559" t="str">
        <f t="shared" si="19"/>
        <v/>
      </c>
      <c r="Q559" t="str">
        <f>IFERROR(VLOOKUP(D559,'Team Data'!C:AB,15,FALSE),"")</f>
        <v/>
      </c>
      <c r="R559" t="str">
        <f>IFERROR(VLOOKUP('OB Format'!D559,'Team Data'!C:AB,24,FALSE),"")</f>
        <v/>
      </c>
      <c r="S559" t="str">
        <f>IFERROR(VLOOKUP('OB Format'!D559,'Team Data'!C:AC,25,FALSE),"")</f>
        <v/>
      </c>
    </row>
    <row r="560" spans="5:19" x14ac:dyDescent="0.25">
      <c r="E560" t="str">
        <f>IFERROR(VLOOKUP(D560,'Team Data'!C:AB,4,FALSE),"")</f>
        <v/>
      </c>
      <c r="F560" t="str">
        <f>IFERROR(VLOOKUP(D560,'Team Data'!C:AB,5,FALSE),"")</f>
        <v/>
      </c>
      <c r="G560" t="str">
        <f>IFERROR(VLOOKUP('OB Format'!D560,'Team Data'!C:AB,17,FALSE),"")</f>
        <v/>
      </c>
      <c r="H560" t="str">
        <f>IFERROR(VLOOKUP(D560,'Team Data'!C:AB,7,FALSE),"")</f>
        <v/>
      </c>
      <c r="I560" t="str">
        <f>IFERROR(VLOOKUP(D560,'Team Data'!C:AB,14,FALSE),"")</f>
        <v/>
      </c>
      <c r="J560" t="str">
        <f>IFERROR(VLOOKUP(D560,'Team Data'!C:AB,8,FALSE),"")</f>
        <v/>
      </c>
      <c r="K560" t="str">
        <f>IFERROR(VLOOKUP(D560,'Team Data'!C:AB,9,FALSE),"")</f>
        <v/>
      </c>
      <c r="L560" t="str">
        <f>IFERROR(VLOOKUP(D560,'Team Data'!C:AB,10,FALSE),"")</f>
        <v/>
      </c>
      <c r="M560" t="str">
        <f t="shared" si="18"/>
        <v/>
      </c>
      <c r="N560" t="str">
        <f>IFERROR(VLOOKUP(D560,'Team Data'!C:AB,23,FALSE),"")</f>
        <v/>
      </c>
      <c r="O560" t="str">
        <f>IFERROR(VLOOKUP(D560,'Team Data'!C:AB,22,FALSE),"")</f>
        <v/>
      </c>
      <c r="P560" t="str">
        <f t="shared" si="19"/>
        <v/>
      </c>
      <c r="Q560" t="str">
        <f>IFERROR(VLOOKUP(D560,'Team Data'!C:AB,15,FALSE),"")</f>
        <v/>
      </c>
      <c r="R560" t="str">
        <f>IFERROR(VLOOKUP('OB Format'!D560,'Team Data'!C:AB,24,FALSE),"")</f>
        <v/>
      </c>
      <c r="S560" t="str">
        <f>IFERROR(VLOOKUP('OB Format'!D560,'Team Data'!C:AC,25,FALSE),"")</f>
        <v/>
      </c>
    </row>
    <row r="561" spans="5:19" x14ac:dyDescent="0.25">
      <c r="E561" t="str">
        <f>IFERROR(VLOOKUP(D561,'Team Data'!C:AB,4,FALSE),"")</f>
        <v/>
      </c>
      <c r="F561" t="str">
        <f>IFERROR(VLOOKUP(D561,'Team Data'!C:AB,5,FALSE),"")</f>
        <v/>
      </c>
      <c r="G561" t="str">
        <f>IFERROR(VLOOKUP('OB Format'!D561,'Team Data'!C:AB,17,FALSE),"")</f>
        <v/>
      </c>
      <c r="H561" t="str">
        <f>IFERROR(VLOOKUP(D561,'Team Data'!C:AB,7,FALSE),"")</f>
        <v/>
      </c>
      <c r="I561" t="str">
        <f>IFERROR(VLOOKUP(D561,'Team Data'!C:AB,14,FALSE),"")</f>
        <v/>
      </c>
      <c r="J561" t="str">
        <f>IFERROR(VLOOKUP(D561,'Team Data'!C:AB,8,FALSE),"")</f>
        <v/>
      </c>
      <c r="K561" t="str">
        <f>IFERROR(VLOOKUP(D561,'Team Data'!C:AB,9,FALSE),"")</f>
        <v/>
      </c>
      <c r="L561" t="str">
        <f>IFERROR(VLOOKUP(D561,'Team Data'!C:AB,10,FALSE),"")</f>
        <v/>
      </c>
      <c r="M561" t="str">
        <f t="shared" si="18"/>
        <v/>
      </c>
      <c r="N561" t="str">
        <f>IFERROR(VLOOKUP(D561,'Team Data'!C:AB,23,FALSE),"")</f>
        <v/>
      </c>
      <c r="O561" t="str">
        <f>IFERROR(VLOOKUP(D561,'Team Data'!C:AB,22,FALSE),"")</f>
        <v/>
      </c>
      <c r="P561" t="str">
        <f t="shared" si="19"/>
        <v/>
      </c>
      <c r="Q561" t="str">
        <f>IFERROR(VLOOKUP(D561,'Team Data'!C:AB,15,FALSE),"")</f>
        <v/>
      </c>
      <c r="R561" t="str">
        <f>IFERROR(VLOOKUP('OB Format'!D561,'Team Data'!C:AB,24,FALSE),"")</f>
        <v/>
      </c>
      <c r="S561" t="str">
        <f>IFERROR(VLOOKUP('OB Format'!D561,'Team Data'!C:AC,25,FALSE),"")</f>
        <v/>
      </c>
    </row>
    <row r="562" spans="5:19" x14ac:dyDescent="0.25">
      <c r="E562" t="str">
        <f>IFERROR(VLOOKUP(D562,'Team Data'!C:AB,4,FALSE),"")</f>
        <v/>
      </c>
      <c r="F562" t="str">
        <f>IFERROR(VLOOKUP(D562,'Team Data'!C:AB,5,FALSE),"")</f>
        <v/>
      </c>
      <c r="G562" t="str">
        <f>IFERROR(VLOOKUP('OB Format'!D562,'Team Data'!C:AB,17,FALSE),"")</f>
        <v/>
      </c>
      <c r="H562" t="str">
        <f>IFERROR(VLOOKUP(D562,'Team Data'!C:AB,7,FALSE),"")</f>
        <v/>
      </c>
      <c r="I562" t="str">
        <f>IFERROR(VLOOKUP(D562,'Team Data'!C:AB,14,FALSE),"")</f>
        <v/>
      </c>
      <c r="J562" t="str">
        <f>IFERROR(VLOOKUP(D562,'Team Data'!C:AB,8,FALSE),"")</f>
        <v/>
      </c>
      <c r="K562" t="str">
        <f>IFERROR(VLOOKUP(D562,'Team Data'!C:AB,9,FALSE),"")</f>
        <v/>
      </c>
      <c r="L562" t="str">
        <f>IFERROR(VLOOKUP(D562,'Team Data'!C:AB,10,FALSE),"")</f>
        <v/>
      </c>
      <c r="M562" t="str">
        <f t="shared" si="18"/>
        <v/>
      </c>
      <c r="N562" t="str">
        <f>IFERROR(VLOOKUP(D562,'Team Data'!C:AB,23,FALSE),"")</f>
        <v/>
      </c>
      <c r="O562" t="str">
        <f>IFERROR(VLOOKUP(D562,'Team Data'!C:AB,22,FALSE),"")</f>
        <v/>
      </c>
      <c r="P562" t="str">
        <f t="shared" si="19"/>
        <v/>
      </c>
      <c r="Q562" t="str">
        <f>IFERROR(VLOOKUP(D562,'Team Data'!C:AB,15,FALSE),"")</f>
        <v/>
      </c>
      <c r="R562" t="str">
        <f>IFERROR(VLOOKUP('OB Format'!D562,'Team Data'!C:AB,24,FALSE),"")</f>
        <v/>
      </c>
      <c r="S562" t="str">
        <f>IFERROR(VLOOKUP('OB Format'!D562,'Team Data'!C:AC,25,FALSE),"")</f>
        <v/>
      </c>
    </row>
    <row r="563" spans="5:19" x14ac:dyDescent="0.25">
      <c r="E563" t="str">
        <f>IFERROR(VLOOKUP(D563,'Team Data'!C:AB,4,FALSE),"")</f>
        <v/>
      </c>
      <c r="F563" t="str">
        <f>IFERROR(VLOOKUP(D563,'Team Data'!C:AB,5,FALSE),"")</f>
        <v/>
      </c>
      <c r="G563" t="str">
        <f>IFERROR(VLOOKUP('OB Format'!D563,'Team Data'!C:AB,17,FALSE),"")</f>
        <v/>
      </c>
      <c r="H563" t="str">
        <f>IFERROR(VLOOKUP(D563,'Team Data'!C:AB,7,FALSE),"")</f>
        <v/>
      </c>
      <c r="I563" t="str">
        <f>IFERROR(VLOOKUP(D563,'Team Data'!C:AB,14,FALSE),"")</f>
        <v/>
      </c>
      <c r="J563" t="str">
        <f>IFERROR(VLOOKUP(D563,'Team Data'!C:AB,8,FALSE),"")</f>
        <v/>
      </c>
      <c r="K563" t="str">
        <f>IFERROR(VLOOKUP(D563,'Team Data'!C:AB,9,FALSE),"")</f>
        <v/>
      </c>
      <c r="L563" t="str">
        <f>IFERROR(VLOOKUP(D563,'Team Data'!C:AB,10,FALSE),"")</f>
        <v/>
      </c>
      <c r="M563" t="str">
        <f t="shared" si="18"/>
        <v/>
      </c>
      <c r="N563" t="str">
        <f>IFERROR(VLOOKUP(D563,'Team Data'!C:AB,23,FALSE),"")</f>
        <v/>
      </c>
      <c r="O563" t="str">
        <f>IFERROR(VLOOKUP(D563,'Team Data'!C:AB,22,FALSE),"")</f>
        <v/>
      </c>
      <c r="P563" t="str">
        <f t="shared" si="19"/>
        <v/>
      </c>
      <c r="Q563" t="str">
        <f>IFERROR(VLOOKUP(D563,'Team Data'!C:AB,15,FALSE),"")</f>
        <v/>
      </c>
      <c r="R563" t="str">
        <f>IFERROR(VLOOKUP('OB Format'!D563,'Team Data'!C:AB,24,FALSE),"")</f>
        <v/>
      </c>
      <c r="S563" t="str">
        <f>IFERROR(VLOOKUP('OB Format'!D563,'Team Data'!C:AC,25,FALSE),"")</f>
        <v/>
      </c>
    </row>
    <row r="564" spans="5:19" x14ac:dyDescent="0.25">
      <c r="E564" t="str">
        <f>IFERROR(VLOOKUP(D564,'Team Data'!C:AB,4,FALSE),"")</f>
        <v/>
      </c>
      <c r="F564" t="str">
        <f>IFERROR(VLOOKUP(D564,'Team Data'!C:AB,5,FALSE),"")</f>
        <v/>
      </c>
      <c r="G564" t="str">
        <f>IFERROR(VLOOKUP('OB Format'!D564,'Team Data'!C:AB,17,FALSE),"")</f>
        <v/>
      </c>
      <c r="H564" t="str">
        <f>IFERROR(VLOOKUP(D564,'Team Data'!C:AB,7,FALSE),"")</f>
        <v/>
      </c>
      <c r="I564" t="str">
        <f>IFERROR(VLOOKUP(D564,'Team Data'!C:AB,14,FALSE),"")</f>
        <v/>
      </c>
      <c r="J564" t="str">
        <f>IFERROR(VLOOKUP(D564,'Team Data'!C:AB,8,FALSE),"")</f>
        <v/>
      </c>
      <c r="K564" t="str">
        <f>IFERROR(VLOOKUP(D564,'Team Data'!C:AB,9,FALSE),"")</f>
        <v/>
      </c>
      <c r="L564" t="str">
        <f>IFERROR(VLOOKUP(D564,'Team Data'!C:AB,10,FALSE),"")</f>
        <v/>
      </c>
      <c r="M564" t="str">
        <f t="shared" si="18"/>
        <v/>
      </c>
      <c r="N564" t="str">
        <f>IFERROR(VLOOKUP(D564,'Team Data'!C:AB,23,FALSE),"")</f>
        <v/>
      </c>
      <c r="O564" t="str">
        <f>IFERROR(VLOOKUP(D564,'Team Data'!C:AB,22,FALSE),"")</f>
        <v/>
      </c>
      <c r="P564" t="str">
        <f t="shared" si="19"/>
        <v/>
      </c>
      <c r="Q564" t="str">
        <f>IFERROR(VLOOKUP(D564,'Team Data'!C:AB,15,FALSE),"")</f>
        <v/>
      </c>
      <c r="R564" t="str">
        <f>IFERROR(VLOOKUP('OB Format'!D564,'Team Data'!C:AB,24,FALSE),"")</f>
        <v/>
      </c>
      <c r="S564" t="str">
        <f>IFERROR(VLOOKUP('OB Format'!D564,'Team Data'!C:AC,25,FALSE),"")</f>
        <v/>
      </c>
    </row>
    <row r="565" spans="5:19" x14ac:dyDescent="0.25">
      <c r="E565" t="str">
        <f>IFERROR(VLOOKUP(D565,'Team Data'!C:AB,4,FALSE),"")</f>
        <v/>
      </c>
      <c r="F565" t="str">
        <f>IFERROR(VLOOKUP(D565,'Team Data'!C:AB,5,FALSE),"")</f>
        <v/>
      </c>
      <c r="G565" t="str">
        <f>IFERROR(VLOOKUP('OB Format'!D565,'Team Data'!C:AB,17,FALSE),"")</f>
        <v/>
      </c>
      <c r="H565" t="str">
        <f>IFERROR(VLOOKUP(D565,'Team Data'!C:AB,7,FALSE),"")</f>
        <v/>
      </c>
      <c r="I565" t="str">
        <f>IFERROR(VLOOKUP(D565,'Team Data'!C:AB,14,FALSE),"")</f>
        <v/>
      </c>
      <c r="J565" t="str">
        <f>IFERROR(VLOOKUP(D565,'Team Data'!C:AB,8,FALSE),"")</f>
        <v/>
      </c>
      <c r="K565" t="str">
        <f>IFERROR(VLOOKUP(D565,'Team Data'!C:AB,9,FALSE),"")</f>
        <v/>
      </c>
      <c r="L565" t="str">
        <f>IFERROR(VLOOKUP(D565,'Team Data'!C:AB,10,FALSE),"")</f>
        <v/>
      </c>
      <c r="M565" t="str">
        <f t="shared" si="18"/>
        <v/>
      </c>
      <c r="N565" t="str">
        <f>IFERROR(VLOOKUP(D565,'Team Data'!C:AB,23,FALSE),"")</f>
        <v/>
      </c>
      <c r="O565" t="str">
        <f>IFERROR(VLOOKUP(D565,'Team Data'!C:AB,22,FALSE),"")</f>
        <v/>
      </c>
      <c r="P565" t="str">
        <f t="shared" si="19"/>
        <v/>
      </c>
      <c r="Q565" t="str">
        <f>IFERROR(VLOOKUP(D565,'Team Data'!C:AB,15,FALSE),"")</f>
        <v/>
      </c>
      <c r="R565" t="str">
        <f>IFERROR(VLOOKUP('OB Format'!D565,'Team Data'!C:AB,24,FALSE),"")</f>
        <v/>
      </c>
      <c r="S565" t="str">
        <f>IFERROR(VLOOKUP('OB Format'!D565,'Team Data'!C:AC,25,FALSE),"")</f>
        <v/>
      </c>
    </row>
    <row r="566" spans="5:19" x14ac:dyDescent="0.25">
      <c r="E566" t="str">
        <f>IFERROR(VLOOKUP(D566,'Team Data'!C:AB,4,FALSE),"")</f>
        <v/>
      </c>
      <c r="F566" t="str">
        <f>IFERROR(VLOOKUP(D566,'Team Data'!C:AB,5,FALSE),"")</f>
        <v/>
      </c>
      <c r="G566" t="str">
        <f>IFERROR(VLOOKUP('OB Format'!D566,'Team Data'!C:AB,17,FALSE),"")</f>
        <v/>
      </c>
      <c r="H566" t="str">
        <f>IFERROR(VLOOKUP(D566,'Team Data'!C:AB,7,FALSE),"")</f>
        <v/>
      </c>
      <c r="I566" t="str">
        <f>IFERROR(VLOOKUP(D566,'Team Data'!C:AB,14,FALSE),"")</f>
        <v/>
      </c>
      <c r="J566" t="str">
        <f>IFERROR(VLOOKUP(D566,'Team Data'!C:AB,8,FALSE),"")</f>
        <v/>
      </c>
      <c r="K566" t="str">
        <f>IFERROR(VLOOKUP(D566,'Team Data'!C:AB,9,FALSE),"")</f>
        <v/>
      </c>
      <c r="L566" t="str">
        <f>IFERROR(VLOOKUP(D566,'Team Data'!C:AB,10,FALSE),"")</f>
        <v/>
      </c>
      <c r="M566" t="str">
        <f t="shared" si="18"/>
        <v/>
      </c>
      <c r="N566" t="str">
        <f>IFERROR(VLOOKUP(D566,'Team Data'!C:AB,23,FALSE),"")</f>
        <v/>
      </c>
      <c r="O566" t="str">
        <f>IFERROR(VLOOKUP(D566,'Team Data'!C:AB,22,FALSE),"")</f>
        <v/>
      </c>
      <c r="P566" t="str">
        <f t="shared" si="19"/>
        <v/>
      </c>
      <c r="Q566" t="str">
        <f>IFERROR(VLOOKUP(D566,'Team Data'!C:AB,15,FALSE),"")</f>
        <v/>
      </c>
      <c r="R566" t="str">
        <f>IFERROR(VLOOKUP('OB Format'!D566,'Team Data'!C:AB,24,FALSE),"")</f>
        <v/>
      </c>
      <c r="S566" t="str">
        <f>IFERROR(VLOOKUP('OB Format'!D566,'Team Data'!C:AC,25,FALSE),"")</f>
        <v/>
      </c>
    </row>
    <row r="567" spans="5:19" x14ac:dyDescent="0.25">
      <c r="E567" t="str">
        <f>IFERROR(VLOOKUP(D567,'Team Data'!C:AB,4,FALSE),"")</f>
        <v/>
      </c>
      <c r="F567" t="str">
        <f>IFERROR(VLOOKUP(D567,'Team Data'!C:AB,5,FALSE),"")</f>
        <v/>
      </c>
      <c r="G567" t="str">
        <f>IFERROR(VLOOKUP('OB Format'!D567,'Team Data'!C:AB,17,FALSE),"")</f>
        <v/>
      </c>
      <c r="H567" t="str">
        <f>IFERROR(VLOOKUP(D567,'Team Data'!C:AB,7,FALSE),"")</f>
        <v/>
      </c>
      <c r="I567" t="str">
        <f>IFERROR(VLOOKUP(D567,'Team Data'!C:AB,14,FALSE),"")</f>
        <v/>
      </c>
      <c r="J567" t="str">
        <f>IFERROR(VLOOKUP(D567,'Team Data'!C:AB,8,FALSE),"")</f>
        <v/>
      </c>
      <c r="K567" t="str">
        <f>IFERROR(VLOOKUP(D567,'Team Data'!C:AB,9,FALSE),"")</f>
        <v/>
      </c>
      <c r="L567" t="str">
        <f>IFERROR(VLOOKUP(D567,'Team Data'!C:AB,10,FALSE),"")</f>
        <v/>
      </c>
      <c r="M567" t="str">
        <f t="shared" si="18"/>
        <v/>
      </c>
      <c r="N567" t="str">
        <f>IFERROR(VLOOKUP(D567,'Team Data'!C:AB,23,FALSE),"")</f>
        <v/>
      </c>
      <c r="O567" t="str">
        <f>IFERROR(VLOOKUP(D567,'Team Data'!C:AB,22,FALSE),"")</f>
        <v/>
      </c>
      <c r="P567" t="str">
        <f t="shared" si="19"/>
        <v/>
      </c>
      <c r="Q567" t="str">
        <f>IFERROR(VLOOKUP(D567,'Team Data'!C:AB,15,FALSE),"")</f>
        <v/>
      </c>
      <c r="R567" t="str">
        <f>IFERROR(VLOOKUP('OB Format'!D567,'Team Data'!C:AB,24,FALSE),"")</f>
        <v/>
      </c>
      <c r="S567" t="str">
        <f>IFERROR(VLOOKUP('OB Format'!D567,'Team Data'!C:AC,25,FALSE),"")</f>
        <v/>
      </c>
    </row>
    <row r="568" spans="5:19" x14ac:dyDescent="0.25">
      <c r="E568" t="str">
        <f>IFERROR(VLOOKUP(D568,'Team Data'!C:AB,4,FALSE),"")</f>
        <v/>
      </c>
      <c r="F568" t="str">
        <f>IFERROR(VLOOKUP(D568,'Team Data'!C:AB,5,FALSE),"")</f>
        <v/>
      </c>
      <c r="G568" t="str">
        <f>IFERROR(VLOOKUP('OB Format'!D568,'Team Data'!C:AB,17,FALSE),"")</f>
        <v/>
      </c>
      <c r="H568" t="str">
        <f>IFERROR(VLOOKUP(D568,'Team Data'!C:AB,7,FALSE),"")</f>
        <v/>
      </c>
      <c r="I568" t="str">
        <f>IFERROR(VLOOKUP(D568,'Team Data'!C:AB,14,FALSE),"")</f>
        <v/>
      </c>
      <c r="J568" t="str">
        <f>IFERROR(VLOOKUP(D568,'Team Data'!C:AB,8,FALSE),"")</f>
        <v/>
      </c>
      <c r="K568" t="str">
        <f>IFERROR(VLOOKUP(D568,'Team Data'!C:AB,9,FALSE),"")</f>
        <v/>
      </c>
      <c r="L568" t="str">
        <f>IFERROR(VLOOKUP(D568,'Team Data'!C:AB,10,FALSE),"")</f>
        <v/>
      </c>
      <c r="M568" t="str">
        <f t="shared" si="18"/>
        <v/>
      </c>
      <c r="N568" t="str">
        <f>IFERROR(VLOOKUP(D568,'Team Data'!C:AB,23,FALSE),"")</f>
        <v/>
      </c>
      <c r="O568" t="str">
        <f>IFERROR(VLOOKUP(D568,'Team Data'!C:AB,22,FALSE),"")</f>
        <v/>
      </c>
      <c r="P568" t="str">
        <f t="shared" si="19"/>
        <v/>
      </c>
      <c r="Q568" t="str">
        <f>IFERROR(VLOOKUP(D568,'Team Data'!C:AB,15,FALSE),"")</f>
        <v/>
      </c>
      <c r="R568" t="str">
        <f>IFERROR(VLOOKUP('OB Format'!D568,'Team Data'!C:AB,24,FALSE),"")</f>
        <v/>
      </c>
      <c r="S568" t="str">
        <f>IFERROR(VLOOKUP('OB Format'!D568,'Team Data'!C:AC,25,FALSE),"")</f>
        <v/>
      </c>
    </row>
    <row r="569" spans="5:19" x14ac:dyDescent="0.25">
      <c r="E569" t="str">
        <f>IFERROR(VLOOKUP(D569,'Team Data'!C:AB,4,FALSE),"")</f>
        <v/>
      </c>
      <c r="F569" t="str">
        <f>IFERROR(VLOOKUP(D569,'Team Data'!C:AB,5,FALSE),"")</f>
        <v/>
      </c>
      <c r="G569" t="str">
        <f>IFERROR(VLOOKUP('OB Format'!D569,'Team Data'!C:AB,17,FALSE),"")</f>
        <v/>
      </c>
      <c r="H569" t="str">
        <f>IFERROR(VLOOKUP(D569,'Team Data'!C:AB,7,FALSE),"")</f>
        <v/>
      </c>
      <c r="I569" t="str">
        <f>IFERROR(VLOOKUP(D569,'Team Data'!C:AB,14,FALSE),"")</f>
        <v/>
      </c>
      <c r="J569" t="str">
        <f>IFERROR(VLOOKUP(D569,'Team Data'!C:AB,8,FALSE),"")</f>
        <v/>
      </c>
      <c r="K569" t="str">
        <f>IFERROR(VLOOKUP(D569,'Team Data'!C:AB,9,FALSE),"")</f>
        <v/>
      </c>
      <c r="L569" t="str">
        <f>IFERROR(VLOOKUP(D569,'Team Data'!C:AB,10,FALSE),"")</f>
        <v/>
      </c>
      <c r="M569" t="str">
        <f t="shared" si="18"/>
        <v/>
      </c>
      <c r="N569" t="str">
        <f>IFERROR(VLOOKUP(D569,'Team Data'!C:AB,23,FALSE),"")</f>
        <v/>
      </c>
      <c r="O569" t="str">
        <f>IFERROR(VLOOKUP(D569,'Team Data'!C:AB,22,FALSE),"")</f>
        <v/>
      </c>
      <c r="P569" t="str">
        <f t="shared" si="19"/>
        <v/>
      </c>
      <c r="Q569" t="str">
        <f>IFERROR(VLOOKUP(D569,'Team Data'!C:AB,15,FALSE),"")</f>
        <v/>
      </c>
      <c r="R569" t="str">
        <f>IFERROR(VLOOKUP('OB Format'!D569,'Team Data'!C:AB,24,FALSE),"")</f>
        <v/>
      </c>
      <c r="S569" t="str">
        <f>IFERROR(VLOOKUP('OB Format'!D569,'Team Data'!C:AC,25,FALSE),"")</f>
        <v/>
      </c>
    </row>
    <row r="570" spans="5:19" x14ac:dyDescent="0.25">
      <c r="E570" t="str">
        <f>IFERROR(VLOOKUP(D570,'Team Data'!C:AB,4,FALSE),"")</f>
        <v/>
      </c>
      <c r="F570" t="str">
        <f>IFERROR(VLOOKUP(D570,'Team Data'!C:AB,5,FALSE),"")</f>
        <v/>
      </c>
      <c r="G570" t="str">
        <f>IFERROR(VLOOKUP('OB Format'!D570,'Team Data'!C:AB,17,FALSE),"")</f>
        <v/>
      </c>
      <c r="H570" t="str">
        <f>IFERROR(VLOOKUP(D570,'Team Data'!C:AB,7,FALSE),"")</f>
        <v/>
      </c>
      <c r="I570" t="str">
        <f>IFERROR(VLOOKUP(D570,'Team Data'!C:AB,14,FALSE),"")</f>
        <v/>
      </c>
      <c r="J570" t="str">
        <f>IFERROR(VLOOKUP(D570,'Team Data'!C:AB,8,FALSE),"")</f>
        <v/>
      </c>
      <c r="K570" t="str">
        <f>IFERROR(VLOOKUP(D570,'Team Data'!C:AB,9,FALSE),"")</f>
        <v/>
      </c>
      <c r="L570" t="str">
        <f>IFERROR(VLOOKUP(D570,'Team Data'!C:AB,10,FALSE),"")</f>
        <v/>
      </c>
      <c r="M570" t="str">
        <f t="shared" si="18"/>
        <v/>
      </c>
      <c r="N570" t="str">
        <f>IFERROR(VLOOKUP(D570,'Team Data'!C:AB,23,FALSE),"")</f>
        <v/>
      </c>
      <c r="O570" t="str">
        <f>IFERROR(VLOOKUP(D570,'Team Data'!C:AB,22,FALSE),"")</f>
        <v/>
      </c>
      <c r="P570" t="str">
        <f t="shared" si="19"/>
        <v/>
      </c>
      <c r="Q570" t="str">
        <f>IFERROR(VLOOKUP(D570,'Team Data'!C:AB,15,FALSE),"")</f>
        <v/>
      </c>
      <c r="R570" t="str">
        <f>IFERROR(VLOOKUP('OB Format'!D570,'Team Data'!C:AB,24,FALSE),"")</f>
        <v/>
      </c>
      <c r="S570" t="str">
        <f>IFERROR(VLOOKUP('OB Format'!D570,'Team Data'!C:AC,25,FALSE),"")</f>
        <v/>
      </c>
    </row>
    <row r="571" spans="5:19" x14ac:dyDescent="0.25">
      <c r="E571" t="str">
        <f>IFERROR(VLOOKUP(D571,'Team Data'!C:AB,4,FALSE),"")</f>
        <v/>
      </c>
      <c r="F571" t="str">
        <f>IFERROR(VLOOKUP(D571,'Team Data'!C:AB,5,FALSE),"")</f>
        <v/>
      </c>
      <c r="G571" t="str">
        <f>IFERROR(VLOOKUP('OB Format'!D571,'Team Data'!C:AB,17,FALSE),"")</f>
        <v/>
      </c>
      <c r="H571" t="str">
        <f>IFERROR(VLOOKUP(D571,'Team Data'!C:AB,7,FALSE),"")</f>
        <v/>
      </c>
      <c r="I571" t="str">
        <f>IFERROR(VLOOKUP(D571,'Team Data'!C:AB,14,FALSE),"")</f>
        <v/>
      </c>
      <c r="J571" t="str">
        <f>IFERROR(VLOOKUP(D571,'Team Data'!C:AB,8,FALSE),"")</f>
        <v/>
      </c>
      <c r="K571" t="str">
        <f>IFERROR(VLOOKUP(D571,'Team Data'!C:AB,9,FALSE),"")</f>
        <v/>
      </c>
      <c r="L571" t="str">
        <f>IFERROR(VLOOKUP(D571,'Team Data'!C:AB,10,FALSE),"")</f>
        <v/>
      </c>
      <c r="M571" t="str">
        <f t="shared" si="18"/>
        <v/>
      </c>
      <c r="N571" t="str">
        <f>IFERROR(VLOOKUP(D571,'Team Data'!C:AB,23,FALSE),"")</f>
        <v/>
      </c>
      <c r="O571" t="str">
        <f>IFERROR(VLOOKUP(D571,'Team Data'!C:AB,22,FALSE),"")</f>
        <v/>
      </c>
      <c r="P571" t="str">
        <f t="shared" si="19"/>
        <v/>
      </c>
      <c r="Q571" t="str">
        <f>IFERROR(VLOOKUP(D571,'Team Data'!C:AB,15,FALSE),"")</f>
        <v/>
      </c>
      <c r="R571" t="str">
        <f>IFERROR(VLOOKUP('OB Format'!D571,'Team Data'!C:AB,24,FALSE),"")</f>
        <v/>
      </c>
      <c r="S571" t="str">
        <f>IFERROR(VLOOKUP('OB Format'!D571,'Team Data'!C:AC,25,FALSE),"")</f>
        <v/>
      </c>
    </row>
    <row r="572" spans="5:19" x14ac:dyDescent="0.25">
      <c r="E572" t="str">
        <f>IFERROR(VLOOKUP(D572,'Team Data'!C:AB,4,FALSE),"")</f>
        <v/>
      </c>
      <c r="F572" t="str">
        <f>IFERROR(VLOOKUP(D572,'Team Data'!C:AB,5,FALSE),"")</f>
        <v/>
      </c>
      <c r="G572" t="str">
        <f>IFERROR(VLOOKUP('OB Format'!D572,'Team Data'!C:AB,17,FALSE),"")</f>
        <v/>
      </c>
      <c r="H572" t="str">
        <f>IFERROR(VLOOKUP(D572,'Team Data'!C:AB,7,FALSE),"")</f>
        <v/>
      </c>
      <c r="I572" t="str">
        <f>IFERROR(VLOOKUP(D572,'Team Data'!C:AB,14,FALSE),"")</f>
        <v/>
      </c>
      <c r="J572" t="str">
        <f>IFERROR(VLOOKUP(D572,'Team Data'!C:AB,8,FALSE),"")</f>
        <v/>
      </c>
      <c r="K572" t="str">
        <f>IFERROR(VLOOKUP(D572,'Team Data'!C:AB,9,FALSE),"")</f>
        <v/>
      </c>
      <c r="L572" t="str">
        <f>IFERROR(VLOOKUP(D572,'Team Data'!C:AB,10,FALSE),"")</f>
        <v/>
      </c>
      <c r="M572" t="str">
        <f t="shared" si="18"/>
        <v/>
      </c>
      <c r="N572" t="str">
        <f>IFERROR(VLOOKUP(D572,'Team Data'!C:AB,23,FALSE),"")</f>
        <v/>
      </c>
      <c r="O572" t="str">
        <f>IFERROR(VLOOKUP(D572,'Team Data'!C:AB,22,FALSE),"")</f>
        <v/>
      </c>
      <c r="P572" t="str">
        <f t="shared" si="19"/>
        <v/>
      </c>
      <c r="Q572" t="str">
        <f>IFERROR(VLOOKUP(D572,'Team Data'!C:AB,15,FALSE),"")</f>
        <v/>
      </c>
      <c r="R572" t="str">
        <f>IFERROR(VLOOKUP('OB Format'!D572,'Team Data'!C:AB,24,FALSE),"")</f>
        <v/>
      </c>
      <c r="S572" t="str">
        <f>IFERROR(VLOOKUP('OB Format'!D572,'Team Data'!C:AC,25,FALSE),"")</f>
        <v/>
      </c>
    </row>
    <row r="573" spans="5:19" x14ac:dyDescent="0.25">
      <c r="E573" t="str">
        <f>IFERROR(VLOOKUP(D573,'Team Data'!C:AB,4,FALSE),"")</f>
        <v/>
      </c>
      <c r="F573" t="str">
        <f>IFERROR(VLOOKUP(D573,'Team Data'!C:AB,5,FALSE),"")</f>
        <v/>
      </c>
      <c r="G573" t="str">
        <f>IFERROR(VLOOKUP('OB Format'!D573,'Team Data'!C:AB,17,FALSE),"")</f>
        <v/>
      </c>
      <c r="H573" t="str">
        <f>IFERROR(VLOOKUP(D573,'Team Data'!C:AB,7,FALSE),"")</f>
        <v/>
      </c>
      <c r="I573" t="str">
        <f>IFERROR(VLOOKUP(D573,'Team Data'!C:AB,14,FALSE),"")</f>
        <v/>
      </c>
      <c r="J573" t="str">
        <f>IFERROR(VLOOKUP(D573,'Team Data'!C:AB,8,FALSE),"")</f>
        <v/>
      </c>
      <c r="K573" t="str">
        <f>IFERROR(VLOOKUP(D573,'Team Data'!C:AB,9,FALSE),"")</f>
        <v/>
      </c>
      <c r="L573" t="str">
        <f>IFERROR(VLOOKUP(D573,'Team Data'!C:AB,10,FALSE),"")</f>
        <v/>
      </c>
      <c r="M573" t="str">
        <f t="shared" si="18"/>
        <v/>
      </c>
      <c r="N573" t="str">
        <f>IFERROR(VLOOKUP(D573,'Team Data'!C:AB,23,FALSE),"")</f>
        <v/>
      </c>
      <c r="O573" t="str">
        <f>IFERROR(VLOOKUP(D573,'Team Data'!C:AB,22,FALSE),"")</f>
        <v/>
      </c>
      <c r="P573" t="str">
        <f t="shared" si="19"/>
        <v/>
      </c>
      <c r="Q573" t="str">
        <f>IFERROR(VLOOKUP(D573,'Team Data'!C:AB,15,FALSE),"")</f>
        <v/>
      </c>
      <c r="R573" t="str">
        <f>IFERROR(VLOOKUP('OB Format'!D573,'Team Data'!C:AB,24,FALSE),"")</f>
        <v/>
      </c>
      <c r="S573" t="str">
        <f>IFERROR(VLOOKUP('OB Format'!D573,'Team Data'!C:AC,25,FALSE),"")</f>
        <v/>
      </c>
    </row>
    <row r="574" spans="5:19" x14ac:dyDescent="0.25">
      <c r="E574" t="str">
        <f>IFERROR(VLOOKUP(D574,'Team Data'!C:AB,4,FALSE),"")</f>
        <v/>
      </c>
      <c r="F574" t="str">
        <f>IFERROR(VLOOKUP(D574,'Team Data'!C:AB,5,FALSE),"")</f>
        <v/>
      </c>
      <c r="G574" t="str">
        <f>IFERROR(VLOOKUP('OB Format'!D574,'Team Data'!C:AB,17,FALSE),"")</f>
        <v/>
      </c>
      <c r="H574" t="str">
        <f>IFERROR(VLOOKUP(D574,'Team Data'!C:AB,7,FALSE),"")</f>
        <v/>
      </c>
      <c r="I574" t="str">
        <f>IFERROR(VLOOKUP(D574,'Team Data'!C:AB,14,FALSE),"")</f>
        <v/>
      </c>
      <c r="J574" t="str">
        <f>IFERROR(VLOOKUP(D574,'Team Data'!C:AB,8,FALSE),"")</f>
        <v/>
      </c>
      <c r="K574" t="str">
        <f>IFERROR(VLOOKUP(D574,'Team Data'!C:AB,9,FALSE),"")</f>
        <v/>
      </c>
      <c r="L574" t="str">
        <f>IFERROR(VLOOKUP(D574,'Team Data'!C:AB,10,FALSE),"")</f>
        <v/>
      </c>
      <c r="M574" t="str">
        <f t="shared" si="18"/>
        <v/>
      </c>
      <c r="N574" t="str">
        <f>IFERROR(VLOOKUP(D574,'Team Data'!C:AB,23,FALSE),"")</f>
        <v/>
      </c>
      <c r="O574" t="str">
        <f>IFERROR(VLOOKUP(D574,'Team Data'!C:AB,22,FALSE),"")</f>
        <v/>
      </c>
      <c r="P574" t="str">
        <f t="shared" si="19"/>
        <v/>
      </c>
      <c r="Q574" t="str">
        <f>IFERROR(VLOOKUP(D574,'Team Data'!C:AB,15,FALSE),"")</f>
        <v/>
      </c>
      <c r="R574" t="str">
        <f>IFERROR(VLOOKUP('OB Format'!D574,'Team Data'!C:AB,24,FALSE),"")</f>
        <v/>
      </c>
      <c r="S574" t="str">
        <f>IFERROR(VLOOKUP('OB Format'!D574,'Team Data'!C:AC,25,FALSE),"")</f>
        <v/>
      </c>
    </row>
    <row r="575" spans="5:19" x14ac:dyDescent="0.25">
      <c r="E575" t="str">
        <f>IFERROR(VLOOKUP(D575,'Team Data'!C:AB,4,FALSE),"")</f>
        <v/>
      </c>
      <c r="F575" t="str">
        <f>IFERROR(VLOOKUP(D575,'Team Data'!C:AB,5,FALSE),"")</f>
        <v/>
      </c>
      <c r="G575" t="str">
        <f>IFERROR(VLOOKUP('OB Format'!D575,'Team Data'!C:AB,17,FALSE),"")</f>
        <v/>
      </c>
      <c r="H575" t="str">
        <f>IFERROR(VLOOKUP(D575,'Team Data'!C:AB,7,FALSE),"")</f>
        <v/>
      </c>
      <c r="I575" t="str">
        <f>IFERROR(VLOOKUP(D575,'Team Data'!C:AB,14,FALSE),"")</f>
        <v/>
      </c>
      <c r="J575" t="str">
        <f>IFERROR(VLOOKUP(D575,'Team Data'!C:AB,8,FALSE),"")</f>
        <v/>
      </c>
      <c r="K575" t="str">
        <f>IFERROR(VLOOKUP(D575,'Team Data'!C:AB,9,FALSE),"")</f>
        <v/>
      </c>
      <c r="L575" t="str">
        <f>IFERROR(VLOOKUP(D575,'Team Data'!C:AB,10,FALSE),"")</f>
        <v/>
      </c>
      <c r="M575" t="str">
        <f t="shared" si="18"/>
        <v/>
      </c>
      <c r="N575" t="str">
        <f>IFERROR(VLOOKUP(D575,'Team Data'!C:AB,23,FALSE),"")</f>
        <v/>
      </c>
      <c r="O575" t="str">
        <f>IFERROR(VLOOKUP(D575,'Team Data'!C:AB,22,FALSE),"")</f>
        <v/>
      </c>
      <c r="P575" t="str">
        <f t="shared" si="19"/>
        <v/>
      </c>
      <c r="Q575" t="str">
        <f>IFERROR(VLOOKUP(D575,'Team Data'!C:AB,15,FALSE),"")</f>
        <v/>
      </c>
      <c r="R575" t="str">
        <f>IFERROR(VLOOKUP('OB Format'!D575,'Team Data'!C:AB,24,FALSE),"")</f>
        <v/>
      </c>
      <c r="S575" t="str">
        <f>IFERROR(VLOOKUP('OB Format'!D575,'Team Data'!C:AC,25,FALSE),"")</f>
        <v/>
      </c>
    </row>
    <row r="576" spans="5:19" x14ac:dyDescent="0.25">
      <c r="E576" t="str">
        <f>IFERROR(VLOOKUP(D576,'Team Data'!C:AB,4,FALSE),"")</f>
        <v/>
      </c>
      <c r="F576" t="str">
        <f>IFERROR(VLOOKUP(D576,'Team Data'!C:AB,5,FALSE),"")</f>
        <v/>
      </c>
      <c r="G576" t="str">
        <f>IFERROR(VLOOKUP('OB Format'!D576,'Team Data'!C:AB,17,FALSE),"")</f>
        <v/>
      </c>
      <c r="H576" t="str">
        <f>IFERROR(VLOOKUP(D576,'Team Data'!C:AB,7,FALSE),"")</f>
        <v/>
      </c>
      <c r="I576" t="str">
        <f>IFERROR(VLOOKUP(D576,'Team Data'!C:AB,14,FALSE),"")</f>
        <v/>
      </c>
      <c r="J576" t="str">
        <f>IFERROR(VLOOKUP(D576,'Team Data'!C:AB,8,FALSE),"")</f>
        <v/>
      </c>
      <c r="K576" t="str">
        <f>IFERROR(VLOOKUP(D576,'Team Data'!C:AB,9,FALSE),"")</f>
        <v/>
      </c>
      <c r="L576" t="str">
        <f>IFERROR(VLOOKUP(D576,'Team Data'!C:AB,10,FALSE),"")</f>
        <v/>
      </c>
      <c r="M576" t="str">
        <f t="shared" si="18"/>
        <v/>
      </c>
      <c r="N576" t="str">
        <f>IFERROR(VLOOKUP(D576,'Team Data'!C:AB,23,FALSE),"")</f>
        <v/>
      </c>
      <c r="O576" t="str">
        <f>IFERROR(VLOOKUP(D576,'Team Data'!C:AB,22,FALSE),"")</f>
        <v/>
      </c>
      <c r="P576" t="str">
        <f t="shared" si="19"/>
        <v/>
      </c>
      <c r="Q576" t="str">
        <f>IFERROR(VLOOKUP(D576,'Team Data'!C:AB,15,FALSE),"")</f>
        <v/>
      </c>
      <c r="R576" t="str">
        <f>IFERROR(VLOOKUP('OB Format'!D576,'Team Data'!C:AB,24,FALSE),"")</f>
        <v/>
      </c>
      <c r="S576" t="str">
        <f>IFERROR(VLOOKUP('OB Format'!D576,'Team Data'!C:AC,25,FALSE),"")</f>
        <v/>
      </c>
    </row>
    <row r="577" spans="5:19" x14ac:dyDescent="0.25">
      <c r="E577" t="str">
        <f>IFERROR(VLOOKUP(D577,'Team Data'!C:AB,4,FALSE),"")</f>
        <v/>
      </c>
      <c r="F577" t="str">
        <f>IFERROR(VLOOKUP(D577,'Team Data'!C:AB,5,FALSE),"")</f>
        <v/>
      </c>
      <c r="G577" t="str">
        <f>IFERROR(VLOOKUP('OB Format'!D577,'Team Data'!C:AB,17,FALSE),"")</f>
        <v/>
      </c>
      <c r="H577" t="str">
        <f>IFERROR(VLOOKUP(D577,'Team Data'!C:AB,7,FALSE),"")</f>
        <v/>
      </c>
      <c r="I577" t="str">
        <f>IFERROR(VLOOKUP(D577,'Team Data'!C:AB,14,FALSE),"")</f>
        <v/>
      </c>
      <c r="J577" t="str">
        <f>IFERROR(VLOOKUP(D577,'Team Data'!C:AB,8,FALSE),"")</f>
        <v/>
      </c>
      <c r="K577" t="str">
        <f>IFERROR(VLOOKUP(D577,'Team Data'!C:AB,9,FALSE),"")</f>
        <v/>
      </c>
      <c r="L577" t="str">
        <f>IFERROR(VLOOKUP(D577,'Team Data'!C:AB,10,FALSE),"")</f>
        <v/>
      </c>
      <c r="M577" t="str">
        <f t="shared" si="18"/>
        <v/>
      </c>
      <c r="N577" t="str">
        <f>IFERROR(VLOOKUP(D577,'Team Data'!C:AB,23,FALSE),"")</f>
        <v/>
      </c>
      <c r="O577" t="str">
        <f>IFERROR(VLOOKUP(D577,'Team Data'!C:AB,22,FALSE),"")</f>
        <v/>
      </c>
      <c r="P577" t="str">
        <f t="shared" si="19"/>
        <v/>
      </c>
      <c r="Q577" t="str">
        <f>IFERROR(VLOOKUP(D577,'Team Data'!C:AB,15,FALSE),"")</f>
        <v/>
      </c>
      <c r="R577" t="str">
        <f>IFERROR(VLOOKUP('OB Format'!D577,'Team Data'!C:AB,24,FALSE),"")</f>
        <v/>
      </c>
      <c r="S577" t="str">
        <f>IFERROR(VLOOKUP('OB Format'!D577,'Team Data'!C:AC,25,FALSE),"")</f>
        <v/>
      </c>
    </row>
    <row r="578" spans="5:19" x14ac:dyDescent="0.25">
      <c r="E578" t="str">
        <f>IFERROR(VLOOKUP(D578,'Team Data'!C:AB,4,FALSE),"")</f>
        <v/>
      </c>
      <c r="F578" t="str">
        <f>IFERROR(VLOOKUP(D578,'Team Data'!C:AB,5,FALSE),"")</f>
        <v/>
      </c>
      <c r="G578" t="str">
        <f>IFERROR(VLOOKUP('OB Format'!D578,'Team Data'!C:AB,17,FALSE),"")</f>
        <v/>
      </c>
      <c r="H578" t="str">
        <f>IFERROR(VLOOKUP(D578,'Team Data'!C:AB,7,FALSE),"")</f>
        <v/>
      </c>
      <c r="I578" t="str">
        <f>IFERROR(VLOOKUP(D578,'Team Data'!C:AB,14,FALSE),"")</f>
        <v/>
      </c>
      <c r="J578" t="str">
        <f>IFERROR(VLOOKUP(D578,'Team Data'!C:AB,8,FALSE),"")</f>
        <v/>
      </c>
      <c r="K578" t="str">
        <f>IFERROR(VLOOKUP(D578,'Team Data'!C:AB,9,FALSE),"")</f>
        <v/>
      </c>
      <c r="L578" t="str">
        <f>IFERROR(VLOOKUP(D578,'Team Data'!C:AB,10,FALSE),"")</f>
        <v/>
      </c>
      <c r="M578" t="str">
        <f t="shared" si="18"/>
        <v/>
      </c>
      <c r="N578" t="str">
        <f>IFERROR(VLOOKUP(D578,'Team Data'!C:AB,23,FALSE),"")</f>
        <v/>
      </c>
      <c r="O578" t="str">
        <f>IFERROR(VLOOKUP(D578,'Team Data'!C:AB,22,FALSE),"")</f>
        <v/>
      </c>
      <c r="P578" t="str">
        <f t="shared" si="19"/>
        <v/>
      </c>
      <c r="Q578" t="str">
        <f>IFERROR(VLOOKUP(D578,'Team Data'!C:AB,15,FALSE),"")</f>
        <v/>
      </c>
      <c r="R578" t="str">
        <f>IFERROR(VLOOKUP('OB Format'!D578,'Team Data'!C:AB,24,FALSE),"")</f>
        <v/>
      </c>
      <c r="S578" t="str">
        <f>IFERROR(VLOOKUP('OB Format'!D578,'Team Data'!C:AC,25,FALSE),"")</f>
        <v/>
      </c>
    </row>
    <row r="579" spans="5:19" x14ac:dyDescent="0.25">
      <c r="E579" t="str">
        <f>IFERROR(VLOOKUP(D579,'Team Data'!C:AB,4,FALSE),"")</f>
        <v/>
      </c>
      <c r="F579" t="str">
        <f>IFERROR(VLOOKUP(D579,'Team Data'!C:AB,5,FALSE),"")</f>
        <v/>
      </c>
      <c r="G579" t="str">
        <f>IFERROR(VLOOKUP('OB Format'!D579,'Team Data'!C:AB,17,FALSE),"")</f>
        <v/>
      </c>
      <c r="H579" t="str">
        <f>IFERROR(VLOOKUP(D579,'Team Data'!C:AB,7,FALSE),"")</f>
        <v/>
      </c>
      <c r="I579" t="str">
        <f>IFERROR(VLOOKUP(D579,'Team Data'!C:AB,14,FALSE),"")</f>
        <v/>
      </c>
      <c r="J579" t="str">
        <f>IFERROR(VLOOKUP(D579,'Team Data'!C:AB,8,FALSE),"")</f>
        <v/>
      </c>
      <c r="K579" t="str">
        <f>IFERROR(VLOOKUP(D579,'Team Data'!C:AB,9,FALSE),"")</f>
        <v/>
      </c>
      <c r="L579" t="str">
        <f>IFERROR(VLOOKUP(D579,'Team Data'!C:AB,10,FALSE),"")</f>
        <v/>
      </c>
      <c r="M579" t="str">
        <f t="shared" si="18"/>
        <v/>
      </c>
      <c r="N579" t="str">
        <f>IFERROR(VLOOKUP(D579,'Team Data'!C:AB,23,FALSE),"")</f>
        <v/>
      </c>
      <c r="O579" t="str">
        <f>IFERROR(VLOOKUP(D579,'Team Data'!C:AB,22,FALSE),"")</f>
        <v/>
      </c>
      <c r="P579" t="str">
        <f t="shared" si="19"/>
        <v/>
      </c>
      <c r="Q579" t="str">
        <f>IFERROR(VLOOKUP(D579,'Team Data'!C:AB,15,FALSE),"")</f>
        <v/>
      </c>
      <c r="R579" t="str">
        <f>IFERROR(VLOOKUP('OB Format'!D579,'Team Data'!C:AB,24,FALSE),"")</f>
        <v/>
      </c>
      <c r="S579" t="str">
        <f>IFERROR(VLOOKUP('OB Format'!D579,'Team Data'!C:AC,25,FALSE),"")</f>
        <v/>
      </c>
    </row>
    <row r="580" spans="5:19" x14ac:dyDescent="0.25">
      <c r="E580" t="str">
        <f>IFERROR(VLOOKUP(D580,'Team Data'!C:AB,4,FALSE),"")</f>
        <v/>
      </c>
      <c r="F580" t="str">
        <f>IFERROR(VLOOKUP(D580,'Team Data'!C:AB,5,FALSE),"")</f>
        <v/>
      </c>
      <c r="G580" t="str">
        <f>IFERROR(VLOOKUP('OB Format'!D580,'Team Data'!C:AB,17,FALSE),"")</f>
        <v/>
      </c>
      <c r="H580" t="str">
        <f>IFERROR(VLOOKUP(D580,'Team Data'!C:AB,7,FALSE),"")</f>
        <v/>
      </c>
      <c r="I580" t="str">
        <f>IFERROR(VLOOKUP(D580,'Team Data'!C:AB,14,FALSE),"")</f>
        <v/>
      </c>
      <c r="J580" t="str">
        <f>IFERROR(VLOOKUP(D580,'Team Data'!C:AB,8,FALSE),"")</f>
        <v/>
      </c>
      <c r="K580" t="str">
        <f>IFERROR(VLOOKUP(D580,'Team Data'!C:AB,9,FALSE),"")</f>
        <v/>
      </c>
      <c r="L580" t="str">
        <f>IFERROR(VLOOKUP(D580,'Team Data'!C:AB,10,FALSE),"")</f>
        <v/>
      </c>
      <c r="M580" t="str">
        <f t="shared" si="18"/>
        <v/>
      </c>
      <c r="N580" t="str">
        <f>IFERROR(VLOOKUP(D580,'Team Data'!C:AB,23,FALSE),"")</f>
        <v/>
      </c>
      <c r="O580" t="str">
        <f>IFERROR(VLOOKUP(D580,'Team Data'!C:AB,22,FALSE),"")</f>
        <v/>
      </c>
      <c r="P580" t="str">
        <f t="shared" si="19"/>
        <v/>
      </c>
      <c r="Q580" t="str">
        <f>IFERROR(VLOOKUP(D580,'Team Data'!C:AB,15,FALSE),"")</f>
        <v/>
      </c>
      <c r="R580" t="str">
        <f>IFERROR(VLOOKUP('OB Format'!D580,'Team Data'!C:AB,24,FALSE),"")</f>
        <v/>
      </c>
      <c r="S580" t="str">
        <f>IFERROR(VLOOKUP('OB Format'!D580,'Team Data'!C:AC,25,FALSE),"")</f>
        <v/>
      </c>
    </row>
    <row r="581" spans="5:19" x14ac:dyDescent="0.25">
      <c r="E581" t="str">
        <f>IFERROR(VLOOKUP(D581,'Team Data'!C:AB,4,FALSE),"")</f>
        <v/>
      </c>
      <c r="F581" t="str">
        <f>IFERROR(VLOOKUP(D581,'Team Data'!C:AB,5,FALSE),"")</f>
        <v/>
      </c>
      <c r="G581" t="str">
        <f>IFERROR(VLOOKUP('OB Format'!D581,'Team Data'!C:AB,17,FALSE),"")</f>
        <v/>
      </c>
      <c r="H581" t="str">
        <f>IFERROR(VLOOKUP(D581,'Team Data'!C:AB,7,FALSE),"")</f>
        <v/>
      </c>
      <c r="I581" t="str">
        <f>IFERROR(VLOOKUP(D581,'Team Data'!C:AB,14,FALSE),"")</f>
        <v/>
      </c>
      <c r="J581" t="str">
        <f>IFERROR(VLOOKUP(D581,'Team Data'!C:AB,8,FALSE),"")</f>
        <v/>
      </c>
      <c r="K581" t="str">
        <f>IFERROR(VLOOKUP(D581,'Team Data'!C:AB,9,FALSE),"")</f>
        <v/>
      </c>
      <c r="L581" t="str">
        <f>IFERROR(VLOOKUP(D581,'Team Data'!C:AB,10,FALSE),"")</f>
        <v/>
      </c>
      <c r="M581" t="str">
        <f t="shared" si="18"/>
        <v/>
      </c>
      <c r="N581" t="str">
        <f>IFERROR(VLOOKUP(D581,'Team Data'!C:AB,23,FALSE),"")</f>
        <v/>
      </c>
      <c r="O581" t="str">
        <f>IFERROR(VLOOKUP(D581,'Team Data'!C:AB,22,FALSE),"")</f>
        <v/>
      </c>
      <c r="P581" t="str">
        <f t="shared" si="19"/>
        <v/>
      </c>
      <c r="Q581" t="str">
        <f>IFERROR(VLOOKUP(D581,'Team Data'!C:AB,15,FALSE),"")</f>
        <v/>
      </c>
      <c r="R581" t="str">
        <f>IFERROR(VLOOKUP('OB Format'!D581,'Team Data'!C:AB,24,FALSE),"")</f>
        <v/>
      </c>
      <c r="S581" t="str">
        <f>IFERROR(VLOOKUP('OB Format'!D581,'Team Data'!C:AC,25,FALSE),"")</f>
        <v/>
      </c>
    </row>
    <row r="582" spans="5:19" x14ac:dyDescent="0.25">
      <c r="E582" t="str">
        <f>IFERROR(VLOOKUP(D582,'Team Data'!C:AB,4,FALSE),"")</f>
        <v/>
      </c>
      <c r="F582" t="str">
        <f>IFERROR(VLOOKUP(D582,'Team Data'!C:AB,5,FALSE),"")</f>
        <v/>
      </c>
      <c r="G582" t="str">
        <f>IFERROR(VLOOKUP('OB Format'!D582,'Team Data'!C:AB,17,FALSE),"")</f>
        <v/>
      </c>
      <c r="H582" t="str">
        <f>IFERROR(VLOOKUP(D582,'Team Data'!C:AB,7,FALSE),"")</f>
        <v/>
      </c>
      <c r="I582" t="str">
        <f>IFERROR(VLOOKUP(D582,'Team Data'!C:AB,14,FALSE),"")</f>
        <v/>
      </c>
      <c r="J582" t="str">
        <f>IFERROR(VLOOKUP(D582,'Team Data'!C:AB,8,FALSE),"")</f>
        <v/>
      </c>
      <c r="K582" t="str">
        <f>IFERROR(VLOOKUP(D582,'Team Data'!C:AB,9,FALSE),"")</f>
        <v/>
      </c>
      <c r="L582" t="str">
        <f>IFERROR(VLOOKUP(D582,'Team Data'!C:AB,10,FALSE),"")</f>
        <v/>
      </c>
      <c r="M582" t="str">
        <f t="shared" si="18"/>
        <v/>
      </c>
      <c r="N582" t="str">
        <f>IFERROR(VLOOKUP(D582,'Team Data'!C:AB,23,FALSE),"")</f>
        <v/>
      </c>
      <c r="O582" t="str">
        <f>IFERROR(VLOOKUP(D582,'Team Data'!C:AB,22,FALSE),"")</f>
        <v/>
      </c>
      <c r="P582" t="str">
        <f t="shared" si="19"/>
        <v/>
      </c>
      <c r="Q582" t="str">
        <f>IFERROR(VLOOKUP(D582,'Team Data'!C:AB,15,FALSE),"")</f>
        <v/>
      </c>
      <c r="R582" t="str">
        <f>IFERROR(VLOOKUP('OB Format'!D582,'Team Data'!C:AB,24,FALSE),"")</f>
        <v/>
      </c>
      <c r="S582" t="str">
        <f>IFERROR(VLOOKUP('OB Format'!D582,'Team Data'!C:AC,25,FALSE),"")</f>
        <v/>
      </c>
    </row>
    <row r="583" spans="5:19" x14ac:dyDescent="0.25">
      <c r="E583" t="str">
        <f>IFERROR(VLOOKUP(D583,'Team Data'!C:AB,4,FALSE),"")</f>
        <v/>
      </c>
      <c r="F583" t="str">
        <f>IFERROR(VLOOKUP(D583,'Team Data'!C:AB,5,FALSE),"")</f>
        <v/>
      </c>
      <c r="G583" t="str">
        <f>IFERROR(VLOOKUP('OB Format'!D583,'Team Data'!C:AB,17,FALSE),"")</f>
        <v/>
      </c>
      <c r="H583" t="str">
        <f>IFERROR(VLOOKUP(D583,'Team Data'!C:AB,7,FALSE),"")</f>
        <v/>
      </c>
      <c r="I583" t="str">
        <f>IFERROR(VLOOKUP(D583,'Team Data'!C:AB,14,FALSE),"")</f>
        <v/>
      </c>
      <c r="J583" t="str">
        <f>IFERROR(VLOOKUP(D583,'Team Data'!C:AB,8,FALSE),"")</f>
        <v/>
      </c>
      <c r="K583" t="str">
        <f>IFERROR(VLOOKUP(D583,'Team Data'!C:AB,9,FALSE),"")</f>
        <v/>
      </c>
      <c r="L583" t="str">
        <f>IFERROR(VLOOKUP(D583,'Team Data'!C:AB,10,FALSE),"")</f>
        <v/>
      </c>
      <c r="M583" t="str">
        <f t="shared" si="18"/>
        <v/>
      </c>
      <c r="N583" t="str">
        <f>IFERROR(VLOOKUP(D583,'Team Data'!C:AB,23,FALSE),"")</f>
        <v/>
      </c>
      <c r="O583" t="str">
        <f>IFERROR(VLOOKUP(D583,'Team Data'!C:AB,22,FALSE),"")</f>
        <v/>
      </c>
      <c r="P583" t="str">
        <f t="shared" si="19"/>
        <v/>
      </c>
      <c r="Q583" t="str">
        <f>IFERROR(VLOOKUP(D583,'Team Data'!C:AB,15,FALSE),"")</f>
        <v/>
      </c>
      <c r="R583" t="str">
        <f>IFERROR(VLOOKUP('OB Format'!D583,'Team Data'!C:AB,24,FALSE),"")</f>
        <v/>
      </c>
      <c r="S583" t="str">
        <f>IFERROR(VLOOKUP('OB Format'!D583,'Team Data'!C:AC,25,FALSE),"")</f>
        <v/>
      </c>
    </row>
    <row r="584" spans="5:19" x14ac:dyDescent="0.25">
      <c r="E584" t="str">
        <f>IFERROR(VLOOKUP(D584,'Team Data'!C:AB,4,FALSE),"")</f>
        <v/>
      </c>
      <c r="F584" t="str">
        <f>IFERROR(VLOOKUP(D584,'Team Data'!C:AB,5,FALSE),"")</f>
        <v/>
      </c>
      <c r="G584" t="str">
        <f>IFERROR(VLOOKUP('OB Format'!D584,'Team Data'!C:AB,17,FALSE),"")</f>
        <v/>
      </c>
      <c r="H584" t="str">
        <f>IFERROR(VLOOKUP(D584,'Team Data'!C:AB,7,FALSE),"")</f>
        <v/>
      </c>
      <c r="I584" t="str">
        <f>IFERROR(VLOOKUP(D584,'Team Data'!C:AB,14,FALSE),"")</f>
        <v/>
      </c>
      <c r="J584" t="str">
        <f>IFERROR(VLOOKUP(D584,'Team Data'!C:AB,8,FALSE),"")</f>
        <v/>
      </c>
      <c r="K584" t="str">
        <f>IFERROR(VLOOKUP(D584,'Team Data'!C:AB,9,FALSE),"")</f>
        <v/>
      </c>
      <c r="L584" t="str">
        <f>IFERROR(VLOOKUP(D584,'Team Data'!C:AB,10,FALSE),"")</f>
        <v/>
      </c>
      <c r="M584" t="str">
        <f t="shared" si="18"/>
        <v/>
      </c>
      <c r="N584" t="str">
        <f>IFERROR(VLOOKUP(D584,'Team Data'!C:AB,23,FALSE),"")</f>
        <v/>
      </c>
      <c r="O584" t="str">
        <f>IFERROR(VLOOKUP(D584,'Team Data'!C:AB,22,FALSE),"")</f>
        <v/>
      </c>
      <c r="P584" t="str">
        <f t="shared" si="19"/>
        <v/>
      </c>
      <c r="Q584" t="str">
        <f>IFERROR(VLOOKUP(D584,'Team Data'!C:AB,15,FALSE),"")</f>
        <v/>
      </c>
      <c r="R584" t="str">
        <f>IFERROR(VLOOKUP('OB Format'!D584,'Team Data'!C:AB,24,FALSE),"")</f>
        <v/>
      </c>
      <c r="S584" t="str">
        <f>IFERROR(VLOOKUP('OB Format'!D584,'Team Data'!C:AC,25,FALSE),"")</f>
        <v/>
      </c>
    </row>
    <row r="585" spans="5:19" x14ac:dyDescent="0.25">
      <c r="E585" t="str">
        <f>IFERROR(VLOOKUP(D585,'Team Data'!C:AB,4,FALSE),"")</f>
        <v/>
      </c>
      <c r="F585" t="str">
        <f>IFERROR(VLOOKUP(D585,'Team Data'!C:AB,5,FALSE),"")</f>
        <v/>
      </c>
      <c r="G585" t="str">
        <f>IFERROR(VLOOKUP('OB Format'!D585,'Team Data'!C:AB,17,FALSE),"")</f>
        <v/>
      </c>
      <c r="H585" t="str">
        <f>IFERROR(VLOOKUP(D585,'Team Data'!C:AB,7,FALSE),"")</f>
        <v/>
      </c>
      <c r="I585" t="str">
        <f>IFERROR(VLOOKUP(D585,'Team Data'!C:AB,14,FALSE),"")</f>
        <v/>
      </c>
      <c r="J585" t="str">
        <f>IFERROR(VLOOKUP(D585,'Team Data'!C:AB,8,FALSE),"")</f>
        <v/>
      </c>
      <c r="K585" t="str">
        <f>IFERROR(VLOOKUP(D585,'Team Data'!C:AB,9,FALSE),"")</f>
        <v/>
      </c>
      <c r="L585" t="str">
        <f>IFERROR(VLOOKUP(D585,'Team Data'!C:AB,10,FALSE),"")</f>
        <v/>
      </c>
      <c r="M585" t="str">
        <f t="shared" si="18"/>
        <v/>
      </c>
      <c r="N585" t="str">
        <f>IFERROR(VLOOKUP(D585,'Team Data'!C:AB,23,FALSE),"")</f>
        <v/>
      </c>
      <c r="O585" t="str">
        <f>IFERROR(VLOOKUP(D585,'Team Data'!C:AB,22,FALSE),"")</f>
        <v/>
      </c>
      <c r="P585" t="str">
        <f t="shared" si="19"/>
        <v/>
      </c>
      <c r="Q585" t="str">
        <f>IFERROR(VLOOKUP(D585,'Team Data'!C:AB,15,FALSE),"")</f>
        <v/>
      </c>
      <c r="R585" t="str">
        <f>IFERROR(VLOOKUP('OB Format'!D585,'Team Data'!C:AB,24,FALSE),"")</f>
        <v/>
      </c>
      <c r="S585" t="str">
        <f>IFERROR(VLOOKUP('OB Format'!D585,'Team Data'!C:AC,25,FALSE),"")</f>
        <v/>
      </c>
    </row>
    <row r="586" spans="5:19" x14ac:dyDescent="0.25">
      <c r="E586" t="str">
        <f>IFERROR(VLOOKUP(D586,'Team Data'!C:AB,4,FALSE),"")</f>
        <v/>
      </c>
      <c r="F586" t="str">
        <f>IFERROR(VLOOKUP(D586,'Team Data'!C:AB,5,FALSE),"")</f>
        <v/>
      </c>
      <c r="G586" t="str">
        <f>IFERROR(VLOOKUP('OB Format'!D586,'Team Data'!C:AB,17,FALSE),"")</f>
        <v/>
      </c>
      <c r="H586" t="str">
        <f>IFERROR(VLOOKUP(D586,'Team Data'!C:AB,7,FALSE),"")</f>
        <v/>
      </c>
      <c r="I586" t="str">
        <f>IFERROR(VLOOKUP(D586,'Team Data'!C:AB,14,FALSE),"")</f>
        <v/>
      </c>
      <c r="J586" t="str">
        <f>IFERROR(VLOOKUP(D586,'Team Data'!C:AB,8,FALSE),"")</f>
        <v/>
      </c>
      <c r="K586" t="str">
        <f>IFERROR(VLOOKUP(D586,'Team Data'!C:AB,9,FALSE),"")</f>
        <v/>
      </c>
      <c r="L586" t="str">
        <f>IFERROR(VLOOKUP(D586,'Team Data'!C:AB,10,FALSE),"")</f>
        <v/>
      </c>
      <c r="M586" t="str">
        <f t="shared" si="18"/>
        <v/>
      </c>
      <c r="N586" t="str">
        <f>IFERROR(VLOOKUP(D586,'Team Data'!C:AB,23,FALSE),"")</f>
        <v/>
      </c>
      <c r="O586" t="str">
        <f>IFERROR(VLOOKUP(D586,'Team Data'!C:AB,22,FALSE),"")</f>
        <v/>
      </c>
      <c r="P586" t="str">
        <f t="shared" si="19"/>
        <v/>
      </c>
      <c r="Q586" t="str">
        <f>IFERROR(VLOOKUP(D586,'Team Data'!C:AB,15,FALSE),"")</f>
        <v/>
      </c>
      <c r="R586" t="str">
        <f>IFERROR(VLOOKUP('OB Format'!D586,'Team Data'!C:AB,24,FALSE),"")</f>
        <v/>
      </c>
      <c r="S586" t="str">
        <f>IFERROR(VLOOKUP('OB Format'!D586,'Team Data'!C:AC,25,FALSE),"")</f>
        <v/>
      </c>
    </row>
    <row r="587" spans="5:19" x14ac:dyDescent="0.25">
      <c r="E587" t="str">
        <f>IFERROR(VLOOKUP(D587,'Team Data'!C:AB,4,FALSE),"")</f>
        <v/>
      </c>
      <c r="F587" t="str">
        <f>IFERROR(VLOOKUP(D587,'Team Data'!C:AB,5,FALSE),"")</f>
        <v/>
      </c>
      <c r="G587" t="str">
        <f>IFERROR(VLOOKUP('OB Format'!D587,'Team Data'!C:AB,17,FALSE),"")</f>
        <v/>
      </c>
      <c r="H587" t="str">
        <f>IFERROR(VLOOKUP(D587,'Team Data'!C:AB,7,FALSE),"")</f>
        <v/>
      </c>
      <c r="I587" t="str">
        <f>IFERROR(VLOOKUP(D587,'Team Data'!C:AB,14,FALSE),"")</f>
        <v/>
      </c>
      <c r="J587" t="str">
        <f>IFERROR(VLOOKUP(D587,'Team Data'!C:AB,8,FALSE),"")</f>
        <v/>
      </c>
      <c r="K587" t="str">
        <f>IFERROR(VLOOKUP(D587,'Team Data'!C:AB,9,FALSE),"")</f>
        <v/>
      </c>
      <c r="L587" t="str">
        <f>IFERROR(VLOOKUP(D587,'Team Data'!C:AB,10,FALSE),"")</f>
        <v/>
      </c>
      <c r="M587" t="str">
        <f t="shared" si="18"/>
        <v/>
      </c>
      <c r="N587" t="str">
        <f>IFERROR(VLOOKUP(D587,'Team Data'!C:AB,23,FALSE),"")</f>
        <v/>
      </c>
      <c r="O587" t="str">
        <f>IFERROR(VLOOKUP(D587,'Team Data'!C:AB,22,FALSE),"")</f>
        <v/>
      </c>
      <c r="P587" t="str">
        <f t="shared" si="19"/>
        <v/>
      </c>
      <c r="Q587" t="str">
        <f>IFERROR(VLOOKUP(D587,'Team Data'!C:AB,15,FALSE),"")</f>
        <v/>
      </c>
      <c r="R587" t="str">
        <f>IFERROR(VLOOKUP('OB Format'!D587,'Team Data'!C:AB,24,FALSE),"")</f>
        <v/>
      </c>
      <c r="S587" t="str">
        <f>IFERROR(VLOOKUP('OB Format'!D587,'Team Data'!C:AC,25,FALSE),"")</f>
        <v/>
      </c>
    </row>
    <row r="588" spans="5:19" x14ac:dyDescent="0.25">
      <c r="E588" t="str">
        <f>IFERROR(VLOOKUP(D588,'Team Data'!C:AB,4,FALSE),"")</f>
        <v/>
      </c>
      <c r="F588" t="str">
        <f>IFERROR(VLOOKUP(D588,'Team Data'!C:AB,5,FALSE),"")</f>
        <v/>
      </c>
      <c r="G588" t="str">
        <f>IFERROR(VLOOKUP('OB Format'!D588,'Team Data'!C:AB,17,FALSE),"")</f>
        <v/>
      </c>
      <c r="H588" t="str">
        <f>IFERROR(VLOOKUP(D588,'Team Data'!C:AB,7,FALSE),"")</f>
        <v/>
      </c>
      <c r="I588" t="str">
        <f>IFERROR(VLOOKUP(D588,'Team Data'!C:AB,14,FALSE),"")</f>
        <v/>
      </c>
      <c r="J588" t="str">
        <f>IFERROR(VLOOKUP(D588,'Team Data'!C:AB,8,FALSE),"")</f>
        <v/>
      </c>
      <c r="K588" t="str">
        <f>IFERROR(VLOOKUP(D588,'Team Data'!C:AB,9,FALSE),"")</f>
        <v/>
      </c>
      <c r="L588" t="str">
        <f>IFERROR(VLOOKUP(D588,'Team Data'!C:AB,10,FALSE),"")</f>
        <v/>
      </c>
      <c r="M588" t="str">
        <f t="shared" si="18"/>
        <v/>
      </c>
      <c r="N588" t="str">
        <f>IFERROR(VLOOKUP(D588,'Team Data'!C:AB,23,FALSE),"")</f>
        <v/>
      </c>
      <c r="O588" t="str">
        <f>IFERROR(VLOOKUP(D588,'Team Data'!C:AB,22,FALSE),"")</f>
        <v/>
      </c>
      <c r="P588" t="str">
        <f t="shared" si="19"/>
        <v/>
      </c>
      <c r="Q588" t="str">
        <f>IFERROR(VLOOKUP(D588,'Team Data'!C:AB,15,FALSE),"")</f>
        <v/>
      </c>
      <c r="R588" t="str">
        <f>IFERROR(VLOOKUP('OB Format'!D588,'Team Data'!C:AB,24,FALSE),"")</f>
        <v/>
      </c>
      <c r="S588" t="str">
        <f>IFERROR(VLOOKUP('OB Format'!D588,'Team Data'!C:AC,25,FALSE),"")</f>
        <v/>
      </c>
    </row>
    <row r="589" spans="5:19" x14ac:dyDescent="0.25">
      <c r="E589" t="str">
        <f>IFERROR(VLOOKUP(D589,'Team Data'!C:AB,4,FALSE),"")</f>
        <v/>
      </c>
      <c r="F589" t="str">
        <f>IFERROR(VLOOKUP(D589,'Team Data'!C:AB,5,FALSE),"")</f>
        <v/>
      </c>
      <c r="G589" t="str">
        <f>IFERROR(VLOOKUP('OB Format'!D589,'Team Data'!C:AB,17,FALSE),"")</f>
        <v/>
      </c>
      <c r="H589" t="str">
        <f>IFERROR(VLOOKUP(D589,'Team Data'!C:AB,7,FALSE),"")</f>
        <v/>
      </c>
      <c r="I589" t="str">
        <f>IFERROR(VLOOKUP(D589,'Team Data'!C:AB,14,FALSE),"")</f>
        <v/>
      </c>
      <c r="J589" t="str">
        <f>IFERROR(VLOOKUP(D589,'Team Data'!C:AB,8,FALSE),"")</f>
        <v/>
      </c>
      <c r="K589" t="str">
        <f>IFERROR(VLOOKUP(D589,'Team Data'!C:AB,9,FALSE),"")</f>
        <v/>
      </c>
      <c r="L589" t="str">
        <f>IFERROR(VLOOKUP(D589,'Team Data'!C:AB,10,FALSE),"")</f>
        <v/>
      </c>
      <c r="M589" t="str">
        <f t="shared" ref="M589:M652" si="20">IFERROR(H589-(J589+L589+K589),"")</f>
        <v/>
      </c>
      <c r="N589" t="str">
        <f>IFERROR(VLOOKUP(D589,'Team Data'!C:AB,23,FALSE),"")</f>
        <v/>
      </c>
      <c r="O589" t="str">
        <f>IFERROR(VLOOKUP(D589,'Team Data'!C:AB,22,FALSE),"")</f>
        <v/>
      </c>
      <c r="P589" t="str">
        <f t="shared" ref="P589:P652" si="21">IFERROR(E589-(H589+N589+Q589+I589+O589),"")</f>
        <v/>
      </c>
      <c r="Q589" t="str">
        <f>IFERROR(VLOOKUP(D589,'Team Data'!C:AB,15,FALSE),"")</f>
        <v/>
      </c>
      <c r="R589" t="str">
        <f>IFERROR(VLOOKUP('OB Format'!D589,'Team Data'!C:AB,24,FALSE),"")</f>
        <v/>
      </c>
      <c r="S589" t="str">
        <f>IFERROR(VLOOKUP('OB Format'!D589,'Team Data'!C:AC,25,FALSE),"")</f>
        <v/>
      </c>
    </row>
    <row r="590" spans="5:19" x14ac:dyDescent="0.25">
      <c r="E590" t="str">
        <f>IFERROR(VLOOKUP(D590,'Team Data'!C:AB,4,FALSE),"")</f>
        <v/>
      </c>
      <c r="F590" t="str">
        <f>IFERROR(VLOOKUP(D590,'Team Data'!C:AB,5,FALSE),"")</f>
        <v/>
      </c>
      <c r="G590" t="str">
        <f>IFERROR(VLOOKUP('OB Format'!D590,'Team Data'!C:AB,17,FALSE),"")</f>
        <v/>
      </c>
      <c r="H590" t="str">
        <f>IFERROR(VLOOKUP(D590,'Team Data'!C:AB,7,FALSE),"")</f>
        <v/>
      </c>
      <c r="I590" t="str">
        <f>IFERROR(VLOOKUP(D590,'Team Data'!C:AB,14,FALSE),"")</f>
        <v/>
      </c>
      <c r="J590" t="str">
        <f>IFERROR(VLOOKUP(D590,'Team Data'!C:AB,8,FALSE),"")</f>
        <v/>
      </c>
      <c r="K590" t="str">
        <f>IFERROR(VLOOKUP(D590,'Team Data'!C:AB,9,FALSE),"")</f>
        <v/>
      </c>
      <c r="L590" t="str">
        <f>IFERROR(VLOOKUP(D590,'Team Data'!C:AB,10,FALSE),"")</f>
        <v/>
      </c>
      <c r="M590" t="str">
        <f t="shared" si="20"/>
        <v/>
      </c>
      <c r="N590" t="str">
        <f>IFERROR(VLOOKUP(D590,'Team Data'!C:AB,23,FALSE),"")</f>
        <v/>
      </c>
      <c r="O590" t="str">
        <f>IFERROR(VLOOKUP(D590,'Team Data'!C:AB,22,FALSE),"")</f>
        <v/>
      </c>
      <c r="P590" t="str">
        <f t="shared" si="21"/>
        <v/>
      </c>
      <c r="Q590" t="str">
        <f>IFERROR(VLOOKUP(D590,'Team Data'!C:AB,15,FALSE),"")</f>
        <v/>
      </c>
      <c r="R590" t="str">
        <f>IFERROR(VLOOKUP('OB Format'!D590,'Team Data'!C:AB,24,FALSE),"")</f>
        <v/>
      </c>
      <c r="S590" t="str">
        <f>IFERROR(VLOOKUP('OB Format'!D590,'Team Data'!C:AC,25,FALSE),"")</f>
        <v/>
      </c>
    </row>
    <row r="591" spans="5:19" x14ac:dyDescent="0.25">
      <c r="E591" t="str">
        <f>IFERROR(VLOOKUP(D591,'Team Data'!C:AB,4,FALSE),"")</f>
        <v/>
      </c>
      <c r="F591" t="str">
        <f>IFERROR(VLOOKUP(D591,'Team Data'!C:AB,5,FALSE),"")</f>
        <v/>
      </c>
      <c r="G591" t="str">
        <f>IFERROR(VLOOKUP('OB Format'!D591,'Team Data'!C:AB,17,FALSE),"")</f>
        <v/>
      </c>
      <c r="H591" t="str">
        <f>IFERROR(VLOOKUP(D591,'Team Data'!C:AB,7,FALSE),"")</f>
        <v/>
      </c>
      <c r="I591" t="str">
        <f>IFERROR(VLOOKUP(D591,'Team Data'!C:AB,14,FALSE),"")</f>
        <v/>
      </c>
      <c r="J591" t="str">
        <f>IFERROR(VLOOKUP(D591,'Team Data'!C:AB,8,FALSE),"")</f>
        <v/>
      </c>
      <c r="K591" t="str">
        <f>IFERROR(VLOOKUP(D591,'Team Data'!C:AB,9,FALSE),"")</f>
        <v/>
      </c>
      <c r="L591" t="str">
        <f>IFERROR(VLOOKUP(D591,'Team Data'!C:AB,10,FALSE),"")</f>
        <v/>
      </c>
      <c r="M591" t="str">
        <f t="shared" si="20"/>
        <v/>
      </c>
      <c r="N591" t="str">
        <f>IFERROR(VLOOKUP(D591,'Team Data'!C:AB,23,FALSE),"")</f>
        <v/>
      </c>
      <c r="O591" t="str">
        <f>IFERROR(VLOOKUP(D591,'Team Data'!C:AB,22,FALSE),"")</f>
        <v/>
      </c>
      <c r="P591" t="str">
        <f t="shared" si="21"/>
        <v/>
      </c>
      <c r="Q591" t="str">
        <f>IFERROR(VLOOKUP(D591,'Team Data'!C:AB,15,FALSE),"")</f>
        <v/>
      </c>
      <c r="R591" t="str">
        <f>IFERROR(VLOOKUP('OB Format'!D591,'Team Data'!C:AB,24,FALSE),"")</f>
        <v/>
      </c>
      <c r="S591" t="str">
        <f>IFERROR(VLOOKUP('OB Format'!D591,'Team Data'!C:AC,25,FALSE),"")</f>
        <v/>
      </c>
    </row>
    <row r="592" spans="5:19" x14ac:dyDescent="0.25">
      <c r="E592" t="str">
        <f>IFERROR(VLOOKUP(D592,'Team Data'!C:AB,4,FALSE),"")</f>
        <v/>
      </c>
      <c r="F592" t="str">
        <f>IFERROR(VLOOKUP(D592,'Team Data'!C:AB,5,FALSE),"")</f>
        <v/>
      </c>
      <c r="G592" t="str">
        <f>IFERROR(VLOOKUP('OB Format'!D592,'Team Data'!C:AB,17,FALSE),"")</f>
        <v/>
      </c>
      <c r="H592" t="str">
        <f>IFERROR(VLOOKUP(D592,'Team Data'!C:AB,7,FALSE),"")</f>
        <v/>
      </c>
      <c r="I592" t="str">
        <f>IFERROR(VLOOKUP(D592,'Team Data'!C:AB,14,FALSE),"")</f>
        <v/>
      </c>
      <c r="J592" t="str">
        <f>IFERROR(VLOOKUP(D592,'Team Data'!C:AB,8,FALSE),"")</f>
        <v/>
      </c>
      <c r="K592" t="str">
        <f>IFERROR(VLOOKUP(D592,'Team Data'!C:AB,9,FALSE),"")</f>
        <v/>
      </c>
      <c r="L592" t="str">
        <f>IFERROR(VLOOKUP(D592,'Team Data'!C:AB,10,FALSE),"")</f>
        <v/>
      </c>
      <c r="M592" t="str">
        <f t="shared" si="20"/>
        <v/>
      </c>
      <c r="N592" t="str">
        <f>IFERROR(VLOOKUP(D592,'Team Data'!C:AB,23,FALSE),"")</f>
        <v/>
      </c>
      <c r="O592" t="str">
        <f>IFERROR(VLOOKUP(D592,'Team Data'!C:AB,22,FALSE),"")</f>
        <v/>
      </c>
      <c r="P592" t="str">
        <f t="shared" si="21"/>
        <v/>
      </c>
      <c r="Q592" t="str">
        <f>IFERROR(VLOOKUP(D592,'Team Data'!C:AB,15,FALSE),"")</f>
        <v/>
      </c>
      <c r="R592" t="str">
        <f>IFERROR(VLOOKUP('OB Format'!D592,'Team Data'!C:AB,24,FALSE),"")</f>
        <v/>
      </c>
      <c r="S592" t="str">
        <f>IFERROR(VLOOKUP('OB Format'!D592,'Team Data'!C:AC,25,FALSE),"")</f>
        <v/>
      </c>
    </row>
    <row r="593" spans="5:19" x14ac:dyDescent="0.25">
      <c r="E593" t="str">
        <f>IFERROR(VLOOKUP(D593,'Team Data'!C:AB,4,FALSE),"")</f>
        <v/>
      </c>
      <c r="F593" t="str">
        <f>IFERROR(VLOOKUP(D593,'Team Data'!C:AB,5,FALSE),"")</f>
        <v/>
      </c>
      <c r="G593" t="str">
        <f>IFERROR(VLOOKUP('OB Format'!D593,'Team Data'!C:AB,17,FALSE),"")</f>
        <v/>
      </c>
      <c r="H593" t="str">
        <f>IFERROR(VLOOKUP(D593,'Team Data'!C:AB,7,FALSE),"")</f>
        <v/>
      </c>
      <c r="I593" t="str">
        <f>IFERROR(VLOOKUP(D593,'Team Data'!C:AB,14,FALSE),"")</f>
        <v/>
      </c>
      <c r="J593" t="str">
        <f>IFERROR(VLOOKUP(D593,'Team Data'!C:AB,8,FALSE),"")</f>
        <v/>
      </c>
      <c r="K593" t="str">
        <f>IFERROR(VLOOKUP(D593,'Team Data'!C:AB,9,FALSE),"")</f>
        <v/>
      </c>
      <c r="L593" t="str">
        <f>IFERROR(VLOOKUP(D593,'Team Data'!C:AB,10,FALSE),"")</f>
        <v/>
      </c>
      <c r="M593" t="str">
        <f t="shared" si="20"/>
        <v/>
      </c>
      <c r="N593" t="str">
        <f>IFERROR(VLOOKUP(D593,'Team Data'!C:AB,23,FALSE),"")</f>
        <v/>
      </c>
      <c r="O593" t="str">
        <f>IFERROR(VLOOKUP(D593,'Team Data'!C:AB,22,FALSE),"")</f>
        <v/>
      </c>
      <c r="P593" t="str">
        <f t="shared" si="21"/>
        <v/>
      </c>
      <c r="Q593" t="str">
        <f>IFERROR(VLOOKUP(D593,'Team Data'!C:AB,15,FALSE),"")</f>
        <v/>
      </c>
      <c r="R593" t="str">
        <f>IFERROR(VLOOKUP('OB Format'!D593,'Team Data'!C:AB,24,FALSE),"")</f>
        <v/>
      </c>
      <c r="S593" t="str">
        <f>IFERROR(VLOOKUP('OB Format'!D593,'Team Data'!C:AC,25,FALSE),"")</f>
        <v/>
      </c>
    </row>
    <row r="594" spans="5:19" x14ac:dyDescent="0.25">
      <c r="E594" t="str">
        <f>IFERROR(VLOOKUP(D594,'Team Data'!C:AB,4,FALSE),"")</f>
        <v/>
      </c>
      <c r="F594" t="str">
        <f>IFERROR(VLOOKUP(D594,'Team Data'!C:AB,5,FALSE),"")</f>
        <v/>
      </c>
      <c r="G594" t="str">
        <f>IFERROR(VLOOKUP('OB Format'!D594,'Team Data'!C:AB,17,FALSE),"")</f>
        <v/>
      </c>
      <c r="H594" t="str">
        <f>IFERROR(VLOOKUP(D594,'Team Data'!C:AB,7,FALSE),"")</f>
        <v/>
      </c>
      <c r="I594" t="str">
        <f>IFERROR(VLOOKUP(D594,'Team Data'!C:AB,14,FALSE),"")</f>
        <v/>
      </c>
      <c r="J594" t="str">
        <f>IFERROR(VLOOKUP(D594,'Team Data'!C:AB,8,FALSE),"")</f>
        <v/>
      </c>
      <c r="K594" t="str">
        <f>IFERROR(VLOOKUP(D594,'Team Data'!C:AB,9,FALSE),"")</f>
        <v/>
      </c>
      <c r="L594" t="str">
        <f>IFERROR(VLOOKUP(D594,'Team Data'!C:AB,10,FALSE),"")</f>
        <v/>
      </c>
      <c r="M594" t="str">
        <f t="shared" si="20"/>
        <v/>
      </c>
      <c r="N594" t="str">
        <f>IFERROR(VLOOKUP(D594,'Team Data'!C:AB,23,FALSE),"")</f>
        <v/>
      </c>
      <c r="O594" t="str">
        <f>IFERROR(VLOOKUP(D594,'Team Data'!C:AB,22,FALSE),"")</f>
        <v/>
      </c>
      <c r="P594" t="str">
        <f t="shared" si="21"/>
        <v/>
      </c>
      <c r="Q594" t="str">
        <f>IFERROR(VLOOKUP(D594,'Team Data'!C:AB,15,FALSE),"")</f>
        <v/>
      </c>
      <c r="R594" t="str">
        <f>IFERROR(VLOOKUP('OB Format'!D594,'Team Data'!C:AB,24,FALSE),"")</f>
        <v/>
      </c>
      <c r="S594" t="str">
        <f>IFERROR(VLOOKUP('OB Format'!D594,'Team Data'!C:AC,25,FALSE),"")</f>
        <v/>
      </c>
    </row>
    <row r="595" spans="5:19" x14ac:dyDescent="0.25">
      <c r="E595" t="str">
        <f>IFERROR(VLOOKUP(D595,'Team Data'!C:AB,4,FALSE),"")</f>
        <v/>
      </c>
      <c r="F595" t="str">
        <f>IFERROR(VLOOKUP(D595,'Team Data'!C:AB,5,FALSE),"")</f>
        <v/>
      </c>
      <c r="G595" t="str">
        <f>IFERROR(VLOOKUP('OB Format'!D595,'Team Data'!C:AB,17,FALSE),"")</f>
        <v/>
      </c>
      <c r="H595" t="str">
        <f>IFERROR(VLOOKUP(D595,'Team Data'!C:AB,7,FALSE),"")</f>
        <v/>
      </c>
      <c r="I595" t="str">
        <f>IFERROR(VLOOKUP(D595,'Team Data'!C:AB,14,FALSE),"")</f>
        <v/>
      </c>
      <c r="J595" t="str">
        <f>IFERROR(VLOOKUP(D595,'Team Data'!C:AB,8,FALSE),"")</f>
        <v/>
      </c>
      <c r="K595" t="str">
        <f>IFERROR(VLOOKUP(D595,'Team Data'!C:AB,9,FALSE),"")</f>
        <v/>
      </c>
      <c r="L595" t="str">
        <f>IFERROR(VLOOKUP(D595,'Team Data'!C:AB,10,FALSE),"")</f>
        <v/>
      </c>
      <c r="M595" t="str">
        <f t="shared" si="20"/>
        <v/>
      </c>
      <c r="N595" t="str">
        <f>IFERROR(VLOOKUP(D595,'Team Data'!C:AB,23,FALSE),"")</f>
        <v/>
      </c>
      <c r="O595" t="str">
        <f>IFERROR(VLOOKUP(D595,'Team Data'!C:AB,22,FALSE),"")</f>
        <v/>
      </c>
      <c r="P595" t="str">
        <f t="shared" si="21"/>
        <v/>
      </c>
      <c r="Q595" t="str">
        <f>IFERROR(VLOOKUP(D595,'Team Data'!C:AB,15,FALSE),"")</f>
        <v/>
      </c>
      <c r="R595" t="str">
        <f>IFERROR(VLOOKUP('OB Format'!D595,'Team Data'!C:AB,24,FALSE),"")</f>
        <v/>
      </c>
      <c r="S595" t="str">
        <f>IFERROR(VLOOKUP('OB Format'!D595,'Team Data'!C:AC,25,FALSE),"")</f>
        <v/>
      </c>
    </row>
    <row r="596" spans="5:19" x14ac:dyDescent="0.25">
      <c r="E596" t="str">
        <f>IFERROR(VLOOKUP(D596,'Team Data'!C:AB,4,FALSE),"")</f>
        <v/>
      </c>
      <c r="F596" t="str">
        <f>IFERROR(VLOOKUP(D596,'Team Data'!C:AB,5,FALSE),"")</f>
        <v/>
      </c>
      <c r="G596" t="str">
        <f>IFERROR(VLOOKUP('OB Format'!D596,'Team Data'!C:AB,17,FALSE),"")</f>
        <v/>
      </c>
      <c r="H596" t="str">
        <f>IFERROR(VLOOKUP(D596,'Team Data'!C:AB,7,FALSE),"")</f>
        <v/>
      </c>
      <c r="I596" t="str">
        <f>IFERROR(VLOOKUP(D596,'Team Data'!C:AB,14,FALSE),"")</f>
        <v/>
      </c>
      <c r="J596" t="str">
        <f>IFERROR(VLOOKUP(D596,'Team Data'!C:AB,8,FALSE),"")</f>
        <v/>
      </c>
      <c r="K596" t="str">
        <f>IFERROR(VLOOKUP(D596,'Team Data'!C:AB,9,FALSE),"")</f>
        <v/>
      </c>
      <c r="L596" t="str">
        <f>IFERROR(VLOOKUP(D596,'Team Data'!C:AB,10,FALSE),"")</f>
        <v/>
      </c>
      <c r="M596" t="str">
        <f t="shared" si="20"/>
        <v/>
      </c>
      <c r="N596" t="str">
        <f>IFERROR(VLOOKUP(D596,'Team Data'!C:AB,23,FALSE),"")</f>
        <v/>
      </c>
      <c r="O596" t="str">
        <f>IFERROR(VLOOKUP(D596,'Team Data'!C:AB,22,FALSE),"")</f>
        <v/>
      </c>
      <c r="P596" t="str">
        <f t="shared" si="21"/>
        <v/>
      </c>
      <c r="Q596" t="str">
        <f>IFERROR(VLOOKUP(D596,'Team Data'!C:AB,15,FALSE),"")</f>
        <v/>
      </c>
      <c r="R596" t="str">
        <f>IFERROR(VLOOKUP('OB Format'!D596,'Team Data'!C:AB,24,FALSE),"")</f>
        <v/>
      </c>
      <c r="S596" t="str">
        <f>IFERROR(VLOOKUP('OB Format'!D596,'Team Data'!C:AC,25,FALSE),"")</f>
        <v/>
      </c>
    </row>
    <row r="597" spans="5:19" x14ac:dyDescent="0.25">
      <c r="E597" t="str">
        <f>IFERROR(VLOOKUP(D597,'Team Data'!C:AB,4,FALSE),"")</f>
        <v/>
      </c>
      <c r="F597" t="str">
        <f>IFERROR(VLOOKUP(D597,'Team Data'!C:AB,5,FALSE),"")</f>
        <v/>
      </c>
      <c r="G597" t="str">
        <f>IFERROR(VLOOKUP('OB Format'!D597,'Team Data'!C:AB,17,FALSE),"")</f>
        <v/>
      </c>
      <c r="H597" t="str">
        <f>IFERROR(VLOOKUP(D597,'Team Data'!C:AB,7,FALSE),"")</f>
        <v/>
      </c>
      <c r="I597" t="str">
        <f>IFERROR(VLOOKUP(D597,'Team Data'!C:AB,14,FALSE),"")</f>
        <v/>
      </c>
      <c r="J597" t="str">
        <f>IFERROR(VLOOKUP(D597,'Team Data'!C:AB,8,FALSE),"")</f>
        <v/>
      </c>
      <c r="K597" t="str">
        <f>IFERROR(VLOOKUP(D597,'Team Data'!C:AB,9,FALSE),"")</f>
        <v/>
      </c>
      <c r="L597" t="str">
        <f>IFERROR(VLOOKUP(D597,'Team Data'!C:AB,10,FALSE),"")</f>
        <v/>
      </c>
      <c r="M597" t="str">
        <f t="shared" si="20"/>
        <v/>
      </c>
      <c r="N597" t="str">
        <f>IFERROR(VLOOKUP(D597,'Team Data'!C:AB,23,FALSE),"")</f>
        <v/>
      </c>
      <c r="O597" t="str">
        <f>IFERROR(VLOOKUP(D597,'Team Data'!C:AB,22,FALSE),"")</f>
        <v/>
      </c>
      <c r="P597" t="str">
        <f t="shared" si="21"/>
        <v/>
      </c>
      <c r="Q597" t="str">
        <f>IFERROR(VLOOKUP(D597,'Team Data'!C:AB,15,FALSE),"")</f>
        <v/>
      </c>
      <c r="R597" t="str">
        <f>IFERROR(VLOOKUP('OB Format'!D597,'Team Data'!C:AB,24,FALSE),"")</f>
        <v/>
      </c>
      <c r="S597" t="str">
        <f>IFERROR(VLOOKUP('OB Format'!D597,'Team Data'!C:AC,25,FALSE),"")</f>
        <v/>
      </c>
    </row>
    <row r="598" spans="5:19" x14ac:dyDescent="0.25">
      <c r="E598" t="str">
        <f>IFERROR(VLOOKUP(D598,'Team Data'!C:AB,4,FALSE),"")</f>
        <v/>
      </c>
      <c r="F598" t="str">
        <f>IFERROR(VLOOKUP(D598,'Team Data'!C:AB,5,FALSE),"")</f>
        <v/>
      </c>
      <c r="G598" t="str">
        <f>IFERROR(VLOOKUP('OB Format'!D598,'Team Data'!C:AB,17,FALSE),"")</f>
        <v/>
      </c>
      <c r="H598" t="str">
        <f>IFERROR(VLOOKUP(D598,'Team Data'!C:AB,7,FALSE),"")</f>
        <v/>
      </c>
      <c r="I598" t="str">
        <f>IFERROR(VLOOKUP(D598,'Team Data'!C:AB,14,FALSE),"")</f>
        <v/>
      </c>
      <c r="J598" t="str">
        <f>IFERROR(VLOOKUP(D598,'Team Data'!C:AB,8,FALSE),"")</f>
        <v/>
      </c>
      <c r="K598" t="str">
        <f>IFERROR(VLOOKUP(D598,'Team Data'!C:AB,9,FALSE),"")</f>
        <v/>
      </c>
      <c r="L598" t="str">
        <f>IFERROR(VLOOKUP(D598,'Team Data'!C:AB,10,FALSE),"")</f>
        <v/>
      </c>
      <c r="M598" t="str">
        <f t="shared" si="20"/>
        <v/>
      </c>
      <c r="N598" t="str">
        <f>IFERROR(VLOOKUP(D598,'Team Data'!C:AB,23,FALSE),"")</f>
        <v/>
      </c>
      <c r="O598" t="str">
        <f>IFERROR(VLOOKUP(D598,'Team Data'!C:AB,22,FALSE),"")</f>
        <v/>
      </c>
      <c r="P598" t="str">
        <f t="shared" si="21"/>
        <v/>
      </c>
      <c r="Q598" t="str">
        <f>IFERROR(VLOOKUP(D598,'Team Data'!C:AB,15,FALSE),"")</f>
        <v/>
      </c>
      <c r="R598" t="str">
        <f>IFERROR(VLOOKUP('OB Format'!D598,'Team Data'!C:AB,24,FALSE),"")</f>
        <v/>
      </c>
      <c r="S598" t="str">
        <f>IFERROR(VLOOKUP('OB Format'!D598,'Team Data'!C:AC,25,FALSE),"")</f>
        <v/>
      </c>
    </row>
    <row r="599" spans="5:19" x14ac:dyDescent="0.25">
      <c r="E599" t="str">
        <f>IFERROR(VLOOKUP(D599,'Team Data'!C:AB,4,FALSE),"")</f>
        <v/>
      </c>
      <c r="F599" t="str">
        <f>IFERROR(VLOOKUP(D599,'Team Data'!C:AB,5,FALSE),"")</f>
        <v/>
      </c>
      <c r="G599" t="str">
        <f>IFERROR(VLOOKUP('OB Format'!D599,'Team Data'!C:AB,17,FALSE),"")</f>
        <v/>
      </c>
      <c r="H599" t="str">
        <f>IFERROR(VLOOKUP(D599,'Team Data'!C:AB,7,FALSE),"")</f>
        <v/>
      </c>
      <c r="I599" t="str">
        <f>IFERROR(VLOOKUP(D599,'Team Data'!C:AB,14,FALSE),"")</f>
        <v/>
      </c>
      <c r="J599" t="str">
        <f>IFERROR(VLOOKUP(D599,'Team Data'!C:AB,8,FALSE),"")</f>
        <v/>
      </c>
      <c r="K599" t="str">
        <f>IFERROR(VLOOKUP(D599,'Team Data'!C:AB,9,FALSE),"")</f>
        <v/>
      </c>
      <c r="L599" t="str">
        <f>IFERROR(VLOOKUP(D599,'Team Data'!C:AB,10,FALSE),"")</f>
        <v/>
      </c>
      <c r="M599" t="str">
        <f t="shared" si="20"/>
        <v/>
      </c>
      <c r="N599" t="str">
        <f>IFERROR(VLOOKUP(D599,'Team Data'!C:AB,23,FALSE),"")</f>
        <v/>
      </c>
      <c r="O599" t="str">
        <f>IFERROR(VLOOKUP(D599,'Team Data'!C:AB,22,FALSE),"")</f>
        <v/>
      </c>
      <c r="P599" t="str">
        <f t="shared" si="21"/>
        <v/>
      </c>
      <c r="Q599" t="str">
        <f>IFERROR(VLOOKUP(D599,'Team Data'!C:AB,15,FALSE),"")</f>
        <v/>
      </c>
      <c r="R599" t="str">
        <f>IFERROR(VLOOKUP('OB Format'!D599,'Team Data'!C:AB,24,FALSE),"")</f>
        <v/>
      </c>
      <c r="S599" t="str">
        <f>IFERROR(VLOOKUP('OB Format'!D599,'Team Data'!C:AC,25,FALSE),"")</f>
        <v/>
      </c>
    </row>
    <row r="600" spans="5:19" x14ac:dyDescent="0.25">
      <c r="E600" t="str">
        <f>IFERROR(VLOOKUP(D600,'Team Data'!C:AB,4,FALSE),"")</f>
        <v/>
      </c>
      <c r="F600" t="str">
        <f>IFERROR(VLOOKUP(D600,'Team Data'!C:AB,5,FALSE),"")</f>
        <v/>
      </c>
      <c r="G600" t="str">
        <f>IFERROR(VLOOKUP('OB Format'!D600,'Team Data'!C:AB,17,FALSE),"")</f>
        <v/>
      </c>
      <c r="H600" t="str">
        <f>IFERROR(VLOOKUP(D600,'Team Data'!C:AB,7,FALSE),"")</f>
        <v/>
      </c>
      <c r="I600" t="str">
        <f>IFERROR(VLOOKUP(D600,'Team Data'!C:AB,14,FALSE),"")</f>
        <v/>
      </c>
      <c r="J600" t="str">
        <f>IFERROR(VLOOKUP(D600,'Team Data'!C:AB,8,FALSE),"")</f>
        <v/>
      </c>
      <c r="K600" t="str">
        <f>IFERROR(VLOOKUP(D600,'Team Data'!C:AB,9,FALSE),"")</f>
        <v/>
      </c>
      <c r="L600" t="str">
        <f>IFERROR(VLOOKUP(D600,'Team Data'!C:AB,10,FALSE),"")</f>
        <v/>
      </c>
      <c r="M600" t="str">
        <f t="shared" si="20"/>
        <v/>
      </c>
      <c r="N600" t="str">
        <f>IFERROR(VLOOKUP(D600,'Team Data'!C:AB,23,FALSE),"")</f>
        <v/>
      </c>
      <c r="O600" t="str">
        <f>IFERROR(VLOOKUP(D600,'Team Data'!C:AB,22,FALSE),"")</f>
        <v/>
      </c>
      <c r="P600" t="str">
        <f t="shared" si="21"/>
        <v/>
      </c>
      <c r="Q600" t="str">
        <f>IFERROR(VLOOKUP(D600,'Team Data'!C:AB,15,FALSE),"")</f>
        <v/>
      </c>
      <c r="R600" t="str">
        <f>IFERROR(VLOOKUP('OB Format'!D600,'Team Data'!C:AB,24,FALSE),"")</f>
        <v/>
      </c>
      <c r="S600" t="str">
        <f>IFERROR(VLOOKUP('OB Format'!D600,'Team Data'!C:AC,25,FALSE),"")</f>
        <v/>
      </c>
    </row>
    <row r="601" spans="5:19" x14ac:dyDescent="0.25">
      <c r="E601" t="str">
        <f>IFERROR(VLOOKUP(D601,'Team Data'!C:AB,4,FALSE),"")</f>
        <v/>
      </c>
      <c r="F601" t="str">
        <f>IFERROR(VLOOKUP(D601,'Team Data'!C:AB,5,FALSE),"")</f>
        <v/>
      </c>
      <c r="G601" t="str">
        <f>IFERROR(VLOOKUP('OB Format'!D601,'Team Data'!C:AB,17,FALSE),"")</f>
        <v/>
      </c>
      <c r="H601" t="str">
        <f>IFERROR(VLOOKUP(D601,'Team Data'!C:AB,7,FALSE),"")</f>
        <v/>
      </c>
      <c r="I601" t="str">
        <f>IFERROR(VLOOKUP(D601,'Team Data'!C:AB,14,FALSE),"")</f>
        <v/>
      </c>
      <c r="J601" t="str">
        <f>IFERROR(VLOOKUP(D601,'Team Data'!C:AB,8,FALSE),"")</f>
        <v/>
      </c>
      <c r="K601" t="str">
        <f>IFERROR(VLOOKUP(D601,'Team Data'!C:AB,9,FALSE),"")</f>
        <v/>
      </c>
      <c r="L601" t="str">
        <f>IFERROR(VLOOKUP(D601,'Team Data'!C:AB,10,FALSE),"")</f>
        <v/>
      </c>
      <c r="M601" t="str">
        <f t="shared" si="20"/>
        <v/>
      </c>
      <c r="N601" t="str">
        <f>IFERROR(VLOOKUP(D601,'Team Data'!C:AB,23,FALSE),"")</f>
        <v/>
      </c>
      <c r="O601" t="str">
        <f>IFERROR(VLOOKUP(D601,'Team Data'!C:AB,22,FALSE),"")</f>
        <v/>
      </c>
      <c r="P601" t="str">
        <f t="shared" si="21"/>
        <v/>
      </c>
      <c r="Q601" t="str">
        <f>IFERROR(VLOOKUP(D601,'Team Data'!C:AB,15,FALSE),"")</f>
        <v/>
      </c>
      <c r="R601" t="str">
        <f>IFERROR(VLOOKUP('OB Format'!D601,'Team Data'!C:AB,24,FALSE),"")</f>
        <v/>
      </c>
      <c r="S601" t="str">
        <f>IFERROR(VLOOKUP('OB Format'!D601,'Team Data'!C:AC,25,FALSE),"")</f>
        <v/>
      </c>
    </row>
    <row r="602" spans="5:19" x14ac:dyDescent="0.25">
      <c r="E602" t="str">
        <f>IFERROR(VLOOKUP(D602,'Team Data'!C:AB,4,FALSE),"")</f>
        <v/>
      </c>
      <c r="F602" t="str">
        <f>IFERROR(VLOOKUP(D602,'Team Data'!C:AB,5,FALSE),"")</f>
        <v/>
      </c>
      <c r="G602" t="str">
        <f>IFERROR(VLOOKUP('OB Format'!D602,'Team Data'!C:AB,17,FALSE),"")</f>
        <v/>
      </c>
      <c r="H602" t="str">
        <f>IFERROR(VLOOKUP(D602,'Team Data'!C:AB,7,FALSE),"")</f>
        <v/>
      </c>
      <c r="I602" t="str">
        <f>IFERROR(VLOOKUP(D602,'Team Data'!C:AB,14,FALSE),"")</f>
        <v/>
      </c>
      <c r="J602" t="str">
        <f>IFERROR(VLOOKUP(D602,'Team Data'!C:AB,8,FALSE),"")</f>
        <v/>
      </c>
      <c r="K602" t="str">
        <f>IFERROR(VLOOKUP(D602,'Team Data'!C:AB,9,FALSE),"")</f>
        <v/>
      </c>
      <c r="L602" t="str">
        <f>IFERROR(VLOOKUP(D602,'Team Data'!C:AB,10,FALSE),"")</f>
        <v/>
      </c>
      <c r="M602" t="str">
        <f t="shared" si="20"/>
        <v/>
      </c>
      <c r="N602" t="str">
        <f>IFERROR(VLOOKUP(D602,'Team Data'!C:AB,23,FALSE),"")</f>
        <v/>
      </c>
      <c r="O602" t="str">
        <f>IFERROR(VLOOKUP(D602,'Team Data'!C:AB,22,FALSE),"")</f>
        <v/>
      </c>
      <c r="P602" t="str">
        <f t="shared" si="21"/>
        <v/>
      </c>
      <c r="Q602" t="str">
        <f>IFERROR(VLOOKUP(D602,'Team Data'!C:AB,15,FALSE),"")</f>
        <v/>
      </c>
      <c r="R602" t="str">
        <f>IFERROR(VLOOKUP('OB Format'!D602,'Team Data'!C:AB,24,FALSE),"")</f>
        <v/>
      </c>
      <c r="S602" t="str">
        <f>IFERROR(VLOOKUP('OB Format'!D602,'Team Data'!C:AC,25,FALSE),"")</f>
        <v/>
      </c>
    </row>
    <row r="603" spans="5:19" x14ac:dyDescent="0.25">
      <c r="E603" t="str">
        <f>IFERROR(VLOOKUP(D603,'Team Data'!C:AB,4,FALSE),"")</f>
        <v/>
      </c>
      <c r="F603" t="str">
        <f>IFERROR(VLOOKUP(D603,'Team Data'!C:AB,5,FALSE),"")</f>
        <v/>
      </c>
      <c r="G603" t="str">
        <f>IFERROR(VLOOKUP('OB Format'!D603,'Team Data'!C:AB,17,FALSE),"")</f>
        <v/>
      </c>
      <c r="H603" t="str">
        <f>IFERROR(VLOOKUP(D603,'Team Data'!C:AB,7,FALSE),"")</f>
        <v/>
      </c>
      <c r="I603" t="str">
        <f>IFERROR(VLOOKUP(D603,'Team Data'!C:AB,14,FALSE),"")</f>
        <v/>
      </c>
      <c r="J603" t="str">
        <f>IFERROR(VLOOKUP(D603,'Team Data'!C:AB,8,FALSE),"")</f>
        <v/>
      </c>
      <c r="K603" t="str">
        <f>IFERROR(VLOOKUP(D603,'Team Data'!C:AB,9,FALSE),"")</f>
        <v/>
      </c>
      <c r="L603" t="str">
        <f>IFERROR(VLOOKUP(D603,'Team Data'!C:AB,10,FALSE),"")</f>
        <v/>
      </c>
      <c r="M603" t="str">
        <f t="shared" si="20"/>
        <v/>
      </c>
      <c r="N603" t="str">
        <f>IFERROR(VLOOKUP(D603,'Team Data'!C:AB,23,FALSE),"")</f>
        <v/>
      </c>
      <c r="O603" t="str">
        <f>IFERROR(VLOOKUP(D603,'Team Data'!C:AB,22,FALSE),"")</f>
        <v/>
      </c>
      <c r="P603" t="str">
        <f t="shared" si="21"/>
        <v/>
      </c>
      <c r="Q603" t="str">
        <f>IFERROR(VLOOKUP(D603,'Team Data'!C:AB,15,FALSE),"")</f>
        <v/>
      </c>
      <c r="R603" t="str">
        <f>IFERROR(VLOOKUP('OB Format'!D603,'Team Data'!C:AB,24,FALSE),"")</f>
        <v/>
      </c>
      <c r="S603" t="str">
        <f>IFERROR(VLOOKUP('OB Format'!D603,'Team Data'!C:AC,25,FALSE),"")</f>
        <v/>
      </c>
    </row>
    <row r="604" spans="5:19" x14ac:dyDescent="0.25">
      <c r="E604" t="str">
        <f>IFERROR(VLOOKUP(D604,'Team Data'!C:AB,4,FALSE),"")</f>
        <v/>
      </c>
      <c r="F604" t="str">
        <f>IFERROR(VLOOKUP(D604,'Team Data'!C:AB,5,FALSE),"")</f>
        <v/>
      </c>
      <c r="G604" t="str">
        <f>IFERROR(VLOOKUP('OB Format'!D604,'Team Data'!C:AB,17,FALSE),"")</f>
        <v/>
      </c>
      <c r="H604" t="str">
        <f>IFERROR(VLOOKUP(D604,'Team Data'!C:AB,7,FALSE),"")</f>
        <v/>
      </c>
      <c r="I604" t="str">
        <f>IFERROR(VLOOKUP(D604,'Team Data'!C:AB,14,FALSE),"")</f>
        <v/>
      </c>
      <c r="J604" t="str">
        <f>IFERROR(VLOOKUP(D604,'Team Data'!C:AB,8,FALSE),"")</f>
        <v/>
      </c>
      <c r="K604" t="str">
        <f>IFERROR(VLOOKUP(D604,'Team Data'!C:AB,9,FALSE),"")</f>
        <v/>
      </c>
      <c r="L604" t="str">
        <f>IFERROR(VLOOKUP(D604,'Team Data'!C:AB,10,FALSE),"")</f>
        <v/>
      </c>
      <c r="M604" t="str">
        <f t="shared" si="20"/>
        <v/>
      </c>
      <c r="N604" t="str">
        <f>IFERROR(VLOOKUP(D604,'Team Data'!C:AB,23,FALSE),"")</f>
        <v/>
      </c>
      <c r="O604" t="str">
        <f>IFERROR(VLOOKUP(D604,'Team Data'!C:AB,22,FALSE),"")</f>
        <v/>
      </c>
      <c r="P604" t="str">
        <f t="shared" si="21"/>
        <v/>
      </c>
      <c r="Q604" t="str">
        <f>IFERROR(VLOOKUP(D604,'Team Data'!C:AB,15,FALSE),"")</f>
        <v/>
      </c>
      <c r="R604" t="str">
        <f>IFERROR(VLOOKUP('OB Format'!D604,'Team Data'!C:AB,24,FALSE),"")</f>
        <v/>
      </c>
      <c r="S604" t="str">
        <f>IFERROR(VLOOKUP('OB Format'!D604,'Team Data'!C:AC,25,FALSE),"")</f>
        <v/>
      </c>
    </row>
    <row r="605" spans="5:19" x14ac:dyDescent="0.25">
      <c r="E605" t="str">
        <f>IFERROR(VLOOKUP(D605,'Team Data'!C:AB,4,FALSE),"")</f>
        <v/>
      </c>
      <c r="F605" t="str">
        <f>IFERROR(VLOOKUP(D605,'Team Data'!C:AB,5,FALSE),"")</f>
        <v/>
      </c>
      <c r="G605" t="str">
        <f>IFERROR(VLOOKUP('OB Format'!D605,'Team Data'!C:AB,17,FALSE),"")</f>
        <v/>
      </c>
      <c r="H605" t="str">
        <f>IFERROR(VLOOKUP(D605,'Team Data'!C:AB,7,FALSE),"")</f>
        <v/>
      </c>
      <c r="I605" t="str">
        <f>IFERROR(VLOOKUP(D605,'Team Data'!C:AB,14,FALSE),"")</f>
        <v/>
      </c>
      <c r="J605" t="str">
        <f>IFERROR(VLOOKUP(D605,'Team Data'!C:AB,8,FALSE),"")</f>
        <v/>
      </c>
      <c r="K605" t="str">
        <f>IFERROR(VLOOKUP(D605,'Team Data'!C:AB,9,FALSE),"")</f>
        <v/>
      </c>
      <c r="L605" t="str">
        <f>IFERROR(VLOOKUP(D605,'Team Data'!C:AB,10,FALSE),"")</f>
        <v/>
      </c>
      <c r="M605" t="str">
        <f t="shared" si="20"/>
        <v/>
      </c>
      <c r="N605" t="str">
        <f>IFERROR(VLOOKUP(D605,'Team Data'!C:AB,23,FALSE),"")</f>
        <v/>
      </c>
      <c r="O605" t="str">
        <f>IFERROR(VLOOKUP(D605,'Team Data'!C:AB,22,FALSE),"")</f>
        <v/>
      </c>
      <c r="P605" t="str">
        <f t="shared" si="21"/>
        <v/>
      </c>
      <c r="Q605" t="str">
        <f>IFERROR(VLOOKUP(D605,'Team Data'!C:AB,15,FALSE),"")</f>
        <v/>
      </c>
      <c r="R605" t="str">
        <f>IFERROR(VLOOKUP('OB Format'!D605,'Team Data'!C:AB,24,FALSE),"")</f>
        <v/>
      </c>
      <c r="S605" t="str">
        <f>IFERROR(VLOOKUP('OB Format'!D605,'Team Data'!C:AC,25,FALSE),"")</f>
        <v/>
      </c>
    </row>
    <row r="606" spans="5:19" x14ac:dyDescent="0.25">
      <c r="E606" t="str">
        <f>IFERROR(VLOOKUP(D606,'Team Data'!C:AB,4,FALSE),"")</f>
        <v/>
      </c>
      <c r="F606" t="str">
        <f>IFERROR(VLOOKUP(D606,'Team Data'!C:AB,5,FALSE),"")</f>
        <v/>
      </c>
      <c r="G606" t="str">
        <f>IFERROR(VLOOKUP('OB Format'!D606,'Team Data'!C:AB,17,FALSE),"")</f>
        <v/>
      </c>
      <c r="H606" t="str">
        <f>IFERROR(VLOOKUP(D606,'Team Data'!C:AB,7,FALSE),"")</f>
        <v/>
      </c>
      <c r="I606" t="str">
        <f>IFERROR(VLOOKUP(D606,'Team Data'!C:AB,14,FALSE),"")</f>
        <v/>
      </c>
      <c r="J606" t="str">
        <f>IFERROR(VLOOKUP(D606,'Team Data'!C:AB,8,FALSE),"")</f>
        <v/>
      </c>
      <c r="K606" t="str">
        <f>IFERROR(VLOOKUP(D606,'Team Data'!C:AB,9,FALSE),"")</f>
        <v/>
      </c>
      <c r="L606" t="str">
        <f>IFERROR(VLOOKUP(D606,'Team Data'!C:AB,10,FALSE),"")</f>
        <v/>
      </c>
      <c r="M606" t="str">
        <f t="shared" si="20"/>
        <v/>
      </c>
      <c r="N606" t="str">
        <f>IFERROR(VLOOKUP(D606,'Team Data'!C:AB,23,FALSE),"")</f>
        <v/>
      </c>
      <c r="O606" t="str">
        <f>IFERROR(VLOOKUP(D606,'Team Data'!C:AB,22,FALSE),"")</f>
        <v/>
      </c>
      <c r="P606" t="str">
        <f t="shared" si="21"/>
        <v/>
      </c>
      <c r="Q606" t="str">
        <f>IFERROR(VLOOKUP(D606,'Team Data'!C:AB,15,FALSE),"")</f>
        <v/>
      </c>
      <c r="R606" t="str">
        <f>IFERROR(VLOOKUP('OB Format'!D606,'Team Data'!C:AB,24,FALSE),"")</f>
        <v/>
      </c>
      <c r="S606" t="str">
        <f>IFERROR(VLOOKUP('OB Format'!D606,'Team Data'!C:AC,25,FALSE),"")</f>
        <v/>
      </c>
    </row>
    <row r="607" spans="5:19" x14ac:dyDescent="0.25">
      <c r="E607" t="str">
        <f>IFERROR(VLOOKUP(D607,'Team Data'!C:AB,4,FALSE),"")</f>
        <v/>
      </c>
      <c r="F607" t="str">
        <f>IFERROR(VLOOKUP(D607,'Team Data'!C:AB,5,FALSE),"")</f>
        <v/>
      </c>
      <c r="G607" t="str">
        <f>IFERROR(VLOOKUP('OB Format'!D607,'Team Data'!C:AB,17,FALSE),"")</f>
        <v/>
      </c>
      <c r="H607" t="str">
        <f>IFERROR(VLOOKUP(D607,'Team Data'!C:AB,7,FALSE),"")</f>
        <v/>
      </c>
      <c r="I607" t="str">
        <f>IFERROR(VLOOKUP(D607,'Team Data'!C:AB,14,FALSE),"")</f>
        <v/>
      </c>
      <c r="J607" t="str">
        <f>IFERROR(VLOOKUP(D607,'Team Data'!C:AB,8,FALSE),"")</f>
        <v/>
      </c>
      <c r="K607" t="str">
        <f>IFERROR(VLOOKUP(D607,'Team Data'!C:AB,9,FALSE),"")</f>
        <v/>
      </c>
      <c r="L607" t="str">
        <f>IFERROR(VLOOKUP(D607,'Team Data'!C:AB,10,FALSE),"")</f>
        <v/>
      </c>
      <c r="M607" t="str">
        <f t="shared" si="20"/>
        <v/>
      </c>
      <c r="N607" t="str">
        <f>IFERROR(VLOOKUP(D607,'Team Data'!C:AB,23,FALSE),"")</f>
        <v/>
      </c>
      <c r="O607" t="str">
        <f>IFERROR(VLOOKUP(D607,'Team Data'!C:AB,22,FALSE),"")</f>
        <v/>
      </c>
      <c r="P607" t="str">
        <f t="shared" si="21"/>
        <v/>
      </c>
      <c r="Q607" t="str">
        <f>IFERROR(VLOOKUP(D607,'Team Data'!C:AB,15,FALSE),"")</f>
        <v/>
      </c>
      <c r="R607" t="str">
        <f>IFERROR(VLOOKUP('OB Format'!D607,'Team Data'!C:AB,24,FALSE),"")</f>
        <v/>
      </c>
      <c r="S607" t="str">
        <f>IFERROR(VLOOKUP('OB Format'!D607,'Team Data'!C:AC,25,FALSE),"")</f>
        <v/>
      </c>
    </row>
    <row r="608" spans="5:19" x14ac:dyDescent="0.25">
      <c r="E608" t="str">
        <f>IFERROR(VLOOKUP(D608,'Team Data'!C:AB,4,FALSE),"")</f>
        <v/>
      </c>
      <c r="F608" t="str">
        <f>IFERROR(VLOOKUP(D608,'Team Data'!C:AB,5,FALSE),"")</f>
        <v/>
      </c>
      <c r="G608" t="str">
        <f>IFERROR(VLOOKUP('OB Format'!D608,'Team Data'!C:AB,17,FALSE),"")</f>
        <v/>
      </c>
      <c r="H608" t="str">
        <f>IFERROR(VLOOKUP(D608,'Team Data'!C:AB,7,FALSE),"")</f>
        <v/>
      </c>
      <c r="I608" t="str">
        <f>IFERROR(VLOOKUP(D608,'Team Data'!C:AB,14,FALSE),"")</f>
        <v/>
      </c>
      <c r="J608" t="str">
        <f>IFERROR(VLOOKUP(D608,'Team Data'!C:AB,8,FALSE),"")</f>
        <v/>
      </c>
      <c r="K608" t="str">
        <f>IFERROR(VLOOKUP(D608,'Team Data'!C:AB,9,FALSE),"")</f>
        <v/>
      </c>
      <c r="L608" t="str">
        <f>IFERROR(VLOOKUP(D608,'Team Data'!C:AB,10,FALSE),"")</f>
        <v/>
      </c>
      <c r="M608" t="str">
        <f t="shared" si="20"/>
        <v/>
      </c>
      <c r="N608" t="str">
        <f>IFERROR(VLOOKUP(D608,'Team Data'!C:AB,23,FALSE),"")</f>
        <v/>
      </c>
      <c r="O608" t="str">
        <f>IFERROR(VLOOKUP(D608,'Team Data'!C:AB,22,FALSE),"")</f>
        <v/>
      </c>
      <c r="P608" t="str">
        <f t="shared" si="21"/>
        <v/>
      </c>
      <c r="Q608" t="str">
        <f>IFERROR(VLOOKUP(D608,'Team Data'!C:AB,15,FALSE),"")</f>
        <v/>
      </c>
      <c r="R608" t="str">
        <f>IFERROR(VLOOKUP('OB Format'!D608,'Team Data'!C:AB,24,FALSE),"")</f>
        <v/>
      </c>
      <c r="S608" t="str">
        <f>IFERROR(VLOOKUP('OB Format'!D608,'Team Data'!C:AC,25,FALSE),"")</f>
        <v/>
      </c>
    </row>
    <row r="609" spans="5:19" x14ac:dyDescent="0.25">
      <c r="E609" t="str">
        <f>IFERROR(VLOOKUP(D609,'Team Data'!C:AB,4,FALSE),"")</f>
        <v/>
      </c>
      <c r="F609" t="str">
        <f>IFERROR(VLOOKUP(D609,'Team Data'!C:AB,5,FALSE),"")</f>
        <v/>
      </c>
      <c r="G609" t="str">
        <f>IFERROR(VLOOKUP('OB Format'!D609,'Team Data'!C:AB,17,FALSE),"")</f>
        <v/>
      </c>
      <c r="H609" t="str">
        <f>IFERROR(VLOOKUP(D609,'Team Data'!C:AB,7,FALSE),"")</f>
        <v/>
      </c>
      <c r="I609" t="str">
        <f>IFERROR(VLOOKUP(D609,'Team Data'!C:AB,14,FALSE),"")</f>
        <v/>
      </c>
      <c r="J609" t="str">
        <f>IFERROR(VLOOKUP(D609,'Team Data'!C:AB,8,FALSE),"")</f>
        <v/>
      </c>
      <c r="K609" t="str">
        <f>IFERROR(VLOOKUP(D609,'Team Data'!C:AB,9,FALSE),"")</f>
        <v/>
      </c>
      <c r="L609" t="str">
        <f>IFERROR(VLOOKUP(D609,'Team Data'!C:AB,10,FALSE),"")</f>
        <v/>
      </c>
      <c r="M609" t="str">
        <f t="shared" si="20"/>
        <v/>
      </c>
      <c r="N609" t="str">
        <f>IFERROR(VLOOKUP(D609,'Team Data'!C:AB,23,FALSE),"")</f>
        <v/>
      </c>
      <c r="O609" t="str">
        <f>IFERROR(VLOOKUP(D609,'Team Data'!C:AB,22,FALSE),"")</f>
        <v/>
      </c>
      <c r="P609" t="str">
        <f t="shared" si="21"/>
        <v/>
      </c>
      <c r="Q609" t="str">
        <f>IFERROR(VLOOKUP(D609,'Team Data'!C:AB,15,FALSE),"")</f>
        <v/>
      </c>
      <c r="R609" t="str">
        <f>IFERROR(VLOOKUP('OB Format'!D609,'Team Data'!C:AB,24,FALSE),"")</f>
        <v/>
      </c>
      <c r="S609" t="str">
        <f>IFERROR(VLOOKUP('OB Format'!D609,'Team Data'!C:AC,25,FALSE),"")</f>
        <v/>
      </c>
    </row>
    <row r="610" spans="5:19" x14ac:dyDescent="0.25">
      <c r="E610" t="str">
        <f>IFERROR(VLOOKUP(D610,'Team Data'!C:AB,4,FALSE),"")</f>
        <v/>
      </c>
      <c r="F610" t="str">
        <f>IFERROR(VLOOKUP(D610,'Team Data'!C:AB,5,FALSE),"")</f>
        <v/>
      </c>
      <c r="G610" t="str">
        <f>IFERROR(VLOOKUP('OB Format'!D610,'Team Data'!C:AB,17,FALSE),"")</f>
        <v/>
      </c>
      <c r="H610" t="str">
        <f>IFERROR(VLOOKUP(D610,'Team Data'!C:AB,7,FALSE),"")</f>
        <v/>
      </c>
      <c r="I610" t="str">
        <f>IFERROR(VLOOKUP(D610,'Team Data'!C:AB,14,FALSE),"")</f>
        <v/>
      </c>
      <c r="J610" t="str">
        <f>IFERROR(VLOOKUP(D610,'Team Data'!C:AB,8,FALSE),"")</f>
        <v/>
      </c>
      <c r="K610" t="str">
        <f>IFERROR(VLOOKUP(D610,'Team Data'!C:AB,9,FALSE),"")</f>
        <v/>
      </c>
      <c r="L610" t="str">
        <f>IFERROR(VLOOKUP(D610,'Team Data'!C:AB,10,FALSE),"")</f>
        <v/>
      </c>
      <c r="M610" t="str">
        <f t="shared" si="20"/>
        <v/>
      </c>
      <c r="N610" t="str">
        <f>IFERROR(VLOOKUP(D610,'Team Data'!C:AB,23,FALSE),"")</f>
        <v/>
      </c>
      <c r="O610" t="str">
        <f>IFERROR(VLOOKUP(D610,'Team Data'!C:AB,22,FALSE),"")</f>
        <v/>
      </c>
      <c r="P610" t="str">
        <f t="shared" si="21"/>
        <v/>
      </c>
      <c r="Q610" t="str">
        <f>IFERROR(VLOOKUP(D610,'Team Data'!C:AB,15,FALSE),"")</f>
        <v/>
      </c>
      <c r="R610" t="str">
        <f>IFERROR(VLOOKUP('OB Format'!D610,'Team Data'!C:AB,24,FALSE),"")</f>
        <v/>
      </c>
      <c r="S610" t="str">
        <f>IFERROR(VLOOKUP('OB Format'!D610,'Team Data'!C:AC,25,FALSE),"")</f>
        <v/>
      </c>
    </row>
    <row r="611" spans="5:19" x14ac:dyDescent="0.25">
      <c r="E611" t="str">
        <f>IFERROR(VLOOKUP(D611,'Team Data'!C:AB,4,FALSE),"")</f>
        <v/>
      </c>
      <c r="F611" t="str">
        <f>IFERROR(VLOOKUP(D611,'Team Data'!C:AB,5,FALSE),"")</f>
        <v/>
      </c>
      <c r="G611" t="str">
        <f>IFERROR(VLOOKUP('OB Format'!D611,'Team Data'!C:AB,17,FALSE),"")</f>
        <v/>
      </c>
      <c r="H611" t="str">
        <f>IFERROR(VLOOKUP(D611,'Team Data'!C:AB,7,FALSE),"")</f>
        <v/>
      </c>
      <c r="I611" t="str">
        <f>IFERROR(VLOOKUP(D611,'Team Data'!C:AB,14,FALSE),"")</f>
        <v/>
      </c>
      <c r="J611" t="str">
        <f>IFERROR(VLOOKUP(D611,'Team Data'!C:AB,8,FALSE),"")</f>
        <v/>
      </c>
      <c r="K611" t="str">
        <f>IFERROR(VLOOKUP(D611,'Team Data'!C:AB,9,FALSE),"")</f>
        <v/>
      </c>
      <c r="L611" t="str">
        <f>IFERROR(VLOOKUP(D611,'Team Data'!C:AB,10,FALSE),"")</f>
        <v/>
      </c>
      <c r="M611" t="str">
        <f t="shared" si="20"/>
        <v/>
      </c>
      <c r="N611" t="str">
        <f>IFERROR(VLOOKUP(D611,'Team Data'!C:AB,23,FALSE),"")</f>
        <v/>
      </c>
      <c r="O611" t="str">
        <f>IFERROR(VLOOKUP(D611,'Team Data'!C:AB,22,FALSE),"")</f>
        <v/>
      </c>
      <c r="P611" t="str">
        <f t="shared" si="21"/>
        <v/>
      </c>
      <c r="Q611" t="str">
        <f>IFERROR(VLOOKUP(D611,'Team Data'!C:AB,15,FALSE),"")</f>
        <v/>
      </c>
      <c r="R611" t="str">
        <f>IFERROR(VLOOKUP('OB Format'!D611,'Team Data'!C:AB,24,FALSE),"")</f>
        <v/>
      </c>
      <c r="S611" t="str">
        <f>IFERROR(VLOOKUP('OB Format'!D611,'Team Data'!C:AC,25,FALSE),"")</f>
        <v/>
      </c>
    </row>
    <row r="612" spans="5:19" x14ac:dyDescent="0.25">
      <c r="E612" t="str">
        <f>IFERROR(VLOOKUP(D612,'Team Data'!C:AB,4,FALSE),"")</f>
        <v/>
      </c>
      <c r="F612" t="str">
        <f>IFERROR(VLOOKUP(D612,'Team Data'!C:AB,5,FALSE),"")</f>
        <v/>
      </c>
      <c r="G612" t="str">
        <f>IFERROR(VLOOKUP('OB Format'!D612,'Team Data'!C:AB,17,FALSE),"")</f>
        <v/>
      </c>
      <c r="H612" t="str">
        <f>IFERROR(VLOOKUP(D612,'Team Data'!C:AB,7,FALSE),"")</f>
        <v/>
      </c>
      <c r="I612" t="str">
        <f>IFERROR(VLOOKUP(D612,'Team Data'!C:AB,14,FALSE),"")</f>
        <v/>
      </c>
      <c r="J612" t="str">
        <f>IFERROR(VLOOKUP(D612,'Team Data'!C:AB,8,FALSE),"")</f>
        <v/>
      </c>
      <c r="K612" t="str">
        <f>IFERROR(VLOOKUP(D612,'Team Data'!C:AB,9,FALSE),"")</f>
        <v/>
      </c>
      <c r="L612" t="str">
        <f>IFERROR(VLOOKUP(D612,'Team Data'!C:AB,10,FALSE),"")</f>
        <v/>
      </c>
      <c r="M612" t="str">
        <f t="shared" si="20"/>
        <v/>
      </c>
      <c r="N612" t="str">
        <f>IFERROR(VLOOKUP(D612,'Team Data'!C:AB,23,FALSE),"")</f>
        <v/>
      </c>
      <c r="O612" t="str">
        <f>IFERROR(VLOOKUP(D612,'Team Data'!C:AB,22,FALSE),"")</f>
        <v/>
      </c>
      <c r="P612" t="str">
        <f t="shared" si="21"/>
        <v/>
      </c>
      <c r="Q612" t="str">
        <f>IFERROR(VLOOKUP(D612,'Team Data'!C:AB,15,FALSE),"")</f>
        <v/>
      </c>
      <c r="R612" t="str">
        <f>IFERROR(VLOOKUP('OB Format'!D612,'Team Data'!C:AB,24,FALSE),"")</f>
        <v/>
      </c>
      <c r="S612" t="str">
        <f>IFERROR(VLOOKUP('OB Format'!D612,'Team Data'!C:AC,25,FALSE),"")</f>
        <v/>
      </c>
    </row>
    <row r="613" spans="5:19" x14ac:dyDescent="0.25">
      <c r="E613" t="str">
        <f>IFERROR(VLOOKUP(D613,'Team Data'!C:AB,4,FALSE),"")</f>
        <v/>
      </c>
      <c r="F613" t="str">
        <f>IFERROR(VLOOKUP(D613,'Team Data'!C:AB,5,FALSE),"")</f>
        <v/>
      </c>
      <c r="G613" t="str">
        <f>IFERROR(VLOOKUP('OB Format'!D613,'Team Data'!C:AB,17,FALSE),"")</f>
        <v/>
      </c>
      <c r="H613" t="str">
        <f>IFERROR(VLOOKUP(D613,'Team Data'!C:AB,7,FALSE),"")</f>
        <v/>
      </c>
      <c r="I613" t="str">
        <f>IFERROR(VLOOKUP(D613,'Team Data'!C:AB,14,FALSE),"")</f>
        <v/>
      </c>
      <c r="J613" t="str">
        <f>IFERROR(VLOOKUP(D613,'Team Data'!C:AB,8,FALSE),"")</f>
        <v/>
      </c>
      <c r="K613" t="str">
        <f>IFERROR(VLOOKUP(D613,'Team Data'!C:AB,9,FALSE),"")</f>
        <v/>
      </c>
      <c r="L613" t="str">
        <f>IFERROR(VLOOKUP(D613,'Team Data'!C:AB,10,FALSE),"")</f>
        <v/>
      </c>
      <c r="M613" t="str">
        <f t="shared" si="20"/>
        <v/>
      </c>
      <c r="N613" t="str">
        <f>IFERROR(VLOOKUP(D613,'Team Data'!C:AB,23,FALSE),"")</f>
        <v/>
      </c>
      <c r="O613" t="str">
        <f>IFERROR(VLOOKUP(D613,'Team Data'!C:AB,22,FALSE),"")</f>
        <v/>
      </c>
      <c r="P613" t="str">
        <f t="shared" si="21"/>
        <v/>
      </c>
      <c r="Q613" t="str">
        <f>IFERROR(VLOOKUP(D613,'Team Data'!C:AB,15,FALSE),"")</f>
        <v/>
      </c>
      <c r="R613" t="str">
        <f>IFERROR(VLOOKUP('OB Format'!D613,'Team Data'!C:AB,24,FALSE),"")</f>
        <v/>
      </c>
      <c r="S613" t="str">
        <f>IFERROR(VLOOKUP('OB Format'!D613,'Team Data'!C:AC,25,FALSE),"")</f>
        <v/>
      </c>
    </row>
    <row r="614" spans="5:19" x14ac:dyDescent="0.25">
      <c r="E614" t="str">
        <f>IFERROR(VLOOKUP(D614,'Team Data'!C:AB,4,FALSE),"")</f>
        <v/>
      </c>
      <c r="F614" t="str">
        <f>IFERROR(VLOOKUP(D614,'Team Data'!C:AB,5,FALSE),"")</f>
        <v/>
      </c>
      <c r="G614" t="str">
        <f>IFERROR(VLOOKUP('OB Format'!D614,'Team Data'!C:AB,17,FALSE),"")</f>
        <v/>
      </c>
      <c r="H614" t="str">
        <f>IFERROR(VLOOKUP(D614,'Team Data'!C:AB,7,FALSE),"")</f>
        <v/>
      </c>
      <c r="I614" t="str">
        <f>IFERROR(VLOOKUP(D614,'Team Data'!C:AB,14,FALSE),"")</f>
        <v/>
      </c>
      <c r="J614" t="str">
        <f>IFERROR(VLOOKUP(D614,'Team Data'!C:AB,8,FALSE),"")</f>
        <v/>
      </c>
      <c r="K614" t="str">
        <f>IFERROR(VLOOKUP(D614,'Team Data'!C:AB,9,FALSE),"")</f>
        <v/>
      </c>
      <c r="L614" t="str">
        <f>IFERROR(VLOOKUP(D614,'Team Data'!C:AB,10,FALSE),"")</f>
        <v/>
      </c>
      <c r="M614" t="str">
        <f t="shared" si="20"/>
        <v/>
      </c>
      <c r="N614" t="str">
        <f>IFERROR(VLOOKUP(D614,'Team Data'!C:AB,23,FALSE),"")</f>
        <v/>
      </c>
      <c r="O614" t="str">
        <f>IFERROR(VLOOKUP(D614,'Team Data'!C:AB,22,FALSE),"")</f>
        <v/>
      </c>
      <c r="P614" t="str">
        <f t="shared" si="21"/>
        <v/>
      </c>
      <c r="Q614" t="str">
        <f>IFERROR(VLOOKUP(D614,'Team Data'!C:AB,15,FALSE),"")</f>
        <v/>
      </c>
      <c r="R614" t="str">
        <f>IFERROR(VLOOKUP('OB Format'!D614,'Team Data'!C:AB,24,FALSE),"")</f>
        <v/>
      </c>
      <c r="S614" t="str">
        <f>IFERROR(VLOOKUP('OB Format'!D614,'Team Data'!C:AC,25,FALSE),"")</f>
        <v/>
      </c>
    </row>
    <row r="615" spans="5:19" x14ac:dyDescent="0.25">
      <c r="E615" t="str">
        <f>IFERROR(VLOOKUP(D615,'Team Data'!C:AB,4,FALSE),"")</f>
        <v/>
      </c>
      <c r="F615" t="str">
        <f>IFERROR(VLOOKUP(D615,'Team Data'!C:AB,5,FALSE),"")</f>
        <v/>
      </c>
      <c r="G615" t="str">
        <f>IFERROR(VLOOKUP('OB Format'!D615,'Team Data'!C:AB,17,FALSE),"")</f>
        <v/>
      </c>
      <c r="H615" t="str">
        <f>IFERROR(VLOOKUP(D615,'Team Data'!C:AB,7,FALSE),"")</f>
        <v/>
      </c>
      <c r="I615" t="str">
        <f>IFERROR(VLOOKUP(D615,'Team Data'!C:AB,14,FALSE),"")</f>
        <v/>
      </c>
      <c r="J615" t="str">
        <f>IFERROR(VLOOKUP(D615,'Team Data'!C:AB,8,FALSE),"")</f>
        <v/>
      </c>
      <c r="K615" t="str">
        <f>IFERROR(VLOOKUP(D615,'Team Data'!C:AB,9,FALSE),"")</f>
        <v/>
      </c>
      <c r="L615" t="str">
        <f>IFERROR(VLOOKUP(D615,'Team Data'!C:AB,10,FALSE),"")</f>
        <v/>
      </c>
      <c r="M615" t="str">
        <f t="shared" si="20"/>
        <v/>
      </c>
      <c r="N615" t="str">
        <f>IFERROR(VLOOKUP(D615,'Team Data'!C:AB,23,FALSE),"")</f>
        <v/>
      </c>
      <c r="O615" t="str">
        <f>IFERROR(VLOOKUP(D615,'Team Data'!C:AB,22,FALSE),"")</f>
        <v/>
      </c>
      <c r="P615" t="str">
        <f t="shared" si="21"/>
        <v/>
      </c>
      <c r="Q615" t="str">
        <f>IFERROR(VLOOKUP(D615,'Team Data'!C:AB,15,FALSE),"")</f>
        <v/>
      </c>
      <c r="R615" t="str">
        <f>IFERROR(VLOOKUP('OB Format'!D615,'Team Data'!C:AB,24,FALSE),"")</f>
        <v/>
      </c>
      <c r="S615" t="str">
        <f>IFERROR(VLOOKUP('OB Format'!D615,'Team Data'!C:AC,25,FALSE),"")</f>
        <v/>
      </c>
    </row>
    <row r="616" spans="5:19" x14ac:dyDescent="0.25">
      <c r="E616" t="str">
        <f>IFERROR(VLOOKUP(D616,'Team Data'!C:AB,4,FALSE),"")</f>
        <v/>
      </c>
      <c r="F616" t="str">
        <f>IFERROR(VLOOKUP(D616,'Team Data'!C:AB,5,FALSE),"")</f>
        <v/>
      </c>
      <c r="G616" t="str">
        <f>IFERROR(VLOOKUP('OB Format'!D616,'Team Data'!C:AB,17,FALSE),"")</f>
        <v/>
      </c>
      <c r="H616" t="str">
        <f>IFERROR(VLOOKUP(D616,'Team Data'!C:AB,7,FALSE),"")</f>
        <v/>
      </c>
      <c r="I616" t="str">
        <f>IFERROR(VLOOKUP(D616,'Team Data'!C:AB,14,FALSE),"")</f>
        <v/>
      </c>
      <c r="J616" t="str">
        <f>IFERROR(VLOOKUP(D616,'Team Data'!C:AB,8,FALSE),"")</f>
        <v/>
      </c>
      <c r="K616" t="str">
        <f>IFERROR(VLOOKUP(D616,'Team Data'!C:AB,9,FALSE),"")</f>
        <v/>
      </c>
      <c r="L616" t="str">
        <f>IFERROR(VLOOKUP(D616,'Team Data'!C:AB,10,FALSE),"")</f>
        <v/>
      </c>
      <c r="M616" t="str">
        <f t="shared" si="20"/>
        <v/>
      </c>
      <c r="N616" t="str">
        <f>IFERROR(VLOOKUP(D616,'Team Data'!C:AB,23,FALSE),"")</f>
        <v/>
      </c>
      <c r="O616" t="str">
        <f>IFERROR(VLOOKUP(D616,'Team Data'!C:AB,22,FALSE),"")</f>
        <v/>
      </c>
      <c r="P616" t="str">
        <f t="shared" si="21"/>
        <v/>
      </c>
      <c r="Q616" t="str">
        <f>IFERROR(VLOOKUP(D616,'Team Data'!C:AB,15,FALSE),"")</f>
        <v/>
      </c>
      <c r="R616" t="str">
        <f>IFERROR(VLOOKUP('OB Format'!D616,'Team Data'!C:AB,24,FALSE),"")</f>
        <v/>
      </c>
      <c r="S616" t="str">
        <f>IFERROR(VLOOKUP('OB Format'!D616,'Team Data'!C:AC,25,FALSE),"")</f>
        <v/>
      </c>
    </row>
    <row r="617" spans="5:19" x14ac:dyDescent="0.25">
      <c r="E617" t="str">
        <f>IFERROR(VLOOKUP(D617,'Team Data'!C:AB,4,FALSE),"")</f>
        <v/>
      </c>
      <c r="F617" t="str">
        <f>IFERROR(VLOOKUP(D617,'Team Data'!C:AB,5,FALSE),"")</f>
        <v/>
      </c>
      <c r="G617" t="str">
        <f>IFERROR(VLOOKUP('OB Format'!D617,'Team Data'!C:AB,17,FALSE),"")</f>
        <v/>
      </c>
      <c r="H617" t="str">
        <f>IFERROR(VLOOKUP(D617,'Team Data'!C:AB,7,FALSE),"")</f>
        <v/>
      </c>
      <c r="I617" t="str">
        <f>IFERROR(VLOOKUP(D617,'Team Data'!C:AB,14,FALSE),"")</f>
        <v/>
      </c>
      <c r="J617" t="str">
        <f>IFERROR(VLOOKUP(D617,'Team Data'!C:AB,8,FALSE),"")</f>
        <v/>
      </c>
      <c r="K617" t="str">
        <f>IFERROR(VLOOKUP(D617,'Team Data'!C:AB,9,FALSE),"")</f>
        <v/>
      </c>
      <c r="L617" t="str">
        <f>IFERROR(VLOOKUP(D617,'Team Data'!C:AB,10,FALSE),"")</f>
        <v/>
      </c>
      <c r="M617" t="str">
        <f t="shared" si="20"/>
        <v/>
      </c>
      <c r="N617" t="str">
        <f>IFERROR(VLOOKUP(D617,'Team Data'!C:AB,23,FALSE),"")</f>
        <v/>
      </c>
      <c r="O617" t="str">
        <f>IFERROR(VLOOKUP(D617,'Team Data'!C:AB,22,FALSE),"")</f>
        <v/>
      </c>
      <c r="P617" t="str">
        <f t="shared" si="21"/>
        <v/>
      </c>
      <c r="Q617" t="str">
        <f>IFERROR(VLOOKUP(D617,'Team Data'!C:AB,15,FALSE),"")</f>
        <v/>
      </c>
      <c r="R617" t="str">
        <f>IFERROR(VLOOKUP('OB Format'!D617,'Team Data'!C:AB,24,FALSE),"")</f>
        <v/>
      </c>
      <c r="S617" t="str">
        <f>IFERROR(VLOOKUP('OB Format'!D617,'Team Data'!C:AC,25,FALSE),"")</f>
        <v/>
      </c>
    </row>
    <row r="618" spans="5:19" x14ac:dyDescent="0.25">
      <c r="E618" t="str">
        <f>IFERROR(VLOOKUP(D618,'Team Data'!C:AB,4,FALSE),"")</f>
        <v/>
      </c>
      <c r="F618" t="str">
        <f>IFERROR(VLOOKUP(D618,'Team Data'!C:AB,5,FALSE),"")</f>
        <v/>
      </c>
      <c r="G618" t="str">
        <f>IFERROR(VLOOKUP('OB Format'!D618,'Team Data'!C:AB,17,FALSE),"")</f>
        <v/>
      </c>
      <c r="H618" t="str">
        <f>IFERROR(VLOOKUP(D618,'Team Data'!C:AB,7,FALSE),"")</f>
        <v/>
      </c>
      <c r="I618" t="str">
        <f>IFERROR(VLOOKUP(D618,'Team Data'!C:AB,14,FALSE),"")</f>
        <v/>
      </c>
      <c r="J618" t="str">
        <f>IFERROR(VLOOKUP(D618,'Team Data'!C:AB,8,FALSE),"")</f>
        <v/>
      </c>
      <c r="K618" t="str">
        <f>IFERROR(VLOOKUP(D618,'Team Data'!C:AB,9,FALSE),"")</f>
        <v/>
      </c>
      <c r="L618" t="str">
        <f>IFERROR(VLOOKUP(D618,'Team Data'!C:AB,10,FALSE),"")</f>
        <v/>
      </c>
      <c r="M618" t="str">
        <f t="shared" si="20"/>
        <v/>
      </c>
      <c r="N618" t="str">
        <f>IFERROR(VLOOKUP(D618,'Team Data'!C:AB,23,FALSE),"")</f>
        <v/>
      </c>
      <c r="O618" t="str">
        <f>IFERROR(VLOOKUP(D618,'Team Data'!C:AB,22,FALSE),"")</f>
        <v/>
      </c>
      <c r="P618" t="str">
        <f t="shared" si="21"/>
        <v/>
      </c>
      <c r="Q618" t="str">
        <f>IFERROR(VLOOKUP(D618,'Team Data'!C:AB,15,FALSE),"")</f>
        <v/>
      </c>
      <c r="R618" t="str">
        <f>IFERROR(VLOOKUP('OB Format'!D618,'Team Data'!C:AB,24,FALSE),"")</f>
        <v/>
      </c>
      <c r="S618" t="str">
        <f>IFERROR(VLOOKUP('OB Format'!D618,'Team Data'!C:AC,25,FALSE),"")</f>
        <v/>
      </c>
    </row>
    <row r="619" spans="5:19" x14ac:dyDescent="0.25">
      <c r="E619" t="str">
        <f>IFERROR(VLOOKUP(D619,'Team Data'!C:AB,4,FALSE),"")</f>
        <v/>
      </c>
      <c r="F619" t="str">
        <f>IFERROR(VLOOKUP(D619,'Team Data'!C:AB,5,FALSE),"")</f>
        <v/>
      </c>
      <c r="G619" t="str">
        <f>IFERROR(VLOOKUP('OB Format'!D619,'Team Data'!C:AB,17,FALSE),"")</f>
        <v/>
      </c>
      <c r="H619" t="str">
        <f>IFERROR(VLOOKUP(D619,'Team Data'!C:AB,7,FALSE),"")</f>
        <v/>
      </c>
      <c r="I619" t="str">
        <f>IFERROR(VLOOKUP(D619,'Team Data'!C:AB,14,FALSE),"")</f>
        <v/>
      </c>
      <c r="J619" t="str">
        <f>IFERROR(VLOOKUP(D619,'Team Data'!C:AB,8,FALSE),"")</f>
        <v/>
      </c>
      <c r="K619" t="str">
        <f>IFERROR(VLOOKUP(D619,'Team Data'!C:AB,9,FALSE),"")</f>
        <v/>
      </c>
      <c r="L619" t="str">
        <f>IFERROR(VLOOKUP(D619,'Team Data'!C:AB,10,FALSE),"")</f>
        <v/>
      </c>
      <c r="M619" t="str">
        <f t="shared" si="20"/>
        <v/>
      </c>
      <c r="N619" t="str">
        <f>IFERROR(VLOOKUP(D619,'Team Data'!C:AB,23,FALSE),"")</f>
        <v/>
      </c>
      <c r="O619" t="str">
        <f>IFERROR(VLOOKUP(D619,'Team Data'!C:AB,22,FALSE),"")</f>
        <v/>
      </c>
      <c r="P619" t="str">
        <f t="shared" si="21"/>
        <v/>
      </c>
      <c r="Q619" t="str">
        <f>IFERROR(VLOOKUP(D619,'Team Data'!C:AB,15,FALSE),"")</f>
        <v/>
      </c>
      <c r="R619" t="str">
        <f>IFERROR(VLOOKUP('OB Format'!D619,'Team Data'!C:AB,24,FALSE),"")</f>
        <v/>
      </c>
      <c r="S619" t="str">
        <f>IFERROR(VLOOKUP('OB Format'!D619,'Team Data'!C:AC,25,FALSE),"")</f>
        <v/>
      </c>
    </row>
    <row r="620" spans="5:19" x14ac:dyDescent="0.25">
      <c r="E620" t="str">
        <f>IFERROR(VLOOKUP(D620,'Team Data'!C:AB,4,FALSE),"")</f>
        <v/>
      </c>
      <c r="F620" t="str">
        <f>IFERROR(VLOOKUP(D620,'Team Data'!C:AB,5,FALSE),"")</f>
        <v/>
      </c>
      <c r="G620" t="str">
        <f>IFERROR(VLOOKUP('OB Format'!D620,'Team Data'!C:AB,17,FALSE),"")</f>
        <v/>
      </c>
      <c r="H620" t="str">
        <f>IFERROR(VLOOKUP(D620,'Team Data'!C:AB,7,FALSE),"")</f>
        <v/>
      </c>
      <c r="I620" t="str">
        <f>IFERROR(VLOOKUP(D620,'Team Data'!C:AB,14,FALSE),"")</f>
        <v/>
      </c>
      <c r="J620" t="str">
        <f>IFERROR(VLOOKUP(D620,'Team Data'!C:AB,8,FALSE),"")</f>
        <v/>
      </c>
      <c r="K620" t="str">
        <f>IFERROR(VLOOKUP(D620,'Team Data'!C:AB,9,FALSE),"")</f>
        <v/>
      </c>
      <c r="L620" t="str">
        <f>IFERROR(VLOOKUP(D620,'Team Data'!C:AB,10,FALSE),"")</f>
        <v/>
      </c>
      <c r="M620" t="str">
        <f t="shared" si="20"/>
        <v/>
      </c>
      <c r="N620" t="str">
        <f>IFERROR(VLOOKUP(D620,'Team Data'!C:AB,23,FALSE),"")</f>
        <v/>
      </c>
      <c r="O620" t="str">
        <f>IFERROR(VLOOKUP(D620,'Team Data'!C:AB,22,FALSE),"")</f>
        <v/>
      </c>
      <c r="P620" t="str">
        <f t="shared" si="21"/>
        <v/>
      </c>
      <c r="Q620" t="str">
        <f>IFERROR(VLOOKUP(D620,'Team Data'!C:AB,15,FALSE),"")</f>
        <v/>
      </c>
      <c r="R620" t="str">
        <f>IFERROR(VLOOKUP('OB Format'!D620,'Team Data'!C:AB,24,FALSE),"")</f>
        <v/>
      </c>
      <c r="S620" t="str">
        <f>IFERROR(VLOOKUP('OB Format'!D620,'Team Data'!C:AC,25,FALSE),"")</f>
        <v/>
      </c>
    </row>
    <row r="621" spans="5:19" x14ac:dyDescent="0.25">
      <c r="E621" t="str">
        <f>IFERROR(VLOOKUP(D621,'Team Data'!C:AB,4,FALSE),"")</f>
        <v/>
      </c>
      <c r="F621" t="str">
        <f>IFERROR(VLOOKUP(D621,'Team Data'!C:AB,5,FALSE),"")</f>
        <v/>
      </c>
      <c r="G621" t="str">
        <f>IFERROR(VLOOKUP('OB Format'!D621,'Team Data'!C:AB,17,FALSE),"")</f>
        <v/>
      </c>
      <c r="H621" t="str">
        <f>IFERROR(VLOOKUP(D621,'Team Data'!C:AB,7,FALSE),"")</f>
        <v/>
      </c>
      <c r="I621" t="str">
        <f>IFERROR(VLOOKUP(D621,'Team Data'!C:AB,14,FALSE),"")</f>
        <v/>
      </c>
      <c r="J621" t="str">
        <f>IFERROR(VLOOKUP(D621,'Team Data'!C:AB,8,FALSE),"")</f>
        <v/>
      </c>
      <c r="K621" t="str">
        <f>IFERROR(VLOOKUP(D621,'Team Data'!C:AB,9,FALSE),"")</f>
        <v/>
      </c>
      <c r="L621" t="str">
        <f>IFERROR(VLOOKUP(D621,'Team Data'!C:AB,10,FALSE),"")</f>
        <v/>
      </c>
      <c r="M621" t="str">
        <f t="shared" si="20"/>
        <v/>
      </c>
      <c r="N621" t="str">
        <f>IFERROR(VLOOKUP(D621,'Team Data'!C:AB,23,FALSE),"")</f>
        <v/>
      </c>
      <c r="O621" t="str">
        <f>IFERROR(VLOOKUP(D621,'Team Data'!C:AB,22,FALSE),"")</f>
        <v/>
      </c>
      <c r="P621" t="str">
        <f t="shared" si="21"/>
        <v/>
      </c>
      <c r="Q621" t="str">
        <f>IFERROR(VLOOKUP(D621,'Team Data'!C:AB,15,FALSE),"")</f>
        <v/>
      </c>
      <c r="R621" t="str">
        <f>IFERROR(VLOOKUP('OB Format'!D621,'Team Data'!C:AB,24,FALSE),"")</f>
        <v/>
      </c>
      <c r="S621" t="str">
        <f>IFERROR(VLOOKUP('OB Format'!D621,'Team Data'!C:AC,25,FALSE),"")</f>
        <v/>
      </c>
    </row>
    <row r="622" spans="5:19" x14ac:dyDescent="0.25">
      <c r="E622" t="str">
        <f>IFERROR(VLOOKUP(D622,'Team Data'!C:AB,4,FALSE),"")</f>
        <v/>
      </c>
      <c r="F622" t="str">
        <f>IFERROR(VLOOKUP(D622,'Team Data'!C:AB,5,FALSE),"")</f>
        <v/>
      </c>
      <c r="G622" t="str">
        <f>IFERROR(VLOOKUP('OB Format'!D622,'Team Data'!C:AB,17,FALSE),"")</f>
        <v/>
      </c>
      <c r="H622" t="str">
        <f>IFERROR(VLOOKUP(D622,'Team Data'!C:AB,7,FALSE),"")</f>
        <v/>
      </c>
      <c r="I622" t="str">
        <f>IFERROR(VLOOKUP(D622,'Team Data'!C:AB,14,FALSE),"")</f>
        <v/>
      </c>
      <c r="J622" t="str">
        <f>IFERROR(VLOOKUP(D622,'Team Data'!C:AB,8,FALSE),"")</f>
        <v/>
      </c>
      <c r="K622" t="str">
        <f>IFERROR(VLOOKUP(D622,'Team Data'!C:AB,9,FALSE),"")</f>
        <v/>
      </c>
      <c r="L622" t="str">
        <f>IFERROR(VLOOKUP(D622,'Team Data'!C:AB,10,FALSE),"")</f>
        <v/>
      </c>
      <c r="M622" t="str">
        <f t="shared" si="20"/>
        <v/>
      </c>
      <c r="N622" t="str">
        <f>IFERROR(VLOOKUP(D622,'Team Data'!C:AB,23,FALSE),"")</f>
        <v/>
      </c>
      <c r="O622" t="str">
        <f>IFERROR(VLOOKUP(D622,'Team Data'!C:AB,22,FALSE),"")</f>
        <v/>
      </c>
      <c r="P622" t="str">
        <f t="shared" si="21"/>
        <v/>
      </c>
      <c r="Q622" t="str">
        <f>IFERROR(VLOOKUP(D622,'Team Data'!C:AB,15,FALSE),"")</f>
        <v/>
      </c>
      <c r="R622" t="str">
        <f>IFERROR(VLOOKUP('OB Format'!D622,'Team Data'!C:AB,24,FALSE),"")</f>
        <v/>
      </c>
      <c r="S622" t="str">
        <f>IFERROR(VLOOKUP('OB Format'!D622,'Team Data'!C:AC,25,FALSE),"")</f>
        <v/>
      </c>
    </row>
    <row r="623" spans="5:19" x14ac:dyDescent="0.25">
      <c r="E623" t="str">
        <f>IFERROR(VLOOKUP(D623,'Team Data'!C:AB,4,FALSE),"")</f>
        <v/>
      </c>
      <c r="F623" t="str">
        <f>IFERROR(VLOOKUP(D623,'Team Data'!C:AB,5,FALSE),"")</f>
        <v/>
      </c>
      <c r="G623" t="str">
        <f>IFERROR(VLOOKUP('OB Format'!D623,'Team Data'!C:AB,17,FALSE),"")</f>
        <v/>
      </c>
      <c r="H623" t="str">
        <f>IFERROR(VLOOKUP(D623,'Team Data'!C:AB,7,FALSE),"")</f>
        <v/>
      </c>
      <c r="I623" t="str">
        <f>IFERROR(VLOOKUP(D623,'Team Data'!C:AB,14,FALSE),"")</f>
        <v/>
      </c>
      <c r="J623" t="str">
        <f>IFERROR(VLOOKUP(D623,'Team Data'!C:AB,8,FALSE),"")</f>
        <v/>
      </c>
      <c r="K623" t="str">
        <f>IFERROR(VLOOKUP(D623,'Team Data'!C:AB,9,FALSE),"")</f>
        <v/>
      </c>
      <c r="L623" t="str">
        <f>IFERROR(VLOOKUP(D623,'Team Data'!C:AB,10,FALSE),"")</f>
        <v/>
      </c>
      <c r="M623" t="str">
        <f t="shared" si="20"/>
        <v/>
      </c>
      <c r="N623" t="str">
        <f>IFERROR(VLOOKUP(D623,'Team Data'!C:AB,23,FALSE),"")</f>
        <v/>
      </c>
      <c r="O623" t="str">
        <f>IFERROR(VLOOKUP(D623,'Team Data'!C:AB,22,FALSE),"")</f>
        <v/>
      </c>
      <c r="P623" t="str">
        <f t="shared" si="21"/>
        <v/>
      </c>
      <c r="Q623" t="str">
        <f>IFERROR(VLOOKUP(D623,'Team Data'!C:AB,15,FALSE),"")</f>
        <v/>
      </c>
      <c r="R623" t="str">
        <f>IFERROR(VLOOKUP('OB Format'!D623,'Team Data'!C:AB,24,FALSE),"")</f>
        <v/>
      </c>
      <c r="S623" t="str">
        <f>IFERROR(VLOOKUP('OB Format'!D623,'Team Data'!C:AC,25,FALSE),"")</f>
        <v/>
      </c>
    </row>
    <row r="624" spans="5:19" x14ac:dyDescent="0.25">
      <c r="E624" t="str">
        <f>IFERROR(VLOOKUP(D624,'Team Data'!C:AB,4,FALSE),"")</f>
        <v/>
      </c>
      <c r="F624" t="str">
        <f>IFERROR(VLOOKUP(D624,'Team Data'!C:AB,5,FALSE),"")</f>
        <v/>
      </c>
      <c r="G624" t="str">
        <f>IFERROR(VLOOKUP('OB Format'!D624,'Team Data'!C:AB,17,FALSE),"")</f>
        <v/>
      </c>
      <c r="H624" t="str">
        <f>IFERROR(VLOOKUP(D624,'Team Data'!C:AB,7,FALSE),"")</f>
        <v/>
      </c>
      <c r="I624" t="str">
        <f>IFERROR(VLOOKUP(D624,'Team Data'!C:AB,14,FALSE),"")</f>
        <v/>
      </c>
      <c r="J624" t="str">
        <f>IFERROR(VLOOKUP(D624,'Team Data'!C:AB,8,FALSE),"")</f>
        <v/>
      </c>
      <c r="K624" t="str">
        <f>IFERROR(VLOOKUP(D624,'Team Data'!C:AB,9,FALSE),"")</f>
        <v/>
      </c>
      <c r="L624" t="str">
        <f>IFERROR(VLOOKUP(D624,'Team Data'!C:AB,10,FALSE),"")</f>
        <v/>
      </c>
      <c r="M624" t="str">
        <f t="shared" si="20"/>
        <v/>
      </c>
      <c r="N624" t="str">
        <f>IFERROR(VLOOKUP(D624,'Team Data'!C:AB,23,FALSE),"")</f>
        <v/>
      </c>
      <c r="O624" t="str">
        <f>IFERROR(VLOOKUP(D624,'Team Data'!C:AB,22,FALSE),"")</f>
        <v/>
      </c>
      <c r="P624" t="str">
        <f t="shared" si="21"/>
        <v/>
      </c>
      <c r="Q624" t="str">
        <f>IFERROR(VLOOKUP(D624,'Team Data'!C:AB,15,FALSE),"")</f>
        <v/>
      </c>
      <c r="R624" t="str">
        <f>IFERROR(VLOOKUP('OB Format'!D624,'Team Data'!C:AB,24,FALSE),"")</f>
        <v/>
      </c>
      <c r="S624" t="str">
        <f>IFERROR(VLOOKUP('OB Format'!D624,'Team Data'!C:AC,25,FALSE),"")</f>
        <v/>
      </c>
    </row>
    <row r="625" spans="5:19" x14ac:dyDescent="0.25">
      <c r="E625" t="str">
        <f>IFERROR(VLOOKUP(D625,'Team Data'!C:AB,4,FALSE),"")</f>
        <v/>
      </c>
      <c r="F625" t="str">
        <f>IFERROR(VLOOKUP(D625,'Team Data'!C:AB,5,FALSE),"")</f>
        <v/>
      </c>
      <c r="G625" t="str">
        <f>IFERROR(VLOOKUP('OB Format'!D625,'Team Data'!C:AB,17,FALSE),"")</f>
        <v/>
      </c>
      <c r="H625" t="str">
        <f>IFERROR(VLOOKUP(D625,'Team Data'!C:AB,7,FALSE),"")</f>
        <v/>
      </c>
      <c r="I625" t="str">
        <f>IFERROR(VLOOKUP(D625,'Team Data'!C:AB,14,FALSE),"")</f>
        <v/>
      </c>
      <c r="J625" t="str">
        <f>IFERROR(VLOOKUP(D625,'Team Data'!C:AB,8,FALSE),"")</f>
        <v/>
      </c>
      <c r="K625" t="str">
        <f>IFERROR(VLOOKUP(D625,'Team Data'!C:AB,9,FALSE),"")</f>
        <v/>
      </c>
      <c r="L625" t="str">
        <f>IFERROR(VLOOKUP(D625,'Team Data'!C:AB,10,FALSE),"")</f>
        <v/>
      </c>
      <c r="M625" t="str">
        <f t="shared" si="20"/>
        <v/>
      </c>
      <c r="N625" t="str">
        <f>IFERROR(VLOOKUP(D625,'Team Data'!C:AB,23,FALSE),"")</f>
        <v/>
      </c>
      <c r="O625" t="str">
        <f>IFERROR(VLOOKUP(D625,'Team Data'!C:AB,22,FALSE),"")</f>
        <v/>
      </c>
      <c r="P625" t="str">
        <f t="shared" si="21"/>
        <v/>
      </c>
      <c r="Q625" t="str">
        <f>IFERROR(VLOOKUP(D625,'Team Data'!C:AB,15,FALSE),"")</f>
        <v/>
      </c>
      <c r="R625" t="str">
        <f>IFERROR(VLOOKUP('OB Format'!D625,'Team Data'!C:AB,24,FALSE),"")</f>
        <v/>
      </c>
      <c r="S625" t="str">
        <f>IFERROR(VLOOKUP('OB Format'!D625,'Team Data'!C:AC,25,FALSE),"")</f>
        <v/>
      </c>
    </row>
    <row r="626" spans="5:19" x14ac:dyDescent="0.25">
      <c r="E626" t="str">
        <f>IFERROR(VLOOKUP(D626,'Team Data'!C:AB,4,FALSE),"")</f>
        <v/>
      </c>
      <c r="F626" t="str">
        <f>IFERROR(VLOOKUP(D626,'Team Data'!C:AB,5,FALSE),"")</f>
        <v/>
      </c>
      <c r="G626" t="str">
        <f>IFERROR(VLOOKUP('OB Format'!D626,'Team Data'!C:AB,17,FALSE),"")</f>
        <v/>
      </c>
      <c r="H626" t="str">
        <f>IFERROR(VLOOKUP(D626,'Team Data'!C:AB,7,FALSE),"")</f>
        <v/>
      </c>
      <c r="I626" t="str">
        <f>IFERROR(VLOOKUP(D626,'Team Data'!C:AB,14,FALSE),"")</f>
        <v/>
      </c>
      <c r="J626" t="str">
        <f>IFERROR(VLOOKUP(D626,'Team Data'!C:AB,8,FALSE),"")</f>
        <v/>
      </c>
      <c r="K626" t="str">
        <f>IFERROR(VLOOKUP(D626,'Team Data'!C:AB,9,FALSE),"")</f>
        <v/>
      </c>
      <c r="L626" t="str">
        <f>IFERROR(VLOOKUP(D626,'Team Data'!C:AB,10,FALSE),"")</f>
        <v/>
      </c>
      <c r="M626" t="str">
        <f t="shared" si="20"/>
        <v/>
      </c>
      <c r="N626" t="str">
        <f>IFERROR(VLOOKUP(D626,'Team Data'!C:AB,23,FALSE),"")</f>
        <v/>
      </c>
      <c r="O626" t="str">
        <f>IFERROR(VLOOKUP(D626,'Team Data'!C:AB,22,FALSE),"")</f>
        <v/>
      </c>
      <c r="P626" t="str">
        <f t="shared" si="21"/>
        <v/>
      </c>
      <c r="Q626" t="str">
        <f>IFERROR(VLOOKUP(D626,'Team Data'!C:AB,15,FALSE),"")</f>
        <v/>
      </c>
      <c r="R626" t="str">
        <f>IFERROR(VLOOKUP('OB Format'!D626,'Team Data'!C:AB,24,FALSE),"")</f>
        <v/>
      </c>
      <c r="S626" t="str">
        <f>IFERROR(VLOOKUP('OB Format'!D626,'Team Data'!C:AC,25,FALSE),"")</f>
        <v/>
      </c>
    </row>
    <row r="627" spans="5:19" x14ac:dyDescent="0.25">
      <c r="E627" t="str">
        <f>IFERROR(VLOOKUP(D627,'Team Data'!C:AB,4,FALSE),"")</f>
        <v/>
      </c>
      <c r="F627" t="str">
        <f>IFERROR(VLOOKUP(D627,'Team Data'!C:AB,5,FALSE),"")</f>
        <v/>
      </c>
      <c r="G627" t="str">
        <f>IFERROR(VLOOKUP('OB Format'!D627,'Team Data'!C:AB,17,FALSE),"")</f>
        <v/>
      </c>
      <c r="H627" t="str">
        <f>IFERROR(VLOOKUP(D627,'Team Data'!C:AB,7,FALSE),"")</f>
        <v/>
      </c>
      <c r="I627" t="str">
        <f>IFERROR(VLOOKUP(D627,'Team Data'!C:AB,14,FALSE),"")</f>
        <v/>
      </c>
      <c r="J627" t="str">
        <f>IFERROR(VLOOKUP(D627,'Team Data'!C:AB,8,FALSE),"")</f>
        <v/>
      </c>
      <c r="K627" t="str">
        <f>IFERROR(VLOOKUP(D627,'Team Data'!C:AB,9,FALSE),"")</f>
        <v/>
      </c>
      <c r="L627" t="str">
        <f>IFERROR(VLOOKUP(D627,'Team Data'!C:AB,10,FALSE),"")</f>
        <v/>
      </c>
      <c r="M627" t="str">
        <f t="shared" si="20"/>
        <v/>
      </c>
      <c r="N627" t="str">
        <f>IFERROR(VLOOKUP(D627,'Team Data'!C:AB,23,FALSE),"")</f>
        <v/>
      </c>
      <c r="O627" t="str">
        <f>IFERROR(VLOOKUP(D627,'Team Data'!C:AB,22,FALSE),"")</f>
        <v/>
      </c>
      <c r="P627" t="str">
        <f t="shared" si="21"/>
        <v/>
      </c>
      <c r="Q627" t="str">
        <f>IFERROR(VLOOKUP(D627,'Team Data'!C:AB,15,FALSE),"")</f>
        <v/>
      </c>
      <c r="R627" t="str">
        <f>IFERROR(VLOOKUP('OB Format'!D627,'Team Data'!C:AB,24,FALSE),"")</f>
        <v/>
      </c>
      <c r="S627" t="str">
        <f>IFERROR(VLOOKUP('OB Format'!D627,'Team Data'!C:AC,25,FALSE),"")</f>
        <v/>
      </c>
    </row>
    <row r="628" spans="5:19" x14ac:dyDescent="0.25">
      <c r="E628" t="str">
        <f>IFERROR(VLOOKUP(D628,'Team Data'!C:AB,4,FALSE),"")</f>
        <v/>
      </c>
      <c r="F628" t="str">
        <f>IFERROR(VLOOKUP(D628,'Team Data'!C:AB,5,FALSE),"")</f>
        <v/>
      </c>
      <c r="G628" t="str">
        <f>IFERROR(VLOOKUP('OB Format'!D628,'Team Data'!C:AB,17,FALSE),"")</f>
        <v/>
      </c>
      <c r="H628" t="str">
        <f>IFERROR(VLOOKUP(D628,'Team Data'!C:AB,7,FALSE),"")</f>
        <v/>
      </c>
      <c r="I628" t="str">
        <f>IFERROR(VLOOKUP(D628,'Team Data'!C:AB,14,FALSE),"")</f>
        <v/>
      </c>
      <c r="J628" t="str">
        <f>IFERROR(VLOOKUP(D628,'Team Data'!C:AB,8,FALSE),"")</f>
        <v/>
      </c>
      <c r="K628" t="str">
        <f>IFERROR(VLOOKUP(D628,'Team Data'!C:AB,9,FALSE),"")</f>
        <v/>
      </c>
      <c r="L628" t="str">
        <f>IFERROR(VLOOKUP(D628,'Team Data'!C:AB,10,FALSE),"")</f>
        <v/>
      </c>
      <c r="M628" t="str">
        <f t="shared" si="20"/>
        <v/>
      </c>
      <c r="N628" t="str">
        <f>IFERROR(VLOOKUP(D628,'Team Data'!C:AB,23,FALSE),"")</f>
        <v/>
      </c>
      <c r="O628" t="str">
        <f>IFERROR(VLOOKUP(D628,'Team Data'!C:AB,22,FALSE),"")</f>
        <v/>
      </c>
      <c r="P628" t="str">
        <f t="shared" si="21"/>
        <v/>
      </c>
      <c r="Q628" t="str">
        <f>IFERROR(VLOOKUP(D628,'Team Data'!C:AB,15,FALSE),"")</f>
        <v/>
      </c>
      <c r="R628" t="str">
        <f>IFERROR(VLOOKUP('OB Format'!D628,'Team Data'!C:AB,24,FALSE),"")</f>
        <v/>
      </c>
      <c r="S628" t="str">
        <f>IFERROR(VLOOKUP('OB Format'!D628,'Team Data'!C:AC,25,FALSE),"")</f>
        <v/>
      </c>
    </row>
    <row r="629" spans="5:19" x14ac:dyDescent="0.25">
      <c r="E629" t="str">
        <f>IFERROR(VLOOKUP(D629,'Team Data'!C:AB,4,FALSE),"")</f>
        <v/>
      </c>
      <c r="F629" t="str">
        <f>IFERROR(VLOOKUP(D629,'Team Data'!C:AB,5,FALSE),"")</f>
        <v/>
      </c>
      <c r="G629" t="str">
        <f>IFERROR(VLOOKUP('OB Format'!D629,'Team Data'!C:AB,17,FALSE),"")</f>
        <v/>
      </c>
      <c r="H629" t="str">
        <f>IFERROR(VLOOKUP(D629,'Team Data'!C:AB,7,FALSE),"")</f>
        <v/>
      </c>
      <c r="I629" t="str">
        <f>IFERROR(VLOOKUP(D629,'Team Data'!C:AB,14,FALSE),"")</f>
        <v/>
      </c>
      <c r="J629" t="str">
        <f>IFERROR(VLOOKUP(D629,'Team Data'!C:AB,8,FALSE),"")</f>
        <v/>
      </c>
      <c r="K629" t="str">
        <f>IFERROR(VLOOKUP(D629,'Team Data'!C:AB,9,FALSE),"")</f>
        <v/>
      </c>
      <c r="L629" t="str">
        <f>IFERROR(VLOOKUP(D629,'Team Data'!C:AB,10,FALSE),"")</f>
        <v/>
      </c>
      <c r="M629" t="str">
        <f t="shared" si="20"/>
        <v/>
      </c>
      <c r="N629" t="str">
        <f>IFERROR(VLOOKUP(D629,'Team Data'!C:AB,23,FALSE),"")</f>
        <v/>
      </c>
      <c r="O629" t="str">
        <f>IFERROR(VLOOKUP(D629,'Team Data'!C:AB,22,FALSE),"")</f>
        <v/>
      </c>
      <c r="P629" t="str">
        <f t="shared" si="21"/>
        <v/>
      </c>
      <c r="Q629" t="str">
        <f>IFERROR(VLOOKUP(D629,'Team Data'!C:AB,15,FALSE),"")</f>
        <v/>
      </c>
      <c r="R629" t="str">
        <f>IFERROR(VLOOKUP('OB Format'!D629,'Team Data'!C:AB,24,FALSE),"")</f>
        <v/>
      </c>
      <c r="S629" t="str">
        <f>IFERROR(VLOOKUP('OB Format'!D629,'Team Data'!C:AC,25,FALSE),"")</f>
        <v/>
      </c>
    </row>
    <row r="630" spans="5:19" x14ac:dyDescent="0.25">
      <c r="E630" t="str">
        <f>IFERROR(VLOOKUP(D630,'Team Data'!C:AB,4,FALSE),"")</f>
        <v/>
      </c>
      <c r="F630" t="str">
        <f>IFERROR(VLOOKUP(D630,'Team Data'!C:AB,5,FALSE),"")</f>
        <v/>
      </c>
      <c r="G630" t="str">
        <f>IFERROR(VLOOKUP('OB Format'!D630,'Team Data'!C:AB,17,FALSE),"")</f>
        <v/>
      </c>
      <c r="H630" t="str">
        <f>IFERROR(VLOOKUP(D630,'Team Data'!C:AB,7,FALSE),"")</f>
        <v/>
      </c>
      <c r="I630" t="str">
        <f>IFERROR(VLOOKUP(D630,'Team Data'!C:AB,14,FALSE),"")</f>
        <v/>
      </c>
      <c r="J630" t="str">
        <f>IFERROR(VLOOKUP(D630,'Team Data'!C:AB,8,FALSE),"")</f>
        <v/>
      </c>
      <c r="K630" t="str">
        <f>IFERROR(VLOOKUP(D630,'Team Data'!C:AB,9,FALSE),"")</f>
        <v/>
      </c>
      <c r="L630" t="str">
        <f>IFERROR(VLOOKUP(D630,'Team Data'!C:AB,10,FALSE),"")</f>
        <v/>
      </c>
      <c r="M630" t="str">
        <f t="shared" si="20"/>
        <v/>
      </c>
      <c r="N630" t="str">
        <f>IFERROR(VLOOKUP(D630,'Team Data'!C:AB,23,FALSE),"")</f>
        <v/>
      </c>
      <c r="O630" t="str">
        <f>IFERROR(VLOOKUP(D630,'Team Data'!C:AB,22,FALSE),"")</f>
        <v/>
      </c>
      <c r="P630" t="str">
        <f t="shared" si="21"/>
        <v/>
      </c>
      <c r="Q630" t="str">
        <f>IFERROR(VLOOKUP(D630,'Team Data'!C:AB,15,FALSE),"")</f>
        <v/>
      </c>
      <c r="R630" t="str">
        <f>IFERROR(VLOOKUP('OB Format'!D630,'Team Data'!C:AB,24,FALSE),"")</f>
        <v/>
      </c>
      <c r="S630" t="str">
        <f>IFERROR(VLOOKUP('OB Format'!D630,'Team Data'!C:AC,25,FALSE),"")</f>
        <v/>
      </c>
    </row>
    <row r="631" spans="5:19" x14ac:dyDescent="0.25">
      <c r="E631" t="str">
        <f>IFERROR(VLOOKUP(D631,'Team Data'!C:AB,4,FALSE),"")</f>
        <v/>
      </c>
      <c r="F631" t="str">
        <f>IFERROR(VLOOKUP(D631,'Team Data'!C:AB,5,FALSE),"")</f>
        <v/>
      </c>
      <c r="G631" t="str">
        <f>IFERROR(VLOOKUP('OB Format'!D631,'Team Data'!C:AB,17,FALSE),"")</f>
        <v/>
      </c>
      <c r="H631" t="str">
        <f>IFERROR(VLOOKUP(D631,'Team Data'!C:AB,7,FALSE),"")</f>
        <v/>
      </c>
      <c r="I631" t="str">
        <f>IFERROR(VLOOKUP(D631,'Team Data'!C:AB,14,FALSE),"")</f>
        <v/>
      </c>
      <c r="J631" t="str">
        <f>IFERROR(VLOOKUP(D631,'Team Data'!C:AB,8,FALSE),"")</f>
        <v/>
      </c>
      <c r="K631" t="str">
        <f>IFERROR(VLOOKUP(D631,'Team Data'!C:AB,9,FALSE),"")</f>
        <v/>
      </c>
      <c r="L631" t="str">
        <f>IFERROR(VLOOKUP(D631,'Team Data'!C:AB,10,FALSE),"")</f>
        <v/>
      </c>
      <c r="M631" t="str">
        <f t="shared" si="20"/>
        <v/>
      </c>
      <c r="N631" t="str">
        <f>IFERROR(VLOOKUP(D631,'Team Data'!C:AB,23,FALSE),"")</f>
        <v/>
      </c>
      <c r="O631" t="str">
        <f>IFERROR(VLOOKUP(D631,'Team Data'!C:AB,22,FALSE),"")</f>
        <v/>
      </c>
      <c r="P631" t="str">
        <f t="shared" si="21"/>
        <v/>
      </c>
      <c r="Q631" t="str">
        <f>IFERROR(VLOOKUP(D631,'Team Data'!C:AB,15,FALSE),"")</f>
        <v/>
      </c>
      <c r="R631" t="str">
        <f>IFERROR(VLOOKUP('OB Format'!D631,'Team Data'!C:AB,24,FALSE),"")</f>
        <v/>
      </c>
      <c r="S631" t="str">
        <f>IFERROR(VLOOKUP('OB Format'!D631,'Team Data'!C:AC,25,FALSE),"")</f>
        <v/>
      </c>
    </row>
    <row r="632" spans="5:19" x14ac:dyDescent="0.25">
      <c r="E632" t="str">
        <f>IFERROR(VLOOKUP(D632,'Team Data'!C:AB,4,FALSE),"")</f>
        <v/>
      </c>
      <c r="F632" t="str">
        <f>IFERROR(VLOOKUP(D632,'Team Data'!C:AB,5,FALSE),"")</f>
        <v/>
      </c>
      <c r="G632" t="str">
        <f>IFERROR(VLOOKUP('OB Format'!D632,'Team Data'!C:AB,17,FALSE),"")</f>
        <v/>
      </c>
      <c r="H632" t="str">
        <f>IFERROR(VLOOKUP(D632,'Team Data'!C:AB,7,FALSE),"")</f>
        <v/>
      </c>
      <c r="I632" t="str">
        <f>IFERROR(VLOOKUP(D632,'Team Data'!C:AB,14,FALSE),"")</f>
        <v/>
      </c>
      <c r="J632" t="str">
        <f>IFERROR(VLOOKUP(D632,'Team Data'!C:AB,8,FALSE),"")</f>
        <v/>
      </c>
      <c r="K632" t="str">
        <f>IFERROR(VLOOKUP(D632,'Team Data'!C:AB,9,FALSE),"")</f>
        <v/>
      </c>
      <c r="L632" t="str">
        <f>IFERROR(VLOOKUP(D632,'Team Data'!C:AB,10,FALSE),"")</f>
        <v/>
      </c>
      <c r="M632" t="str">
        <f t="shared" si="20"/>
        <v/>
      </c>
      <c r="N632" t="str">
        <f>IFERROR(VLOOKUP(D632,'Team Data'!C:AB,23,FALSE),"")</f>
        <v/>
      </c>
      <c r="O632" t="str">
        <f>IFERROR(VLOOKUP(D632,'Team Data'!C:AB,22,FALSE),"")</f>
        <v/>
      </c>
      <c r="P632" t="str">
        <f t="shared" si="21"/>
        <v/>
      </c>
      <c r="Q632" t="str">
        <f>IFERROR(VLOOKUP(D632,'Team Data'!C:AB,15,FALSE),"")</f>
        <v/>
      </c>
      <c r="R632" t="str">
        <f>IFERROR(VLOOKUP('OB Format'!D632,'Team Data'!C:AB,24,FALSE),"")</f>
        <v/>
      </c>
      <c r="S632" t="str">
        <f>IFERROR(VLOOKUP('OB Format'!D632,'Team Data'!C:AC,25,FALSE),"")</f>
        <v/>
      </c>
    </row>
    <row r="633" spans="5:19" x14ac:dyDescent="0.25">
      <c r="E633" t="str">
        <f>IFERROR(VLOOKUP(D633,'Team Data'!C:AB,4,FALSE),"")</f>
        <v/>
      </c>
      <c r="F633" t="str">
        <f>IFERROR(VLOOKUP(D633,'Team Data'!C:AB,5,FALSE),"")</f>
        <v/>
      </c>
      <c r="G633" t="str">
        <f>IFERROR(VLOOKUP('OB Format'!D633,'Team Data'!C:AB,17,FALSE),"")</f>
        <v/>
      </c>
      <c r="H633" t="str">
        <f>IFERROR(VLOOKUP(D633,'Team Data'!C:AB,7,FALSE),"")</f>
        <v/>
      </c>
      <c r="I633" t="str">
        <f>IFERROR(VLOOKUP(D633,'Team Data'!C:AB,14,FALSE),"")</f>
        <v/>
      </c>
      <c r="J633" t="str">
        <f>IFERROR(VLOOKUP(D633,'Team Data'!C:AB,8,FALSE),"")</f>
        <v/>
      </c>
      <c r="K633" t="str">
        <f>IFERROR(VLOOKUP(D633,'Team Data'!C:AB,9,FALSE),"")</f>
        <v/>
      </c>
      <c r="L633" t="str">
        <f>IFERROR(VLOOKUP(D633,'Team Data'!C:AB,10,FALSE),"")</f>
        <v/>
      </c>
      <c r="M633" t="str">
        <f t="shared" si="20"/>
        <v/>
      </c>
      <c r="N633" t="str">
        <f>IFERROR(VLOOKUP(D633,'Team Data'!C:AB,23,FALSE),"")</f>
        <v/>
      </c>
      <c r="O633" t="str">
        <f>IFERROR(VLOOKUP(D633,'Team Data'!C:AB,22,FALSE),"")</f>
        <v/>
      </c>
      <c r="P633" t="str">
        <f t="shared" si="21"/>
        <v/>
      </c>
      <c r="Q633" t="str">
        <f>IFERROR(VLOOKUP(D633,'Team Data'!C:AB,15,FALSE),"")</f>
        <v/>
      </c>
      <c r="R633" t="str">
        <f>IFERROR(VLOOKUP('OB Format'!D633,'Team Data'!C:AB,24,FALSE),"")</f>
        <v/>
      </c>
      <c r="S633" t="str">
        <f>IFERROR(VLOOKUP('OB Format'!D633,'Team Data'!C:AC,25,FALSE),"")</f>
        <v/>
      </c>
    </row>
    <row r="634" spans="5:19" x14ac:dyDescent="0.25">
      <c r="E634" t="str">
        <f>IFERROR(VLOOKUP(D634,'Team Data'!C:AB,4,FALSE),"")</f>
        <v/>
      </c>
      <c r="F634" t="str">
        <f>IFERROR(VLOOKUP(D634,'Team Data'!C:AB,5,FALSE),"")</f>
        <v/>
      </c>
      <c r="G634" t="str">
        <f>IFERROR(VLOOKUP('OB Format'!D634,'Team Data'!C:AB,17,FALSE),"")</f>
        <v/>
      </c>
      <c r="H634" t="str">
        <f>IFERROR(VLOOKUP(D634,'Team Data'!C:AB,7,FALSE),"")</f>
        <v/>
      </c>
      <c r="I634" t="str">
        <f>IFERROR(VLOOKUP(D634,'Team Data'!C:AB,14,FALSE),"")</f>
        <v/>
      </c>
      <c r="J634" t="str">
        <f>IFERROR(VLOOKUP(D634,'Team Data'!C:AB,8,FALSE),"")</f>
        <v/>
      </c>
      <c r="K634" t="str">
        <f>IFERROR(VLOOKUP(D634,'Team Data'!C:AB,9,FALSE),"")</f>
        <v/>
      </c>
      <c r="L634" t="str">
        <f>IFERROR(VLOOKUP(D634,'Team Data'!C:AB,10,FALSE),"")</f>
        <v/>
      </c>
      <c r="M634" t="str">
        <f t="shared" si="20"/>
        <v/>
      </c>
      <c r="N634" t="str">
        <f>IFERROR(VLOOKUP(D634,'Team Data'!C:AB,23,FALSE),"")</f>
        <v/>
      </c>
      <c r="O634" t="str">
        <f>IFERROR(VLOOKUP(D634,'Team Data'!C:AB,22,FALSE),"")</f>
        <v/>
      </c>
      <c r="P634" t="str">
        <f t="shared" si="21"/>
        <v/>
      </c>
      <c r="Q634" t="str">
        <f>IFERROR(VLOOKUP(D634,'Team Data'!C:AB,15,FALSE),"")</f>
        <v/>
      </c>
      <c r="R634" t="str">
        <f>IFERROR(VLOOKUP('OB Format'!D634,'Team Data'!C:AB,24,FALSE),"")</f>
        <v/>
      </c>
      <c r="S634" t="str">
        <f>IFERROR(VLOOKUP('OB Format'!D634,'Team Data'!C:AC,25,FALSE),"")</f>
        <v/>
      </c>
    </row>
    <row r="635" spans="5:19" x14ac:dyDescent="0.25">
      <c r="E635" t="str">
        <f>IFERROR(VLOOKUP(D635,'Team Data'!C:AB,4,FALSE),"")</f>
        <v/>
      </c>
      <c r="F635" t="str">
        <f>IFERROR(VLOOKUP(D635,'Team Data'!C:AB,5,FALSE),"")</f>
        <v/>
      </c>
      <c r="G635" t="str">
        <f>IFERROR(VLOOKUP('OB Format'!D635,'Team Data'!C:AB,17,FALSE),"")</f>
        <v/>
      </c>
      <c r="H635" t="str">
        <f>IFERROR(VLOOKUP(D635,'Team Data'!C:AB,7,FALSE),"")</f>
        <v/>
      </c>
      <c r="I635" t="str">
        <f>IFERROR(VLOOKUP(D635,'Team Data'!C:AB,14,FALSE),"")</f>
        <v/>
      </c>
      <c r="J635" t="str">
        <f>IFERROR(VLOOKUP(D635,'Team Data'!C:AB,8,FALSE),"")</f>
        <v/>
      </c>
      <c r="K635" t="str">
        <f>IFERROR(VLOOKUP(D635,'Team Data'!C:AB,9,FALSE),"")</f>
        <v/>
      </c>
      <c r="L635" t="str">
        <f>IFERROR(VLOOKUP(D635,'Team Data'!C:AB,10,FALSE),"")</f>
        <v/>
      </c>
      <c r="M635" t="str">
        <f t="shared" si="20"/>
        <v/>
      </c>
      <c r="N635" t="str">
        <f>IFERROR(VLOOKUP(D635,'Team Data'!C:AB,23,FALSE),"")</f>
        <v/>
      </c>
      <c r="O635" t="str">
        <f>IFERROR(VLOOKUP(D635,'Team Data'!C:AB,22,FALSE),"")</f>
        <v/>
      </c>
      <c r="P635" t="str">
        <f t="shared" si="21"/>
        <v/>
      </c>
      <c r="Q635" t="str">
        <f>IFERROR(VLOOKUP(D635,'Team Data'!C:AB,15,FALSE),"")</f>
        <v/>
      </c>
      <c r="R635" t="str">
        <f>IFERROR(VLOOKUP('OB Format'!D635,'Team Data'!C:AB,24,FALSE),"")</f>
        <v/>
      </c>
      <c r="S635" t="str">
        <f>IFERROR(VLOOKUP('OB Format'!D635,'Team Data'!C:AC,25,FALSE),"")</f>
        <v/>
      </c>
    </row>
    <row r="636" spans="5:19" x14ac:dyDescent="0.25">
      <c r="E636" t="str">
        <f>IFERROR(VLOOKUP(D636,'Team Data'!C:AB,4,FALSE),"")</f>
        <v/>
      </c>
      <c r="F636" t="str">
        <f>IFERROR(VLOOKUP(D636,'Team Data'!C:AB,5,FALSE),"")</f>
        <v/>
      </c>
      <c r="G636" t="str">
        <f>IFERROR(VLOOKUP('OB Format'!D636,'Team Data'!C:AB,17,FALSE),"")</f>
        <v/>
      </c>
      <c r="H636" t="str">
        <f>IFERROR(VLOOKUP(D636,'Team Data'!C:AB,7,FALSE),"")</f>
        <v/>
      </c>
      <c r="I636" t="str">
        <f>IFERROR(VLOOKUP(D636,'Team Data'!C:AB,14,FALSE),"")</f>
        <v/>
      </c>
      <c r="J636" t="str">
        <f>IFERROR(VLOOKUP(D636,'Team Data'!C:AB,8,FALSE),"")</f>
        <v/>
      </c>
      <c r="K636" t="str">
        <f>IFERROR(VLOOKUP(D636,'Team Data'!C:AB,9,FALSE),"")</f>
        <v/>
      </c>
      <c r="L636" t="str">
        <f>IFERROR(VLOOKUP(D636,'Team Data'!C:AB,10,FALSE),"")</f>
        <v/>
      </c>
      <c r="M636" t="str">
        <f t="shared" si="20"/>
        <v/>
      </c>
      <c r="N636" t="str">
        <f>IFERROR(VLOOKUP(D636,'Team Data'!C:AB,23,FALSE),"")</f>
        <v/>
      </c>
      <c r="O636" t="str">
        <f>IFERROR(VLOOKUP(D636,'Team Data'!C:AB,22,FALSE),"")</f>
        <v/>
      </c>
      <c r="P636" t="str">
        <f t="shared" si="21"/>
        <v/>
      </c>
      <c r="Q636" t="str">
        <f>IFERROR(VLOOKUP(D636,'Team Data'!C:AB,15,FALSE),"")</f>
        <v/>
      </c>
      <c r="R636" t="str">
        <f>IFERROR(VLOOKUP('OB Format'!D636,'Team Data'!C:AB,24,FALSE),"")</f>
        <v/>
      </c>
      <c r="S636" t="str">
        <f>IFERROR(VLOOKUP('OB Format'!D636,'Team Data'!C:AC,25,FALSE),"")</f>
        <v/>
      </c>
    </row>
    <row r="637" spans="5:19" x14ac:dyDescent="0.25">
      <c r="E637" t="str">
        <f>IFERROR(VLOOKUP(D637,'Team Data'!C:AB,4,FALSE),"")</f>
        <v/>
      </c>
      <c r="F637" t="str">
        <f>IFERROR(VLOOKUP(D637,'Team Data'!C:AB,5,FALSE),"")</f>
        <v/>
      </c>
      <c r="G637" t="str">
        <f>IFERROR(VLOOKUP('OB Format'!D637,'Team Data'!C:AB,17,FALSE),"")</f>
        <v/>
      </c>
      <c r="H637" t="str">
        <f>IFERROR(VLOOKUP(D637,'Team Data'!C:AB,7,FALSE),"")</f>
        <v/>
      </c>
      <c r="I637" t="str">
        <f>IFERROR(VLOOKUP(D637,'Team Data'!C:AB,14,FALSE),"")</f>
        <v/>
      </c>
      <c r="J637" t="str">
        <f>IFERROR(VLOOKUP(D637,'Team Data'!C:AB,8,FALSE),"")</f>
        <v/>
      </c>
      <c r="K637" t="str">
        <f>IFERROR(VLOOKUP(D637,'Team Data'!C:AB,9,FALSE),"")</f>
        <v/>
      </c>
      <c r="L637" t="str">
        <f>IFERROR(VLOOKUP(D637,'Team Data'!C:AB,10,FALSE),"")</f>
        <v/>
      </c>
      <c r="M637" t="str">
        <f t="shared" si="20"/>
        <v/>
      </c>
      <c r="N637" t="str">
        <f>IFERROR(VLOOKUP(D637,'Team Data'!C:AB,23,FALSE),"")</f>
        <v/>
      </c>
      <c r="O637" t="str">
        <f>IFERROR(VLOOKUP(D637,'Team Data'!C:AB,22,FALSE),"")</f>
        <v/>
      </c>
      <c r="P637" t="str">
        <f t="shared" si="21"/>
        <v/>
      </c>
      <c r="Q637" t="str">
        <f>IFERROR(VLOOKUP(D637,'Team Data'!C:AB,15,FALSE),"")</f>
        <v/>
      </c>
      <c r="R637" t="str">
        <f>IFERROR(VLOOKUP('OB Format'!D637,'Team Data'!C:AB,24,FALSE),"")</f>
        <v/>
      </c>
      <c r="S637" t="str">
        <f>IFERROR(VLOOKUP('OB Format'!D637,'Team Data'!C:AC,25,FALSE),"")</f>
        <v/>
      </c>
    </row>
    <row r="638" spans="5:19" x14ac:dyDescent="0.25">
      <c r="E638" t="str">
        <f>IFERROR(VLOOKUP(D638,'Team Data'!C:AB,4,FALSE),"")</f>
        <v/>
      </c>
      <c r="F638" t="str">
        <f>IFERROR(VLOOKUP(D638,'Team Data'!C:AB,5,FALSE),"")</f>
        <v/>
      </c>
      <c r="G638" t="str">
        <f>IFERROR(VLOOKUP('OB Format'!D638,'Team Data'!C:AB,17,FALSE),"")</f>
        <v/>
      </c>
      <c r="H638" t="str">
        <f>IFERROR(VLOOKUP(D638,'Team Data'!C:AB,7,FALSE),"")</f>
        <v/>
      </c>
      <c r="I638" t="str">
        <f>IFERROR(VLOOKUP(D638,'Team Data'!C:AB,14,FALSE),"")</f>
        <v/>
      </c>
      <c r="J638" t="str">
        <f>IFERROR(VLOOKUP(D638,'Team Data'!C:AB,8,FALSE),"")</f>
        <v/>
      </c>
      <c r="K638" t="str">
        <f>IFERROR(VLOOKUP(D638,'Team Data'!C:AB,9,FALSE),"")</f>
        <v/>
      </c>
      <c r="L638" t="str">
        <f>IFERROR(VLOOKUP(D638,'Team Data'!C:AB,10,FALSE),"")</f>
        <v/>
      </c>
      <c r="M638" t="str">
        <f t="shared" si="20"/>
        <v/>
      </c>
      <c r="N638" t="str">
        <f>IFERROR(VLOOKUP(D638,'Team Data'!C:AB,23,FALSE),"")</f>
        <v/>
      </c>
      <c r="O638" t="str">
        <f>IFERROR(VLOOKUP(D638,'Team Data'!C:AB,22,FALSE),"")</f>
        <v/>
      </c>
      <c r="P638" t="str">
        <f t="shared" si="21"/>
        <v/>
      </c>
      <c r="Q638" t="str">
        <f>IFERROR(VLOOKUP(D638,'Team Data'!C:AB,15,FALSE),"")</f>
        <v/>
      </c>
      <c r="R638" t="str">
        <f>IFERROR(VLOOKUP('OB Format'!D638,'Team Data'!C:AB,24,FALSE),"")</f>
        <v/>
      </c>
      <c r="S638" t="str">
        <f>IFERROR(VLOOKUP('OB Format'!D638,'Team Data'!C:AC,25,FALSE),"")</f>
        <v/>
      </c>
    </row>
    <row r="639" spans="5:19" x14ac:dyDescent="0.25">
      <c r="E639" t="str">
        <f>IFERROR(VLOOKUP(D639,'Team Data'!C:AB,4,FALSE),"")</f>
        <v/>
      </c>
      <c r="F639" t="str">
        <f>IFERROR(VLOOKUP(D639,'Team Data'!C:AB,5,FALSE),"")</f>
        <v/>
      </c>
      <c r="G639" t="str">
        <f>IFERROR(VLOOKUP('OB Format'!D639,'Team Data'!C:AB,17,FALSE),"")</f>
        <v/>
      </c>
      <c r="H639" t="str">
        <f>IFERROR(VLOOKUP(D639,'Team Data'!C:AB,7,FALSE),"")</f>
        <v/>
      </c>
      <c r="I639" t="str">
        <f>IFERROR(VLOOKUP(D639,'Team Data'!C:AB,14,FALSE),"")</f>
        <v/>
      </c>
      <c r="J639" t="str">
        <f>IFERROR(VLOOKUP(D639,'Team Data'!C:AB,8,FALSE),"")</f>
        <v/>
      </c>
      <c r="K639" t="str">
        <f>IFERROR(VLOOKUP(D639,'Team Data'!C:AB,9,FALSE),"")</f>
        <v/>
      </c>
      <c r="L639" t="str">
        <f>IFERROR(VLOOKUP(D639,'Team Data'!C:AB,10,FALSE),"")</f>
        <v/>
      </c>
      <c r="M639" t="str">
        <f t="shared" si="20"/>
        <v/>
      </c>
      <c r="N639" t="str">
        <f>IFERROR(VLOOKUP(D639,'Team Data'!C:AB,23,FALSE),"")</f>
        <v/>
      </c>
      <c r="O639" t="str">
        <f>IFERROR(VLOOKUP(D639,'Team Data'!C:AB,22,FALSE),"")</f>
        <v/>
      </c>
      <c r="P639" t="str">
        <f t="shared" si="21"/>
        <v/>
      </c>
      <c r="Q639" t="str">
        <f>IFERROR(VLOOKUP(D639,'Team Data'!C:AB,15,FALSE),"")</f>
        <v/>
      </c>
      <c r="R639" t="str">
        <f>IFERROR(VLOOKUP('OB Format'!D639,'Team Data'!C:AB,24,FALSE),"")</f>
        <v/>
      </c>
      <c r="S639" t="str">
        <f>IFERROR(VLOOKUP('OB Format'!D639,'Team Data'!C:AC,25,FALSE),"")</f>
        <v/>
      </c>
    </row>
    <row r="640" spans="5:19" x14ac:dyDescent="0.25">
      <c r="E640" t="str">
        <f>IFERROR(VLOOKUP(D640,'Team Data'!C:AB,4,FALSE),"")</f>
        <v/>
      </c>
      <c r="F640" t="str">
        <f>IFERROR(VLOOKUP(D640,'Team Data'!C:AB,5,FALSE),"")</f>
        <v/>
      </c>
      <c r="G640" t="str">
        <f>IFERROR(VLOOKUP('OB Format'!D640,'Team Data'!C:AB,17,FALSE),"")</f>
        <v/>
      </c>
      <c r="H640" t="str">
        <f>IFERROR(VLOOKUP(D640,'Team Data'!C:AB,7,FALSE),"")</f>
        <v/>
      </c>
      <c r="I640" t="str">
        <f>IFERROR(VLOOKUP(D640,'Team Data'!C:AB,14,FALSE),"")</f>
        <v/>
      </c>
      <c r="J640" t="str">
        <f>IFERROR(VLOOKUP(D640,'Team Data'!C:AB,8,FALSE),"")</f>
        <v/>
      </c>
      <c r="K640" t="str">
        <f>IFERROR(VLOOKUP(D640,'Team Data'!C:AB,9,FALSE),"")</f>
        <v/>
      </c>
      <c r="L640" t="str">
        <f>IFERROR(VLOOKUP(D640,'Team Data'!C:AB,10,FALSE),"")</f>
        <v/>
      </c>
      <c r="M640" t="str">
        <f t="shared" si="20"/>
        <v/>
      </c>
      <c r="N640" t="str">
        <f>IFERROR(VLOOKUP(D640,'Team Data'!C:AB,23,FALSE),"")</f>
        <v/>
      </c>
      <c r="O640" t="str">
        <f>IFERROR(VLOOKUP(D640,'Team Data'!C:AB,22,FALSE),"")</f>
        <v/>
      </c>
      <c r="P640" t="str">
        <f t="shared" si="21"/>
        <v/>
      </c>
      <c r="Q640" t="str">
        <f>IFERROR(VLOOKUP(D640,'Team Data'!C:AB,15,FALSE),"")</f>
        <v/>
      </c>
      <c r="R640" t="str">
        <f>IFERROR(VLOOKUP('OB Format'!D640,'Team Data'!C:AB,24,FALSE),"")</f>
        <v/>
      </c>
      <c r="S640" t="str">
        <f>IFERROR(VLOOKUP('OB Format'!D640,'Team Data'!C:AC,25,FALSE),"")</f>
        <v/>
      </c>
    </row>
    <row r="641" spans="5:19" x14ac:dyDescent="0.25">
      <c r="E641" t="str">
        <f>IFERROR(VLOOKUP(D641,'Team Data'!C:AB,4,FALSE),"")</f>
        <v/>
      </c>
      <c r="F641" t="str">
        <f>IFERROR(VLOOKUP(D641,'Team Data'!C:AB,5,FALSE),"")</f>
        <v/>
      </c>
      <c r="G641" t="str">
        <f>IFERROR(VLOOKUP('OB Format'!D641,'Team Data'!C:AB,17,FALSE),"")</f>
        <v/>
      </c>
      <c r="H641" t="str">
        <f>IFERROR(VLOOKUP(D641,'Team Data'!C:AB,7,FALSE),"")</f>
        <v/>
      </c>
      <c r="I641" t="str">
        <f>IFERROR(VLOOKUP(D641,'Team Data'!C:AB,14,FALSE),"")</f>
        <v/>
      </c>
      <c r="J641" t="str">
        <f>IFERROR(VLOOKUP(D641,'Team Data'!C:AB,8,FALSE),"")</f>
        <v/>
      </c>
      <c r="K641" t="str">
        <f>IFERROR(VLOOKUP(D641,'Team Data'!C:AB,9,FALSE),"")</f>
        <v/>
      </c>
      <c r="L641" t="str">
        <f>IFERROR(VLOOKUP(D641,'Team Data'!C:AB,10,FALSE),"")</f>
        <v/>
      </c>
      <c r="M641" t="str">
        <f t="shared" si="20"/>
        <v/>
      </c>
      <c r="N641" t="str">
        <f>IFERROR(VLOOKUP(D641,'Team Data'!C:AB,23,FALSE),"")</f>
        <v/>
      </c>
      <c r="O641" t="str">
        <f>IFERROR(VLOOKUP(D641,'Team Data'!C:AB,22,FALSE),"")</f>
        <v/>
      </c>
      <c r="P641" t="str">
        <f t="shared" si="21"/>
        <v/>
      </c>
      <c r="Q641" t="str">
        <f>IFERROR(VLOOKUP(D641,'Team Data'!C:AB,15,FALSE),"")</f>
        <v/>
      </c>
      <c r="R641" t="str">
        <f>IFERROR(VLOOKUP('OB Format'!D641,'Team Data'!C:AB,24,FALSE),"")</f>
        <v/>
      </c>
      <c r="S641" t="str">
        <f>IFERROR(VLOOKUP('OB Format'!D641,'Team Data'!C:AC,25,FALSE),"")</f>
        <v/>
      </c>
    </row>
    <row r="642" spans="5:19" x14ac:dyDescent="0.25">
      <c r="E642" t="str">
        <f>IFERROR(VLOOKUP(D642,'Team Data'!C:AB,4,FALSE),"")</f>
        <v/>
      </c>
      <c r="F642" t="str">
        <f>IFERROR(VLOOKUP(D642,'Team Data'!C:AB,5,FALSE),"")</f>
        <v/>
      </c>
      <c r="G642" t="str">
        <f>IFERROR(VLOOKUP('OB Format'!D642,'Team Data'!C:AB,17,FALSE),"")</f>
        <v/>
      </c>
      <c r="H642" t="str">
        <f>IFERROR(VLOOKUP(D642,'Team Data'!C:AB,7,FALSE),"")</f>
        <v/>
      </c>
      <c r="I642" t="str">
        <f>IFERROR(VLOOKUP(D642,'Team Data'!C:AB,14,FALSE),"")</f>
        <v/>
      </c>
      <c r="J642" t="str">
        <f>IFERROR(VLOOKUP(D642,'Team Data'!C:AB,8,FALSE),"")</f>
        <v/>
      </c>
      <c r="K642" t="str">
        <f>IFERROR(VLOOKUP(D642,'Team Data'!C:AB,9,FALSE),"")</f>
        <v/>
      </c>
      <c r="L642" t="str">
        <f>IFERROR(VLOOKUP(D642,'Team Data'!C:AB,10,FALSE),"")</f>
        <v/>
      </c>
      <c r="M642" t="str">
        <f t="shared" si="20"/>
        <v/>
      </c>
      <c r="N642" t="str">
        <f>IFERROR(VLOOKUP(D642,'Team Data'!C:AB,23,FALSE),"")</f>
        <v/>
      </c>
      <c r="O642" t="str">
        <f>IFERROR(VLOOKUP(D642,'Team Data'!C:AB,22,FALSE),"")</f>
        <v/>
      </c>
      <c r="P642" t="str">
        <f t="shared" si="21"/>
        <v/>
      </c>
      <c r="Q642" t="str">
        <f>IFERROR(VLOOKUP(D642,'Team Data'!C:AB,15,FALSE),"")</f>
        <v/>
      </c>
      <c r="R642" t="str">
        <f>IFERROR(VLOOKUP('OB Format'!D642,'Team Data'!C:AB,24,FALSE),"")</f>
        <v/>
      </c>
      <c r="S642" t="str">
        <f>IFERROR(VLOOKUP('OB Format'!D642,'Team Data'!C:AC,25,FALSE),"")</f>
        <v/>
      </c>
    </row>
    <row r="643" spans="5:19" x14ac:dyDescent="0.25">
      <c r="E643" t="str">
        <f>IFERROR(VLOOKUP(D643,'Team Data'!C:AB,4,FALSE),"")</f>
        <v/>
      </c>
      <c r="F643" t="str">
        <f>IFERROR(VLOOKUP(D643,'Team Data'!C:AB,5,FALSE),"")</f>
        <v/>
      </c>
      <c r="G643" t="str">
        <f>IFERROR(VLOOKUP('OB Format'!D643,'Team Data'!C:AB,17,FALSE),"")</f>
        <v/>
      </c>
      <c r="H643" t="str">
        <f>IFERROR(VLOOKUP(D643,'Team Data'!C:AB,7,FALSE),"")</f>
        <v/>
      </c>
      <c r="I643" t="str">
        <f>IFERROR(VLOOKUP(D643,'Team Data'!C:AB,14,FALSE),"")</f>
        <v/>
      </c>
      <c r="J643" t="str">
        <f>IFERROR(VLOOKUP(D643,'Team Data'!C:AB,8,FALSE),"")</f>
        <v/>
      </c>
      <c r="K643" t="str">
        <f>IFERROR(VLOOKUP(D643,'Team Data'!C:AB,9,FALSE),"")</f>
        <v/>
      </c>
      <c r="L643" t="str">
        <f>IFERROR(VLOOKUP(D643,'Team Data'!C:AB,10,FALSE),"")</f>
        <v/>
      </c>
      <c r="M643" t="str">
        <f t="shared" si="20"/>
        <v/>
      </c>
      <c r="N643" t="str">
        <f>IFERROR(VLOOKUP(D643,'Team Data'!C:AB,23,FALSE),"")</f>
        <v/>
      </c>
      <c r="O643" t="str">
        <f>IFERROR(VLOOKUP(D643,'Team Data'!C:AB,22,FALSE),"")</f>
        <v/>
      </c>
      <c r="P643" t="str">
        <f t="shared" si="21"/>
        <v/>
      </c>
      <c r="Q643" t="str">
        <f>IFERROR(VLOOKUP(D643,'Team Data'!C:AB,15,FALSE),"")</f>
        <v/>
      </c>
      <c r="R643" t="str">
        <f>IFERROR(VLOOKUP('OB Format'!D643,'Team Data'!C:AB,24,FALSE),"")</f>
        <v/>
      </c>
      <c r="S643" t="str">
        <f>IFERROR(VLOOKUP('OB Format'!D643,'Team Data'!C:AC,25,FALSE),"")</f>
        <v/>
      </c>
    </row>
    <row r="644" spans="5:19" x14ac:dyDescent="0.25">
      <c r="E644" t="str">
        <f>IFERROR(VLOOKUP(D644,'Team Data'!C:AB,4,FALSE),"")</f>
        <v/>
      </c>
      <c r="F644" t="str">
        <f>IFERROR(VLOOKUP(D644,'Team Data'!C:AB,5,FALSE),"")</f>
        <v/>
      </c>
      <c r="G644" t="str">
        <f>IFERROR(VLOOKUP('OB Format'!D644,'Team Data'!C:AB,17,FALSE),"")</f>
        <v/>
      </c>
      <c r="H644" t="str">
        <f>IFERROR(VLOOKUP(D644,'Team Data'!C:AB,7,FALSE),"")</f>
        <v/>
      </c>
      <c r="I644" t="str">
        <f>IFERROR(VLOOKUP(D644,'Team Data'!C:AB,14,FALSE),"")</f>
        <v/>
      </c>
      <c r="J644" t="str">
        <f>IFERROR(VLOOKUP(D644,'Team Data'!C:AB,8,FALSE),"")</f>
        <v/>
      </c>
      <c r="K644" t="str">
        <f>IFERROR(VLOOKUP(D644,'Team Data'!C:AB,9,FALSE),"")</f>
        <v/>
      </c>
      <c r="L644" t="str">
        <f>IFERROR(VLOOKUP(D644,'Team Data'!C:AB,10,FALSE),"")</f>
        <v/>
      </c>
      <c r="M644" t="str">
        <f t="shared" si="20"/>
        <v/>
      </c>
      <c r="N644" t="str">
        <f>IFERROR(VLOOKUP(D644,'Team Data'!C:AB,23,FALSE),"")</f>
        <v/>
      </c>
      <c r="O644" t="str">
        <f>IFERROR(VLOOKUP(D644,'Team Data'!C:AB,22,FALSE),"")</f>
        <v/>
      </c>
      <c r="P644" t="str">
        <f t="shared" si="21"/>
        <v/>
      </c>
      <c r="Q644" t="str">
        <f>IFERROR(VLOOKUP(D644,'Team Data'!C:AB,15,FALSE),"")</f>
        <v/>
      </c>
      <c r="R644" t="str">
        <f>IFERROR(VLOOKUP('OB Format'!D644,'Team Data'!C:AB,24,FALSE),"")</f>
        <v/>
      </c>
      <c r="S644" t="str">
        <f>IFERROR(VLOOKUP('OB Format'!D644,'Team Data'!C:AC,25,FALSE),"")</f>
        <v/>
      </c>
    </row>
    <row r="645" spans="5:19" x14ac:dyDescent="0.25">
      <c r="E645" t="str">
        <f>IFERROR(VLOOKUP(D645,'Team Data'!C:AB,4,FALSE),"")</f>
        <v/>
      </c>
      <c r="F645" t="str">
        <f>IFERROR(VLOOKUP(D645,'Team Data'!C:AB,5,FALSE),"")</f>
        <v/>
      </c>
      <c r="G645" t="str">
        <f>IFERROR(VLOOKUP('OB Format'!D645,'Team Data'!C:AB,17,FALSE),"")</f>
        <v/>
      </c>
      <c r="H645" t="str">
        <f>IFERROR(VLOOKUP(D645,'Team Data'!C:AB,7,FALSE),"")</f>
        <v/>
      </c>
      <c r="I645" t="str">
        <f>IFERROR(VLOOKUP(D645,'Team Data'!C:AB,14,FALSE),"")</f>
        <v/>
      </c>
      <c r="J645" t="str">
        <f>IFERROR(VLOOKUP(D645,'Team Data'!C:AB,8,FALSE),"")</f>
        <v/>
      </c>
      <c r="K645" t="str">
        <f>IFERROR(VLOOKUP(D645,'Team Data'!C:AB,9,FALSE),"")</f>
        <v/>
      </c>
      <c r="L645" t="str">
        <f>IFERROR(VLOOKUP(D645,'Team Data'!C:AB,10,FALSE),"")</f>
        <v/>
      </c>
      <c r="M645" t="str">
        <f t="shared" si="20"/>
        <v/>
      </c>
      <c r="N645" t="str">
        <f>IFERROR(VLOOKUP(D645,'Team Data'!C:AB,23,FALSE),"")</f>
        <v/>
      </c>
      <c r="O645" t="str">
        <f>IFERROR(VLOOKUP(D645,'Team Data'!C:AB,22,FALSE),"")</f>
        <v/>
      </c>
      <c r="P645" t="str">
        <f t="shared" si="21"/>
        <v/>
      </c>
      <c r="Q645" t="str">
        <f>IFERROR(VLOOKUP(D645,'Team Data'!C:AB,15,FALSE),"")</f>
        <v/>
      </c>
      <c r="R645" t="str">
        <f>IFERROR(VLOOKUP('OB Format'!D645,'Team Data'!C:AB,24,FALSE),"")</f>
        <v/>
      </c>
      <c r="S645" t="str">
        <f>IFERROR(VLOOKUP('OB Format'!D645,'Team Data'!C:AC,25,FALSE),"")</f>
        <v/>
      </c>
    </row>
    <row r="646" spans="5:19" x14ac:dyDescent="0.25">
      <c r="E646" t="str">
        <f>IFERROR(VLOOKUP(D646,'Team Data'!C:AB,4,FALSE),"")</f>
        <v/>
      </c>
      <c r="F646" t="str">
        <f>IFERROR(VLOOKUP(D646,'Team Data'!C:AB,5,FALSE),"")</f>
        <v/>
      </c>
      <c r="G646" t="str">
        <f>IFERROR(VLOOKUP('OB Format'!D646,'Team Data'!C:AB,17,FALSE),"")</f>
        <v/>
      </c>
      <c r="H646" t="str">
        <f>IFERROR(VLOOKUP(D646,'Team Data'!C:AB,7,FALSE),"")</f>
        <v/>
      </c>
      <c r="I646" t="str">
        <f>IFERROR(VLOOKUP(D646,'Team Data'!C:AB,14,FALSE),"")</f>
        <v/>
      </c>
      <c r="J646" t="str">
        <f>IFERROR(VLOOKUP(D646,'Team Data'!C:AB,8,FALSE),"")</f>
        <v/>
      </c>
      <c r="K646" t="str">
        <f>IFERROR(VLOOKUP(D646,'Team Data'!C:AB,9,FALSE),"")</f>
        <v/>
      </c>
      <c r="L646" t="str">
        <f>IFERROR(VLOOKUP(D646,'Team Data'!C:AB,10,FALSE),"")</f>
        <v/>
      </c>
      <c r="M646" t="str">
        <f t="shared" si="20"/>
        <v/>
      </c>
      <c r="N646" t="str">
        <f>IFERROR(VLOOKUP(D646,'Team Data'!C:AB,23,FALSE),"")</f>
        <v/>
      </c>
      <c r="O646" t="str">
        <f>IFERROR(VLOOKUP(D646,'Team Data'!C:AB,22,FALSE),"")</f>
        <v/>
      </c>
      <c r="P646" t="str">
        <f t="shared" si="21"/>
        <v/>
      </c>
      <c r="Q646" t="str">
        <f>IFERROR(VLOOKUP(D646,'Team Data'!C:AB,15,FALSE),"")</f>
        <v/>
      </c>
      <c r="R646" t="str">
        <f>IFERROR(VLOOKUP('OB Format'!D646,'Team Data'!C:AB,24,FALSE),"")</f>
        <v/>
      </c>
      <c r="S646" t="str">
        <f>IFERROR(VLOOKUP('OB Format'!D646,'Team Data'!C:AC,25,FALSE),"")</f>
        <v/>
      </c>
    </row>
    <row r="647" spans="5:19" x14ac:dyDescent="0.25">
      <c r="E647" t="str">
        <f>IFERROR(VLOOKUP(D647,'Team Data'!C:AB,4,FALSE),"")</f>
        <v/>
      </c>
      <c r="F647" t="str">
        <f>IFERROR(VLOOKUP(D647,'Team Data'!C:AB,5,FALSE),"")</f>
        <v/>
      </c>
      <c r="G647" t="str">
        <f>IFERROR(VLOOKUP('OB Format'!D647,'Team Data'!C:AB,17,FALSE),"")</f>
        <v/>
      </c>
      <c r="H647" t="str">
        <f>IFERROR(VLOOKUP(D647,'Team Data'!C:AB,7,FALSE),"")</f>
        <v/>
      </c>
      <c r="I647" t="str">
        <f>IFERROR(VLOOKUP(D647,'Team Data'!C:AB,14,FALSE),"")</f>
        <v/>
      </c>
      <c r="J647" t="str">
        <f>IFERROR(VLOOKUP(D647,'Team Data'!C:AB,8,FALSE),"")</f>
        <v/>
      </c>
      <c r="K647" t="str">
        <f>IFERROR(VLOOKUP(D647,'Team Data'!C:AB,9,FALSE),"")</f>
        <v/>
      </c>
      <c r="L647" t="str">
        <f>IFERROR(VLOOKUP(D647,'Team Data'!C:AB,10,FALSE),"")</f>
        <v/>
      </c>
      <c r="M647" t="str">
        <f t="shared" si="20"/>
        <v/>
      </c>
      <c r="N647" t="str">
        <f>IFERROR(VLOOKUP(D647,'Team Data'!C:AB,23,FALSE),"")</f>
        <v/>
      </c>
      <c r="O647" t="str">
        <f>IFERROR(VLOOKUP(D647,'Team Data'!C:AB,22,FALSE),"")</f>
        <v/>
      </c>
      <c r="P647" t="str">
        <f t="shared" si="21"/>
        <v/>
      </c>
      <c r="Q647" t="str">
        <f>IFERROR(VLOOKUP(D647,'Team Data'!C:AB,15,FALSE),"")</f>
        <v/>
      </c>
      <c r="R647" t="str">
        <f>IFERROR(VLOOKUP('OB Format'!D647,'Team Data'!C:AB,24,FALSE),"")</f>
        <v/>
      </c>
      <c r="S647" t="str">
        <f>IFERROR(VLOOKUP('OB Format'!D647,'Team Data'!C:AC,25,FALSE),"")</f>
        <v/>
      </c>
    </row>
    <row r="648" spans="5:19" x14ac:dyDescent="0.25">
      <c r="E648" t="str">
        <f>IFERROR(VLOOKUP(D648,'Team Data'!C:AB,4,FALSE),"")</f>
        <v/>
      </c>
      <c r="F648" t="str">
        <f>IFERROR(VLOOKUP(D648,'Team Data'!C:AB,5,FALSE),"")</f>
        <v/>
      </c>
      <c r="G648" t="str">
        <f>IFERROR(VLOOKUP('OB Format'!D648,'Team Data'!C:AB,17,FALSE),"")</f>
        <v/>
      </c>
      <c r="H648" t="str">
        <f>IFERROR(VLOOKUP(D648,'Team Data'!C:AB,7,FALSE),"")</f>
        <v/>
      </c>
      <c r="I648" t="str">
        <f>IFERROR(VLOOKUP(D648,'Team Data'!C:AB,14,FALSE),"")</f>
        <v/>
      </c>
      <c r="J648" t="str">
        <f>IFERROR(VLOOKUP(D648,'Team Data'!C:AB,8,FALSE),"")</f>
        <v/>
      </c>
      <c r="K648" t="str">
        <f>IFERROR(VLOOKUP(D648,'Team Data'!C:AB,9,FALSE),"")</f>
        <v/>
      </c>
      <c r="L648" t="str">
        <f>IFERROR(VLOOKUP(D648,'Team Data'!C:AB,10,FALSE),"")</f>
        <v/>
      </c>
      <c r="M648" t="str">
        <f t="shared" si="20"/>
        <v/>
      </c>
      <c r="N648" t="str">
        <f>IFERROR(VLOOKUP(D648,'Team Data'!C:AB,23,FALSE),"")</f>
        <v/>
      </c>
      <c r="O648" t="str">
        <f>IFERROR(VLOOKUP(D648,'Team Data'!C:AB,22,FALSE),"")</f>
        <v/>
      </c>
      <c r="P648" t="str">
        <f t="shared" si="21"/>
        <v/>
      </c>
      <c r="Q648" t="str">
        <f>IFERROR(VLOOKUP(D648,'Team Data'!C:AB,15,FALSE),"")</f>
        <v/>
      </c>
      <c r="R648" t="str">
        <f>IFERROR(VLOOKUP('OB Format'!D648,'Team Data'!C:AB,24,FALSE),"")</f>
        <v/>
      </c>
      <c r="S648" t="str">
        <f>IFERROR(VLOOKUP('OB Format'!D648,'Team Data'!C:AC,25,FALSE),"")</f>
        <v/>
      </c>
    </row>
    <row r="649" spans="5:19" x14ac:dyDescent="0.25">
      <c r="E649" t="str">
        <f>IFERROR(VLOOKUP(D649,'Team Data'!C:AB,4,FALSE),"")</f>
        <v/>
      </c>
      <c r="F649" t="str">
        <f>IFERROR(VLOOKUP(D649,'Team Data'!C:AB,5,FALSE),"")</f>
        <v/>
      </c>
      <c r="G649" t="str">
        <f>IFERROR(VLOOKUP('OB Format'!D649,'Team Data'!C:AB,17,FALSE),"")</f>
        <v/>
      </c>
      <c r="H649" t="str">
        <f>IFERROR(VLOOKUP(D649,'Team Data'!C:AB,7,FALSE),"")</f>
        <v/>
      </c>
      <c r="I649" t="str">
        <f>IFERROR(VLOOKUP(D649,'Team Data'!C:AB,14,FALSE),"")</f>
        <v/>
      </c>
      <c r="J649" t="str">
        <f>IFERROR(VLOOKUP(D649,'Team Data'!C:AB,8,FALSE),"")</f>
        <v/>
      </c>
      <c r="K649" t="str">
        <f>IFERROR(VLOOKUP(D649,'Team Data'!C:AB,9,FALSE),"")</f>
        <v/>
      </c>
      <c r="L649" t="str">
        <f>IFERROR(VLOOKUP(D649,'Team Data'!C:AB,10,FALSE),"")</f>
        <v/>
      </c>
      <c r="M649" t="str">
        <f t="shared" si="20"/>
        <v/>
      </c>
      <c r="N649" t="str">
        <f>IFERROR(VLOOKUP(D649,'Team Data'!C:AB,23,FALSE),"")</f>
        <v/>
      </c>
      <c r="O649" t="str">
        <f>IFERROR(VLOOKUP(D649,'Team Data'!C:AB,22,FALSE),"")</f>
        <v/>
      </c>
      <c r="P649" t="str">
        <f t="shared" si="21"/>
        <v/>
      </c>
      <c r="Q649" t="str">
        <f>IFERROR(VLOOKUP(D649,'Team Data'!C:AB,15,FALSE),"")</f>
        <v/>
      </c>
      <c r="R649" t="str">
        <f>IFERROR(VLOOKUP('OB Format'!D649,'Team Data'!C:AB,24,FALSE),"")</f>
        <v/>
      </c>
      <c r="S649" t="str">
        <f>IFERROR(VLOOKUP('OB Format'!D649,'Team Data'!C:AC,25,FALSE),"")</f>
        <v/>
      </c>
    </row>
    <row r="650" spans="5:19" x14ac:dyDescent="0.25">
      <c r="E650" t="str">
        <f>IFERROR(VLOOKUP(D650,'Team Data'!C:AB,4,FALSE),"")</f>
        <v/>
      </c>
      <c r="F650" t="str">
        <f>IFERROR(VLOOKUP(D650,'Team Data'!C:AB,5,FALSE),"")</f>
        <v/>
      </c>
      <c r="G650" t="str">
        <f>IFERROR(VLOOKUP('OB Format'!D650,'Team Data'!C:AB,17,FALSE),"")</f>
        <v/>
      </c>
      <c r="H650" t="str">
        <f>IFERROR(VLOOKUP(D650,'Team Data'!C:AB,7,FALSE),"")</f>
        <v/>
      </c>
      <c r="I650" t="str">
        <f>IFERROR(VLOOKUP(D650,'Team Data'!C:AB,14,FALSE),"")</f>
        <v/>
      </c>
      <c r="J650" t="str">
        <f>IFERROR(VLOOKUP(D650,'Team Data'!C:AB,8,FALSE),"")</f>
        <v/>
      </c>
      <c r="K650" t="str">
        <f>IFERROR(VLOOKUP(D650,'Team Data'!C:AB,9,FALSE),"")</f>
        <v/>
      </c>
      <c r="L650" t="str">
        <f>IFERROR(VLOOKUP(D650,'Team Data'!C:AB,10,FALSE),"")</f>
        <v/>
      </c>
      <c r="M650" t="str">
        <f t="shared" si="20"/>
        <v/>
      </c>
      <c r="N650" t="str">
        <f>IFERROR(VLOOKUP(D650,'Team Data'!C:AB,23,FALSE),"")</f>
        <v/>
      </c>
      <c r="O650" t="str">
        <f>IFERROR(VLOOKUP(D650,'Team Data'!C:AB,22,FALSE),"")</f>
        <v/>
      </c>
      <c r="P650" t="str">
        <f t="shared" si="21"/>
        <v/>
      </c>
      <c r="Q650" t="str">
        <f>IFERROR(VLOOKUP(D650,'Team Data'!C:AB,15,FALSE),"")</f>
        <v/>
      </c>
      <c r="R650" t="str">
        <f>IFERROR(VLOOKUP('OB Format'!D650,'Team Data'!C:AB,24,FALSE),"")</f>
        <v/>
      </c>
      <c r="S650" t="str">
        <f>IFERROR(VLOOKUP('OB Format'!D650,'Team Data'!C:AC,25,FALSE),"")</f>
        <v/>
      </c>
    </row>
    <row r="651" spans="5:19" x14ac:dyDescent="0.25">
      <c r="E651" t="str">
        <f>IFERROR(VLOOKUP(D651,'Team Data'!C:AB,4,FALSE),"")</f>
        <v/>
      </c>
      <c r="F651" t="str">
        <f>IFERROR(VLOOKUP(D651,'Team Data'!C:AB,5,FALSE),"")</f>
        <v/>
      </c>
      <c r="G651" t="str">
        <f>IFERROR(VLOOKUP('OB Format'!D651,'Team Data'!C:AB,17,FALSE),"")</f>
        <v/>
      </c>
      <c r="H651" t="str">
        <f>IFERROR(VLOOKUP(D651,'Team Data'!C:AB,7,FALSE),"")</f>
        <v/>
      </c>
      <c r="I651" t="str">
        <f>IFERROR(VLOOKUP(D651,'Team Data'!C:AB,14,FALSE),"")</f>
        <v/>
      </c>
      <c r="J651" t="str">
        <f>IFERROR(VLOOKUP(D651,'Team Data'!C:AB,8,FALSE),"")</f>
        <v/>
      </c>
      <c r="K651" t="str">
        <f>IFERROR(VLOOKUP(D651,'Team Data'!C:AB,9,FALSE),"")</f>
        <v/>
      </c>
      <c r="L651" t="str">
        <f>IFERROR(VLOOKUP(D651,'Team Data'!C:AB,10,FALSE),"")</f>
        <v/>
      </c>
      <c r="M651" t="str">
        <f t="shared" si="20"/>
        <v/>
      </c>
      <c r="N651" t="str">
        <f>IFERROR(VLOOKUP(D651,'Team Data'!C:AB,23,FALSE),"")</f>
        <v/>
      </c>
      <c r="O651" t="str">
        <f>IFERROR(VLOOKUP(D651,'Team Data'!C:AB,22,FALSE),"")</f>
        <v/>
      </c>
      <c r="P651" t="str">
        <f t="shared" si="21"/>
        <v/>
      </c>
      <c r="Q651" t="str">
        <f>IFERROR(VLOOKUP(D651,'Team Data'!C:AB,15,FALSE),"")</f>
        <v/>
      </c>
      <c r="R651" t="str">
        <f>IFERROR(VLOOKUP('OB Format'!D651,'Team Data'!C:AB,24,FALSE),"")</f>
        <v/>
      </c>
      <c r="S651" t="str">
        <f>IFERROR(VLOOKUP('OB Format'!D651,'Team Data'!C:AC,25,FALSE),"")</f>
        <v/>
      </c>
    </row>
    <row r="652" spans="5:19" x14ac:dyDescent="0.25">
      <c r="E652" t="str">
        <f>IFERROR(VLOOKUP(D652,'Team Data'!C:AB,4,FALSE),"")</f>
        <v/>
      </c>
      <c r="F652" t="str">
        <f>IFERROR(VLOOKUP(D652,'Team Data'!C:AB,5,FALSE),"")</f>
        <v/>
      </c>
      <c r="G652" t="str">
        <f>IFERROR(VLOOKUP('OB Format'!D652,'Team Data'!C:AB,17,FALSE),"")</f>
        <v/>
      </c>
      <c r="H652" t="str">
        <f>IFERROR(VLOOKUP(D652,'Team Data'!C:AB,7,FALSE),"")</f>
        <v/>
      </c>
      <c r="I652" t="str">
        <f>IFERROR(VLOOKUP(D652,'Team Data'!C:AB,14,FALSE),"")</f>
        <v/>
      </c>
      <c r="J652" t="str">
        <f>IFERROR(VLOOKUP(D652,'Team Data'!C:AB,8,FALSE),"")</f>
        <v/>
      </c>
      <c r="K652" t="str">
        <f>IFERROR(VLOOKUP(D652,'Team Data'!C:AB,9,FALSE),"")</f>
        <v/>
      </c>
      <c r="L652" t="str">
        <f>IFERROR(VLOOKUP(D652,'Team Data'!C:AB,10,FALSE),"")</f>
        <v/>
      </c>
      <c r="M652" t="str">
        <f t="shared" si="20"/>
        <v/>
      </c>
      <c r="N652" t="str">
        <f>IFERROR(VLOOKUP(D652,'Team Data'!C:AB,23,FALSE),"")</f>
        <v/>
      </c>
      <c r="O652" t="str">
        <f>IFERROR(VLOOKUP(D652,'Team Data'!C:AB,22,FALSE),"")</f>
        <v/>
      </c>
      <c r="P652" t="str">
        <f t="shared" si="21"/>
        <v/>
      </c>
      <c r="Q652" t="str">
        <f>IFERROR(VLOOKUP(D652,'Team Data'!C:AB,15,FALSE),"")</f>
        <v/>
      </c>
      <c r="R652" t="str">
        <f>IFERROR(VLOOKUP('OB Format'!D652,'Team Data'!C:AB,24,FALSE),"")</f>
        <v/>
      </c>
      <c r="S652" t="str">
        <f>IFERROR(VLOOKUP('OB Format'!D652,'Team Data'!C:AC,25,FALSE),"")</f>
        <v/>
      </c>
    </row>
    <row r="653" spans="5:19" x14ac:dyDescent="0.25">
      <c r="E653" t="str">
        <f>IFERROR(VLOOKUP(D653,'Team Data'!C:AB,4,FALSE),"")</f>
        <v/>
      </c>
      <c r="F653" t="str">
        <f>IFERROR(VLOOKUP(D653,'Team Data'!C:AB,5,FALSE),"")</f>
        <v/>
      </c>
      <c r="G653" t="str">
        <f>IFERROR(VLOOKUP('OB Format'!D653,'Team Data'!C:AB,17,FALSE),"")</f>
        <v/>
      </c>
      <c r="H653" t="str">
        <f>IFERROR(VLOOKUP(D653,'Team Data'!C:AB,7,FALSE),"")</f>
        <v/>
      </c>
      <c r="I653" t="str">
        <f>IFERROR(VLOOKUP(D653,'Team Data'!C:AB,14,FALSE),"")</f>
        <v/>
      </c>
      <c r="J653" t="str">
        <f>IFERROR(VLOOKUP(D653,'Team Data'!C:AB,8,FALSE),"")</f>
        <v/>
      </c>
      <c r="K653" t="str">
        <f>IFERROR(VLOOKUP(D653,'Team Data'!C:AB,9,FALSE),"")</f>
        <v/>
      </c>
      <c r="L653" t="str">
        <f>IFERROR(VLOOKUP(D653,'Team Data'!C:AB,10,FALSE),"")</f>
        <v/>
      </c>
      <c r="M653" t="str">
        <f t="shared" ref="M653:M716" si="22">IFERROR(H653-(J653+L653+K653),"")</f>
        <v/>
      </c>
      <c r="N653" t="str">
        <f>IFERROR(VLOOKUP(D653,'Team Data'!C:AB,23,FALSE),"")</f>
        <v/>
      </c>
      <c r="O653" t="str">
        <f>IFERROR(VLOOKUP(D653,'Team Data'!C:AB,22,FALSE),"")</f>
        <v/>
      </c>
      <c r="P653" t="str">
        <f t="shared" ref="P653:P716" si="23">IFERROR(E653-(H653+N653+Q653+I653+O653),"")</f>
        <v/>
      </c>
      <c r="Q653" t="str">
        <f>IFERROR(VLOOKUP(D653,'Team Data'!C:AB,15,FALSE),"")</f>
        <v/>
      </c>
      <c r="R653" t="str">
        <f>IFERROR(VLOOKUP('OB Format'!D653,'Team Data'!C:AB,24,FALSE),"")</f>
        <v/>
      </c>
      <c r="S653" t="str">
        <f>IFERROR(VLOOKUP('OB Format'!D653,'Team Data'!C:AC,25,FALSE),"")</f>
        <v/>
      </c>
    </row>
    <row r="654" spans="5:19" x14ac:dyDescent="0.25">
      <c r="E654" t="str">
        <f>IFERROR(VLOOKUP(D654,'Team Data'!C:AB,4,FALSE),"")</f>
        <v/>
      </c>
      <c r="F654" t="str">
        <f>IFERROR(VLOOKUP(D654,'Team Data'!C:AB,5,FALSE),"")</f>
        <v/>
      </c>
      <c r="G654" t="str">
        <f>IFERROR(VLOOKUP('OB Format'!D654,'Team Data'!C:AB,17,FALSE),"")</f>
        <v/>
      </c>
      <c r="H654" t="str">
        <f>IFERROR(VLOOKUP(D654,'Team Data'!C:AB,7,FALSE),"")</f>
        <v/>
      </c>
      <c r="I654" t="str">
        <f>IFERROR(VLOOKUP(D654,'Team Data'!C:AB,14,FALSE),"")</f>
        <v/>
      </c>
      <c r="J654" t="str">
        <f>IFERROR(VLOOKUP(D654,'Team Data'!C:AB,8,FALSE),"")</f>
        <v/>
      </c>
      <c r="K654" t="str">
        <f>IFERROR(VLOOKUP(D654,'Team Data'!C:AB,9,FALSE),"")</f>
        <v/>
      </c>
      <c r="L654" t="str">
        <f>IFERROR(VLOOKUP(D654,'Team Data'!C:AB,10,FALSE),"")</f>
        <v/>
      </c>
      <c r="M654" t="str">
        <f t="shared" si="22"/>
        <v/>
      </c>
      <c r="N654" t="str">
        <f>IFERROR(VLOOKUP(D654,'Team Data'!C:AB,23,FALSE),"")</f>
        <v/>
      </c>
      <c r="O654" t="str">
        <f>IFERROR(VLOOKUP(D654,'Team Data'!C:AB,22,FALSE),"")</f>
        <v/>
      </c>
      <c r="P654" t="str">
        <f t="shared" si="23"/>
        <v/>
      </c>
      <c r="Q654" t="str">
        <f>IFERROR(VLOOKUP(D654,'Team Data'!C:AB,15,FALSE),"")</f>
        <v/>
      </c>
      <c r="R654" t="str">
        <f>IFERROR(VLOOKUP('OB Format'!D654,'Team Data'!C:AB,24,FALSE),"")</f>
        <v/>
      </c>
      <c r="S654" t="str">
        <f>IFERROR(VLOOKUP('OB Format'!D654,'Team Data'!C:AC,25,FALSE),"")</f>
        <v/>
      </c>
    </row>
    <row r="655" spans="5:19" x14ac:dyDescent="0.25">
      <c r="E655" t="str">
        <f>IFERROR(VLOOKUP(D655,'Team Data'!C:AB,4,FALSE),"")</f>
        <v/>
      </c>
      <c r="F655" t="str">
        <f>IFERROR(VLOOKUP(D655,'Team Data'!C:AB,5,FALSE),"")</f>
        <v/>
      </c>
      <c r="G655" t="str">
        <f>IFERROR(VLOOKUP('OB Format'!D655,'Team Data'!C:AB,17,FALSE),"")</f>
        <v/>
      </c>
      <c r="H655" t="str">
        <f>IFERROR(VLOOKUP(D655,'Team Data'!C:AB,7,FALSE),"")</f>
        <v/>
      </c>
      <c r="I655" t="str">
        <f>IFERROR(VLOOKUP(D655,'Team Data'!C:AB,14,FALSE),"")</f>
        <v/>
      </c>
      <c r="J655" t="str">
        <f>IFERROR(VLOOKUP(D655,'Team Data'!C:AB,8,FALSE),"")</f>
        <v/>
      </c>
      <c r="K655" t="str">
        <f>IFERROR(VLOOKUP(D655,'Team Data'!C:AB,9,FALSE),"")</f>
        <v/>
      </c>
      <c r="L655" t="str">
        <f>IFERROR(VLOOKUP(D655,'Team Data'!C:AB,10,FALSE),"")</f>
        <v/>
      </c>
      <c r="M655" t="str">
        <f t="shared" si="22"/>
        <v/>
      </c>
      <c r="N655" t="str">
        <f>IFERROR(VLOOKUP(D655,'Team Data'!C:AB,23,FALSE),"")</f>
        <v/>
      </c>
      <c r="O655" t="str">
        <f>IFERROR(VLOOKUP(D655,'Team Data'!C:AB,22,FALSE),"")</f>
        <v/>
      </c>
      <c r="P655" t="str">
        <f t="shared" si="23"/>
        <v/>
      </c>
      <c r="Q655" t="str">
        <f>IFERROR(VLOOKUP(D655,'Team Data'!C:AB,15,FALSE),"")</f>
        <v/>
      </c>
      <c r="R655" t="str">
        <f>IFERROR(VLOOKUP('OB Format'!D655,'Team Data'!C:AB,24,FALSE),"")</f>
        <v/>
      </c>
      <c r="S655" t="str">
        <f>IFERROR(VLOOKUP('OB Format'!D655,'Team Data'!C:AC,25,FALSE),"")</f>
        <v/>
      </c>
    </row>
    <row r="656" spans="5:19" x14ac:dyDescent="0.25">
      <c r="E656" t="str">
        <f>IFERROR(VLOOKUP(D656,'Team Data'!C:AB,4,FALSE),"")</f>
        <v/>
      </c>
      <c r="F656" t="str">
        <f>IFERROR(VLOOKUP(D656,'Team Data'!C:AB,5,FALSE),"")</f>
        <v/>
      </c>
      <c r="G656" t="str">
        <f>IFERROR(VLOOKUP('OB Format'!D656,'Team Data'!C:AB,17,FALSE),"")</f>
        <v/>
      </c>
      <c r="H656" t="str">
        <f>IFERROR(VLOOKUP(D656,'Team Data'!C:AB,7,FALSE),"")</f>
        <v/>
      </c>
      <c r="I656" t="str">
        <f>IFERROR(VLOOKUP(D656,'Team Data'!C:AB,14,FALSE),"")</f>
        <v/>
      </c>
      <c r="J656" t="str">
        <f>IFERROR(VLOOKUP(D656,'Team Data'!C:AB,8,FALSE),"")</f>
        <v/>
      </c>
      <c r="K656" t="str">
        <f>IFERROR(VLOOKUP(D656,'Team Data'!C:AB,9,FALSE),"")</f>
        <v/>
      </c>
      <c r="L656" t="str">
        <f>IFERROR(VLOOKUP(D656,'Team Data'!C:AB,10,FALSE),"")</f>
        <v/>
      </c>
      <c r="M656" t="str">
        <f t="shared" si="22"/>
        <v/>
      </c>
      <c r="N656" t="str">
        <f>IFERROR(VLOOKUP(D656,'Team Data'!C:AB,23,FALSE),"")</f>
        <v/>
      </c>
      <c r="O656" t="str">
        <f>IFERROR(VLOOKUP(D656,'Team Data'!C:AB,22,FALSE),"")</f>
        <v/>
      </c>
      <c r="P656" t="str">
        <f t="shared" si="23"/>
        <v/>
      </c>
      <c r="Q656" t="str">
        <f>IFERROR(VLOOKUP(D656,'Team Data'!C:AB,15,FALSE),"")</f>
        <v/>
      </c>
      <c r="R656" t="str">
        <f>IFERROR(VLOOKUP('OB Format'!D656,'Team Data'!C:AB,24,FALSE),"")</f>
        <v/>
      </c>
      <c r="S656" t="str">
        <f>IFERROR(VLOOKUP('OB Format'!D656,'Team Data'!C:AC,25,FALSE),"")</f>
        <v/>
      </c>
    </row>
    <row r="657" spans="5:19" x14ac:dyDescent="0.25">
      <c r="E657" t="str">
        <f>IFERROR(VLOOKUP(D657,'Team Data'!C:AB,4,FALSE),"")</f>
        <v/>
      </c>
      <c r="F657" t="str">
        <f>IFERROR(VLOOKUP(D657,'Team Data'!C:AB,5,FALSE),"")</f>
        <v/>
      </c>
      <c r="G657" t="str">
        <f>IFERROR(VLOOKUP('OB Format'!D657,'Team Data'!C:AB,17,FALSE),"")</f>
        <v/>
      </c>
      <c r="H657" t="str">
        <f>IFERROR(VLOOKUP(D657,'Team Data'!C:AB,7,FALSE),"")</f>
        <v/>
      </c>
      <c r="I657" t="str">
        <f>IFERROR(VLOOKUP(D657,'Team Data'!C:AB,14,FALSE),"")</f>
        <v/>
      </c>
      <c r="J657" t="str">
        <f>IFERROR(VLOOKUP(D657,'Team Data'!C:AB,8,FALSE),"")</f>
        <v/>
      </c>
      <c r="K657" t="str">
        <f>IFERROR(VLOOKUP(D657,'Team Data'!C:AB,9,FALSE),"")</f>
        <v/>
      </c>
      <c r="L657" t="str">
        <f>IFERROR(VLOOKUP(D657,'Team Data'!C:AB,10,FALSE),"")</f>
        <v/>
      </c>
      <c r="M657" t="str">
        <f t="shared" si="22"/>
        <v/>
      </c>
      <c r="N657" t="str">
        <f>IFERROR(VLOOKUP(D657,'Team Data'!C:AB,23,FALSE),"")</f>
        <v/>
      </c>
      <c r="O657" t="str">
        <f>IFERROR(VLOOKUP(D657,'Team Data'!C:AB,22,FALSE),"")</f>
        <v/>
      </c>
      <c r="P657" t="str">
        <f t="shared" si="23"/>
        <v/>
      </c>
      <c r="Q657" t="str">
        <f>IFERROR(VLOOKUP(D657,'Team Data'!C:AB,15,FALSE),"")</f>
        <v/>
      </c>
      <c r="R657" t="str">
        <f>IFERROR(VLOOKUP('OB Format'!D657,'Team Data'!C:AB,24,FALSE),"")</f>
        <v/>
      </c>
      <c r="S657" t="str">
        <f>IFERROR(VLOOKUP('OB Format'!D657,'Team Data'!C:AC,25,FALSE),"")</f>
        <v/>
      </c>
    </row>
    <row r="658" spans="5:19" x14ac:dyDescent="0.25">
      <c r="E658" t="str">
        <f>IFERROR(VLOOKUP(D658,'Team Data'!C:AB,4,FALSE),"")</f>
        <v/>
      </c>
      <c r="F658" t="str">
        <f>IFERROR(VLOOKUP(D658,'Team Data'!C:AB,5,FALSE),"")</f>
        <v/>
      </c>
      <c r="G658" t="str">
        <f>IFERROR(VLOOKUP('OB Format'!D658,'Team Data'!C:AB,17,FALSE),"")</f>
        <v/>
      </c>
      <c r="H658" t="str">
        <f>IFERROR(VLOOKUP(D658,'Team Data'!C:AB,7,FALSE),"")</f>
        <v/>
      </c>
      <c r="I658" t="str">
        <f>IFERROR(VLOOKUP(D658,'Team Data'!C:AB,14,FALSE),"")</f>
        <v/>
      </c>
      <c r="J658" t="str">
        <f>IFERROR(VLOOKUP(D658,'Team Data'!C:AB,8,FALSE),"")</f>
        <v/>
      </c>
      <c r="K658" t="str">
        <f>IFERROR(VLOOKUP(D658,'Team Data'!C:AB,9,FALSE),"")</f>
        <v/>
      </c>
      <c r="L658" t="str">
        <f>IFERROR(VLOOKUP(D658,'Team Data'!C:AB,10,FALSE),"")</f>
        <v/>
      </c>
      <c r="M658" t="str">
        <f t="shared" si="22"/>
        <v/>
      </c>
      <c r="N658" t="str">
        <f>IFERROR(VLOOKUP(D658,'Team Data'!C:AB,23,FALSE),"")</f>
        <v/>
      </c>
      <c r="O658" t="str">
        <f>IFERROR(VLOOKUP(D658,'Team Data'!C:AB,22,FALSE),"")</f>
        <v/>
      </c>
      <c r="P658" t="str">
        <f t="shared" si="23"/>
        <v/>
      </c>
      <c r="Q658" t="str">
        <f>IFERROR(VLOOKUP(D658,'Team Data'!C:AB,15,FALSE),"")</f>
        <v/>
      </c>
      <c r="R658" t="str">
        <f>IFERROR(VLOOKUP('OB Format'!D658,'Team Data'!C:AB,24,FALSE),"")</f>
        <v/>
      </c>
      <c r="S658" t="str">
        <f>IFERROR(VLOOKUP('OB Format'!D658,'Team Data'!C:AC,25,FALSE),"")</f>
        <v/>
      </c>
    </row>
    <row r="659" spans="5:19" x14ac:dyDescent="0.25">
      <c r="E659" t="str">
        <f>IFERROR(VLOOKUP(D659,'Team Data'!C:AB,4,FALSE),"")</f>
        <v/>
      </c>
      <c r="F659" t="str">
        <f>IFERROR(VLOOKUP(D659,'Team Data'!C:AB,5,FALSE),"")</f>
        <v/>
      </c>
      <c r="G659" t="str">
        <f>IFERROR(VLOOKUP('OB Format'!D659,'Team Data'!C:AB,17,FALSE),"")</f>
        <v/>
      </c>
      <c r="H659" t="str">
        <f>IFERROR(VLOOKUP(D659,'Team Data'!C:AB,7,FALSE),"")</f>
        <v/>
      </c>
      <c r="I659" t="str">
        <f>IFERROR(VLOOKUP(D659,'Team Data'!C:AB,14,FALSE),"")</f>
        <v/>
      </c>
      <c r="J659" t="str">
        <f>IFERROR(VLOOKUP(D659,'Team Data'!C:AB,8,FALSE),"")</f>
        <v/>
      </c>
      <c r="K659" t="str">
        <f>IFERROR(VLOOKUP(D659,'Team Data'!C:AB,9,FALSE),"")</f>
        <v/>
      </c>
      <c r="L659" t="str">
        <f>IFERROR(VLOOKUP(D659,'Team Data'!C:AB,10,FALSE),"")</f>
        <v/>
      </c>
      <c r="M659" t="str">
        <f t="shared" si="22"/>
        <v/>
      </c>
      <c r="N659" t="str">
        <f>IFERROR(VLOOKUP(D659,'Team Data'!C:AB,23,FALSE),"")</f>
        <v/>
      </c>
      <c r="O659" t="str">
        <f>IFERROR(VLOOKUP(D659,'Team Data'!C:AB,22,FALSE),"")</f>
        <v/>
      </c>
      <c r="P659" t="str">
        <f t="shared" si="23"/>
        <v/>
      </c>
      <c r="Q659" t="str">
        <f>IFERROR(VLOOKUP(D659,'Team Data'!C:AB,15,FALSE),"")</f>
        <v/>
      </c>
      <c r="R659" t="str">
        <f>IFERROR(VLOOKUP('OB Format'!D659,'Team Data'!C:AB,24,FALSE),"")</f>
        <v/>
      </c>
      <c r="S659" t="str">
        <f>IFERROR(VLOOKUP('OB Format'!D659,'Team Data'!C:AC,25,FALSE),"")</f>
        <v/>
      </c>
    </row>
    <row r="660" spans="5:19" x14ac:dyDescent="0.25">
      <c r="E660" t="str">
        <f>IFERROR(VLOOKUP(D660,'Team Data'!C:AB,4,FALSE),"")</f>
        <v/>
      </c>
      <c r="F660" t="str">
        <f>IFERROR(VLOOKUP(D660,'Team Data'!C:AB,5,FALSE),"")</f>
        <v/>
      </c>
      <c r="G660" t="str">
        <f>IFERROR(VLOOKUP('OB Format'!D660,'Team Data'!C:AB,17,FALSE),"")</f>
        <v/>
      </c>
      <c r="H660" t="str">
        <f>IFERROR(VLOOKUP(D660,'Team Data'!C:AB,7,FALSE),"")</f>
        <v/>
      </c>
      <c r="I660" t="str">
        <f>IFERROR(VLOOKUP(D660,'Team Data'!C:AB,14,FALSE),"")</f>
        <v/>
      </c>
      <c r="J660" t="str">
        <f>IFERROR(VLOOKUP(D660,'Team Data'!C:AB,8,FALSE),"")</f>
        <v/>
      </c>
      <c r="K660" t="str">
        <f>IFERROR(VLOOKUP(D660,'Team Data'!C:AB,9,FALSE),"")</f>
        <v/>
      </c>
      <c r="L660" t="str">
        <f>IFERROR(VLOOKUP(D660,'Team Data'!C:AB,10,FALSE),"")</f>
        <v/>
      </c>
      <c r="M660" t="str">
        <f t="shared" si="22"/>
        <v/>
      </c>
      <c r="N660" t="str">
        <f>IFERROR(VLOOKUP(D660,'Team Data'!C:AB,23,FALSE),"")</f>
        <v/>
      </c>
      <c r="O660" t="str">
        <f>IFERROR(VLOOKUP(D660,'Team Data'!C:AB,22,FALSE),"")</f>
        <v/>
      </c>
      <c r="P660" t="str">
        <f t="shared" si="23"/>
        <v/>
      </c>
      <c r="Q660" t="str">
        <f>IFERROR(VLOOKUP(D660,'Team Data'!C:AB,15,FALSE),"")</f>
        <v/>
      </c>
      <c r="R660" t="str">
        <f>IFERROR(VLOOKUP('OB Format'!D660,'Team Data'!C:AB,24,FALSE),"")</f>
        <v/>
      </c>
      <c r="S660" t="str">
        <f>IFERROR(VLOOKUP('OB Format'!D660,'Team Data'!C:AC,25,FALSE),"")</f>
        <v/>
      </c>
    </row>
    <row r="661" spans="5:19" x14ac:dyDescent="0.25">
      <c r="E661" t="str">
        <f>IFERROR(VLOOKUP(D661,'Team Data'!C:AB,4,FALSE),"")</f>
        <v/>
      </c>
      <c r="F661" t="str">
        <f>IFERROR(VLOOKUP(D661,'Team Data'!C:AB,5,FALSE),"")</f>
        <v/>
      </c>
      <c r="G661" t="str">
        <f>IFERROR(VLOOKUP('OB Format'!D661,'Team Data'!C:AB,17,FALSE),"")</f>
        <v/>
      </c>
      <c r="H661" t="str">
        <f>IFERROR(VLOOKUP(D661,'Team Data'!C:AB,7,FALSE),"")</f>
        <v/>
      </c>
      <c r="I661" t="str">
        <f>IFERROR(VLOOKUP(D661,'Team Data'!C:AB,14,FALSE),"")</f>
        <v/>
      </c>
      <c r="J661" t="str">
        <f>IFERROR(VLOOKUP(D661,'Team Data'!C:AB,8,FALSE),"")</f>
        <v/>
      </c>
      <c r="K661" t="str">
        <f>IFERROR(VLOOKUP(D661,'Team Data'!C:AB,9,FALSE),"")</f>
        <v/>
      </c>
      <c r="L661" t="str">
        <f>IFERROR(VLOOKUP(D661,'Team Data'!C:AB,10,FALSE),"")</f>
        <v/>
      </c>
      <c r="M661" t="str">
        <f t="shared" si="22"/>
        <v/>
      </c>
      <c r="N661" t="str">
        <f>IFERROR(VLOOKUP(D661,'Team Data'!C:AB,23,FALSE),"")</f>
        <v/>
      </c>
      <c r="O661" t="str">
        <f>IFERROR(VLOOKUP(D661,'Team Data'!C:AB,22,FALSE),"")</f>
        <v/>
      </c>
      <c r="P661" t="str">
        <f t="shared" si="23"/>
        <v/>
      </c>
      <c r="Q661" t="str">
        <f>IFERROR(VLOOKUP(D661,'Team Data'!C:AB,15,FALSE),"")</f>
        <v/>
      </c>
      <c r="R661" t="str">
        <f>IFERROR(VLOOKUP('OB Format'!D661,'Team Data'!C:AB,24,FALSE),"")</f>
        <v/>
      </c>
      <c r="S661" t="str">
        <f>IFERROR(VLOOKUP('OB Format'!D661,'Team Data'!C:AC,25,FALSE),"")</f>
        <v/>
      </c>
    </row>
    <row r="662" spans="5:19" x14ac:dyDescent="0.25">
      <c r="E662" t="str">
        <f>IFERROR(VLOOKUP(D662,'Team Data'!C:AB,4,FALSE),"")</f>
        <v/>
      </c>
      <c r="F662" t="str">
        <f>IFERROR(VLOOKUP(D662,'Team Data'!C:AB,5,FALSE),"")</f>
        <v/>
      </c>
      <c r="G662" t="str">
        <f>IFERROR(VLOOKUP('OB Format'!D662,'Team Data'!C:AB,17,FALSE),"")</f>
        <v/>
      </c>
      <c r="H662" t="str">
        <f>IFERROR(VLOOKUP(D662,'Team Data'!C:AB,7,FALSE),"")</f>
        <v/>
      </c>
      <c r="I662" t="str">
        <f>IFERROR(VLOOKUP(D662,'Team Data'!C:AB,14,FALSE),"")</f>
        <v/>
      </c>
      <c r="J662" t="str">
        <f>IFERROR(VLOOKUP(D662,'Team Data'!C:AB,8,FALSE),"")</f>
        <v/>
      </c>
      <c r="K662" t="str">
        <f>IFERROR(VLOOKUP(D662,'Team Data'!C:AB,9,FALSE),"")</f>
        <v/>
      </c>
      <c r="L662" t="str">
        <f>IFERROR(VLOOKUP(D662,'Team Data'!C:AB,10,FALSE),"")</f>
        <v/>
      </c>
      <c r="M662" t="str">
        <f t="shared" si="22"/>
        <v/>
      </c>
      <c r="N662" t="str">
        <f>IFERROR(VLOOKUP(D662,'Team Data'!C:AB,23,FALSE),"")</f>
        <v/>
      </c>
      <c r="O662" t="str">
        <f>IFERROR(VLOOKUP(D662,'Team Data'!C:AB,22,FALSE),"")</f>
        <v/>
      </c>
      <c r="P662" t="str">
        <f t="shared" si="23"/>
        <v/>
      </c>
      <c r="Q662" t="str">
        <f>IFERROR(VLOOKUP(D662,'Team Data'!C:AB,15,FALSE),"")</f>
        <v/>
      </c>
      <c r="R662" t="str">
        <f>IFERROR(VLOOKUP('OB Format'!D662,'Team Data'!C:AB,24,FALSE),"")</f>
        <v/>
      </c>
      <c r="S662" t="str">
        <f>IFERROR(VLOOKUP('OB Format'!D662,'Team Data'!C:AC,25,FALSE),"")</f>
        <v/>
      </c>
    </row>
    <row r="663" spans="5:19" x14ac:dyDescent="0.25">
      <c r="E663" t="str">
        <f>IFERROR(VLOOKUP(D663,'Team Data'!C:AB,4,FALSE),"")</f>
        <v/>
      </c>
      <c r="F663" t="str">
        <f>IFERROR(VLOOKUP(D663,'Team Data'!C:AB,5,FALSE),"")</f>
        <v/>
      </c>
      <c r="G663" t="str">
        <f>IFERROR(VLOOKUP('OB Format'!D663,'Team Data'!C:AB,17,FALSE),"")</f>
        <v/>
      </c>
      <c r="H663" t="str">
        <f>IFERROR(VLOOKUP(D663,'Team Data'!C:AB,7,FALSE),"")</f>
        <v/>
      </c>
      <c r="I663" t="str">
        <f>IFERROR(VLOOKUP(D663,'Team Data'!C:AB,14,FALSE),"")</f>
        <v/>
      </c>
      <c r="J663" t="str">
        <f>IFERROR(VLOOKUP(D663,'Team Data'!C:AB,8,FALSE),"")</f>
        <v/>
      </c>
      <c r="K663" t="str">
        <f>IFERROR(VLOOKUP(D663,'Team Data'!C:AB,9,FALSE),"")</f>
        <v/>
      </c>
      <c r="L663" t="str">
        <f>IFERROR(VLOOKUP(D663,'Team Data'!C:AB,10,FALSE),"")</f>
        <v/>
      </c>
      <c r="M663" t="str">
        <f t="shared" si="22"/>
        <v/>
      </c>
      <c r="N663" t="str">
        <f>IFERROR(VLOOKUP(D663,'Team Data'!C:AB,23,FALSE),"")</f>
        <v/>
      </c>
      <c r="O663" t="str">
        <f>IFERROR(VLOOKUP(D663,'Team Data'!C:AB,22,FALSE),"")</f>
        <v/>
      </c>
      <c r="P663" t="str">
        <f t="shared" si="23"/>
        <v/>
      </c>
      <c r="Q663" t="str">
        <f>IFERROR(VLOOKUP(D663,'Team Data'!C:AB,15,FALSE),"")</f>
        <v/>
      </c>
      <c r="R663" t="str">
        <f>IFERROR(VLOOKUP('OB Format'!D663,'Team Data'!C:AB,24,FALSE),"")</f>
        <v/>
      </c>
      <c r="S663" t="str">
        <f>IFERROR(VLOOKUP('OB Format'!D663,'Team Data'!C:AC,25,FALSE),"")</f>
        <v/>
      </c>
    </row>
    <row r="664" spans="5:19" x14ac:dyDescent="0.25">
      <c r="E664" t="str">
        <f>IFERROR(VLOOKUP(D664,'Team Data'!C:AB,4,FALSE),"")</f>
        <v/>
      </c>
      <c r="F664" t="str">
        <f>IFERROR(VLOOKUP(D664,'Team Data'!C:AB,5,FALSE),"")</f>
        <v/>
      </c>
      <c r="G664" t="str">
        <f>IFERROR(VLOOKUP('OB Format'!D664,'Team Data'!C:AB,17,FALSE),"")</f>
        <v/>
      </c>
      <c r="H664" t="str">
        <f>IFERROR(VLOOKUP(D664,'Team Data'!C:AB,7,FALSE),"")</f>
        <v/>
      </c>
      <c r="I664" t="str">
        <f>IFERROR(VLOOKUP(D664,'Team Data'!C:AB,14,FALSE),"")</f>
        <v/>
      </c>
      <c r="J664" t="str">
        <f>IFERROR(VLOOKUP(D664,'Team Data'!C:AB,8,FALSE),"")</f>
        <v/>
      </c>
      <c r="K664" t="str">
        <f>IFERROR(VLOOKUP(D664,'Team Data'!C:AB,9,FALSE),"")</f>
        <v/>
      </c>
      <c r="L664" t="str">
        <f>IFERROR(VLOOKUP(D664,'Team Data'!C:AB,10,FALSE),"")</f>
        <v/>
      </c>
      <c r="M664" t="str">
        <f t="shared" si="22"/>
        <v/>
      </c>
      <c r="N664" t="str">
        <f>IFERROR(VLOOKUP(D664,'Team Data'!C:AB,23,FALSE),"")</f>
        <v/>
      </c>
      <c r="O664" t="str">
        <f>IFERROR(VLOOKUP(D664,'Team Data'!C:AB,22,FALSE),"")</f>
        <v/>
      </c>
      <c r="P664" t="str">
        <f t="shared" si="23"/>
        <v/>
      </c>
      <c r="Q664" t="str">
        <f>IFERROR(VLOOKUP(D664,'Team Data'!C:AB,15,FALSE),"")</f>
        <v/>
      </c>
      <c r="R664" t="str">
        <f>IFERROR(VLOOKUP('OB Format'!D664,'Team Data'!C:AB,24,FALSE),"")</f>
        <v/>
      </c>
      <c r="S664" t="str">
        <f>IFERROR(VLOOKUP('OB Format'!D664,'Team Data'!C:AC,25,FALSE),"")</f>
        <v/>
      </c>
    </row>
    <row r="665" spans="5:19" x14ac:dyDescent="0.25">
      <c r="E665" t="str">
        <f>IFERROR(VLOOKUP(D665,'Team Data'!C:AB,4,FALSE),"")</f>
        <v/>
      </c>
      <c r="F665" t="str">
        <f>IFERROR(VLOOKUP(D665,'Team Data'!C:AB,5,FALSE),"")</f>
        <v/>
      </c>
      <c r="G665" t="str">
        <f>IFERROR(VLOOKUP('OB Format'!D665,'Team Data'!C:AB,17,FALSE),"")</f>
        <v/>
      </c>
      <c r="H665" t="str">
        <f>IFERROR(VLOOKUP(D665,'Team Data'!C:AB,7,FALSE),"")</f>
        <v/>
      </c>
      <c r="I665" t="str">
        <f>IFERROR(VLOOKUP(D665,'Team Data'!C:AB,14,FALSE),"")</f>
        <v/>
      </c>
      <c r="J665" t="str">
        <f>IFERROR(VLOOKUP(D665,'Team Data'!C:AB,8,FALSE),"")</f>
        <v/>
      </c>
      <c r="K665" t="str">
        <f>IFERROR(VLOOKUP(D665,'Team Data'!C:AB,9,FALSE),"")</f>
        <v/>
      </c>
      <c r="L665" t="str">
        <f>IFERROR(VLOOKUP(D665,'Team Data'!C:AB,10,FALSE),"")</f>
        <v/>
      </c>
      <c r="M665" t="str">
        <f t="shared" si="22"/>
        <v/>
      </c>
      <c r="N665" t="str">
        <f>IFERROR(VLOOKUP(D665,'Team Data'!C:AB,23,FALSE),"")</f>
        <v/>
      </c>
      <c r="O665" t="str">
        <f>IFERROR(VLOOKUP(D665,'Team Data'!C:AB,22,FALSE),"")</f>
        <v/>
      </c>
      <c r="P665" t="str">
        <f t="shared" si="23"/>
        <v/>
      </c>
      <c r="Q665" t="str">
        <f>IFERROR(VLOOKUP(D665,'Team Data'!C:AB,15,FALSE),"")</f>
        <v/>
      </c>
      <c r="R665" t="str">
        <f>IFERROR(VLOOKUP('OB Format'!D665,'Team Data'!C:AB,24,FALSE),"")</f>
        <v/>
      </c>
      <c r="S665" t="str">
        <f>IFERROR(VLOOKUP('OB Format'!D665,'Team Data'!C:AC,25,FALSE),"")</f>
        <v/>
      </c>
    </row>
    <row r="666" spans="5:19" x14ac:dyDescent="0.25">
      <c r="E666" t="str">
        <f>IFERROR(VLOOKUP(D666,'Team Data'!C:AB,4,FALSE),"")</f>
        <v/>
      </c>
      <c r="F666" t="str">
        <f>IFERROR(VLOOKUP(D666,'Team Data'!C:AB,5,FALSE),"")</f>
        <v/>
      </c>
      <c r="G666" t="str">
        <f>IFERROR(VLOOKUP('OB Format'!D666,'Team Data'!C:AB,17,FALSE),"")</f>
        <v/>
      </c>
      <c r="H666" t="str">
        <f>IFERROR(VLOOKUP(D666,'Team Data'!C:AB,7,FALSE),"")</f>
        <v/>
      </c>
      <c r="I666" t="str">
        <f>IFERROR(VLOOKUP(D666,'Team Data'!C:AB,14,FALSE),"")</f>
        <v/>
      </c>
      <c r="J666" t="str">
        <f>IFERROR(VLOOKUP(D666,'Team Data'!C:AB,8,FALSE),"")</f>
        <v/>
      </c>
      <c r="K666" t="str">
        <f>IFERROR(VLOOKUP(D666,'Team Data'!C:AB,9,FALSE),"")</f>
        <v/>
      </c>
      <c r="L666" t="str">
        <f>IFERROR(VLOOKUP(D666,'Team Data'!C:AB,10,FALSE),"")</f>
        <v/>
      </c>
      <c r="M666" t="str">
        <f t="shared" si="22"/>
        <v/>
      </c>
      <c r="N666" t="str">
        <f>IFERROR(VLOOKUP(D666,'Team Data'!C:AB,23,FALSE),"")</f>
        <v/>
      </c>
      <c r="O666" t="str">
        <f>IFERROR(VLOOKUP(D666,'Team Data'!C:AB,22,FALSE),"")</f>
        <v/>
      </c>
      <c r="P666" t="str">
        <f t="shared" si="23"/>
        <v/>
      </c>
      <c r="Q666" t="str">
        <f>IFERROR(VLOOKUP(D666,'Team Data'!C:AB,15,FALSE),"")</f>
        <v/>
      </c>
      <c r="R666" t="str">
        <f>IFERROR(VLOOKUP('OB Format'!D666,'Team Data'!C:AB,24,FALSE),"")</f>
        <v/>
      </c>
      <c r="S666" t="str">
        <f>IFERROR(VLOOKUP('OB Format'!D666,'Team Data'!C:AC,25,FALSE),"")</f>
        <v/>
      </c>
    </row>
    <row r="667" spans="5:19" x14ac:dyDescent="0.25">
      <c r="E667" t="str">
        <f>IFERROR(VLOOKUP(D667,'Team Data'!C:AB,4,FALSE),"")</f>
        <v/>
      </c>
      <c r="F667" t="str">
        <f>IFERROR(VLOOKUP(D667,'Team Data'!C:AB,5,FALSE),"")</f>
        <v/>
      </c>
      <c r="G667" t="str">
        <f>IFERROR(VLOOKUP('OB Format'!D667,'Team Data'!C:AB,17,FALSE),"")</f>
        <v/>
      </c>
      <c r="H667" t="str">
        <f>IFERROR(VLOOKUP(D667,'Team Data'!C:AB,7,FALSE),"")</f>
        <v/>
      </c>
      <c r="I667" t="str">
        <f>IFERROR(VLOOKUP(D667,'Team Data'!C:AB,14,FALSE),"")</f>
        <v/>
      </c>
      <c r="J667" t="str">
        <f>IFERROR(VLOOKUP(D667,'Team Data'!C:AB,8,FALSE),"")</f>
        <v/>
      </c>
      <c r="K667" t="str">
        <f>IFERROR(VLOOKUP(D667,'Team Data'!C:AB,9,FALSE),"")</f>
        <v/>
      </c>
      <c r="L667" t="str">
        <f>IFERROR(VLOOKUP(D667,'Team Data'!C:AB,10,FALSE),"")</f>
        <v/>
      </c>
      <c r="M667" t="str">
        <f t="shared" si="22"/>
        <v/>
      </c>
      <c r="N667" t="str">
        <f>IFERROR(VLOOKUP(D667,'Team Data'!C:AB,23,FALSE),"")</f>
        <v/>
      </c>
      <c r="O667" t="str">
        <f>IFERROR(VLOOKUP(D667,'Team Data'!C:AB,22,FALSE),"")</f>
        <v/>
      </c>
      <c r="P667" t="str">
        <f t="shared" si="23"/>
        <v/>
      </c>
      <c r="Q667" t="str">
        <f>IFERROR(VLOOKUP(D667,'Team Data'!C:AB,15,FALSE),"")</f>
        <v/>
      </c>
      <c r="R667" t="str">
        <f>IFERROR(VLOOKUP('OB Format'!D667,'Team Data'!C:AB,24,FALSE),"")</f>
        <v/>
      </c>
      <c r="S667" t="str">
        <f>IFERROR(VLOOKUP('OB Format'!D667,'Team Data'!C:AC,25,FALSE),"")</f>
        <v/>
      </c>
    </row>
    <row r="668" spans="5:19" x14ac:dyDescent="0.25">
      <c r="E668" t="str">
        <f>IFERROR(VLOOKUP(D668,'Team Data'!C:AB,4,FALSE),"")</f>
        <v/>
      </c>
      <c r="F668" t="str">
        <f>IFERROR(VLOOKUP(D668,'Team Data'!C:AB,5,FALSE),"")</f>
        <v/>
      </c>
      <c r="G668" t="str">
        <f>IFERROR(VLOOKUP('OB Format'!D668,'Team Data'!C:AB,17,FALSE),"")</f>
        <v/>
      </c>
      <c r="H668" t="str">
        <f>IFERROR(VLOOKUP(D668,'Team Data'!C:AB,7,FALSE),"")</f>
        <v/>
      </c>
      <c r="I668" t="str">
        <f>IFERROR(VLOOKUP(D668,'Team Data'!C:AB,14,FALSE),"")</f>
        <v/>
      </c>
      <c r="J668" t="str">
        <f>IFERROR(VLOOKUP(D668,'Team Data'!C:AB,8,FALSE),"")</f>
        <v/>
      </c>
      <c r="K668" t="str">
        <f>IFERROR(VLOOKUP(D668,'Team Data'!C:AB,9,FALSE),"")</f>
        <v/>
      </c>
      <c r="L668" t="str">
        <f>IFERROR(VLOOKUP(D668,'Team Data'!C:AB,10,FALSE),"")</f>
        <v/>
      </c>
      <c r="M668" t="str">
        <f t="shared" si="22"/>
        <v/>
      </c>
      <c r="N668" t="str">
        <f>IFERROR(VLOOKUP(D668,'Team Data'!C:AB,23,FALSE),"")</f>
        <v/>
      </c>
      <c r="O668" t="str">
        <f>IFERROR(VLOOKUP(D668,'Team Data'!C:AB,22,FALSE),"")</f>
        <v/>
      </c>
      <c r="P668" t="str">
        <f t="shared" si="23"/>
        <v/>
      </c>
      <c r="Q668" t="str">
        <f>IFERROR(VLOOKUP(D668,'Team Data'!C:AB,15,FALSE),"")</f>
        <v/>
      </c>
      <c r="R668" t="str">
        <f>IFERROR(VLOOKUP('OB Format'!D668,'Team Data'!C:AB,24,FALSE),"")</f>
        <v/>
      </c>
      <c r="S668" t="str">
        <f>IFERROR(VLOOKUP('OB Format'!D668,'Team Data'!C:AC,25,FALSE),"")</f>
        <v/>
      </c>
    </row>
    <row r="669" spans="5:19" x14ac:dyDescent="0.25">
      <c r="E669" t="str">
        <f>IFERROR(VLOOKUP(D669,'Team Data'!C:AB,4,FALSE),"")</f>
        <v/>
      </c>
      <c r="F669" t="str">
        <f>IFERROR(VLOOKUP(D669,'Team Data'!C:AB,5,FALSE),"")</f>
        <v/>
      </c>
      <c r="G669" t="str">
        <f>IFERROR(VLOOKUP('OB Format'!D669,'Team Data'!C:AB,17,FALSE),"")</f>
        <v/>
      </c>
      <c r="H669" t="str">
        <f>IFERROR(VLOOKUP(D669,'Team Data'!C:AB,7,FALSE),"")</f>
        <v/>
      </c>
      <c r="I669" t="str">
        <f>IFERROR(VLOOKUP(D669,'Team Data'!C:AB,14,FALSE),"")</f>
        <v/>
      </c>
      <c r="J669" t="str">
        <f>IFERROR(VLOOKUP(D669,'Team Data'!C:AB,8,FALSE),"")</f>
        <v/>
      </c>
      <c r="K669" t="str">
        <f>IFERROR(VLOOKUP(D669,'Team Data'!C:AB,9,FALSE),"")</f>
        <v/>
      </c>
      <c r="L669" t="str">
        <f>IFERROR(VLOOKUP(D669,'Team Data'!C:AB,10,FALSE),"")</f>
        <v/>
      </c>
      <c r="M669" t="str">
        <f t="shared" si="22"/>
        <v/>
      </c>
      <c r="N669" t="str">
        <f>IFERROR(VLOOKUP(D669,'Team Data'!C:AB,23,FALSE),"")</f>
        <v/>
      </c>
      <c r="O669" t="str">
        <f>IFERROR(VLOOKUP(D669,'Team Data'!C:AB,22,FALSE),"")</f>
        <v/>
      </c>
      <c r="P669" t="str">
        <f t="shared" si="23"/>
        <v/>
      </c>
      <c r="Q669" t="str">
        <f>IFERROR(VLOOKUP(D669,'Team Data'!C:AB,15,FALSE),"")</f>
        <v/>
      </c>
      <c r="R669" t="str">
        <f>IFERROR(VLOOKUP('OB Format'!D669,'Team Data'!C:AB,24,FALSE),"")</f>
        <v/>
      </c>
      <c r="S669" t="str">
        <f>IFERROR(VLOOKUP('OB Format'!D669,'Team Data'!C:AC,25,FALSE),"")</f>
        <v/>
      </c>
    </row>
    <row r="670" spans="5:19" x14ac:dyDescent="0.25">
      <c r="E670" t="str">
        <f>IFERROR(VLOOKUP(D670,'Team Data'!C:AB,4,FALSE),"")</f>
        <v/>
      </c>
      <c r="F670" t="str">
        <f>IFERROR(VLOOKUP(D670,'Team Data'!C:AB,5,FALSE),"")</f>
        <v/>
      </c>
      <c r="G670" t="str">
        <f>IFERROR(VLOOKUP('OB Format'!D670,'Team Data'!C:AB,17,FALSE),"")</f>
        <v/>
      </c>
      <c r="H670" t="str">
        <f>IFERROR(VLOOKUP(D670,'Team Data'!C:AB,7,FALSE),"")</f>
        <v/>
      </c>
      <c r="I670" t="str">
        <f>IFERROR(VLOOKUP(D670,'Team Data'!C:AB,14,FALSE),"")</f>
        <v/>
      </c>
      <c r="J670" t="str">
        <f>IFERROR(VLOOKUP(D670,'Team Data'!C:AB,8,FALSE),"")</f>
        <v/>
      </c>
      <c r="K670" t="str">
        <f>IFERROR(VLOOKUP(D670,'Team Data'!C:AB,9,FALSE),"")</f>
        <v/>
      </c>
      <c r="L670" t="str">
        <f>IFERROR(VLOOKUP(D670,'Team Data'!C:AB,10,FALSE),"")</f>
        <v/>
      </c>
      <c r="M670" t="str">
        <f t="shared" si="22"/>
        <v/>
      </c>
      <c r="N670" t="str">
        <f>IFERROR(VLOOKUP(D670,'Team Data'!C:AB,23,FALSE),"")</f>
        <v/>
      </c>
      <c r="O670" t="str">
        <f>IFERROR(VLOOKUP(D670,'Team Data'!C:AB,22,FALSE),"")</f>
        <v/>
      </c>
      <c r="P670" t="str">
        <f t="shared" si="23"/>
        <v/>
      </c>
      <c r="Q670" t="str">
        <f>IFERROR(VLOOKUP(D670,'Team Data'!C:AB,15,FALSE),"")</f>
        <v/>
      </c>
      <c r="R670" t="str">
        <f>IFERROR(VLOOKUP('OB Format'!D670,'Team Data'!C:AB,24,FALSE),"")</f>
        <v/>
      </c>
      <c r="S670" t="str">
        <f>IFERROR(VLOOKUP('OB Format'!D670,'Team Data'!C:AC,25,FALSE),"")</f>
        <v/>
      </c>
    </row>
    <row r="671" spans="5:19" x14ac:dyDescent="0.25">
      <c r="E671" t="str">
        <f>IFERROR(VLOOKUP(D671,'Team Data'!C:AB,4,FALSE),"")</f>
        <v/>
      </c>
      <c r="F671" t="str">
        <f>IFERROR(VLOOKUP(D671,'Team Data'!C:AB,5,FALSE),"")</f>
        <v/>
      </c>
      <c r="G671" t="str">
        <f>IFERROR(VLOOKUP('OB Format'!D671,'Team Data'!C:AB,17,FALSE),"")</f>
        <v/>
      </c>
      <c r="H671" t="str">
        <f>IFERROR(VLOOKUP(D671,'Team Data'!C:AB,7,FALSE),"")</f>
        <v/>
      </c>
      <c r="I671" t="str">
        <f>IFERROR(VLOOKUP(D671,'Team Data'!C:AB,14,FALSE),"")</f>
        <v/>
      </c>
      <c r="J671" t="str">
        <f>IFERROR(VLOOKUP(D671,'Team Data'!C:AB,8,FALSE),"")</f>
        <v/>
      </c>
      <c r="K671" t="str">
        <f>IFERROR(VLOOKUP(D671,'Team Data'!C:AB,9,FALSE),"")</f>
        <v/>
      </c>
      <c r="L671" t="str">
        <f>IFERROR(VLOOKUP(D671,'Team Data'!C:AB,10,FALSE),"")</f>
        <v/>
      </c>
      <c r="M671" t="str">
        <f t="shared" si="22"/>
        <v/>
      </c>
      <c r="N671" t="str">
        <f>IFERROR(VLOOKUP(D671,'Team Data'!C:AB,23,FALSE),"")</f>
        <v/>
      </c>
      <c r="O671" t="str">
        <f>IFERROR(VLOOKUP(D671,'Team Data'!C:AB,22,FALSE),"")</f>
        <v/>
      </c>
      <c r="P671" t="str">
        <f t="shared" si="23"/>
        <v/>
      </c>
      <c r="Q671" t="str">
        <f>IFERROR(VLOOKUP(D671,'Team Data'!C:AB,15,FALSE),"")</f>
        <v/>
      </c>
      <c r="R671" t="str">
        <f>IFERROR(VLOOKUP('OB Format'!D671,'Team Data'!C:AB,24,FALSE),"")</f>
        <v/>
      </c>
      <c r="S671" t="str">
        <f>IFERROR(VLOOKUP('OB Format'!D671,'Team Data'!C:AC,25,FALSE),"")</f>
        <v/>
      </c>
    </row>
    <row r="672" spans="5:19" x14ac:dyDescent="0.25">
      <c r="E672" t="str">
        <f>IFERROR(VLOOKUP(D672,'Team Data'!C:AB,4,FALSE),"")</f>
        <v/>
      </c>
      <c r="F672" t="str">
        <f>IFERROR(VLOOKUP(D672,'Team Data'!C:AB,5,FALSE),"")</f>
        <v/>
      </c>
      <c r="G672" t="str">
        <f>IFERROR(VLOOKUP('OB Format'!D672,'Team Data'!C:AB,17,FALSE),"")</f>
        <v/>
      </c>
      <c r="H672" t="str">
        <f>IFERROR(VLOOKUP(D672,'Team Data'!C:AB,7,FALSE),"")</f>
        <v/>
      </c>
      <c r="I672" t="str">
        <f>IFERROR(VLOOKUP(D672,'Team Data'!C:AB,14,FALSE),"")</f>
        <v/>
      </c>
      <c r="J672" t="str">
        <f>IFERROR(VLOOKUP(D672,'Team Data'!C:AB,8,FALSE),"")</f>
        <v/>
      </c>
      <c r="K672" t="str">
        <f>IFERROR(VLOOKUP(D672,'Team Data'!C:AB,9,FALSE),"")</f>
        <v/>
      </c>
      <c r="L672" t="str">
        <f>IFERROR(VLOOKUP(D672,'Team Data'!C:AB,10,FALSE),"")</f>
        <v/>
      </c>
      <c r="M672" t="str">
        <f t="shared" si="22"/>
        <v/>
      </c>
      <c r="N672" t="str">
        <f>IFERROR(VLOOKUP(D672,'Team Data'!C:AB,23,FALSE),"")</f>
        <v/>
      </c>
      <c r="O672" t="str">
        <f>IFERROR(VLOOKUP(D672,'Team Data'!C:AB,22,FALSE),"")</f>
        <v/>
      </c>
      <c r="P672" t="str">
        <f t="shared" si="23"/>
        <v/>
      </c>
      <c r="Q672" t="str">
        <f>IFERROR(VLOOKUP(D672,'Team Data'!C:AB,15,FALSE),"")</f>
        <v/>
      </c>
      <c r="R672" t="str">
        <f>IFERROR(VLOOKUP('OB Format'!D672,'Team Data'!C:AB,24,FALSE),"")</f>
        <v/>
      </c>
      <c r="S672" t="str">
        <f>IFERROR(VLOOKUP('OB Format'!D672,'Team Data'!C:AC,25,FALSE),"")</f>
        <v/>
      </c>
    </row>
    <row r="673" spans="5:19" x14ac:dyDescent="0.25">
      <c r="E673" t="str">
        <f>IFERROR(VLOOKUP(D673,'Team Data'!C:AB,4,FALSE),"")</f>
        <v/>
      </c>
      <c r="F673" t="str">
        <f>IFERROR(VLOOKUP(D673,'Team Data'!C:AB,5,FALSE),"")</f>
        <v/>
      </c>
      <c r="G673" t="str">
        <f>IFERROR(VLOOKUP('OB Format'!D673,'Team Data'!C:AB,17,FALSE),"")</f>
        <v/>
      </c>
      <c r="H673" t="str">
        <f>IFERROR(VLOOKUP(D673,'Team Data'!C:AB,7,FALSE),"")</f>
        <v/>
      </c>
      <c r="I673" t="str">
        <f>IFERROR(VLOOKUP(D673,'Team Data'!C:AB,14,FALSE),"")</f>
        <v/>
      </c>
      <c r="J673" t="str">
        <f>IFERROR(VLOOKUP(D673,'Team Data'!C:AB,8,FALSE),"")</f>
        <v/>
      </c>
      <c r="K673" t="str">
        <f>IFERROR(VLOOKUP(D673,'Team Data'!C:AB,9,FALSE),"")</f>
        <v/>
      </c>
      <c r="L673" t="str">
        <f>IFERROR(VLOOKUP(D673,'Team Data'!C:AB,10,FALSE),"")</f>
        <v/>
      </c>
      <c r="M673" t="str">
        <f t="shared" si="22"/>
        <v/>
      </c>
      <c r="N673" t="str">
        <f>IFERROR(VLOOKUP(D673,'Team Data'!C:AB,23,FALSE),"")</f>
        <v/>
      </c>
      <c r="O673" t="str">
        <f>IFERROR(VLOOKUP(D673,'Team Data'!C:AB,22,FALSE),"")</f>
        <v/>
      </c>
      <c r="P673" t="str">
        <f t="shared" si="23"/>
        <v/>
      </c>
      <c r="Q673" t="str">
        <f>IFERROR(VLOOKUP(D673,'Team Data'!C:AB,15,FALSE),"")</f>
        <v/>
      </c>
      <c r="R673" t="str">
        <f>IFERROR(VLOOKUP('OB Format'!D673,'Team Data'!C:AB,24,FALSE),"")</f>
        <v/>
      </c>
      <c r="S673" t="str">
        <f>IFERROR(VLOOKUP('OB Format'!D673,'Team Data'!C:AC,25,FALSE),"")</f>
        <v/>
      </c>
    </row>
    <row r="674" spans="5:19" x14ac:dyDescent="0.25">
      <c r="E674" t="str">
        <f>IFERROR(VLOOKUP(D674,'Team Data'!C:AB,4,FALSE),"")</f>
        <v/>
      </c>
      <c r="F674" t="str">
        <f>IFERROR(VLOOKUP(D674,'Team Data'!C:AB,5,FALSE),"")</f>
        <v/>
      </c>
      <c r="G674" t="str">
        <f>IFERROR(VLOOKUP('OB Format'!D674,'Team Data'!C:AB,17,FALSE),"")</f>
        <v/>
      </c>
      <c r="H674" t="str">
        <f>IFERROR(VLOOKUP(D674,'Team Data'!C:AB,7,FALSE),"")</f>
        <v/>
      </c>
      <c r="I674" t="str">
        <f>IFERROR(VLOOKUP(D674,'Team Data'!C:AB,14,FALSE),"")</f>
        <v/>
      </c>
      <c r="J674" t="str">
        <f>IFERROR(VLOOKUP(D674,'Team Data'!C:AB,8,FALSE),"")</f>
        <v/>
      </c>
      <c r="K674" t="str">
        <f>IFERROR(VLOOKUP(D674,'Team Data'!C:AB,9,FALSE),"")</f>
        <v/>
      </c>
      <c r="L674" t="str">
        <f>IFERROR(VLOOKUP(D674,'Team Data'!C:AB,10,FALSE),"")</f>
        <v/>
      </c>
      <c r="M674" t="str">
        <f t="shared" si="22"/>
        <v/>
      </c>
      <c r="N674" t="str">
        <f>IFERROR(VLOOKUP(D674,'Team Data'!C:AB,23,FALSE),"")</f>
        <v/>
      </c>
      <c r="O674" t="str">
        <f>IFERROR(VLOOKUP(D674,'Team Data'!C:AB,22,FALSE),"")</f>
        <v/>
      </c>
      <c r="P674" t="str">
        <f t="shared" si="23"/>
        <v/>
      </c>
      <c r="Q674" t="str">
        <f>IFERROR(VLOOKUP(D674,'Team Data'!C:AB,15,FALSE),"")</f>
        <v/>
      </c>
      <c r="R674" t="str">
        <f>IFERROR(VLOOKUP('OB Format'!D674,'Team Data'!C:AB,24,FALSE),"")</f>
        <v/>
      </c>
      <c r="S674" t="str">
        <f>IFERROR(VLOOKUP('OB Format'!D674,'Team Data'!C:AC,25,FALSE),"")</f>
        <v/>
      </c>
    </row>
    <row r="675" spans="5:19" x14ac:dyDescent="0.25">
      <c r="E675" t="str">
        <f>IFERROR(VLOOKUP(D675,'Team Data'!C:AB,4,FALSE),"")</f>
        <v/>
      </c>
      <c r="F675" t="str">
        <f>IFERROR(VLOOKUP(D675,'Team Data'!C:AB,5,FALSE),"")</f>
        <v/>
      </c>
      <c r="G675" t="str">
        <f>IFERROR(VLOOKUP('OB Format'!D675,'Team Data'!C:AB,17,FALSE),"")</f>
        <v/>
      </c>
      <c r="H675" t="str">
        <f>IFERROR(VLOOKUP(D675,'Team Data'!C:AB,7,FALSE),"")</f>
        <v/>
      </c>
      <c r="I675" t="str">
        <f>IFERROR(VLOOKUP(D675,'Team Data'!C:AB,14,FALSE),"")</f>
        <v/>
      </c>
      <c r="J675" t="str">
        <f>IFERROR(VLOOKUP(D675,'Team Data'!C:AB,8,FALSE),"")</f>
        <v/>
      </c>
      <c r="K675" t="str">
        <f>IFERROR(VLOOKUP(D675,'Team Data'!C:AB,9,FALSE),"")</f>
        <v/>
      </c>
      <c r="L675" t="str">
        <f>IFERROR(VLOOKUP(D675,'Team Data'!C:AB,10,FALSE),"")</f>
        <v/>
      </c>
      <c r="M675" t="str">
        <f t="shared" si="22"/>
        <v/>
      </c>
      <c r="N675" t="str">
        <f>IFERROR(VLOOKUP(D675,'Team Data'!C:AB,23,FALSE),"")</f>
        <v/>
      </c>
      <c r="O675" t="str">
        <f>IFERROR(VLOOKUP(D675,'Team Data'!C:AB,22,FALSE),"")</f>
        <v/>
      </c>
      <c r="P675" t="str">
        <f t="shared" si="23"/>
        <v/>
      </c>
      <c r="Q675" t="str">
        <f>IFERROR(VLOOKUP(D675,'Team Data'!C:AB,15,FALSE),"")</f>
        <v/>
      </c>
      <c r="R675" t="str">
        <f>IFERROR(VLOOKUP('OB Format'!D675,'Team Data'!C:AB,24,FALSE),"")</f>
        <v/>
      </c>
      <c r="S675" t="str">
        <f>IFERROR(VLOOKUP('OB Format'!D675,'Team Data'!C:AC,25,FALSE),"")</f>
        <v/>
      </c>
    </row>
    <row r="676" spans="5:19" x14ac:dyDescent="0.25">
      <c r="E676" t="str">
        <f>IFERROR(VLOOKUP(D676,'Team Data'!C:AB,4,FALSE),"")</f>
        <v/>
      </c>
      <c r="F676" t="str">
        <f>IFERROR(VLOOKUP(D676,'Team Data'!C:AB,5,FALSE),"")</f>
        <v/>
      </c>
      <c r="G676" t="str">
        <f>IFERROR(VLOOKUP('OB Format'!D676,'Team Data'!C:AB,17,FALSE),"")</f>
        <v/>
      </c>
      <c r="H676" t="str">
        <f>IFERROR(VLOOKUP(D676,'Team Data'!C:AB,7,FALSE),"")</f>
        <v/>
      </c>
      <c r="I676" t="str">
        <f>IFERROR(VLOOKUP(D676,'Team Data'!C:AB,14,FALSE),"")</f>
        <v/>
      </c>
      <c r="J676" t="str">
        <f>IFERROR(VLOOKUP(D676,'Team Data'!C:AB,8,FALSE),"")</f>
        <v/>
      </c>
      <c r="K676" t="str">
        <f>IFERROR(VLOOKUP(D676,'Team Data'!C:AB,9,FALSE),"")</f>
        <v/>
      </c>
      <c r="L676" t="str">
        <f>IFERROR(VLOOKUP(D676,'Team Data'!C:AB,10,FALSE),"")</f>
        <v/>
      </c>
      <c r="M676" t="str">
        <f t="shared" si="22"/>
        <v/>
      </c>
      <c r="N676" t="str">
        <f>IFERROR(VLOOKUP(D676,'Team Data'!C:AB,23,FALSE),"")</f>
        <v/>
      </c>
      <c r="O676" t="str">
        <f>IFERROR(VLOOKUP(D676,'Team Data'!C:AB,22,FALSE),"")</f>
        <v/>
      </c>
      <c r="P676" t="str">
        <f t="shared" si="23"/>
        <v/>
      </c>
      <c r="Q676" t="str">
        <f>IFERROR(VLOOKUP(D676,'Team Data'!C:AB,15,FALSE),"")</f>
        <v/>
      </c>
      <c r="R676" t="str">
        <f>IFERROR(VLOOKUP('OB Format'!D676,'Team Data'!C:AB,24,FALSE),"")</f>
        <v/>
      </c>
      <c r="S676" t="str">
        <f>IFERROR(VLOOKUP('OB Format'!D676,'Team Data'!C:AC,25,FALSE),"")</f>
        <v/>
      </c>
    </row>
    <row r="677" spans="5:19" x14ac:dyDescent="0.25">
      <c r="E677" t="str">
        <f>IFERROR(VLOOKUP(D677,'Team Data'!C:AB,4,FALSE),"")</f>
        <v/>
      </c>
      <c r="F677" t="str">
        <f>IFERROR(VLOOKUP(D677,'Team Data'!C:AB,5,FALSE),"")</f>
        <v/>
      </c>
      <c r="G677" t="str">
        <f>IFERROR(VLOOKUP('OB Format'!D677,'Team Data'!C:AB,17,FALSE),"")</f>
        <v/>
      </c>
      <c r="H677" t="str">
        <f>IFERROR(VLOOKUP(D677,'Team Data'!C:AB,7,FALSE),"")</f>
        <v/>
      </c>
      <c r="I677" t="str">
        <f>IFERROR(VLOOKUP(D677,'Team Data'!C:AB,14,FALSE),"")</f>
        <v/>
      </c>
      <c r="J677" t="str">
        <f>IFERROR(VLOOKUP(D677,'Team Data'!C:AB,8,FALSE),"")</f>
        <v/>
      </c>
      <c r="K677" t="str">
        <f>IFERROR(VLOOKUP(D677,'Team Data'!C:AB,9,FALSE),"")</f>
        <v/>
      </c>
      <c r="L677" t="str">
        <f>IFERROR(VLOOKUP(D677,'Team Data'!C:AB,10,FALSE),"")</f>
        <v/>
      </c>
      <c r="M677" t="str">
        <f t="shared" si="22"/>
        <v/>
      </c>
      <c r="N677" t="str">
        <f>IFERROR(VLOOKUP(D677,'Team Data'!C:AB,23,FALSE),"")</f>
        <v/>
      </c>
      <c r="O677" t="str">
        <f>IFERROR(VLOOKUP(D677,'Team Data'!C:AB,22,FALSE),"")</f>
        <v/>
      </c>
      <c r="P677" t="str">
        <f t="shared" si="23"/>
        <v/>
      </c>
      <c r="Q677" t="str">
        <f>IFERROR(VLOOKUP(D677,'Team Data'!C:AB,15,FALSE),"")</f>
        <v/>
      </c>
      <c r="R677" t="str">
        <f>IFERROR(VLOOKUP('OB Format'!D677,'Team Data'!C:AB,24,FALSE),"")</f>
        <v/>
      </c>
      <c r="S677" t="str">
        <f>IFERROR(VLOOKUP('OB Format'!D677,'Team Data'!C:AC,25,FALSE),"")</f>
        <v/>
      </c>
    </row>
    <row r="678" spans="5:19" x14ac:dyDescent="0.25">
      <c r="E678" t="str">
        <f>IFERROR(VLOOKUP(D678,'Team Data'!C:AB,4,FALSE),"")</f>
        <v/>
      </c>
      <c r="F678" t="str">
        <f>IFERROR(VLOOKUP(D678,'Team Data'!C:AB,5,FALSE),"")</f>
        <v/>
      </c>
      <c r="G678" t="str">
        <f>IFERROR(VLOOKUP('OB Format'!D678,'Team Data'!C:AB,17,FALSE),"")</f>
        <v/>
      </c>
      <c r="H678" t="str">
        <f>IFERROR(VLOOKUP(D678,'Team Data'!C:AB,7,FALSE),"")</f>
        <v/>
      </c>
      <c r="I678" t="str">
        <f>IFERROR(VLOOKUP(D678,'Team Data'!C:AB,14,FALSE),"")</f>
        <v/>
      </c>
      <c r="J678" t="str">
        <f>IFERROR(VLOOKUP(D678,'Team Data'!C:AB,8,FALSE),"")</f>
        <v/>
      </c>
      <c r="K678" t="str">
        <f>IFERROR(VLOOKUP(D678,'Team Data'!C:AB,9,FALSE),"")</f>
        <v/>
      </c>
      <c r="L678" t="str">
        <f>IFERROR(VLOOKUP(D678,'Team Data'!C:AB,10,FALSE),"")</f>
        <v/>
      </c>
      <c r="M678" t="str">
        <f t="shared" si="22"/>
        <v/>
      </c>
      <c r="N678" t="str">
        <f>IFERROR(VLOOKUP(D678,'Team Data'!C:AB,23,FALSE),"")</f>
        <v/>
      </c>
      <c r="O678" t="str">
        <f>IFERROR(VLOOKUP(D678,'Team Data'!C:AB,22,FALSE),"")</f>
        <v/>
      </c>
      <c r="P678" t="str">
        <f t="shared" si="23"/>
        <v/>
      </c>
      <c r="Q678" t="str">
        <f>IFERROR(VLOOKUP(D678,'Team Data'!C:AB,15,FALSE),"")</f>
        <v/>
      </c>
      <c r="R678" t="str">
        <f>IFERROR(VLOOKUP('OB Format'!D678,'Team Data'!C:AB,24,FALSE),"")</f>
        <v/>
      </c>
      <c r="S678" t="str">
        <f>IFERROR(VLOOKUP('OB Format'!D678,'Team Data'!C:AC,25,FALSE),"")</f>
        <v/>
      </c>
    </row>
    <row r="679" spans="5:19" x14ac:dyDescent="0.25">
      <c r="E679" t="str">
        <f>IFERROR(VLOOKUP(D679,'Team Data'!C:AB,4,FALSE),"")</f>
        <v/>
      </c>
      <c r="F679" t="str">
        <f>IFERROR(VLOOKUP(D679,'Team Data'!C:AB,5,FALSE),"")</f>
        <v/>
      </c>
      <c r="G679" t="str">
        <f>IFERROR(VLOOKUP('OB Format'!D679,'Team Data'!C:AB,17,FALSE),"")</f>
        <v/>
      </c>
      <c r="H679" t="str">
        <f>IFERROR(VLOOKUP(D679,'Team Data'!C:AB,7,FALSE),"")</f>
        <v/>
      </c>
      <c r="I679" t="str">
        <f>IFERROR(VLOOKUP(D679,'Team Data'!C:AB,14,FALSE),"")</f>
        <v/>
      </c>
      <c r="J679" t="str">
        <f>IFERROR(VLOOKUP(D679,'Team Data'!C:AB,8,FALSE),"")</f>
        <v/>
      </c>
      <c r="K679" t="str">
        <f>IFERROR(VLOOKUP(D679,'Team Data'!C:AB,9,FALSE),"")</f>
        <v/>
      </c>
      <c r="L679" t="str">
        <f>IFERROR(VLOOKUP(D679,'Team Data'!C:AB,10,FALSE),"")</f>
        <v/>
      </c>
      <c r="M679" t="str">
        <f t="shared" si="22"/>
        <v/>
      </c>
      <c r="N679" t="str">
        <f>IFERROR(VLOOKUP(D679,'Team Data'!C:AB,23,FALSE),"")</f>
        <v/>
      </c>
      <c r="O679" t="str">
        <f>IFERROR(VLOOKUP(D679,'Team Data'!C:AB,22,FALSE),"")</f>
        <v/>
      </c>
      <c r="P679" t="str">
        <f t="shared" si="23"/>
        <v/>
      </c>
      <c r="Q679" t="str">
        <f>IFERROR(VLOOKUP(D679,'Team Data'!C:AB,15,FALSE),"")</f>
        <v/>
      </c>
      <c r="R679" t="str">
        <f>IFERROR(VLOOKUP('OB Format'!D679,'Team Data'!C:AB,24,FALSE),"")</f>
        <v/>
      </c>
      <c r="S679" t="str">
        <f>IFERROR(VLOOKUP('OB Format'!D679,'Team Data'!C:AC,25,FALSE),"")</f>
        <v/>
      </c>
    </row>
    <row r="680" spans="5:19" x14ac:dyDescent="0.25">
      <c r="E680" t="str">
        <f>IFERROR(VLOOKUP(D680,'Team Data'!C:AB,4,FALSE),"")</f>
        <v/>
      </c>
      <c r="F680" t="str">
        <f>IFERROR(VLOOKUP(D680,'Team Data'!C:AB,5,FALSE),"")</f>
        <v/>
      </c>
      <c r="G680" t="str">
        <f>IFERROR(VLOOKUP('OB Format'!D680,'Team Data'!C:AB,17,FALSE),"")</f>
        <v/>
      </c>
      <c r="H680" t="str">
        <f>IFERROR(VLOOKUP(D680,'Team Data'!C:AB,7,FALSE),"")</f>
        <v/>
      </c>
      <c r="I680" t="str">
        <f>IFERROR(VLOOKUP(D680,'Team Data'!C:AB,14,FALSE),"")</f>
        <v/>
      </c>
      <c r="J680" t="str">
        <f>IFERROR(VLOOKUP(D680,'Team Data'!C:AB,8,FALSE),"")</f>
        <v/>
      </c>
      <c r="K680" t="str">
        <f>IFERROR(VLOOKUP(D680,'Team Data'!C:AB,9,FALSE),"")</f>
        <v/>
      </c>
      <c r="L680" t="str">
        <f>IFERROR(VLOOKUP(D680,'Team Data'!C:AB,10,FALSE),"")</f>
        <v/>
      </c>
      <c r="M680" t="str">
        <f t="shared" si="22"/>
        <v/>
      </c>
      <c r="N680" t="str">
        <f>IFERROR(VLOOKUP(D680,'Team Data'!C:AB,23,FALSE),"")</f>
        <v/>
      </c>
      <c r="O680" t="str">
        <f>IFERROR(VLOOKUP(D680,'Team Data'!C:AB,22,FALSE),"")</f>
        <v/>
      </c>
      <c r="P680" t="str">
        <f t="shared" si="23"/>
        <v/>
      </c>
      <c r="Q680" t="str">
        <f>IFERROR(VLOOKUP(D680,'Team Data'!C:AB,15,FALSE),"")</f>
        <v/>
      </c>
      <c r="R680" t="str">
        <f>IFERROR(VLOOKUP('OB Format'!D680,'Team Data'!C:AB,24,FALSE),"")</f>
        <v/>
      </c>
      <c r="S680" t="str">
        <f>IFERROR(VLOOKUP('OB Format'!D680,'Team Data'!C:AC,25,FALSE),"")</f>
        <v/>
      </c>
    </row>
    <row r="681" spans="5:19" x14ac:dyDescent="0.25">
      <c r="E681" t="str">
        <f>IFERROR(VLOOKUP(D681,'Team Data'!C:AB,4,FALSE),"")</f>
        <v/>
      </c>
      <c r="F681" t="str">
        <f>IFERROR(VLOOKUP(D681,'Team Data'!C:AB,5,FALSE),"")</f>
        <v/>
      </c>
      <c r="G681" t="str">
        <f>IFERROR(VLOOKUP('OB Format'!D681,'Team Data'!C:AB,17,FALSE),"")</f>
        <v/>
      </c>
      <c r="H681" t="str">
        <f>IFERROR(VLOOKUP(D681,'Team Data'!C:AB,7,FALSE),"")</f>
        <v/>
      </c>
      <c r="I681" t="str">
        <f>IFERROR(VLOOKUP(D681,'Team Data'!C:AB,14,FALSE),"")</f>
        <v/>
      </c>
      <c r="J681" t="str">
        <f>IFERROR(VLOOKUP(D681,'Team Data'!C:AB,8,FALSE),"")</f>
        <v/>
      </c>
      <c r="K681" t="str">
        <f>IFERROR(VLOOKUP(D681,'Team Data'!C:AB,9,FALSE),"")</f>
        <v/>
      </c>
      <c r="L681" t="str">
        <f>IFERROR(VLOOKUP(D681,'Team Data'!C:AB,10,FALSE),"")</f>
        <v/>
      </c>
      <c r="M681" t="str">
        <f t="shared" si="22"/>
        <v/>
      </c>
      <c r="N681" t="str">
        <f>IFERROR(VLOOKUP(D681,'Team Data'!C:AB,23,FALSE),"")</f>
        <v/>
      </c>
      <c r="O681" t="str">
        <f>IFERROR(VLOOKUP(D681,'Team Data'!C:AB,22,FALSE),"")</f>
        <v/>
      </c>
      <c r="P681" t="str">
        <f t="shared" si="23"/>
        <v/>
      </c>
      <c r="Q681" t="str">
        <f>IFERROR(VLOOKUP(D681,'Team Data'!C:AB,15,FALSE),"")</f>
        <v/>
      </c>
      <c r="R681" t="str">
        <f>IFERROR(VLOOKUP('OB Format'!D681,'Team Data'!C:AB,24,FALSE),"")</f>
        <v/>
      </c>
      <c r="S681" t="str">
        <f>IFERROR(VLOOKUP('OB Format'!D681,'Team Data'!C:AC,25,FALSE),"")</f>
        <v/>
      </c>
    </row>
    <row r="682" spans="5:19" x14ac:dyDescent="0.25">
      <c r="E682" t="str">
        <f>IFERROR(VLOOKUP(D682,'Team Data'!C:AB,4,FALSE),"")</f>
        <v/>
      </c>
      <c r="F682" t="str">
        <f>IFERROR(VLOOKUP(D682,'Team Data'!C:AB,5,FALSE),"")</f>
        <v/>
      </c>
      <c r="G682" t="str">
        <f>IFERROR(VLOOKUP('OB Format'!D682,'Team Data'!C:AB,17,FALSE),"")</f>
        <v/>
      </c>
      <c r="H682" t="str">
        <f>IFERROR(VLOOKUP(D682,'Team Data'!C:AB,7,FALSE),"")</f>
        <v/>
      </c>
      <c r="I682" t="str">
        <f>IFERROR(VLOOKUP(D682,'Team Data'!C:AB,14,FALSE),"")</f>
        <v/>
      </c>
      <c r="J682" t="str">
        <f>IFERROR(VLOOKUP(D682,'Team Data'!C:AB,8,FALSE),"")</f>
        <v/>
      </c>
      <c r="K682" t="str">
        <f>IFERROR(VLOOKUP(D682,'Team Data'!C:AB,9,FALSE),"")</f>
        <v/>
      </c>
      <c r="L682" t="str">
        <f>IFERROR(VLOOKUP(D682,'Team Data'!C:AB,10,FALSE),"")</f>
        <v/>
      </c>
      <c r="M682" t="str">
        <f t="shared" si="22"/>
        <v/>
      </c>
      <c r="N682" t="str">
        <f>IFERROR(VLOOKUP(D682,'Team Data'!C:AB,23,FALSE),"")</f>
        <v/>
      </c>
      <c r="O682" t="str">
        <f>IFERROR(VLOOKUP(D682,'Team Data'!C:AB,22,FALSE),"")</f>
        <v/>
      </c>
      <c r="P682" t="str">
        <f t="shared" si="23"/>
        <v/>
      </c>
      <c r="Q682" t="str">
        <f>IFERROR(VLOOKUP(D682,'Team Data'!C:AB,15,FALSE),"")</f>
        <v/>
      </c>
      <c r="R682" t="str">
        <f>IFERROR(VLOOKUP('OB Format'!D682,'Team Data'!C:AB,24,FALSE),"")</f>
        <v/>
      </c>
      <c r="S682" t="str">
        <f>IFERROR(VLOOKUP('OB Format'!D682,'Team Data'!C:AC,25,FALSE),"")</f>
        <v/>
      </c>
    </row>
    <row r="683" spans="5:19" x14ac:dyDescent="0.25">
      <c r="E683" t="str">
        <f>IFERROR(VLOOKUP(D683,'Team Data'!C:AB,4,FALSE),"")</f>
        <v/>
      </c>
      <c r="F683" t="str">
        <f>IFERROR(VLOOKUP(D683,'Team Data'!C:AB,5,FALSE),"")</f>
        <v/>
      </c>
      <c r="G683" t="str">
        <f>IFERROR(VLOOKUP('OB Format'!D683,'Team Data'!C:AB,17,FALSE),"")</f>
        <v/>
      </c>
      <c r="H683" t="str">
        <f>IFERROR(VLOOKUP(D683,'Team Data'!C:AB,7,FALSE),"")</f>
        <v/>
      </c>
      <c r="I683" t="str">
        <f>IFERROR(VLOOKUP(D683,'Team Data'!C:AB,14,FALSE),"")</f>
        <v/>
      </c>
      <c r="J683" t="str">
        <f>IFERROR(VLOOKUP(D683,'Team Data'!C:AB,8,FALSE),"")</f>
        <v/>
      </c>
      <c r="K683" t="str">
        <f>IFERROR(VLOOKUP(D683,'Team Data'!C:AB,9,FALSE),"")</f>
        <v/>
      </c>
      <c r="L683" t="str">
        <f>IFERROR(VLOOKUP(D683,'Team Data'!C:AB,10,FALSE),"")</f>
        <v/>
      </c>
      <c r="M683" t="str">
        <f t="shared" si="22"/>
        <v/>
      </c>
      <c r="N683" t="str">
        <f>IFERROR(VLOOKUP(D683,'Team Data'!C:AB,23,FALSE),"")</f>
        <v/>
      </c>
      <c r="O683" t="str">
        <f>IFERROR(VLOOKUP(D683,'Team Data'!C:AB,22,FALSE),"")</f>
        <v/>
      </c>
      <c r="P683" t="str">
        <f t="shared" si="23"/>
        <v/>
      </c>
      <c r="Q683" t="str">
        <f>IFERROR(VLOOKUP(D683,'Team Data'!C:AB,15,FALSE),"")</f>
        <v/>
      </c>
      <c r="R683" t="str">
        <f>IFERROR(VLOOKUP('OB Format'!D683,'Team Data'!C:AB,24,FALSE),"")</f>
        <v/>
      </c>
      <c r="S683" t="str">
        <f>IFERROR(VLOOKUP('OB Format'!D683,'Team Data'!C:AC,25,FALSE),"")</f>
        <v/>
      </c>
    </row>
    <row r="684" spans="5:19" x14ac:dyDescent="0.25">
      <c r="E684" t="str">
        <f>IFERROR(VLOOKUP(D684,'Team Data'!C:AB,4,FALSE),"")</f>
        <v/>
      </c>
      <c r="F684" t="str">
        <f>IFERROR(VLOOKUP(D684,'Team Data'!C:AB,5,FALSE),"")</f>
        <v/>
      </c>
      <c r="G684" t="str">
        <f>IFERROR(VLOOKUP('OB Format'!D684,'Team Data'!C:AB,17,FALSE),"")</f>
        <v/>
      </c>
      <c r="H684" t="str">
        <f>IFERROR(VLOOKUP(D684,'Team Data'!C:AB,7,FALSE),"")</f>
        <v/>
      </c>
      <c r="I684" t="str">
        <f>IFERROR(VLOOKUP(D684,'Team Data'!C:AB,14,FALSE),"")</f>
        <v/>
      </c>
      <c r="J684" t="str">
        <f>IFERROR(VLOOKUP(D684,'Team Data'!C:AB,8,FALSE),"")</f>
        <v/>
      </c>
      <c r="K684" t="str">
        <f>IFERROR(VLOOKUP(D684,'Team Data'!C:AB,9,FALSE),"")</f>
        <v/>
      </c>
      <c r="L684" t="str">
        <f>IFERROR(VLOOKUP(D684,'Team Data'!C:AB,10,FALSE),"")</f>
        <v/>
      </c>
      <c r="M684" t="str">
        <f t="shared" si="22"/>
        <v/>
      </c>
      <c r="N684" t="str">
        <f>IFERROR(VLOOKUP(D684,'Team Data'!C:AB,23,FALSE),"")</f>
        <v/>
      </c>
      <c r="O684" t="str">
        <f>IFERROR(VLOOKUP(D684,'Team Data'!C:AB,22,FALSE),"")</f>
        <v/>
      </c>
      <c r="P684" t="str">
        <f t="shared" si="23"/>
        <v/>
      </c>
      <c r="Q684" t="str">
        <f>IFERROR(VLOOKUP(D684,'Team Data'!C:AB,15,FALSE),"")</f>
        <v/>
      </c>
      <c r="R684" t="str">
        <f>IFERROR(VLOOKUP('OB Format'!D684,'Team Data'!C:AB,24,FALSE),"")</f>
        <v/>
      </c>
      <c r="S684" t="str">
        <f>IFERROR(VLOOKUP('OB Format'!D684,'Team Data'!C:AC,25,FALSE),"")</f>
        <v/>
      </c>
    </row>
    <row r="685" spans="5:19" x14ac:dyDescent="0.25">
      <c r="E685" t="str">
        <f>IFERROR(VLOOKUP(D685,'Team Data'!C:AB,4,FALSE),"")</f>
        <v/>
      </c>
      <c r="F685" t="str">
        <f>IFERROR(VLOOKUP(D685,'Team Data'!C:AB,5,FALSE),"")</f>
        <v/>
      </c>
      <c r="G685" t="str">
        <f>IFERROR(VLOOKUP('OB Format'!D685,'Team Data'!C:AB,17,FALSE),"")</f>
        <v/>
      </c>
      <c r="H685" t="str">
        <f>IFERROR(VLOOKUP(D685,'Team Data'!C:AB,7,FALSE),"")</f>
        <v/>
      </c>
      <c r="I685" t="str">
        <f>IFERROR(VLOOKUP(D685,'Team Data'!C:AB,14,FALSE),"")</f>
        <v/>
      </c>
      <c r="J685" t="str">
        <f>IFERROR(VLOOKUP(D685,'Team Data'!C:AB,8,FALSE),"")</f>
        <v/>
      </c>
      <c r="K685" t="str">
        <f>IFERROR(VLOOKUP(D685,'Team Data'!C:AB,9,FALSE),"")</f>
        <v/>
      </c>
      <c r="L685" t="str">
        <f>IFERROR(VLOOKUP(D685,'Team Data'!C:AB,10,FALSE),"")</f>
        <v/>
      </c>
      <c r="M685" t="str">
        <f t="shared" si="22"/>
        <v/>
      </c>
      <c r="N685" t="str">
        <f>IFERROR(VLOOKUP(D685,'Team Data'!C:AB,23,FALSE),"")</f>
        <v/>
      </c>
      <c r="O685" t="str">
        <f>IFERROR(VLOOKUP(D685,'Team Data'!C:AB,22,FALSE),"")</f>
        <v/>
      </c>
      <c r="P685" t="str">
        <f t="shared" si="23"/>
        <v/>
      </c>
      <c r="Q685" t="str">
        <f>IFERROR(VLOOKUP(D685,'Team Data'!C:AB,15,FALSE),"")</f>
        <v/>
      </c>
      <c r="R685" t="str">
        <f>IFERROR(VLOOKUP('OB Format'!D685,'Team Data'!C:AB,24,FALSE),"")</f>
        <v/>
      </c>
      <c r="S685" t="str">
        <f>IFERROR(VLOOKUP('OB Format'!D685,'Team Data'!C:AC,25,FALSE),"")</f>
        <v/>
      </c>
    </row>
    <row r="686" spans="5:19" x14ac:dyDescent="0.25">
      <c r="E686" t="str">
        <f>IFERROR(VLOOKUP(D686,'Team Data'!C:AB,4,FALSE),"")</f>
        <v/>
      </c>
      <c r="F686" t="str">
        <f>IFERROR(VLOOKUP(D686,'Team Data'!C:AB,5,FALSE),"")</f>
        <v/>
      </c>
      <c r="G686" t="str">
        <f>IFERROR(VLOOKUP('OB Format'!D686,'Team Data'!C:AB,17,FALSE),"")</f>
        <v/>
      </c>
      <c r="H686" t="str">
        <f>IFERROR(VLOOKUP(D686,'Team Data'!C:AB,7,FALSE),"")</f>
        <v/>
      </c>
      <c r="I686" t="str">
        <f>IFERROR(VLOOKUP(D686,'Team Data'!C:AB,14,FALSE),"")</f>
        <v/>
      </c>
      <c r="J686" t="str">
        <f>IFERROR(VLOOKUP(D686,'Team Data'!C:AB,8,FALSE),"")</f>
        <v/>
      </c>
      <c r="K686" t="str">
        <f>IFERROR(VLOOKUP(D686,'Team Data'!C:AB,9,FALSE),"")</f>
        <v/>
      </c>
      <c r="L686" t="str">
        <f>IFERROR(VLOOKUP(D686,'Team Data'!C:AB,10,FALSE),"")</f>
        <v/>
      </c>
      <c r="M686" t="str">
        <f t="shared" si="22"/>
        <v/>
      </c>
      <c r="N686" t="str">
        <f>IFERROR(VLOOKUP(D686,'Team Data'!C:AB,23,FALSE),"")</f>
        <v/>
      </c>
      <c r="O686" t="str">
        <f>IFERROR(VLOOKUP(D686,'Team Data'!C:AB,22,FALSE),"")</f>
        <v/>
      </c>
      <c r="P686" t="str">
        <f t="shared" si="23"/>
        <v/>
      </c>
      <c r="Q686" t="str">
        <f>IFERROR(VLOOKUP(D686,'Team Data'!C:AB,15,FALSE),"")</f>
        <v/>
      </c>
      <c r="R686" t="str">
        <f>IFERROR(VLOOKUP('OB Format'!D686,'Team Data'!C:AB,24,FALSE),"")</f>
        <v/>
      </c>
      <c r="S686" t="str">
        <f>IFERROR(VLOOKUP('OB Format'!D686,'Team Data'!C:AC,25,FALSE),"")</f>
        <v/>
      </c>
    </row>
    <row r="687" spans="5:19" x14ac:dyDescent="0.25">
      <c r="E687" t="str">
        <f>IFERROR(VLOOKUP(D687,'Team Data'!C:AB,4,FALSE),"")</f>
        <v/>
      </c>
      <c r="F687" t="str">
        <f>IFERROR(VLOOKUP(D687,'Team Data'!C:AB,5,FALSE),"")</f>
        <v/>
      </c>
      <c r="G687" t="str">
        <f>IFERROR(VLOOKUP('OB Format'!D687,'Team Data'!C:AB,17,FALSE),"")</f>
        <v/>
      </c>
      <c r="H687" t="str">
        <f>IFERROR(VLOOKUP(D687,'Team Data'!C:AB,7,FALSE),"")</f>
        <v/>
      </c>
      <c r="I687" t="str">
        <f>IFERROR(VLOOKUP(D687,'Team Data'!C:AB,14,FALSE),"")</f>
        <v/>
      </c>
      <c r="J687" t="str">
        <f>IFERROR(VLOOKUP(D687,'Team Data'!C:AB,8,FALSE),"")</f>
        <v/>
      </c>
      <c r="K687" t="str">
        <f>IFERROR(VLOOKUP(D687,'Team Data'!C:AB,9,FALSE),"")</f>
        <v/>
      </c>
      <c r="L687" t="str">
        <f>IFERROR(VLOOKUP(D687,'Team Data'!C:AB,10,FALSE),"")</f>
        <v/>
      </c>
      <c r="M687" t="str">
        <f t="shared" si="22"/>
        <v/>
      </c>
      <c r="N687" t="str">
        <f>IFERROR(VLOOKUP(D687,'Team Data'!C:AB,23,FALSE),"")</f>
        <v/>
      </c>
      <c r="O687" t="str">
        <f>IFERROR(VLOOKUP(D687,'Team Data'!C:AB,22,FALSE),"")</f>
        <v/>
      </c>
      <c r="P687" t="str">
        <f t="shared" si="23"/>
        <v/>
      </c>
      <c r="Q687" t="str">
        <f>IFERROR(VLOOKUP(D687,'Team Data'!C:AB,15,FALSE),"")</f>
        <v/>
      </c>
      <c r="R687" t="str">
        <f>IFERROR(VLOOKUP('OB Format'!D687,'Team Data'!C:AB,24,FALSE),"")</f>
        <v/>
      </c>
      <c r="S687" t="str">
        <f>IFERROR(VLOOKUP('OB Format'!D687,'Team Data'!C:AC,25,FALSE),"")</f>
        <v/>
      </c>
    </row>
    <row r="688" spans="5:19" x14ac:dyDescent="0.25">
      <c r="E688" t="str">
        <f>IFERROR(VLOOKUP(D688,'Team Data'!C:AB,4,FALSE),"")</f>
        <v/>
      </c>
      <c r="F688" t="str">
        <f>IFERROR(VLOOKUP(D688,'Team Data'!C:AB,5,FALSE),"")</f>
        <v/>
      </c>
      <c r="G688" t="str">
        <f>IFERROR(VLOOKUP('OB Format'!D688,'Team Data'!C:AB,17,FALSE),"")</f>
        <v/>
      </c>
      <c r="H688" t="str">
        <f>IFERROR(VLOOKUP(D688,'Team Data'!C:AB,7,FALSE),"")</f>
        <v/>
      </c>
      <c r="I688" t="str">
        <f>IFERROR(VLOOKUP(D688,'Team Data'!C:AB,14,FALSE),"")</f>
        <v/>
      </c>
      <c r="J688" t="str">
        <f>IFERROR(VLOOKUP(D688,'Team Data'!C:AB,8,FALSE),"")</f>
        <v/>
      </c>
      <c r="K688" t="str">
        <f>IFERROR(VLOOKUP(D688,'Team Data'!C:AB,9,FALSE),"")</f>
        <v/>
      </c>
      <c r="L688" t="str">
        <f>IFERROR(VLOOKUP(D688,'Team Data'!C:AB,10,FALSE),"")</f>
        <v/>
      </c>
      <c r="M688" t="str">
        <f t="shared" si="22"/>
        <v/>
      </c>
      <c r="N688" t="str">
        <f>IFERROR(VLOOKUP(D688,'Team Data'!C:AB,23,FALSE),"")</f>
        <v/>
      </c>
      <c r="O688" t="str">
        <f>IFERROR(VLOOKUP(D688,'Team Data'!C:AB,22,FALSE),"")</f>
        <v/>
      </c>
      <c r="P688" t="str">
        <f t="shared" si="23"/>
        <v/>
      </c>
      <c r="Q688" t="str">
        <f>IFERROR(VLOOKUP(D688,'Team Data'!C:AB,15,FALSE),"")</f>
        <v/>
      </c>
      <c r="R688" t="str">
        <f>IFERROR(VLOOKUP('OB Format'!D688,'Team Data'!C:AB,24,FALSE),"")</f>
        <v/>
      </c>
      <c r="S688" t="str">
        <f>IFERROR(VLOOKUP('OB Format'!D688,'Team Data'!C:AC,25,FALSE),"")</f>
        <v/>
      </c>
    </row>
    <row r="689" spans="5:19" x14ac:dyDescent="0.25">
      <c r="E689" t="str">
        <f>IFERROR(VLOOKUP(D689,'Team Data'!C:AB,4,FALSE),"")</f>
        <v/>
      </c>
      <c r="F689" t="str">
        <f>IFERROR(VLOOKUP(D689,'Team Data'!C:AB,5,FALSE),"")</f>
        <v/>
      </c>
      <c r="G689" t="str">
        <f>IFERROR(VLOOKUP('OB Format'!D689,'Team Data'!C:AB,17,FALSE),"")</f>
        <v/>
      </c>
      <c r="H689" t="str">
        <f>IFERROR(VLOOKUP(D689,'Team Data'!C:AB,7,FALSE),"")</f>
        <v/>
      </c>
      <c r="I689" t="str">
        <f>IFERROR(VLOOKUP(D689,'Team Data'!C:AB,14,FALSE),"")</f>
        <v/>
      </c>
      <c r="J689" t="str">
        <f>IFERROR(VLOOKUP(D689,'Team Data'!C:AB,8,FALSE),"")</f>
        <v/>
      </c>
      <c r="K689" t="str">
        <f>IFERROR(VLOOKUP(D689,'Team Data'!C:AB,9,FALSE),"")</f>
        <v/>
      </c>
      <c r="L689" t="str">
        <f>IFERROR(VLOOKUP(D689,'Team Data'!C:AB,10,FALSE),"")</f>
        <v/>
      </c>
      <c r="M689" t="str">
        <f t="shared" si="22"/>
        <v/>
      </c>
      <c r="N689" t="str">
        <f>IFERROR(VLOOKUP(D689,'Team Data'!C:AB,23,FALSE),"")</f>
        <v/>
      </c>
      <c r="O689" t="str">
        <f>IFERROR(VLOOKUP(D689,'Team Data'!C:AB,22,FALSE),"")</f>
        <v/>
      </c>
      <c r="P689" t="str">
        <f t="shared" si="23"/>
        <v/>
      </c>
      <c r="Q689" t="str">
        <f>IFERROR(VLOOKUP(D689,'Team Data'!C:AB,15,FALSE),"")</f>
        <v/>
      </c>
      <c r="R689" t="str">
        <f>IFERROR(VLOOKUP('OB Format'!D689,'Team Data'!C:AB,24,FALSE),"")</f>
        <v/>
      </c>
      <c r="S689" t="str">
        <f>IFERROR(VLOOKUP('OB Format'!D689,'Team Data'!C:AC,25,FALSE),"")</f>
        <v/>
      </c>
    </row>
    <row r="690" spans="5:19" x14ac:dyDescent="0.25">
      <c r="E690" t="str">
        <f>IFERROR(VLOOKUP(D690,'Team Data'!C:AB,4,FALSE),"")</f>
        <v/>
      </c>
      <c r="F690" t="str">
        <f>IFERROR(VLOOKUP(D690,'Team Data'!C:AB,5,FALSE),"")</f>
        <v/>
      </c>
      <c r="G690" t="str">
        <f>IFERROR(VLOOKUP('OB Format'!D690,'Team Data'!C:AB,17,FALSE),"")</f>
        <v/>
      </c>
      <c r="H690" t="str">
        <f>IFERROR(VLOOKUP(D690,'Team Data'!C:AB,7,FALSE),"")</f>
        <v/>
      </c>
      <c r="I690" t="str">
        <f>IFERROR(VLOOKUP(D690,'Team Data'!C:AB,14,FALSE),"")</f>
        <v/>
      </c>
      <c r="J690" t="str">
        <f>IFERROR(VLOOKUP(D690,'Team Data'!C:AB,8,FALSE),"")</f>
        <v/>
      </c>
      <c r="K690" t="str">
        <f>IFERROR(VLOOKUP(D690,'Team Data'!C:AB,9,FALSE),"")</f>
        <v/>
      </c>
      <c r="L690" t="str">
        <f>IFERROR(VLOOKUP(D690,'Team Data'!C:AB,10,FALSE),"")</f>
        <v/>
      </c>
      <c r="M690" t="str">
        <f t="shared" si="22"/>
        <v/>
      </c>
      <c r="N690" t="str">
        <f>IFERROR(VLOOKUP(D690,'Team Data'!C:AB,23,FALSE),"")</f>
        <v/>
      </c>
      <c r="O690" t="str">
        <f>IFERROR(VLOOKUP(D690,'Team Data'!C:AB,22,FALSE),"")</f>
        <v/>
      </c>
      <c r="P690" t="str">
        <f t="shared" si="23"/>
        <v/>
      </c>
      <c r="Q690" t="str">
        <f>IFERROR(VLOOKUP(D690,'Team Data'!C:AB,15,FALSE),"")</f>
        <v/>
      </c>
      <c r="R690" t="str">
        <f>IFERROR(VLOOKUP('OB Format'!D690,'Team Data'!C:AB,24,FALSE),"")</f>
        <v/>
      </c>
      <c r="S690" t="str">
        <f>IFERROR(VLOOKUP('OB Format'!D690,'Team Data'!C:AC,25,FALSE),"")</f>
        <v/>
      </c>
    </row>
    <row r="691" spans="5:19" x14ac:dyDescent="0.25">
      <c r="E691" t="str">
        <f>IFERROR(VLOOKUP(D691,'Team Data'!C:AB,4,FALSE),"")</f>
        <v/>
      </c>
      <c r="F691" t="str">
        <f>IFERROR(VLOOKUP(D691,'Team Data'!C:AB,5,FALSE),"")</f>
        <v/>
      </c>
      <c r="G691" t="str">
        <f>IFERROR(VLOOKUP('OB Format'!D691,'Team Data'!C:AB,17,FALSE),"")</f>
        <v/>
      </c>
      <c r="H691" t="str">
        <f>IFERROR(VLOOKUP(D691,'Team Data'!C:AB,7,FALSE),"")</f>
        <v/>
      </c>
      <c r="I691" t="str">
        <f>IFERROR(VLOOKUP(D691,'Team Data'!C:AB,14,FALSE),"")</f>
        <v/>
      </c>
      <c r="J691" t="str">
        <f>IFERROR(VLOOKUP(D691,'Team Data'!C:AB,8,FALSE),"")</f>
        <v/>
      </c>
      <c r="K691" t="str">
        <f>IFERROR(VLOOKUP(D691,'Team Data'!C:AB,9,FALSE),"")</f>
        <v/>
      </c>
      <c r="L691" t="str">
        <f>IFERROR(VLOOKUP(D691,'Team Data'!C:AB,10,FALSE),"")</f>
        <v/>
      </c>
      <c r="M691" t="str">
        <f t="shared" si="22"/>
        <v/>
      </c>
      <c r="N691" t="str">
        <f>IFERROR(VLOOKUP(D691,'Team Data'!C:AB,23,FALSE),"")</f>
        <v/>
      </c>
      <c r="O691" t="str">
        <f>IFERROR(VLOOKUP(D691,'Team Data'!C:AB,22,FALSE),"")</f>
        <v/>
      </c>
      <c r="P691" t="str">
        <f t="shared" si="23"/>
        <v/>
      </c>
      <c r="Q691" t="str">
        <f>IFERROR(VLOOKUP(D691,'Team Data'!C:AB,15,FALSE),"")</f>
        <v/>
      </c>
      <c r="R691" t="str">
        <f>IFERROR(VLOOKUP('OB Format'!D691,'Team Data'!C:AB,24,FALSE),"")</f>
        <v/>
      </c>
      <c r="S691" t="str">
        <f>IFERROR(VLOOKUP('OB Format'!D691,'Team Data'!C:AC,25,FALSE),"")</f>
        <v/>
      </c>
    </row>
    <row r="692" spans="5:19" x14ac:dyDescent="0.25">
      <c r="E692" t="str">
        <f>IFERROR(VLOOKUP(D692,'Team Data'!C:AB,4,FALSE),"")</f>
        <v/>
      </c>
      <c r="F692" t="str">
        <f>IFERROR(VLOOKUP(D692,'Team Data'!C:AB,5,FALSE),"")</f>
        <v/>
      </c>
      <c r="G692" t="str">
        <f>IFERROR(VLOOKUP('OB Format'!D692,'Team Data'!C:AB,17,FALSE),"")</f>
        <v/>
      </c>
      <c r="H692" t="str">
        <f>IFERROR(VLOOKUP(D692,'Team Data'!C:AB,7,FALSE),"")</f>
        <v/>
      </c>
      <c r="I692" t="str">
        <f>IFERROR(VLOOKUP(D692,'Team Data'!C:AB,14,FALSE),"")</f>
        <v/>
      </c>
      <c r="J692" t="str">
        <f>IFERROR(VLOOKUP(D692,'Team Data'!C:AB,8,FALSE),"")</f>
        <v/>
      </c>
      <c r="K692" t="str">
        <f>IFERROR(VLOOKUP(D692,'Team Data'!C:AB,9,FALSE),"")</f>
        <v/>
      </c>
      <c r="L692" t="str">
        <f>IFERROR(VLOOKUP(D692,'Team Data'!C:AB,10,FALSE),"")</f>
        <v/>
      </c>
      <c r="M692" t="str">
        <f t="shared" si="22"/>
        <v/>
      </c>
      <c r="N692" t="str">
        <f>IFERROR(VLOOKUP(D692,'Team Data'!C:AB,23,FALSE),"")</f>
        <v/>
      </c>
      <c r="O692" t="str">
        <f>IFERROR(VLOOKUP(D692,'Team Data'!C:AB,22,FALSE),"")</f>
        <v/>
      </c>
      <c r="P692" t="str">
        <f t="shared" si="23"/>
        <v/>
      </c>
      <c r="Q692" t="str">
        <f>IFERROR(VLOOKUP(D692,'Team Data'!C:AB,15,FALSE),"")</f>
        <v/>
      </c>
      <c r="R692" t="str">
        <f>IFERROR(VLOOKUP('OB Format'!D692,'Team Data'!C:AB,24,FALSE),"")</f>
        <v/>
      </c>
      <c r="S692" t="str">
        <f>IFERROR(VLOOKUP('OB Format'!D692,'Team Data'!C:AC,25,FALSE),"")</f>
        <v/>
      </c>
    </row>
    <row r="693" spans="5:19" x14ac:dyDescent="0.25">
      <c r="E693" t="str">
        <f>IFERROR(VLOOKUP(D693,'Team Data'!C:AB,4,FALSE),"")</f>
        <v/>
      </c>
      <c r="F693" t="str">
        <f>IFERROR(VLOOKUP(D693,'Team Data'!C:AB,5,FALSE),"")</f>
        <v/>
      </c>
      <c r="G693" t="str">
        <f>IFERROR(VLOOKUP('OB Format'!D693,'Team Data'!C:AB,17,FALSE),"")</f>
        <v/>
      </c>
      <c r="H693" t="str">
        <f>IFERROR(VLOOKUP(D693,'Team Data'!C:AB,7,FALSE),"")</f>
        <v/>
      </c>
      <c r="I693" t="str">
        <f>IFERROR(VLOOKUP(D693,'Team Data'!C:AB,14,FALSE),"")</f>
        <v/>
      </c>
      <c r="J693" t="str">
        <f>IFERROR(VLOOKUP(D693,'Team Data'!C:AB,8,FALSE),"")</f>
        <v/>
      </c>
      <c r="K693" t="str">
        <f>IFERROR(VLOOKUP(D693,'Team Data'!C:AB,9,FALSE),"")</f>
        <v/>
      </c>
      <c r="L693" t="str">
        <f>IFERROR(VLOOKUP(D693,'Team Data'!C:AB,10,FALSE),"")</f>
        <v/>
      </c>
      <c r="M693" t="str">
        <f t="shared" si="22"/>
        <v/>
      </c>
      <c r="N693" t="str">
        <f>IFERROR(VLOOKUP(D693,'Team Data'!C:AB,23,FALSE),"")</f>
        <v/>
      </c>
      <c r="O693" t="str">
        <f>IFERROR(VLOOKUP(D693,'Team Data'!C:AB,22,FALSE),"")</f>
        <v/>
      </c>
      <c r="P693" t="str">
        <f t="shared" si="23"/>
        <v/>
      </c>
      <c r="Q693" t="str">
        <f>IFERROR(VLOOKUP(D693,'Team Data'!C:AB,15,FALSE),"")</f>
        <v/>
      </c>
      <c r="R693" t="str">
        <f>IFERROR(VLOOKUP('OB Format'!D693,'Team Data'!C:AB,24,FALSE),"")</f>
        <v/>
      </c>
      <c r="S693" t="str">
        <f>IFERROR(VLOOKUP('OB Format'!D693,'Team Data'!C:AC,25,FALSE),"")</f>
        <v/>
      </c>
    </row>
    <row r="694" spans="5:19" x14ac:dyDescent="0.25">
      <c r="E694" t="str">
        <f>IFERROR(VLOOKUP(D694,'Team Data'!C:AB,4,FALSE),"")</f>
        <v/>
      </c>
      <c r="F694" t="str">
        <f>IFERROR(VLOOKUP(D694,'Team Data'!C:AB,5,FALSE),"")</f>
        <v/>
      </c>
      <c r="G694" t="str">
        <f>IFERROR(VLOOKUP('OB Format'!D694,'Team Data'!C:AB,17,FALSE),"")</f>
        <v/>
      </c>
      <c r="H694" t="str">
        <f>IFERROR(VLOOKUP(D694,'Team Data'!C:AB,7,FALSE),"")</f>
        <v/>
      </c>
      <c r="I694" t="str">
        <f>IFERROR(VLOOKUP(D694,'Team Data'!C:AB,14,FALSE),"")</f>
        <v/>
      </c>
      <c r="J694" t="str">
        <f>IFERROR(VLOOKUP(D694,'Team Data'!C:AB,8,FALSE),"")</f>
        <v/>
      </c>
      <c r="K694" t="str">
        <f>IFERROR(VLOOKUP(D694,'Team Data'!C:AB,9,FALSE),"")</f>
        <v/>
      </c>
      <c r="L694" t="str">
        <f>IFERROR(VLOOKUP(D694,'Team Data'!C:AB,10,FALSE),"")</f>
        <v/>
      </c>
      <c r="M694" t="str">
        <f t="shared" si="22"/>
        <v/>
      </c>
      <c r="N694" t="str">
        <f>IFERROR(VLOOKUP(D694,'Team Data'!C:AB,23,FALSE),"")</f>
        <v/>
      </c>
      <c r="O694" t="str">
        <f>IFERROR(VLOOKUP(D694,'Team Data'!C:AB,22,FALSE),"")</f>
        <v/>
      </c>
      <c r="P694" t="str">
        <f t="shared" si="23"/>
        <v/>
      </c>
      <c r="Q694" t="str">
        <f>IFERROR(VLOOKUP(D694,'Team Data'!C:AB,15,FALSE),"")</f>
        <v/>
      </c>
      <c r="R694" t="str">
        <f>IFERROR(VLOOKUP('OB Format'!D694,'Team Data'!C:AB,24,FALSE),"")</f>
        <v/>
      </c>
      <c r="S694" t="str">
        <f>IFERROR(VLOOKUP('OB Format'!D694,'Team Data'!C:AC,25,FALSE),"")</f>
        <v/>
      </c>
    </row>
    <row r="695" spans="5:19" x14ac:dyDescent="0.25">
      <c r="E695" t="str">
        <f>IFERROR(VLOOKUP(D695,'Team Data'!C:AB,4,FALSE),"")</f>
        <v/>
      </c>
      <c r="F695" t="str">
        <f>IFERROR(VLOOKUP(D695,'Team Data'!C:AB,5,FALSE),"")</f>
        <v/>
      </c>
      <c r="G695" t="str">
        <f>IFERROR(VLOOKUP('OB Format'!D695,'Team Data'!C:AB,17,FALSE),"")</f>
        <v/>
      </c>
      <c r="H695" t="str">
        <f>IFERROR(VLOOKUP(D695,'Team Data'!C:AB,7,FALSE),"")</f>
        <v/>
      </c>
      <c r="I695" t="str">
        <f>IFERROR(VLOOKUP(D695,'Team Data'!C:AB,14,FALSE),"")</f>
        <v/>
      </c>
      <c r="J695" t="str">
        <f>IFERROR(VLOOKUP(D695,'Team Data'!C:AB,8,FALSE),"")</f>
        <v/>
      </c>
      <c r="K695" t="str">
        <f>IFERROR(VLOOKUP(D695,'Team Data'!C:AB,9,FALSE),"")</f>
        <v/>
      </c>
      <c r="L695" t="str">
        <f>IFERROR(VLOOKUP(D695,'Team Data'!C:AB,10,FALSE),"")</f>
        <v/>
      </c>
      <c r="M695" t="str">
        <f t="shared" si="22"/>
        <v/>
      </c>
      <c r="N695" t="str">
        <f>IFERROR(VLOOKUP(D695,'Team Data'!C:AB,23,FALSE),"")</f>
        <v/>
      </c>
      <c r="O695" t="str">
        <f>IFERROR(VLOOKUP(D695,'Team Data'!C:AB,22,FALSE),"")</f>
        <v/>
      </c>
      <c r="P695" t="str">
        <f t="shared" si="23"/>
        <v/>
      </c>
      <c r="Q695" t="str">
        <f>IFERROR(VLOOKUP(D695,'Team Data'!C:AB,15,FALSE),"")</f>
        <v/>
      </c>
      <c r="R695" t="str">
        <f>IFERROR(VLOOKUP('OB Format'!D695,'Team Data'!C:AB,24,FALSE),"")</f>
        <v/>
      </c>
      <c r="S695" t="str">
        <f>IFERROR(VLOOKUP('OB Format'!D695,'Team Data'!C:AC,25,FALSE),"")</f>
        <v/>
      </c>
    </row>
    <row r="696" spans="5:19" x14ac:dyDescent="0.25">
      <c r="E696" t="str">
        <f>IFERROR(VLOOKUP(D696,'Team Data'!C:AB,4,FALSE),"")</f>
        <v/>
      </c>
      <c r="F696" t="str">
        <f>IFERROR(VLOOKUP(D696,'Team Data'!C:AB,5,FALSE),"")</f>
        <v/>
      </c>
      <c r="G696" t="str">
        <f>IFERROR(VLOOKUP('OB Format'!D696,'Team Data'!C:AB,17,FALSE),"")</f>
        <v/>
      </c>
      <c r="H696" t="str">
        <f>IFERROR(VLOOKUP(D696,'Team Data'!C:AB,7,FALSE),"")</f>
        <v/>
      </c>
      <c r="I696" t="str">
        <f>IFERROR(VLOOKUP(D696,'Team Data'!C:AB,14,FALSE),"")</f>
        <v/>
      </c>
      <c r="J696" t="str">
        <f>IFERROR(VLOOKUP(D696,'Team Data'!C:AB,8,FALSE),"")</f>
        <v/>
      </c>
      <c r="K696" t="str">
        <f>IFERROR(VLOOKUP(D696,'Team Data'!C:AB,9,FALSE),"")</f>
        <v/>
      </c>
      <c r="L696" t="str">
        <f>IFERROR(VLOOKUP(D696,'Team Data'!C:AB,10,FALSE),"")</f>
        <v/>
      </c>
      <c r="M696" t="str">
        <f t="shared" si="22"/>
        <v/>
      </c>
      <c r="N696" t="str">
        <f>IFERROR(VLOOKUP(D696,'Team Data'!C:AB,23,FALSE),"")</f>
        <v/>
      </c>
      <c r="O696" t="str">
        <f>IFERROR(VLOOKUP(D696,'Team Data'!C:AB,22,FALSE),"")</f>
        <v/>
      </c>
      <c r="P696" t="str">
        <f t="shared" si="23"/>
        <v/>
      </c>
      <c r="Q696" t="str">
        <f>IFERROR(VLOOKUP(D696,'Team Data'!C:AB,15,FALSE),"")</f>
        <v/>
      </c>
      <c r="R696" t="str">
        <f>IFERROR(VLOOKUP('OB Format'!D696,'Team Data'!C:AB,24,FALSE),"")</f>
        <v/>
      </c>
      <c r="S696" t="str">
        <f>IFERROR(VLOOKUP('OB Format'!D696,'Team Data'!C:AC,25,FALSE),"")</f>
        <v/>
      </c>
    </row>
    <row r="697" spans="5:19" x14ac:dyDescent="0.25">
      <c r="E697" t="str">
        <f>IFERROR(VLOOKUP(D697,'Team Data'!C:AB,4,FALSE),"")</f>
        <v/>
      </c>
      <c r="F697" t="str">
        <f>IFERROR(VLOOKUP(D697,'Team Data'!C:AB,5,FALSE),"")</f>
        <v/>
      </c>
      <c r="G697" t="str">
        <f>IFERROR(VLOOKUP('OB Format'!D697,'Team Data'!C:AB,17,FALSE),"")</f>
        <v/>
      </c>
      <c r="H697" t="str">
        <f>IFERROR(VLOOKUP(D697,'Team Data'!C:AB,7,FALSE),"")</f>
        <v/>
      </c>
      <c r="I697" t="str">
        <f>IFERROR(VLOOKUP(D697,'Team Data'!C:AB,14,FALSE),"")</f>
        <v/>
      </c>
      <c r="J697" t="str">
        <f>IFERROR(VLOOKUP(D697,'Team Data'!C:AB,8,FALSE),"")</f>
        <v/>
      </c>
      <c r="K697" t="str">
        <f>IFERROR(VLOOKUP(D697,'Team Data'!C:AB,9,FALSE),"")</f>
        <v/>
      </c>
      <c r="L697" t="str">
        <f>IFERROR(VLOOKUP(D697,'Team Data'!C:AB,10,FALSE),"")</f>
        <v/>
      </c>
      <c r="M697" t="str">
        <f t="shared" si="22"/>
        <v/>
      </c>
      <c r="N697" t="str">
        <f>IFERROR(VLOOKUP(D697,'Team Data'!C:AB,23,FALSE),"")</f>
        <v/>
      </c>
      <c r="O697" t="str">
        <f>IFERROR(VLOOKUP(D697,'Team Data'!C:AB,22,FALSE),"")</f>
        <v/>
      </c>
      <c r="P697" t="str">
        <f t="shared" si="23"/>
        <v/>
      </c>
      <c r="Q697" t="str">
        <f>IFERROR(VLOOKUP(D697,'Team Data'!C:AB,15,FALSE),"")</f>
        <v/>
      </c>
      <c r="R697" t="str">
        <f>IFERROR(VLOOKUP('OB Format'!D697,'Team Data'!C:AB,24,FALSE),"")</f>
        <v/>
      </c>
      <c r="S697" t="str">
        <f>IFERROR(VLOOKUP('OB Format'!D697,'Team Data'!C:AC,25,FALSE),"")</f>
        <v/>
      </c>
    </row>
    <row r="698" spans="5:19" x14ac:dyDescent="0.25">
      <c r="E698" t="str">
        <f>IFERROR(VLOOKUP(D698,'Team Data'!C:AB,4,FALSE),"")</f>
        <v/>
      </c>
      <c r="F698" t="str">
        <f>IFERROR(VLOOKUP(D698,'Team Data'!C:AB,5,FALSE),"")</f>
        <v/>
      </c>
      <c r="G698" t="str">
        <f>IFERROR(VLOOKUP('OB Format'!D698,'Team Data'!C:AB,17,FALSE),"")</f>
        <v/>
      </c>
      <c r="H698" t="str">
        <f>IFERROR(VLOOKUP(D698,'Team Data'!C:AB,7,FALSE),"")</f>
        <v/>
      </c>
      <c r="I698" t="str">
        <f>IFERROR(VLOOKUP(D698,'Team Data'!C:AB,14,FALSE),"")</f>
        <v/>
      </c>
      <c r="J698" t="str">
        <f>IFERROR(VLOOKUP(D698,'Team Data'!C:AB,8,FALSE),"")</f>
        <v/>
      </c>
      <c r="K698" t="str">
        <f>IFERROR(VLOOKUP(D698,'Team Data'!C:AB,9,FALSE),"")</f>
        <v/>
      </c>
      <c r="L698" t="str">
        <f>IFERROR(VLOOKUP(D698,'Team Data'!C:AB,10,FALSE),"")</f>
        <v/>
      </c>
      <c r="M698" t="str">
        <f t="shared" si="22"/>
        <v/>
      </c>
      <c r="N698" t="str">
        <f>IFERROR(VLOOKUP(D698,'Team Data'!C:AB,23,FALSE),"")</f>
        <v/>
      </c>
      <c r="O698" t="str">
        <f>IFERROR(VLOOKUP(D698,'Team Data'!C:AB,22,FALSE),"")</f>
        <v/>
      </c>
      <c r="P698" t="str">
        <f t="shared" si="23"/>
        <v/>
      </c>
      <c r="Q698" t="str">
        <f>IFERROR(VLOOKUP(D698,'Team Data'!C:AB,15,FALSE),"")</f>
        <v/>
      </c>
      <c r="R698" t="str">
        <f>IFERROR(VLOOKUP('OB Format'!D698,'Team Data'!C:AB,24,FALSE),"")</f>
        <v/>
      </c>
      <c r="S698" t="str">
        <f>IFERROR(VLOOKUP('OB Format'!D698,'Team Data'!C:AC,25,FALSE),"")</f>
        <v/>
      </c>
    </row>
    <row r="699" spans="5:19" x14ac:dyDescent="0.25">
      <c r="E699" t="str">
        <f>IFERROR(VLOOKUP(D699,'Team Data'!C:AB,4,FALSE),"")</f>
        <v/>
      </c>
      <c r="F699" t="str">
        <f>IFERROR(VLOOKUP(D699,'Team Data'!C:AB,5,FALSE),"")</f>
        <v/>
      </c>
      <c r="G699" t="str">
        <f>IFERROR(VLOOKUP('OB Format'!D699,'Team Data'!C:AB,17,FALSE),"")</f>
        <v/>
      </c>
      <c r="H699" t="str">
        <f>IFERROR(VLOOKUP(D699,'Team Data'!C:AB,7,FALSE),"")</f>
        <v/>
      </c>
      <c r="I699" t="str">
        <f>IFERROR(VLOOKUP(D699,'Team Data'!C:AB,14,FALSE),"")</f>
        <v/>
      </c>
      <c r="J699" t="str">
        <f>IFERROR(VLOOKUP(D699,'Team Data'!C:AB,8,FALSE),"")</f>
        <v/>
      </c>
      <c r="K699" t="str">
        <f>IFERROR(VLOOKUP(D699,'Team Data'!C:AB,9,FALSE),"")</f>
        <v/>
      </c>
      <c r="L699" t="str">
        <f>IFERROR(VLOOKUP(D699,'Team Data'!C:AB,10,FALSE),"")</f>
        <v/>
      </c>
      <c r="M699" t="str">
        <f t="shared" si="22"/>
        <v/>
      </c>
      <c r="N699" t="str">
        <f>IFERROR(VLOOKUP(D699,'Team Data'!C:AB,23,FALSE),"")</f>
        <v/>
      </c>
      <c r="O699" t="str">
        <f>IFERROR(VLOOKUP(D699,'Team Data'!C:AB,22,FALSE),"")</f>
        <v/>
      </c>
      <c r="P699" t="str">
        <f t="shared" si="23"/>
        <v/>
      </c>
      <c r="Q699" t="str">
        <f>IFERROR(VLOOKUP(D699,'Team Data'!C:AB,15,FALSE),"")</f>
        <v/>
      </c>
      <c r="R699" t="str">
        <f>IFERROR(VLOOKUP('OB Format'!D699,'Team Data'!C:AB,24,FALSE),"")</f>
        <v/>
      </c>
      <c r="S699" t="str">
        <f>IFERROR(VLOOKUP('OB Format'!D699,'Team Data'!C:AC,25,FALSE),"")</f>
        <v/>
      </c>
    </row>
    <row r="700" spans="5:19" x14ac:dyDescent="0.25">
      <c r="E700" t="str">
        <f>IFERROR(VLOOKUP(D700,'Team Data'!C:AB,4,FALSE),"")</f>
        <v/>
      </c>
      <c r="F700" t="str">
        <f>IFERROR(VLOOKUP(D700,'Team Data'!C:AB,5,FALSE),"")</f>
        <v/>
      </c>
      <c r="G700" t="str">
        <f>IFERROR(VLOOKUP('OB Format'!D700,'Team Data'!C:AB,17,FALSE),"")</f>
        <v/>
      </c>
      <c r="H700" t="str">
        <f>IFERROR(VLOOKUP(D700,'Team Data'!C:AB,7,FALSE),"")</f>
        <v/>
      </c>
      <c r="I700" t="str">
        <f>IFERROR(VLOOKUP(D700,'Team Data'!C:AB,14,FALSE),"")</f>
        <v/>
      </c>
      <c r="J700" t="str">
        <f>IFERROR(VLOOKUP(D700,'Team Data'!C:AB,8,FALSE),"")</f>
        <v/>
      </c>
      <c r="K700" t="str">
        <f>IFERROR(VLOOKUP(D700,'Team Data'!C:AB,9,FALSE),"")</f>
        <v/>
      </c>
      <c r="L700" t="str">
        <f>IFERROR(VLOOKUP(D700,'Team Data'!C:AB,10,FALSE),"")</f>
        <v/>
      </c>
      <c r="M700" t="str">
        <f t="shared" si="22"/>
        <v/>
      </c>
      <c r="N700" t="str">
        <f>IFERROR(VLOOKUP(D700,'Team Data'!C:AB,23,FALSE),"")</f>
        <v/>
      </c>
      <c r="O700" t="str">
        <f>IFERROR(VLOOKUP(D700,'Team Data'!C:AB,22,FALSE),"")</f>
        <v/>
      </c>
      <c r="P700" t="str">
        <f t="shared" si="23"/>
        <v/>
      </c>
      <c r="Q700" t="str">
        <f>IFERROR(VLOOKUP(D700,'Team Data'!C:AB,15,FALSE),"")</f>
        <v/>
      </c>
      <c r="R700" t="str">
        <f>IFERROR(VLOOKUP('OB Format'!D700,'Team Data'!C:AB,24,FALSE),"")</f>
        <v/>
      </c>
      <c r="S700" t="str">
        <f>IFERROR(VLOOKUP('OB Format'!D700,'Team Data'!C:AC,25,FALSE),"")</f>
        <v/>
      </c>
    </row>
    <row r="701" spans="5:19" x14ac:dyDescent="0.25">
      <c r="E701" t="str">
        <f>IFERROR(VLOOKUP(D701,'Team Data'!C:AB,4,FALSE),"")</f>
        <v/>
      </c>
      <c r="F701" t="str">
        <f>IFERROR(VLOOKUP(D701,'Team Data'!C:AB,5,FALSE),"")</f>
        <v/>
      </c>
      <c r="G701" t="str">
        <f>IFERROR(VLOOKUP('OB Format'!D701,'Team Data'!C:AB,17,FALSE),"")</f>
        <v/>
      </c>
      <c r="H701" t="str">
        <f>IFERROR(VLOOKUP(D701,'Team Data'!C:AB,7,FALSE),"")</f>
        <v/>
      </c>
      <c r="I701" t="str">
        <f>IFERROR(VLOOKUP(D701,'Team Data'!C:AB,14,FALSE),"")</f>
        <v/>
      </c>
      <c r="J701" t="str">
        <f>IFERROR(VLOOKUP(D701,'Team Data'!C:AB,8,FALSE),"")</f>
        <v/>
      </c>
      <c r="K701" t="str">
        <f>IFERROR(VLOOKUP(D701,'Team Data'!C:AB,9,FALSE),"")</f>
        <v/>
      </c>
      <c r="L701" t="str">
        <f>IFERROR(VLOOKUP(D701,'Team Data'!C:AB,10,FALSE),"")</f>
        <v/>
      </c>
      <c r="M701" t="str">
        <f t="shared" si="22"/>
        <v/>
      </c>
      <c r="N701" t="str">
        <f>IFERROR(VLOOKUP(D701,'Team Data'!C:AB,23,FALSE),"")</f>
        <v/>
      </c>
      <c r="O701" t="str">
        <f>IFERROR(VLOOKUP(D701,'Team Data'!C:AB,22,FALSE),"")</f>
        <v/>
      </c>
      <c r="P701" t="str">
        <f t="shared" si="23"/>
        <v/>
      </c>
      <c r="Q701" t="str">
        <f>IFERROR(VLOOKUP(D701,'Team Data'!C:AB,15,FALSE),"")</f>
        <v/>
      </c>
      <c r="R701" t="str">
        <f>IFERROR(VLOOKUP('OB Format'!D701,'Team Data'!C:AB,24,FALSE),"")</f>
        <v/>
      </c>
      <c r="S701" t="str">
        <f>IFERROR(VLOOKUP('OB Format'!D701,'Team Data'!C:AC,25,FALSE),"")</f>
        <v/>
      </c>
    </row>
    <row r="702" spans="5:19" x14ac:dyDescent="0.25">
      <c r="E702" t="str">
        <f>IFERROR(VLOOKUP(D702,'Team Data'!C:AB,4,FALSE),"")</f>
        <v/>
      </c>
      <c r="F702" t="str">
        <f>IFERROR(VLOOKUP(D702,'Team Data'!C:AB,5,FALSE),"")</f>
        <v/>
      </c>
      <c r="G702" t="str">
        <f>IFERROR(VLOOKUP('OB Format'!D702,'Team Data'!C:AB,17,FALSE),"")</f>
        <v/>
      </c>
      <c r="H702" t="str">
        <f>IFERROR(VLOOKUP(D702,'Team Data'!C:AB,7,FALSE),"")</f>
        <v/>
      </c>
      <c r="I702" t="str">
        <f>IFERROR(VLOOKUP(D702,'Team Data'!C:AB,14,FALSE),"")</f>
        <v/>
      </c>
      <c r="J702" t="str">
        <f>IFERROR(VLOOKUP(D702,'Team Data'!C:AB,8,FALSE),"")</f>
        <v/>
      </c>
      <c r="K702" t="str">
        <f>IFERROR(VLOOKUP(D702,'Team Data'!C:AB,9,FALSE),"")</f>
        <v/>
      </c>
      <c r="L702" t="str">
        <f>IFERROR(VLOOKUP(D702,'Team Data'!C:AB,10,FALSE),"")</f>
        <v/>
      </c>
      <c r="M702" t="str">
        <f t="shared" si="22"/>
        <v/>
      </c>
      <c r="N702" t="str">
        <f>IFERROR(VLOOKUP(D702,'Team Data'!C:AB,23,FALSE),"")</f>
        <v/>
      </c>
      <c r="O702" t="str">
        <f>IFERROR(VLOOKUP(D702,'Team Data'!C:AB,22,FALSE),"")</f>
        <v/>
      </c>
      <c r="P702" t="str">
        <f t="shared" si="23"/>
        <v/>
      </c>
      <c r="Q702" t="str">
        <f>IFERROR(VLOOKUP(D702,'Team Data'!C:AB,15,FALSE),"")</f>
        <v/>
      </c>
      <c r="R702" t="str">
        <f>IFERROR(VLOOKUP('OB Format'!D702,'Team Data'!C:AB,24,FALSE),"")</f>
        <v/>
      </c>
      <c r="S702" t="str">
        <f>IFERROR(VLOOKUP('OB Format'!D702,'Team Data'!C:AC,25,FALSE),"")</f>
        <v/>
      </c>
    </row>
    <row r="703" spans="5:19" x14ac:dyDescent="0.25">
      <c r="E703" t="str">
        <f>IFERROR(VLOOKUP(D703,'Team Data'!C:AB,4,FALSE),"")</f>
        <v/>
      </c>
      <c r="F703" t="str">
        <f>IFERROR(VLOOKUP(D703,'Team Data'!C:AB,5,FALSE),"")</f>
        <v/>
      </c>
      <c r="G703" t="str">
        <f>IFERROR(VLOOKUP('OB Format'!D703,'Team Data'!C:AB,17,FALSE),"")</f>
        <v/>
      </c>
      <c r="H703" t="str">
        <f>IFERROR(VLOOKUP(D703,'Team Data'!C:AB,7,FALSE),"")</f>
        <v/>
      </c>
      <c r="I703" t="str">
        <f>IFERROR(VLOOKUP(D703,'Team Data'!C:AB,14,FALSE),"")</f>
        <v/>
      </c>
      <c r="J703" t="str">
        <f>IFERROR(VLOOKUP(D703,'Team Data'!C:AB,8,FALSE),"")</f>
        <v/>
      </c>
      <c r="K703" t="str">
        <f>IFERROR(VLOOKUP(D703,'Team Data'!C:AB,9,FALSE),"")</f>
        <v/>
      </c>
      <c r="L703" t="str">
        <f>IFERROR(VLOOKUP(D703,'Team Data'!C:AB,10,FALSE),"")</f>
        <v/>
      </c>
      <c r="M703" t="str">
        <f t="shared" si="22"/>
        <v/>
      </c>
      <c r="N703" t="str">
        <f>IFERROR(VLOOKUP(D703,'Team Data'!C:AB,23,FALSE),"")</f>
        <v/>
      </c>
      <c r="O703" t="str">
        <f>IFERROR(VLOOKUP(D703,'Team Data'!C:AB,22,FALSE),"")</f>
        <v/>
      </c>
      <c r="P703" t="str">
        <f t="shared" si="23"/>
        <v/>
      </c>
      <c r="Q703" t="str">
        <f>IFERROR(VLOOKUP(D703,'Team Data'!C:AB,15,FALSE),"")</f>
        <v/>
      </c>
      <c r="R703" t="str">
        <f>IFERROR(VLOOKUP('OB Format'!D703,'Team Data'!C:AB,24,FALSE),"")</f>
        <v/>
      </c>
      <c r="S703" t="str">
        <f>IFERROR(VLOOKUP('OB Format'!D703,'Team Data'!C:AC,25,FALSE),"")</f>
        <v/>
      </c>
    </row>
    <row r="704" spans="5:19" x14ac:dyDescent="0.25">
      <c r="E704" t="str">
        <f>IFERROR(VLOOKUP(D704,'Team Data'!C:AB,4,FALSE),"")</f>
        <v/>
      </c>
      <c r="F704" t="str">
        <f>IFERROR(VLOOKUP(D704,'Team Data'!C:AB,5,FALSE),"")</f>
        <v/>
      </c>
      <c r="G704" t="str">
        <f>IFERROR(VLOOKUP('OB Format'!D704,'Team Data'!C:AB,17,FALSE),"")</f>
        <v/>
      </c>
      <c r="H704" t="str">
        <f>IFERROR(VLOOKUP(D704,'Team Data'!C:AB,7,FALSE),"")</f>
        <v/>
      </c>
      <c r="I704" t="str">
        <f>IFERROR(VLOOKUP(D704,'Team Data'!C:AB,14,FALSE),"")</f>
        <v/>
      </c>
      <c r="J704" t="str">
        <f>IFERROR(VLOOKUP(D704,'Team Data'!C:AB,8,FALSE),"")</f>
        <v/>
      </c>
      <c r="K704" t="str">
        <f>IFERROR(VLOOKUP(D704,'Team Data'!C:AB,9,FALSE),"")</f>
        <v/>
      </c>
      <c r="L704" t="str">
        <f>IFERROR(VLOOKUP(D704,'Team Data'!C:AB,10,FALSE),"")</f>
        <v/>
      </c>
      <c r="M704" t="str">
        <f t="shared" si="22"/>
        <v/>
      </c>
      <c r="N704" t="str">
        <f>IFERROR(VLOOKUP(D704,'Team Data'!C:AB,23,FALSE),"")</f>
        <v/>
      </c>
      <c r="O704" t="str">
        <f>IFERROR(VLOOKUP(D704,'Team Data'!C:AB,22,FALSE),"")</f>
        <v/>
      </c>
      <c r="P704" t="str">
        <f t="shared" si="23"/>
        <v/>
      </c>
      <c r="Q704" t="str">
        <f>IFERROR(VLOOKUP(D704,'Team Data'!C:AB,15,FALSE),"")</f>
        <v/>
      </c>
      <c r="R704" t="str">
        <f>IFERROR(VLOOKUP('OB Format'!D704,'Team Data'!C:AB,24,FALSE),"")</f>
        <v/>
      </c>
      <c r="S704" t="str">
        <f>IFERROR(VLOOKUP('OB Format'!D704,'Team Data'!C:AC,25,FALSE),"")</f>
        <v/>
      </c>
    </row>
    <row r="705" spans="5:19" x14ac:dyDescent="0.25">
      <c r="E705" t="str">
        <f>IFERROR(VLOOKUP(D705,'Team Data'!C:AB,4,FALSE),"")</f>
        <v/>
      </c>
      <c r="F705" t="str">
        <f>IFERROR(VLOOKUP(D705,'Team Data'!C:AB,5,FALSE),"")</f>
        <v/>
      </c>
      <c r="G705" t="str">
        <f>IFERROR(VLOOKUP('OB Format'!D705,'Team Data'!C:AB,17,FALSE),"")</f>
        <v/>
      </c>
      <c r="H705" t="str">
        <f>IFERROR(VLOOKUP(D705,'Team Data'!C:AB,7,FALSE),"")</f>
        <v/>
      </c>
      <c r="I705" t="str">
        <f>IFERROR(VLOOKUP(D705,'Team Data'!C:AB,14,FALSE),"")</f>
        <v/>
      </c>
      <c r="J705" t="str">
        <f>IFERROR(VLOOKUP(D705,'Team Data'!C:AB,8,FALSE),"")</f>
        <v/>
      </c>
      <c r="K705" t="str">
        <f>IFERROR(VLOOKUP(D705,'Team Data'!C:AB,9,FALSE),"")</f>
        <v/>
      </c>
      <c r="L705" t="str">
        <f>IFERROR(VLOOKUP(D705,'Team Data'!C:AB,10,FALSE),"")</f>
        <v/>
      </c>
      <c r="M705" t="str">
        <f t="shared" si="22"/>
        <v/>
      </c>
      <c r="N705" t="str">
        <f>IFERROR(VLOOKUP(D705,'Team Data'!C:AB,23,FALSE),"")</f>
        <v/>
      </c>
      <c r="O705" t="str">
        <f>IFERROR(VLOOKUP(D705,'Team Data'!C:AB,22,FALSE),"")</f>
        <v/>
      </c>
      <c r="P705" t="str">
        <f t="shared" si="23"/>
        <v/>
      </c>
      <c r="Q705" t="str">
        <f>IFERROR(VLOOKUP(D705,'Team Data'!C:AB,15,FALSE),"")</f>
        <v/>
      </c>
      <c r="R705" t="str">
        <f>IFERROR(VLOOKUP('OB Format'!D705,'Team Data'!C:AB,24,FALSE),"")</f>
        <v/>
      </c>
      <c r="S705" t="str">
        <f>IFERROR(VLOOKUP('OB Format'!D705,'Team Data'!C:AC,25,FALSE),"")</f>
        <v/>
      </c>
    </row>
    <row r="706" spans="5:19" x14ac:dyDescent="0.25">
      <c r="E706" t="str">
        <f>IFERROR(VLOOKUP(D706,'Team Data'!C:AB,4,FALSE),"")</f>
        <v/>
      </c>
      <c r="F706" t="str">
        <f>IFERROR(VLOOKUP(D706,'Team Data'!C:AB,5,FALSE),"")</f>
        <v/>
      </c>
      <c r="G706" t="str">
        <f>IFERROR(VLOOKUP('OB Format'!D706,'Team Data'!C:AB,17,FALSE),"")</f>
        <v/>
      </c>
      <c r="H706" t="str">
        <f>IFERROR(VLOOKUP(D706,'Team Data'!C:AB,7,FALSE),"")</f>
        <v/>
      </c>
      <c r="I706" t="str">
        <f>IFERROR(VLOOKUP(D706,'Team Data'!C:AB,14,FALSE),"")</f>
        <v/>
      </c>
      <c r="J706" t="str">
        <f>IFERROR(VLOOKUP(D706,'Team Data'!C:AB,8,FALSE),"")</f>
        <v/>
      </c>
      <c r="K706" t="str">
        <f>IFERROR(VLOOKUP(D706,'Team Data'!C:AB,9,FALSE),"")</f>
        <v/>
      </c>
      <c r="L706" t="str">
        <f>IFERROR(VLOOKUP(D706,'Team Data'!C:AB,10,FALSE),"")</f>
        <v/>
      </c>
      <c r="M706" t="str">
        <f t="shared" si="22"/>
        <v/>
      </c>
      <c r="N706" t="str">
        <f>IFERROR(VLOOKUP(D706,'Team Data'!C:AB,23,FALSE),"")</f>
        <v/>
      </c>
      <c r="O706" t="str">
        <f>IFERROR(VLOOKUP(D706,'Team Data'!C:AB,22,FALSE),"")</f>
        <v/>
      </c>
      <c r="P706" t="str">
        <f t="shared" si="23"/>
        <v/>
      </c>
      <c r="Q706" t="str">
        <f>IFERROR(VLOOKUP(D706,'Team Data'!C:AB,15,FALSE),"")</f>
        <v/>
      </c>
      <c r="R706" t="str">
        <f>IFERROR(VLOOKUP('OB Format'!D706,'Team Data'!C:AB,24,FALSE),"")</f>
        <v/>
      </c>
      <c r="S706" t="str">
        <f>IFERROR(VLOOKUP('OB Format'!D706,'Team Data'!C:AC,25,FALSE),"")</f>
        <v/>
      </c>
    </row>
    <row r="707" spans="5:19" x14ac:dyDescent="0.25">
      <c r="E707" t="str">
        <f>IFERROR(VLOOKUP(D707,'Team Data'!C:AB,4,FALSE),"")</f>
        <v/>
      </c>
      <c r="F707" t="str">
        <f>IFERROR(VLOOKUP(D707,'Team Data'!C:AB,5,FALSE),"")</f>
        <v/>
      </c>
      <c r="G707" t="str">
        <f>IFERROR(VLOOKUP('OB Format'!D707,'Team Data'!C:AB,17,FALSE),"")</f>
        <v/>
      </c>
      <c r="H707" t="str">
        <f>IFERROR(VLOOKUP(D707,'Team Data'!C:AB,7,FALSE),"")</f>
        <v/>
      </c>
      <c r="I707" t="str">
        <f>IFERROR(VLOOKUP(D707,'Team Data'!C:AB,14,FALSE),"")</f>
        <v/>
      </c>
      <c r="J707" t="str">
        <f>IFERROR(VLOOKUP(D707,'Team Data'!C:AB,8,FALSE),"")</f>
        <v/>
      </c>
      <c r="K707" t="str">
        <f>IFERROR(VLOOKUP(D707,'Team Data'!C:AB,9,FALSE),"")</f>
        <v/>
      </c>
      <c r="L707" t="str">
        <f>IFERROR(VLOOKUP(D707,'Team Data'!C:AB,10,FALSE),"")</f>
        <v/>
      </c>
      <c r="M707" t="str">
        <f t="shared" si="22"/>
        <v/>
      </c>
      <c r="N707" t="str">
        <f>IFERROR(VLOOKUP(D707,'Team Data'!C:AB,23,FALSE),"")</f>
        <v/>
      </c>
      <c r="O707" t="str">
        <f>IFERROR(VLOOKUP(D707,'Team Data'!C:AB,22,FALSE),"")</f>
        <v/>
      </c>
      <c r="P707" t="str">
        <f t="shared" si="23"/>
        <v/>
      </c>
      <c r="Q707" t="str">
        <f>IFERROR(VLOOKUP(D707,'Team Data'!C:AB,15,FALSE),"")</f>
        <v/>
      </c>
      <c r="R707" t="str">
        <f>IFERROR(VLOOKUP('OB Format'!D707,'Team Data'!C:AB,24,FALSE),"")</f>
        <v/>
      </c>
      <c r="S707" t="str">
        <f>IFERROR(VLOOKUP('OB Format'!D707,'Team Data'!C:AC,25,FALSE),"")</f>
        <v/>
      </c>
    </row>
    <row r="708" spans="5:19" x14ac:dyDescent="0.25">
      <c r="E708" t="str">
        <f>IFERROR(VLOOKUP(D708,'Team Data'!C:AB,4,FALSE),"")</f>
        <v/>
      </c>
      <c r="F708" t="str">
        <f>IFERROR(VLOOKUP(D708,'Team Data'!C:AB,5,FALSE),"")</f>
        <v/>
      </c>
      <c r="G708" t="str">
        <f>IFERROR(VLOOKUP('OB Format'!D708,'Team Data'!C:AB,17,FALSE),"")</f>
        <v/>
      </c>
      <c r="H708" t="str">
        <f>IFERROR(VLOOKUP(D708,'Team Data'!C:AB,7,FALSE),"")</f>
        <v/>
      </c>
      <c r="I708" t="str">
        <f>IFERROR(VLOOKUP(D708,'Team Data'!C:AB,14,FALSE),"")</f>
        <v/>
      </c>
      <c r="J708" t="str">
        <f>IFERROR(VLOOKUP(D708,'Team Data'!C:AB,8,FALSE),"")</f>
        <v/>
      </c>
      <c r="K708" t="str">
        <f>IFERROR(VLOOKUP(D708,'Team Data'!C:AB,9,FALSE),"")</f>
        <v/>
      </c>
      <c r="L708" t="str">
        <f>IFERROR(VLOOKUP(D708,'Team Data'!C:AB,10,FALSE),"")</f>
        <v/>
      </c>
      <c r="M708" t="str">
        <f t="shared" si="22"/>
        <v/>
      </c>
      <c r="N708" t="str">
        <f>IFERROR(VLOOKUP(D708,'Team Data'!C:AB,23,FALSE),"")</f>
        <v/>
      </c>
      <c r="O708" t="str">
        <f>IFERROR(VLOOKUP(D708,'Team Data'!C:AB,22,FALSE),"")</f>
        <v/>
      </c>
      <c r="P708" t="str">
        <f t="shared" si="23"/>
        <v/>
      </c>
      <c r="Q708" t="str">
        <f>IFERROR(VLOOKUP(D708,'Team Data'!C:AB,15,FALSE),"")</f>
        <v/>
      </c>
      <c r="R708" t="str">
        <f>IFERROR(VLOOKUP('OB Format'!D708,'Team Data'!C:AB,24,FALSE),"")</f>
        <v/>
      </c>
      <c r="S708" t="str">
        <f>IFERROR(VLOOKUP('OB Format'!D708,'Team Data'!C:AC,25,FALSE),"")</f>
        <v/>
      </c>
    </row>
    <row r="709" spans="5:19" x14ac:dyDescent="0.25">
      <c r="E709" t="str">
        <f>IFERROR(VLOOKUP(D709,'Team Data'!C:AB,4,FALSE),"")</f>
        <v/>
      </c>
      <c r="F709" t="str">
        <f>IFERROR(VLOOKUP(D709,'Team Data'!C:AB,5,FALSE),"")</f>
        <v/>
      </c>
      <c r="G709" t="str">
        <f>IFERROR(VLOOKUP('OB Format'!D709,'Team Data'!C:AB,17,FALSE),"")</f>
        <v/>
      </c>
      <c r="H709" t="str">
        <f>IFERROR(VLOOKUP(D709,'Team Data'!C:AB,7,FALSE),"")</f>
        <v/>
      </c>
      <c r="I709" t="str">
        <f>IFERROR(VLOOKUP(D709,'Team Data'!C:AB,14,FALSE),"")</f>
        <v/>
      </c>
      <c r="J709" t="str">
        <f>IFERROR(VLOOKUP(D709,'Team Data'!C:AB,8,FALSE),"")</f>
        <v/>
      </c>
      <c r="K709" t="str">
        <f>IFERROR(VLOOKUP(D709,'Team Data'!C:AB,9,FALSE),"")</f>
        <v/>
      </c>
      <c r="L709" t="str">
        <f>IFERROR(VLOOKUP(D709,'Team Data'!C:AB,10,FALSE),"")</f>
        <v/>
      </c>
      <c r="M709" t="str">
        <f t="shared" si="22"/>
        <v/>
      </c>
      <c r="N709" t="str">
        <f>IFERROR(VLOOKUP(D709,'Team Data'!C:AB,23,FALSE),"")</f>
        <v/>
      </c>
      <c r="O709" t="str">
        <f>IFERROR(VLOOKUP(D709,'Team Data'!C:AB,22,FALSE),"")</f>
        <v/>
      </c>
      <c r="P709" t="str">
        <f t="shared" si="23"/>
        <v/>
      </c>
      <c r="Q709" t="str">
        <f>IFERROR(VLOOKUP(D709,'Team Data'!C:AB,15,FALSE),"")</f>
        <v/>
      </c>
      <c r="R709" t="str">
        <f>IFERROR(VLOOKUP('OB Format'!D709,'Team Data'!C:AB,24,FALSE),"")</f>
        <v/>
      </c>
      <c r="S709" t="str">
        <f>IFERROR(VLOOKUP('OB Format'!D709,'Team Data'!C:AC,25,FALSE),"")</f>
        <v/>
      </c>
    </row>
    <row r="710" spans="5:19" x14ac:dyDescent="0.25">
      <c r="E710" t="str">
        <f>IFERROR(VLOOKUP(D710,'Team Data'!C:AB,4,FALSE),"")</f>
        <v/>
      </c>
      <c r="F710" t="str">
        <f>IFERROR(VLOOKUP(D710,'Team Data'!C:AB,5,FALSE),"")</f>
        <v/>
      </c>
      <c r="G710" t="str">
        <f>IFERROR(VLOOKUP('OB Format'!D710,'Team Data'!C:AB,17,FALSE),"")</f>
        <v/>
      </c>
      <c r="H710" t="str">
        <f>IFERROR(VLOOKUP(D710,'Team Data'!C:AB,7,FALSE),"")</f>
        <v/>
      </c>
      <c r="I710" t="str">
        <f>IFERROR(VLOOKUP(D710,'Team Data'!C:AB,14,FALSE),"")</f>
        <v/>
      </c>
      <c r="J710" t="str">
        <f>IFERROR(VLOOKUP(D710,'Team Data'!C:AB,8,FALSE),"")</f>
        <v/>
      </c>
      <c r="K710" t="str">
        <f>IFERROR(VLOOKUP(D710,'Team Data'!C:AB,9,FALSE),"")</f>
        <v/>
      </c>
      <c r="L710" t="str">
        <f>IFERROR(VLOOKUP(D710,'Team Data'!C:AB,10,FALSE),"")</f>
        <v/>
      </c>
      <c r="M710" t="str">
        <f t="shared" si="22"/>
        <v/>
      </c>
      <c r="N710" t="str">
        <f>IFERROR(VLOOKUP(D710,'Team Data'!C:AB,23,FALSE),"")</f>
        <v/>
      </c>
      <c r="O710" t="str">
        <f>IFERROR(VLOOKUP(D710,'Team Data'!C:AB,22,FALSE),"")</f>
        <v/>
      </c>
      <c r="P710" t="str">
        <f t="shared" si="23"/>
        <v/>
      </c>
      <c r="Q710" t="str">
        <f>IFERROR(VLOOKUP(D710,'Team Data'!C:AB,15,FALSE),"")</f>
        <v/>
      </c>
      <c r="R710" t="str">
        <f>IFERROR(VLOOKUP('OB Format'!D710,'Team Data'!C:AB,24,FALSE),"")</f>
        <v/>
      </c>
      <c r="S710" t="str">
        <f>IFERROR(VLOOKUP('OB Format'!D710,'Team Data'!C:AC,25,FALSE),"")</f>
        <v/>
      </c>
    </row>
    <row r="711" spans="5:19" x14ac:dyDescent="0.25">
      <c r="E711" t="str">
        <f>IFERROR(VLOOKUP(D711,'Team Data'!C:AB,4,FALSE),"")</f>
        <v/>
      </c>
      <c r="F711" t="str">
        <f>IFERROR(VLOOKUP(D711,'Team Data'!C:AB,5,FALSE),"")</f>
        <v/>
      </c>
      <c r="G711" t="str">
        <f>IFERROR(VLOOKUP('OB Format'!D711,'Team Data'!C:AB,17,FALSE),"")</f>
        <v/>
      </c>
      <c r="H711" t="str">
        <f>IFERROR(VLOOKUP(D711,'Team Data'!C:AB,7,FALSE),"")</f>
        <v/>
      </c>
      <c r="I711" t="str">
        <f>IFERROR(VLOOKUP(D711,'Team Data'!C:AB,14,FALSE),"")</f>
        <v/>
      </c>
      <c r="J711" t="str">
        <f>IFERROR(VLOOKUP(D711,'Team Data'!C:AB,8,FALSE),"")</f>
        <v/>
      </c>
      <c r="K711" t="str">
        <f>IFERROR(VLOOKUP(D711,'Team Data'!C:AB,9,FALSE),"")</f>
        <v/>
      </c>
      <c r="L711" t="str">
        <f>IFERROR(VLOOKUP(D711,'Team Data'!C:AB,10,FALSE),"")</f>
        <v/>
      </c>
      <c r="M711" t="str">
        <f t="shared" si="22"/>
        <v/>
      </c>
      <c r="N711" t="str">
        <f>IFERROR(VLOOKUP(D711,'Team Data'!C:AB,23,FALSE),"")</f>
        <v/>
      </c>
      <c r="O711" t="str">
        <f>IFERROR(VLOOKUP(D711,'Team Data'!C:AB,22,FALSE),"")</f>
        <v/>
      </c>
      <c r="P711" t="str">
        <f t="shared" si="23"/>
        <v/>
      </c>
      <c r="Q711" t="str">
        <f>IFERROR(VLOOKUP(D711,'Team Data'!C:AB,15,FALSE),"")</f>
        <v/>
      </c>
      <c r="R711" t="str">
        <f>IFERROR(VLOOKUP('OB Format'!D711,'Team Data'!C:AB,24,FALSE),"")</f>
        <v/>
      </c>
      <c r="S711" t="str">
        <f>IFERROR(VLOOKUP('OB Format'!D711,'Team Data'!C:AC,25,FALSE),"")</f>
        <v/>
      </c>
    </row>
    <row r="712" spans="5:19" x14ac:dyDescent="0.25">
      <c r="E712" t="str">
        <f>IFERROR(VLOOKUP(D712,'Team Data'!C:AB,4,FALSE),"")</f>
        <v/>
      </c>
      <c r="F712" t="str">
        <f>IFERROR(VLOOKUP(D712,'Team Data'!C:AB,5,FALSE),"")</f>
        <v/>
      </c>
      <c r="G712" t="str">
        <f>IFERROR(VLOOKUP('OB Format'!D712,'Team Data'!C:AB,17,FALSE),"")</f>
        <v/>
      </c>
      <c r="H712" t="str">
        <f>IFERROR(VLOOKUP(D712,'Team Data'!C:AB,7,FALSE),"")</f>
        <v/>
      </c>
      <c r="I712" t="str">
        <f>IFERROR(VLOOKUP(D712,'Team Data'!C:AB,14,FALSE),"")</f>
        <v/>
      </c>
      <c r="J712" t="str">
        <f>IFERROR(VLOOKUP(D712,'Team Data'!C:AB,8,FALSE),"")</f>
        <v/>
      </c>
      <c r="K712" t="str">
        <f>IFERROR(VLOOKUP(D712,'Team Data'!C:AB,9,FALSE),"")</f>
        <v/>
      </c>
      <c r="L712" t="str">
        <f>IFERROR(VLOOKUP(D712,'Team Data'!C:AB,10,FALSE),"")</f>
        <v/>
      </c>
      <c r="M712" t="str">
        <f t="shared" si="22"/>
        <v/>
      </c>
      <c r="N712" t="str">
        <f>IFERROR(VLOOKUP(D712,'Team Data'!C:AB,23,FALSE),"")</f>
        <v/>
      </c>
      <c r="O712" t="str">
        <f>IFERROR(VLOOKUP(D712,'Team Data'!C:AB,22,FALSE),"")</f>
        <v/>
      </c>
      <c r="P712" t="str">
        <f t="shared" si="23"/>
        <v/>
      </c>
      <c r="Q712" t="str">
        <f>IFERROR(VLOOKUP(D712,'Team Data'!C:AB,15,FALSE),"")</f>
        <v/>
      </c>
      <c r="R712" t="str">
        <f>IFERROR(VLOOKUP('OB Format'!D712,'Team Data'!C:AB,24,FALSE),"")</f>
        <v/>
      </c>
      <c r="S712" t="str">
        <f>IFERROR(VLOOKUP('OB Format'!D712,'Team Data'!C:AC,25,FALSE),"")</f>
        <v/>
      </c>
    </row>
    <row r="713" spans="5:19" x14ac:dyDescent="0.25">
      <c r="E713" t="str">
        <f>IFERROR(VLOOKUP(D713,'Team Data'!C:AB,4,FALSE),"")</f>
        <v/>
      </c>
      <c r="F713" t="str">
        <f>IFERROR(VLOOKUP(D713,'Team Data'!C:AB,5,FALSE),"")</f>
        <v/>
      </c>
      <c r="G713" t="str">
        <f>IFERROR(VLOOKUP('OB Format'!D713,'Team Data'!C:AB,17,FALSE),"")</f>
        <v/>
      </c>
      <c r="H713" t="str">
        <f>IFERROR(VLOOKUP(D713,'Team Data'!C:AB,7,FALSE),"")</f>
        <v/>
      </c>
      <c r="I713" t="str">
        <f>IFERROR(VLOOKUP(D713,'Team Data'!C:AB,14,FALSE),"")</f>
        <v/>
      </c>
      <c r="J713" t="str">
        <f>IFERROR(VLOOKUP(D713,'Team Data'!C:AB,8,FALSE),"")</f>
        <v/>
      </c>
      <c r="K713" t="str">
        <f>IFERROR(VLOOKUP(D713,'Team Data'!C:AB,9,FALSE),"")</f>
        <v/>
      </c>
      <c r="L713" t="str">
        <f>IFERROR(VLOOKUP(D713,'Team Data'!C:AB,10,FALSE),"")</f>
        <v/>
      </c>
      <c r="M713" t="str">
        <f t="shared" si="22"/>
        <v/>
      </c>
      <c r="N713" t="str">
        <f>IFERROR(VLOOKUP(D713,'Team Data'!C:AB,23,FALSE),"")</f>
        <v/>
      </c>
      <c r="O713" t="str">
        <f>IFERROR(VLOOKUP(D713,'Team Data'!C:AB,22,FALSE),"")</f>
        <v/>
      </c>
      <c r="P713" t="str">
        <f t="shared" si="23"/>
        <v/>
      </c>
      <c r="Q713" t="str">
        <f>IFERROR(VLOOKUP(D713,'Team Data'!C:AB,15,FALSE),"")</f>
        <v/>
      </c>
      <c r="R713" t="str">
        <f>IFERROR(VLOOKUP('OB Format'!D713,'Team Data'!C:AB,24,FALSE),"")</f>
        <v/>
      </c>
      <c r="S713" t="str">
        <f>IFERROR(VLOOKUP('OB Format'!D713,'Team Data'!C:AC,25,FALSE),"")</f>
        <v/>
      </c>
    </row>
    <row r="714" spans="5:19" x14ac:dyDescent="0.25">
      <c r="E714" t="str">
        <f>IFERROR(VLOOKUP(D714,'Team Data'!C:AB,4,FALSE),"")</f>
        <v/>
      </c>
      <c r="F714" t="str">
        <f>IFERROR(VLOOKUP(D714,'Team Data'!C:AB,5,FALSE),"")</f>
        <v/>
      </c>
      <c r="G714" t="str">
        <f>IFERROR(VLOOKUP('OB Format'!D714,'Team Data'!C:AB,17,FALSE),"")</f>
        <v/>
      </c>
      <c r="H714" t="str">
        <f>IFERROR(VLOOKUP(D714,'Team Data'!C:AB,7,FALSE),"")</f>
        <v/>
      </c>
      <c r="I714" t="str">
        <f>IFERROR(VLOOKUP(D714,'Team Data'!C:AB,14,FALSE),"")</f>
        <v/>
      </c>
      <c r="J714" t="str">
        <f>IFERROR(VLOOKUP(D714,'Team Data'!C:AB,8,FALSE),"")</f>
        <v/>
      </c>
      <c r="K714" t="str">
        <f>IFERROR(VLOOKUP(D714,'Team Data'!C:AB,9,FALSE),"")</f>
        <v/>
      </c>
      <c r="L714" t="str">
        <f>IFERROR(VLOOKUP(D714,'Team Data'!C:AB,10,FALSE),"")</f>
        <v/>
      </c>
      <c r="M714" t="str">
        <f t="shared" si="22"/>
        <v/>
      </c>
      <c r="N714" t="str">
        <f>IFERROR(VLOOKUP(D714,'Team Data'!C:AB,23,FALSE),"")</f>
        <v/>
      </c>
      <c r="O714" t="str">
        <f>IFERROR(VLOOKUP(D714,'Team Data'!C:AB,22,FALSE),"")</f>
        <v/>
      </c>
      <c r="P714" t="str">
        <f t="shared" si="23"/>
        <v/>
      </c>
      <c r="Q714" t="str">
        <f>IFERROR(VLOOKUP(D714,'Team Data'!C:AB,15,FALSE),"")</f>
        <v/>
      </c>
      <c r="R714" t="str">
        <f>IFERROR(VLOOKUP('OB Format'!D714,'Team Data'!C:AB,24,FALSE),"")</f>
        <v/>
      </c>
      <c r="S714" t="str">
        <f>IFERROR(VLOOKUP('OB Format'!D714,'Team Data'!C:AC,25,FALSE),"")</f>
        <v/>
      </c>
    </row>
    <row r="715" spans="5:19" x14ac:dyDescent="0.25">
      <c r="E715" t="str">
        <f>IFERROR(VLOOKUP(D715,'Team Data'!C:AB,4,FALSE),"")</f>
        <v/>
      </c>
      <c r="F715" t="str">
        <f>IFERROR(VLOOKUP(D715,'Team Data'!C:AB,5,FALSE),"")</f>
        <v/>
      </c>
      <c r="G715" t="str">
        <f>IFERROR(VLOOKUP('OB Format'!D715,'Team Data'!C:AB,17,FALSE),"")</f>
        <v/>
      </c>
      <c r="H715" t="str">
        <f>IFERROR(VLOOKUP(D715,'Team Data'!C:AB,7,FALSE),"")</f>
        <v/>
      </c>
      <c r="I715" t="str">
        <f>IFERROR(VLOOKUP(D715,'Team Data'!C:AB,14,FALSE),"")</f>
        <v/>
      </c>
      <c r="J715" t="str">
        <f>IFERROR(VLOOKUP(D715,'Team Data'!C:AB,8,FALSE),"")</f>
        <v/>
      </c>
      <c r="K715" t="str">
        <f>IFERROR(VLOOKUP(D715,'Team Data'!C:AB,9,FALSE),"")</f>
        <v/>
      </c>
      <c r="L715" t="str">
        <f>IFERROR(VLOOKUP(D715,'Team Data'!C:AB,10,FALSE),"")</f>
        <v/>
      </c>
      <c r="M715" t="str">
        <f t="shared" si="22"/>
        <v/>
      </c>
      <c r="N715" t="str">
        <f>IFERROR(VLOOKUP(D715,'Team Data'!C:AB,23,FALSE),"")</f>
        <v/>
      </c>
      <c r="O715" t="str">
        <f>IFERROR(VLOOKUP(D715,'Team Data'!C:AB,22,FALSE),"")</f>
        <v/>
      </c>
      <c r="P715" t="str">
        <f t="shared" si="23"/>
        <v/>
      </c>
      <c r="Q715" t="str">
        <f>IFERROR(VLOOKUP(D715,'Team Data'!C:AB,15,FALSE),"")</f>
        <v/>
      </c>
      <c r="R715" t="str">
        <f>IFERROR(VLOOKUP('OB Format'!D715,'Team Data'!C:AB,24,FALSE),"")</f>
        <v/>
      </c>
      <c r="S715" t="str">
        <f>IFERROR(VLOOKUP('OB Format'!D715,'Team Data'!C:AC,25,FALSE),"")</f>
        <v/>
      </c>
    </row>
    <row r="716" spans="5:19" x14ac:dyDescent="0.25">
      <c r="E716" t="str">
        <f>IFERROR(VLOOKUP(D716,'Team Data'!C:AB,4,FALSE),"")</f>
        <v/>
      </c>
      <c r="F716" t="str">
        <f>IFERROR(VLOOKUP(D716,'Team Data'!C:AB,5,FALSE),"")</f>
        <v/>
      </c>
      <c r="G716" t="str">
        <f>IFERROR(VLOOKUP('OB Format'!D716,'Team Data'!C:AB,17,FALSE),"")</f>
        <v/>
      </c>
      <c r="H716" t="str">
        <f>IFERROR(VLOOKUP(D716,'Team Data'!C:AB,7,FALSE),"")</f>
        <v/>
      </c>
      <c r="I716" t="str">
        <f>IFERROR(VLOOKUP(D716,'Team Data'!C:AB,14,FALSE),"")</f>
        <v/>
      </c>
      <c r="J716" t="str">
        <f>IFERROR(VLOOKUP(D716,'Team Data'!C:AB,8,FALSE),"")</f>
        <v/>
      </c>
      <c r="K716" t="str">
        <f>IFERROR(VLOOKUP(D716,'Team Data'!C:AB,9,FALSE),"")</f>
        <v/>
      </c>
      <c r="L716" t="str">
        <f>IFERROR(VLOOKUP(D716,'Team Data'!C:AB,10,FALSE),"")</f>
        <v/>
      </c>
      <c r="M716" t="str">
        <f t="shared" si="22"/>
        <v/>
      </c>
      <c r="N716" t="str">
        <f>IFERROR(VLOOKUP(D716,'Team Data'!C:AB,23,FALSE),"")</f>
        <v/>
      </c>
      <c r="O716" t="str">
        <f>IFERROR(VLOOKUP(D716,'Team Data'!C:AB,22,FALSE),"")</f>
        <v/>
      </c>
      <c r="P716" t="str">
        <f t="shared" si="23"/>
        <v/>
      </c>
      <c r="Q716" t="str">
        <f>IFERROR(VLOOKUP(D716,'Team Data'!C:AB,15,FALSE),"")</f>
        <v/>
      </c>
      <c r="R716" t="str">
        <f>IFERROR(VLOOKUP('OB Format'!D716,'Team Data'!C:AB,24,FALSE),"")</f>
        <v/>
      </c>
      <c r="S716" t="str">
        <f>IFERROR(VLOOKUP('OB Format'!D716,'Team Data'!C:AC,25,FALSE),"")</f>
        <v/>
      </c>
    </row>
    <row r="717" spans="5:19" x14ac:dyDescent="0.25">
      <c r="E717" t="str">
        <f>IFERROR(VLOOKUP(D717,'Team Data'!C:AB,4,FALSE),"")</f>
        <v/>
      </c>
      <c r="F717" t="str">
        <f>IFERROR(VLOOKUP(D717,'Team Data'!C:AB,5,FALSE),"")</f>
        <v/>
      </c>
      <c r="G717" t="str">
        <f>IFERROR(VLOOKUP('OB Format'!D717,'Team Data'!C:AB,17,FALSE),"")</f>
        <v/>
      </c>
      <c r="H717" t="str">
        <f>IFERROR(VLOOKUP(D717,'Team Data'!C:AB,7,FALSE),"")</f>
        <v/>
      </c>
      <c r="I717" t="str">
        <f>IFERROR(VLOOKUP(D717,'Team Data'!C:AB,14,FALSE),"")</f>
        <v/>
      </c>
      <c r="J717" t="str">
        <f>IFERROR(VLOOKUP(D717,'Team Data'!C:AB,8,FALSE),"")</f>
        <v/>
      </c>
      <c r="K717" t="str">
        <f>IFERROR(VLOOKUP(D717,'Team Data'!C:AB,9,FALSE),"")</f>
        <v/>
      </c>
      <c r="L717" t="str">
        <f>IFERROR(VLOOKUP(D717,'Team Data'!C:AB,10,FALSE),"")</f>
        <v/>
      </c>
      <c r="M717" t="str">
        <f t="shared" ref="M717:M780" si="24">IFERROR(H717-(J717+L717+K717),"")</f>
        <v/>
      </c>
      <c r="N717" t="str">
        <f>IFERROR(VLOOKUP(D717,'Team Data'!C:AB,23,FALSE),"")</f>
        <v/>
      </c>
      <c r="O717" t="str">
        <f>IFERROR(VLOOKUP(D717,'Team Data'!C:AB,22,FALSE),"")</f>
        <v/>
      </c>
      <c r="P717" t="str">
        <f t="shared" ref="P717:P780" si="25">IFERROR(E717-(H717+N717+Q717+I717+O717),"")</f>
        <v/>
      </c>
      <c r="Q717" t="str">
        <f>IFERROR(VLOOKUP(D717,'Team Data'!C:AB,15,FALSE),"")</f>
        <v/>
      </c>
      <c r="R717" t="str">
        <f>IFERROR(VLOOKUP('OB Format'!D717,'Team Data'!C:AB,24,FALSE),"")</f>
        <v/>
      </c>
      <c r="S717" t="str">
        <f>IFERROR(VLOOKUP('OB Format'!D717,'Team Data'!C:AC,25,FALSE),"")</f>
        <v/>
      </c>
    </row>
    <row r="718" spans="5:19" x14ac:dyDescent="0.25">
      <c r="E718" t="str">
        <f>IFERROR(VLOOKUP(D718,'Team Data'!C:AB,4,FALSE),"")</f>
        <v/>
      </c>
      <c r="F718" t="str">
        <f>IFERROR(VLOOKUP(D718,'Team Data'!C:AB,5,FALSE),"")</f>
        <v/>
      </c>
      <c r="G718" t="str">
        <f>IFERROR(VLOOKUP('OB Format'!D718,'Team Data'!C:AB,17,FALSE),"")</f>
        <v/>
      </c>
      <c r="H718" t="str">
        <f>IFERROR(VLOOKUP(D718,'Team Data'!C:AB,7,FALSE),"")</f>
        <v/>
      </c>
      <c r="I718" t="str">
        <f>IFERROR(VLOOKUP(D718,'Team Data'!C:AB,14,FALSE),"")</f>
        <v/>
      </c>
      <c r="J718" t="str">
        <f>IFERROR(VLOOKUP(D718,'Team Data'!C:AB,8,FALSE),"")</f>
        <v/>
      </c>
      <c r="K718" t="str">
        <f>IFERROR(VLOOKUP(D718,'Team Data'!C:AB,9,FALSE),"")</f>
        <v/>
      </c>
      <c r="L718" t="str">
        <f>IFERROR(VLOOKUP(D718,'Team Data'!C:AB,10,FALSE),"")</f>
        <v/>
      </c>
      <c r="M718" t="str">
        <f t="shared" si="24"/>
        <v/>
      </c>
      <c r="N718" t="str">
        <f>IFERROR(VLOOKUP(D718,'Team Data'!C:AB,23,FALSE),"")</f>
        <v/>
      </c>
      <c r="O718" t="str">
        <f>IFERROR(VLOOKUP(D718,'Team Data'!C:AB,22,FALSE),"")</f>
        <v/>
      </c>
      <c r="P718" t="str">
        <f t="shared" si="25"/>
        <v/>
      </c>
      <c r="Q718" t="str">
        <f>IFERROR(VLOOKUP(D718,'Team Data'!C:AB,15,FALSE),"")</f>
        <v/>
      </c>
      <c r="R718" t="str">
        <f>IFERROR(VLOOKUP('OB Format'!D718,'Team Data'!C:AB,24,FALSE),"")</f>
        <v/>
      </c>
      <c r="S718" t="str">
        <f>IFERROR(VLOOKUP('OB Format'!D718,'Team Data'!C:AC,25,FALSE),"")</f>
        <v/>
      </c>
    </row>
    <row r="719" spans="5:19" x14ac:dyDescent="0.25">
      <c r="E719" t="str">
        <f>IFERROR(VLOOKUP(D719,'Team Data'!C:AB,4,FALSE),"")</f>
        <v/>
      </c>
      <c r="F719" t="str">
        <f>IFERROR(VLOOKUP(D719,'Team Data'!C:AB,5,FALSE),"")</f>
        <v/>
      </c>
      <c r="G719" t="str">
        <f>IFERROR(VLOOKUP('OB Format'!D719,'Team Data'!C:AB,17,FALSE),"")</f>
        <v/>
      </c>
      <c r="H719" t="str">
        <f>IFERROR(VLOOKUP(D719,'Team Data'!C:AB,7,FALSE),"")</f>
        <v/>
      </c>
      <c r="I719" t="str">
        <f>IFERROR(VLOOKUP(D719,'Team Data'!C:AB,14,FALSE),"")</f>
        <v/>
      </c>
      <c r="J719" t="str">
        <f>IFERROR(VLOOKUP(D719,'Team Data'!C:AB,8,FALSE),"")</f>
        <v/>
      </c>
      <c r="K719" t="str">
        <f>IFERROR(VLOOKUP(D719,'Team Data'!C:AB,9,FALSE),"")</f>
        <v/>
      </c>
      <c r="L719" t="str">
        <f>IFERROR(VLOOKUP(D719,'Team Data'!C:AB,10,FALSE),"")</f>
        <v/>
      </c>
      <c r="M719" t="str">
        <f t="shared" si="24"/>
        <v/>
      </c>
      <c r="N719" t="str">
        <f>IFERROR(VLOOKUP(D719,'Team Data'!C:AB,23,FALSE),"")</f>
        <v/>
      </c>
      <c r="O719" t="str">
        <f>IFERROR(VLOOKUP(D719,'Team Data'!C:AB,22,FALSE),"")</f>
        <v/>
      </c>
      <c r="P719" t="str">
        <f t="shared" si="25"/>
        <v/>
      </c>
      <c r="Q719" t="str">
        <f>IFERROR(VLOOKUP(D719,'Team Data'!C:AB,15,FALSE),"")</f>
        <v/>
      </c>
      <c r="R719" t="str">
        <f>IFERROR(VLOOKUP('OB Format'!D719,'Team Data'!C:AB,24,FALSE),"")</f>
        <v/>
      </c>
      <c r="S719" t="str">
        <f>IFERROR(VLOOKUP('OB Format'!D719,'Team Data'!C:AC,25,FALSE),"")</f>
        <v/>
      </c>
    </row>
    <row r="720" spans="5:19" x14ac:dyDescent="0.25">
      <c r="E720" t="str">
        <f>IFERROR(VLOOKUP(D720,'Team Data'!C:AB,4,FALSE),"")</f>
        <v/>
      </c>
      <c r="F720" t="str">
        <f>IFERROR(VLOOKUP(D720,'Team Data'!C:AB,5,FALSE),"")</f>
        <v/>
      </c>
      <c r="G720" t="str">
        <f>IFERROR(VLOOKUP('OB Format'!D720,'Team Data'!C:AB,17,FALSE),"")</f>
        <v/>
      </c>
      <c r="H720" t="str">
        <f>IFERROR(VLOOKUP(D720,'Team Data'!C:AB,7,FALSE),"")</f>
        <v/>
      </c>
      <c r="I720" t="str">
        <f>IFERROR(VLOOKUP(D720,'Team Data'!C:AB,14,FALSE),"")</f>
        <v/>
      </c>
      <c r="J720" t="str">
        <f>IFERROR(VLOOKUP(D720,'Team Data'!C:AB,8,FALSE),"")</f>
        <v/>
      </c>
      <c r="K720" t="str">
        <f>IFERROR(VLOOKUP(D720,'Team Data'!C:AB,9,FALSE),"")</f>
        <v/>
      </c>
      <c r="L720" t="str">
        <f>IFERROR(VLOOKUP(D720,'Team Data'!C:AB,10,FALSE),"")</f>
        <v/>
      </c>
      <c r="M720" t="str">
        <f t="shared" si="24"/>
        <v/>
      </c>
      <c r="N720" t="str">
        <f>IFERROR(VLOOKUP(D720,'Team Data'!C:AB,23,FALSE),"")</f>
        <v/>
      </c>
      <c r="O720" t="str">
        <f>IFERROR(VLOOKUP(D720,'Team Data'!C:AB,22,FALSE),"")</f>
        <v/>
      </c>
      <c r="P720" t="str">
        <f t="shared" si="25"/>
        <v/>
      </c>
      <c r="Q720" t="str">
        <f>IFERROR(VLOOKUP(D720,'Team Data'!C:AB,15,FALSE),"")</f>
        <v/>
      </c>
      <c r="R720" t="str">
        <f>IFERROR(VLOOKUP('OB Format'!D720,'Team Data'!C:AB,24,FALSE),"")</f>
        <v/>
      </c>
      <c r="S720" t="str">
        <f>IFERROR(VLOOKUP('OB Format'!D720,'Team Data'!C:AC,25,FALSE),"")</f>
        <v/>
      </c>
    </row>
    <row r="721" spans="5:19" x14ac:dyDescent="0.25">
      <c r="E721" t="str">
        <f>IFERROR(VLOOKUP(D721,'Team Data'!C:AB,4,FALSE),"")</f>
        <v/>
      </c>
      <c r="F721" t="str">
        <f>IFERROR(VLOOKUP(D721,'Team Data'!C:AB,5,FALSE),"")</f>
        <v/>
      </c>
      <c r="G721" t="str">
        <f>IFERROR(VLOOKUP('OB Format'!D721,'Team Data'!C:AB,17,FALSE),"")</f>
        <v/>
      </c>
      <c r="H721" t="str">
        <f>IFERROR(VLOOKUP(D721,'Team Data'!C:AB,7,FALSE),"")</f>
        <v/>
      </c>
      <c r="I721" t="str">
        <f>IFERROR(VLOOKUP(D721,'Team Data'!C:AB,14,FALSE),"")</f>
        <v/>
      </c>
      <c r="J721" t="str">
        <f>IFERROR(VLOOKUP(D721,'Team Data'!C:AB,8,FALSE),"")</f>
        <v/>
      </c>
      <c r="K721" t="str">
        <f>IFERROR(VLOOKUP(D721,'Team Data'!C:AB,9,FALSE),"")</f>
        <v/>
      </c>
      <c r="L721" t="str">
        <f>IFERROR(VLOOKUP(D721,'Team Data'!C:AB,10,FALSE),"")</f>
        <v/>
      </c>
      <c r="M721" t="str">
        <f t="shared" si="24"/>
        <v/>
      </c>
      <c r="N721" t="str">
        <f>IFERROR(VLOOKUP(D721,'Team Data'!C:AB,23,FALSE),"")</f>
        <v/>
      </c>
      <c r="O721" t="str">
        <f>IFERROR(VLOOKUP(D721,'Team Data'!C:AB,22,FALSE),"")</f>
        <v/>
      </c>
      <c r="P721" t="str">
        <f t="shared" si="25"/>
        <v/>
      </c>
      <c r="Q721" t="str">
        <f>IFERROR(VLOOKUP(D721,'Team Data'!C:AB,15,FALSE),"")</f>
        <v/>
      </c>
      <c r="R721" t="str">
        <f>IFERROR(VLOOKUP('OB Format'!D721,'Team Data'!C:AB,24,FALSE),"")</f>
        <v/>
      </c>
      <c r="S721" t="str">
        <f>IFERROR(VLOOKUP('OB Format'!D721,'Team Data'!C:AC,25,FALSE),"")</f>
        <v/>
      </c>
    </row>
    <row r="722" spans="5:19" x14ac:dyDescent="0.25">
      <c r="E722" t="str">
        <f>IFERROR(VLOOKUP(D722,'Team Data'!C:AB,4,FALSE),"")</f>
        <v/>
      </c>
      <c r="F722" t="str">
        <f>IFERROR(VLOOKUP(D722,'Team Data'!C:AB,5,FALSE),"")</f>
        <v/>
      </c>
      <c r="G722" t="str">
        <f>IFERROR(VLOOKUP('OB Format'!D722,'Team Data'!C:AB,17,FALSE),"")</f>
        <v/>
      </c>
      <c r="H722" t="str">
        <f>IFERROR(VLOOKUP(D722,'Team Data'!C:AB,7,FALSE),"")</f>
        <v/>
      </c>
      <c r="I722" t="str">
        <f>IFERROR(VLOOKUP(D722,'Team Data'!C:AB,14,FALSE),"")</f>
        <v/>
      </c>
      <c r="J722" t="str">
        <f>IFERROR(VLOOKUP(D722,'Team Data'!C:AB,8,FALSE),"")</f>
        <v/>
      </c>
      <c r="K722" t="str">
        <f>IFERROR(VLOOKUP(D722,'Team Data'!C:AB,9,FALSE),"")</f>
        <v/>
      </c>
      <c r="L722" t="str">
        <f>IFERROR(VLOOKUP(D722,'Team Data'!C:AB,10,FALSE),"")</f>
        <v/>
      </c>
      <c r="M722" t="str">
        <f t="shared" si="24"/>
        <v/>
      </c>
      <c r="N722" t="str">
        <f>IFERROR(VLOOKUP(D722,'Team Data'!C:AB,23,FALSE),"")</f>
        <v/>
      </c>
      <c r="O722" t="str">
        <f>IFERROR(VLOOKUP(D722,'Team Data'!C:AB,22,FALSE),"")</f>
        <v/>
      </c>
      <c r="P722" t="str">
        <f t="shared" si="25"/>
        <v/>
      </c>
      <c r="Q722" t="str">
        <f>IFERROR(VLOOKUP(D722,'Team Data'!C:AB,15,FALSE),"")</f>
        <v/>
      </c>
      <c r="R722" t="str">
        <f>IFERROR(VLOOKUP('OB Format'!D722,'Team Data'!C:AB,24,FALSE),"")</f>
        <v/>
      </c>
      <c r="S722" t="str">
        <f>IFERROR(VLOOKUP('OB Format'!D722,'Team Data'!C:AC,25,FALSE),"")</f>
        <v/>
      </c>
    </row>
    <row r="723" spans="5:19" x14ac:dyDescent="0.25">
      <c r="E723" t="str">
        <f>IFERROR(VLOOKUP(D723,'Team Data'!C:AB,4,FALSE),"")</f>
        <v/>
      </c>
      <c r="F723" t="str">
        <f>IFERROR(VLOOKUP(D723,'Team Data'!C:AB,5,FALSE),"")</f>
        <v/>
      </c>
      <c r="G723" t="str">
        <f>IFERROR(VLOOKUP('OB Format'!D723,'Team Data'!C:AB,17,FALSE),"")</f>
        <v/>
      </c>
      <c r="H723" t="str">
        <f>IFERROR(VLOOKUP(D723,'Team Data'!C:AB,7,FALSE),"")</f>
        <v/>
      </c>
      <c r="I723" t="str">
        <f>IFERROR(VLOOKUP(D723,'Team Data'!C:AB,14,FALSE),"")</f>
        <v/>
      </c>
      <c r="J723" t="str">
        <f>IFERROR(VLOOKUP(D723,'Team Data'!C:AB,8,FALSE),"")</f>
        <v/>
      </c>
      <c r="K723" t="str">
        <f>IFERROR(VLOOKUP(D723,'Team Data'!C:AB,9,FALSE),"")</f>
        <v/>
      </c>
      <c r="L723" t="str">
        <f>IFERROR(VLOOKUP(D723,'Team Data'!C:AB,10,FALSE),"")</f>
        <v/>
      </c>
      <c r="M723" t="str">
        <f t="shared" si="24"/>
        <v/>
      </c>
      <c r="N723" t="str">
        <f>IFERROR(VLOOKUP(D723,'Team Data'!C:AB,23,FALSE),"")</f>
        <v/>
      </c>
      <c r="O723" t="str">
        <f>IFERROR(VLOOKUP(D723,'Team Data'!C:AB,22,FALSE),"")</f>
        <v/>
      </c>
      <c r="P723" t="str">
        <f t="shared" si="25"/>
        <v/>
      </c>
      <c r="Q723" t="str">
        <f>IFERROR(VLOOKUP(D723,'Team Data'!C:AB,15,FALSE),"")</f>
        <v/>
      </c>
      <c r="R723" t="str">
        <f>IFERROR(VLOOKUP('OB Format'!D723,'Team Data'!C:AB,24,FALSE),"")</f>
        <v/>
      </c>
      <c r="S723" t="str">
        <f>IFERROR(VLOOKUP('OB Format'!D723,'Team Data'!C:AC,25,FALSE),"")</f>
        <v/>
      </c>
    </row>
    <row r="724" spans="5:19" x14ac:dyDescent="0.25">
      <c r="E724" t="str">
        <f>IFERROR(VLOOKUP(D724,'Team Data'!C:AB,4,FALSE),"")</f>
        <v/>
      </c>
      <c r="F724" t="str">
        <f>IFERROR(VLOOKUP(D724,'Team Data'!C:AB,5,FALSE),"")</f>
        <v/>
      </c>
      <c r="G724" t="str">
        <f>IFERROR(VLOOKUP('OB Format'!D724,'Team Data'!C:AB,17,FALSE),"")</f>
        <v/>
      </c>
      <c r="H724" t="str">
        <f>IFERROR(VLOOKUP(D724,'Team Data'!C:AB,7,FALSE),"")</f>
        <v/>
      </c>
      <c r="I724" t="str">
        <f>IFERROR(VLOOKUP(D724,'Team Data'!C:AB,14,FALSE),"")</f>
        <v/>
      </c>
      <c r="J724" t="str">
        <f>IFERROR(VLOOKUP(D724,'Team Data'!C:AB,8,FALSE),"")</f>
        <v/>
      </c>
      <c r="K724" t="str">
        <f>IFERROR(VLOOKUP(D724,'Team Data'!C:AB,9,FALSE),"")</f>
        <v/>
      </c>
      <c r="L724" t="str">
        <f>IFERROR(VLOOKUP(D724,'Team Data'!C:AB,10,FALSE),"")</f>
        <v/>
      </c>
      <c r="M724" t="str">
        <f t="shared" si="24"/>
        <v/>
      </c>
      <c r="N724" t="str">
        <f>IFERROR(VLOOKUP(D724,'Team Data'!C:AB,23,FALSE),"")</f>
        <v/>
      </c>
      <c r="O724" t="str">
        <f>IFERROR(VLOOKUP(D724,'Team Data'!C:AB,22,FALSE),"")</f>
        <v/>
      </c>
      <c r="P724" t="str">
        <f t="shared" si="25"/>
        <v/>
      </c>
      <c r="Q724" t="str">
        <f>IFERROR(VLOOKUP(D724,'Team Data'!C:AB,15,FALSE),"")</f>
        <v/>
      </c>
      <c r="R724" t="str">
        <f>IFERROR(VLOOKUP('OB Format'!D724,'Team Data'!C:AB,24,FALSE),"")</f>
        <v/>
      </c>
      <c r="S724" t="str">
        <f>IFERROR(VLOOKUP('OB Format'!D724,'Team Data'!C:AC,25,FALSE),"")</f>
        <v/>
      </c>
    </row>
    <row r="725" spans="5:19" x14ac:dyDescent="0.25">
      <c r="E725" t="str">
        <f>IFERROR(VLOOKUP(D725,'Team Data'!C:AB,4,FALSE),"")</f>
        <v/>
      </c>
      <c r="F725" t="str">
        <f>IFERROR(VLOOKUP(D725,'Team Data'!C:AB,5,FALSE),"")</f>
        <v/>
      </c>
      <c r="G725" t="str">
        <f>IFERROR(VLOOKUP('OB Format'!D725,'Team Data'!C:AB,17,FALSE),"")</f>
        <v/>
      </c>
      <c r="H725" t="str">
        <f>IFERROR(VLOOKUP(D725,'Team Data'!C:AB,7,FALSE),"")</f>
        <v/>
      </c>
      <c r="I725" t="str">
        <f>IFERROR(VLOOKUP(D725,'Team Data'!C:AB,14,FALSE),"")</f>
        <v/>
      </c>
      <c r="J725" t="str">
        <f>IFERROR(VLOOKUP(D725,'Team Data'!C:AB,8,FALSE),"")</f>
        <v/>
      </c>
      <c r="K725" t="str">
        <f>IFERROR(VLOOKUP(D725,'Team Data'!C:AB,9,FALSE),"")</f>
        <v/>
      </c>
      <c r="L725" t="str">
        <f>IFERROR(VLOOKUP(D725,'Team Data'!C:AB,10,FALSE),"")</f>
        <v/>
      </c>
      <c r="M725" t="str">
        <f t="shared" si="24"/>
        <v/>
      </c>
      <c r="N725" t="str">
        <f>IFERROR(VLOOKUP(D725,'Team Data'!C:AB,23,FALSE),"")</f>
        <v/>
      </c>
      <c r="O725" t="str">
        <f>IFERROR(VLOOKUP(D725,'Team Data'!C:AB,22,FALSE),"")</f>
        <v/>
      </c>
      <c r="P725" t="str">
        <f t="shared" si="25"/>
        <v/>
      </c>
      <c r="Q725" t="str">
        <f>IFERROR(VLOOKUP(D725,'Team Data'!C:AB,15,FALSE),"")</f>
        <v/>
      </c>
      <c r="R725" t="str">
        <f>IFERROR(VLOOKUP('OB Format'!D725,'Team Data'!C:AB,24,FALSE),"")</f>
        <v/>
      </c>
      <c r="S725" t="str">
        <f>IFERROR(VLOOKUP('OB Format'!D725,'Team Data'!C:AC,25,FALSE),"")</f>
        <v/>
      </c>
    </row>
    <row r="726" spans="5:19" x14ac:dyDescent="0.25">
      <c r="E726" t="str">
        <f>IFERROR(VLOOKUP(D726,'Team Data'!C:AB,4,FALSE),"")</f>
        <v/>
      </c>
      <c r="F726" t="str">
        <f>IFERROR(VLOOKUP(D726,'Team Data'!C:AB,5,FALSE),"")</f>
        <v/>
      </c>
      <c r="G726" t="str">
        <f>IFERROR(VLOOKUP('OB Format'!D726,'Team Data'!C:AB,17,FALSE),"")</f>
        <v/>
      </c>
      <c r="H726" t="str">
        <f>IFERROR(VLOOKUP(D726,'Team Data'!C:AB,7,FALSE),"")</f>
        <v/>
      </c>
      <c r="I726" t="str">
        <f>IFERROR(VLOOKUP(D726,'Team Data'!C:AB,14,FALSE),"")</f>
        <v/>
      </c>
      <c r="J726" t="str">
        <f>IFERROR(VLOOKUP(D726,'Team Data'!C:AB,8,FALSE),"")</f>
        <v/>
      </c>
      <c r="K726" t="str">
        <f>IFERROR(VLOOKUP(D726,'Team Data'!C:AB,9,FALSE),"")</f>
        <v/>
      </c>
      <c r="L726" t="str">
        <f>IFERROR(VLOOKUP(D726,'Team Data'!C:AB,10,FALSE),"")</f>
        <v/>
      </c>
      <c r="M726" t="str">
        <f t="shared" si="24"/>
        <v/>
      </c>
      <c r="N726" t="str">
        <f>IFERROR(VLOOKUP(D726,'Team Data'!C:AB,23,FALSE),"")</f>
        <v/>
      </c>
      <c r="O726" t="str">
        <f>IFERROR(VLOOKUP(D726,'Team Data'!C:AB,22,FALSE),"")</f>
        <v/>
      </c>
      <c r="P726" t="str">
        <f t="shared" si="25"/>
        <v/>
      </c>
      <c r="Q726" t="str">
        <f>IFERROR(VLOOKUP(D726,'Team Data'!C:AB,15,FALSE),"")</f>
        <v/>
      </c>
      <c r="R726" t="str">
        <f>IFERROR(VLOOKUP('OB Format'!D726,'Team Data'!C:AB,24,FALSE),"")</f>
        <v/>
      </c>
      <c r="S726" t="str">
        <f>IFERROR(VLOOKUP('OB Format'!D726,'Team Data'!C:AC,25,FALSE),"")</f>
        <v/>
      </c>
    </row>
    <row r="727" spans="5:19" x14ac:dyDescent="0.25">
      <c r="E727" t="str">
        <f>IFERROR(VLOOKUP(D727,'Team Data'!C:AB,4,FALSE),"")</f>
        <v/>
      </c>
      <c r="F727" t="str">
        <f>IFERROR(VLOOKUP(D727,'Team Data'!C:AB,5,FALSE),"")</f>
        <v/>
      </c>
      <c r="G727" t="str">
        <f>IFERROR(VLOOKUP('OB Format'!D727,'Team Data'!C:AB,17,FALSE),"")</f>
        <v/>
      </c>
      <c r="H727" t="str">
        <f>IFERROR(VLOOKUP(D727,'Team Data'!C:AB,7,FALSE),"")</f>
        <v/>
      </c>
      <c r="I727" t="str">
        <f>IFERROR(VLOOKUP(D727,'Team Data'!C:AB,14,FALSE),"")</f>
        <v/>
      </c>
      <c r="J727" t="str">
        <f>IFERROR(VLOOKUP(D727,'Team Data'!C:AB,8,FALSE),"")</f>
        <v/>
      </c>
      <c r="K727" t="str">
        <f>IFERROR(VLOOKUP(D727,'Team Data'!C:AB,9,FALSE),"")</f>
        <v/>
      </c>
      <c r="L727" t="str">
        <f>IFERROR(VLOOKUP(D727,'Team Data'!C:AB,10,FALSE),"")</f>
        <v/>
      </c>
      <c r="M727" t="str">
        <f t="shared" si="24"/>
        <v/>
      </c>
      <c r="N727" t="str">
        <f>IFERROR(VLOOKUP(D727,'Team Data'!C:AB,23,FALSE),"")</f>
        <v/>
      </c>
      <c r="O727" t="str">
        <f>IFERROR(VLOOKUP(D727,'Team Data'!C:AB,22,FALSE),"")</f>
        <v/>
      </c>
      <c r="P727" t="str">
        <f t="shared" si="25"/>
        <v/>
      </c>
      <c r="Q727" t="str">
        <f>IFERROR(VLOOKUP(D727,'Team Data'!C:AB,15,FALSE),"")</f>
        <v/>
      </c>
      <c r="R727" t="str">
        <f>IFERROR(VLOOKUP('OB Format'!D727,'Team Data'!C:AB,24,FALSE),"")</f>
        <v/>
      </c>
      <c r="S727" t="str">
        <f>IFERROR(VLOOKUP('OB Format'!D727,'Team Data'!C:AC,25,FALSE),"")</f>
        <v/>
      </c>
    </row>
    <row r="728" spans="5:19" x14ac:dyDescent="0.25">
      <c r="E728" t="str">
        <f>IFERROR(VLOOKUP(D728,'Team Data'!C:AB,4,FALSE),"")</f>
        <v/>
      </c>
      <c r="F728" t="str">
        <f>IFERROR(VLOOKUP(D728,'Team Data'!C:AB,5,FALSE),"")</f>
        <v/>
      </c>
      <c r="G728" t="str">
        <f>IFERROR(VLOOKUP('OB Format'!D728,'Team Data'!C:AB,17,FALSE),"")</f>
        <v/>
      </c>
      <c r="H728" t="str">
        <f>IFERROR(VLOOKUP(D728,'Team Data'!C:AB,7,FALSE),"")</f>
        <v/>
      </c>
      <c r="I728" t="str">
        <f>IFERROR(VLOOKUP(D728,'Team Data'!C:AB,14,FALSE),"")</f>
        <v/>
      </c>
      <c r="J728" t="str">
        <f>IFERROR(VLOOKUP(D728,'Team Data'!C:AB,8,FALSE),"")</f>
        <v/>
      </c>
      <c r="K728" t="str">
        <f>IFERROR(VLOOKUP(D728,'Team Data'!C:AB,9,FALSE),"")</f>
        <v/>
      </c>
      <c r="L728" t="str">
        <f>IFERROR(VLOOKUP(D728,'Team Data'!C:AB,10,FALSE),"")</f>
        <v/>
      </c>
      <c r="M728" t="str">
        <f t="shared" si="24"/>
        <v/>
      </c>
      <c r="N728" t="str">
        <f>IFERROR(VLOOKUP(D728,'Team Data'!C:AB,23,FALSE),"")</f>
        <v/>
      </c>
      <c r="O728" t="str">
        <f>IFERROR(VLOOKUP(D728,'Team Data'!C:AB,22,FALSE),"")</f>
        <v/>
      </c>
      <c r="P728" t="str">
        <f t="shared" si="25"/>
        <v/>
      </c>
      <c r="Q728" t="str">
        <f>IFERROR(VLOOKUP(D728,'Team Data'!C:AB,15,FALSE),"")</f>
        <v/>
      </c>
      <c r="R728" t="str">
        <f>IFERROR(VLOOKUP('OB Format'!D728,'Team Data'!C:AB,24,FALSE),"")</f>
        <v/>
      </c>
      <c r="S728" t="str">
        <f>IFERROR(VLOOKUP('OB Format'!D728,'Team Data'!C:AC,25,FALSE),"")</f>
        <v/>
      </c>
    </row>
    <row r="729" spans="5:19" x14ac:dyDescent="0.25">
      <c r="E729" t="str">
        <f>IFERROR(VLOOKUP(D729,'Team Data'!C:AB,4,FALSE),"")</f>
        <v/>
      </c>
      <c r="F729" t="str">
        <f>IFERROR(VLOOKUP(D729,'Team Data'!C:AB,5,FALSE),"")</f>
        <v/>
      </c>
      <c r="G729" t="str">
        <f>IFERROR(VLOOKUP('OB Format'!D729,'Team Data'!C:AB,17,FALSE),"")</f>
        <v/>
      </c>
      <c r="H729" t="str">
        <f>IFERROR(VLOOKUP(D729,'Team Data'!C:AB,7,FALSE),"")</f>
        <v/>
      </c>
      <c r="I729" t="str">
        <f>IFERROR(VLOOKUP(D729,'Team Data'!C:AB,14,FALSE),"")</f>
        <v/>
      </c>
      <c r="J729" t="str">
        <f>IFERROR(VLOOKUP(D729,'Team Data'!C:AB,8,FALSE),"")</f>
        <v/>
      </c>
      <c r="K729" t="str">
        <f>IFERROR(VLOOKUP(D729,'Team Data'!C:AB,9,FALSE),"")</f>
        <v/>
      </c>
      <c r="L729" t="str">
        <f>IFERROR(VLOOKUP(D729,'Team Data'!C:AB,10,FALSE),"")</f>
        <v/>
      </c>
      <c r="M729" t="str">
        <f t="shared" si="24"/>
        <v/>
      </c>
      <c r="N729" t="str">
        <f>IFERROR(VLOOKUP(D729,'Team Data'!C:AB,23,FALSE),"")</f>
        <v/>
      </c>
      <c r="O729" t="str">
        <f>IFERROR(VLOOKUP(D729,'Team Data'!C:AB,22,FALSE),"")</f>
        <v/>
      </c>
      <c r="P729" t="str">
        <f t="shared" si="25"/>
        <v/>
      </c>
      <c r="Q729" t="str">
        <f>IFERROR(VLOOKUP(D729,'Team Data'!C:AB,15,FALSE),"")</f>
        <v/>
      </c>
      <c r="R729" t="str">
        <f>IFERROR(VLOOKUP('OB Format'!D729,'Team Data'!C:AB,24,FALSE),"")</f>
        <v/>
      </c>
      <c r="S729" t="str">
        <f>IFERROR(VLOOKUP('OB Format'!D729,'Team Data'!C:AC,25,FALSE),"")</f>
        <v/>
      </c>
    </row>
    <row r="730" spans="5:19" x14ac:dyDescent="0.25">
      <c r="E730" t="str">
        <f>IFERROR(VLOOKUP(D730,'Team Data'!C:AB,4,FALSE),"")</f>
        <v/>
      </c>
      <c r="F730" t="str">
        <f>IFERROR(VLOOKUP(D730,'Team Data'!C:AB,5,FALSE),"")</f>
        <v/>
      </c>
      <c r="G730" t="str">
        <f>IFERROR(VLOOKUP('OB Format'!D730,'Team Data'!C:AB,17,FALSE),"")</f>
        <v/>
      </c>
      <c r="H730" t="str">
        <f>IFERROR(VLOOKUP(D730,'Team Data'!C:AB,7,FALSE),"")</f>
        <v/>
      </c>
      <c r="I730" t="str">
        <f>IFERROR(VLOOKUP(D730,'Team Data'!C:AB,14,FALSE),"")</f>
        <v/>
      </c>
      <c r="J730" t="str">
        <f>IFERROR(VLOOKUP(D730,'Team Data'!C:AB,8,FALSE),"")</f>
        <v/>
      </c>
      <c r="K730" t="str">
        <f>IFERROR(VLOOKUP(D730,'Team Data'!C:AB,9,FALSE),"")</f>
        <v/>
      </c>
      <c r="L730" t="str">
        <f>IFERROR(VLOOKUP(D730,'Team Data'!C:AB,10,FALSE),"")</f>
        <v/>
      </c>
      <c r="M730" t="str">
        <f t="shared" si="24"/>
        <v/>
      </c>
      <c r="N730" t="str">
        <f>IFERROR(VLOOKUP(D730,'Team Data'!C:AB,23,FALSE),"")</f>
        <v/>
      </c>
      <c r="O730" t="str">
        <f>IFERROR(VLOOKUP(D730,'Team Data'!C:AB,22,FALSE),"")</f>
        <v/>
      </c>
      <c r="P730" t="str">
        <f t="shared" si="25"/>
        <v/>
      </c>
      <c r="Q730" t="str">
        <f>IFERROR(VLOOKUP(D730,'Team Data'!C:AB,15,FALSE),"")</f>
        <v/>
      </c>
      <c r="R730" t="str">
        <f>IFERROR(VLOOKUP('OB Format'!D730,'Team Data'!C:AB,24,FALSE),"")</f>
        <v/>
      </c>
      <c r="S730" t="str">
        <f>IFERROR(VLOOKUP('OB Format'!D730,'Team Data'!C:AC,25,FALSE),"")</f>
        <v/>
      </c>
    </row>
    <row r="731" spans="5:19" x14ac:dyDescent="0.25">
      <c r="E731" t="str">
        <f>IFERROR(VLOOKUP(D731,'Team Data'!C:AB,4,FALSE),"")</f>
        <v/>
      </c>
      <c r="F731" t="str">
        <f>IFERROR(VLOOKUP(D731,'Team Data'!C:AB,5,FALSE),"")</f>
        <v/>
      </c>
      <c r="G731" t="str">
        <f>IFERROR(VLOOKUP('OB Format'!D731,'Team Data'!C:AB,17,FALSE),"")</f>
        <v/>
      </c>
      <c r="H731" t="str">
        <f>IFERROR(VLOOKUP(D731,'Team Data'!C:AB,7,FALSE),"")</f>
        <v/>
      </c>
      <c r="I731" t="str">
        <f>IFERROR(VLOOKUP(D731,'Team Data'!C:AB,14,FALSE),"")</f>
        <v/>
      </c>
      <c r="J731" t="str">
        <f>IFERROR(VLOOKUP(D731,'Team Data'!C:AB,8,FALSE),"")</f>
        <v/>
      </c>
      <c r="K731" t="str">
        <f>IFERROR(VLOOKUP(D731,'Team Data'!C:AB,9,FALSE),"")</f>
        <v/>
      </c>
      <c r="L731" t="str">
        <f>IFERROR(VLOOKUP(D731,'Team Data'!C:AB,10,FALSE),"")</f>
        <v/>
      </c>
      <c r="M731" t="str">
        <f t="shared" si="24"/>
        <v/>
      </c>
      <c r="N731" t="str">
        <f>IFERROR(VLOOKUP(D731,'Team Data'!C:AB,23,FALSE),"")</f>
        <v/>
      </c>
      <c r="O731" t="str">
        <f>IFERROR(VLOOKUP(D731,'Team Data'!C:AB,22,FALSE),"")</f>
        <v/>
      </c>
      <c r="P731" t="str">
        <f t="shared" si="25"/>
        <v/>
      </c>
      <c r="Q731" t="str">
        <f>IFERROR(VLOOKUP(D731,'Team Data'!C:AB,15,FALSE),"")</f>
        <v/>
      </c>
      <c r="R731" t="str">
        <f>IFERROR(VLOOKUP('OB Format'!D731,'Team Data'!C:AB,24,FALSE),"")</f>
        <v/>
      </c>
      <c r="S731" t="str">
        <f>IFERROR(VLOOKUP('OB Format'!D731,'Team Data'!C:AC,25,FALSE),"")</f>
        <v/>
      </c>
    </row>
    <row r="732" spans="5:19" x14ac:dyDescent="0.25">
      <c r="E732" t="str">
        <f>IFERROR(VLOOKUP(D732,'Team Data'!C:AB,4,FALSE),"")</f>
        <v/>
      </c>
      <c r="F732" t="str">
        <f>IFERROR(VLOOKUP(D732,'Team Data'!C:AB,5,FALSE),"")</f>
        <v/>
      </c>
      <c r="G732" t="str">
        <f>IFERROR(VLOOKUP('OB Format'!D732,'Team Data'!C:AB,17,FALSE),"")</f>
        <v/>
      </c>
      <c r="H732" t="str">
        <f>IFERROR(VLOOKUP(D732,'Team Data'!C:AB,7,FALSE),"")</f>
        <v/>
      </c>
      <c r="I732" t="str">
        <f>IFERROR(VLOOKUP(D732,'Team Data'!C:AB,14,FALSE),"")</f>
        <v/>
      </c>
      <c r="J732" t="str">
        <f>IFERROR(VLOOKUP(D732,'Team Data'!C:AB,8,FALSE),"")</f>
        <v/>
      </c>
      <c r="K732" t="str">
        <f>IFERROR(VLOOKUP(D732,'Team Data'!C:AB,9,FALSE),"")</f>
        <v/>
      </c>
      <c r="L732" t="str">
        <f>IFERROR(VLOOKUP(D732,'Team Data'!C:AB,10,FALSE),"")</f>
        <v/>
      </c>
      <c r="M732" t="str">
        <f t="shared" si="24"/>
        <v/>
      </c>
      <c r="N732" t="str">
        <f>IFERROR(VLOOKUP(D732,'Team Data'!C:AB,23,FALSE),"")</f>
        <v/>
      </c>
      <c r="O732" t="str">
        <f>IFERROR(VLOOKUP(D732,'Team Data'!C:AB,22,FALSE),"")</f>
        <v/>
      </c>
      <c r="P732" t="str">
        <f t="shared" si="25"/>
        <v/>
      </c>
      <c r="Q732" t="str">
        <f>IFERROR(VLOOKUP(D732,'Team Data'!C:AB,15,FALSE),"")</f>
        <v/>
      </c>
      <c r="R732" t="str">
        <f>IFERROR(VLOOKUP('OB Format'!D732,'Team Data'!C:AB,24,FALSE),"")</f>
        <v/>
      </c>
      <c r="S732" t="str">
        <f>IFERROR(VLOOKUP('OB Format'!D732,'Team Data'!C:AC,25,FALSE),"")</f>
        <v/>
      </c>
    </row>
    <row r="733" spans="5:19" x14ac:dyDescent="0.25">
      <c r="E733" t="str">
        <f>IFERROR(VLOOKUP(D733,'Team Data'!C:AB,4,FALSE),"")</f>
        <v/>
      </c>
      <c r="F733" t="str">
        <f>IFERROR(VLOOKUP(D733,'Team Data'!C:AB,5,FALSE),"")</f>
        <v/>
      </c>
      <c r="G733" t="str">
        <f>IFERROR(VLOOKUP('OB Format'!D733,'Team Data'!C:AB,17,FALSE),"")</f>
        <v/>
      </c>
      <c r="H733" t="str">
        <f>IFERROR(VLOOKUP(D733,'Team Data'!C:AB,7,FALSE),"")</f>
        <v/>
      </c>
      <c r="I733" t="str">
        <f>IFERROR(VLOOKUP(D733,'Team Data'!C:AB,14,FALSE),"")</f>
        <v/>
      </c>
      <c r="J733" t="str">
        <f>IFERROR(VLOOKUP(D733,'Team Data'!C:AB,8,FALSE),"")</f>
        <v/>
      </c>
      <c r="K733" t="str">
        <f>IFERROR(VLOOKUP(D733,'Team Data'!C:AB,9,FALSE),"")</f>
        <v/>
      </c>
      <c r="L733" t="str">
        <f>IFERROR(VLOOKUP(D733,'Team Data'!C:AB,10,FALSE),"")</f>
        <v/>
      </c>
      <c r="M733" t="str">
        <f t="shared" si="24"/>
        <v/>
      </c>
      <c r="N733" t="str">
        <f>IFERROR(VLOOKUP(D733,'Team Data'!C:AB,23,FALSE),"")</f>
        <v/>
      </c>
      <c r="O733" t="str">
        <f>IFERROR(VLOOKUP(D733,'Team Data'!C:AB,22,FALSE),"")</f>
        <v/>
      </c>
      <c r="P733" t="str">
        <f t="shared" si="25"/>
        <v/>
      </c>
      <c r="Q733" t="str">
        <f>IFERROR(VLOOKUP(D733,'Team Data'!C:AB,15,FALSE),"")</f>
        <v/>
      </c>
      <c r="R733" t="str">
        <f>IFERROR(VLOOKUP('OB Format'!D733,'Team Data'!C:AB,24,FALSE),"")</f>
        <v/>
      </c>
      <c r="S733" t="str">
        <f>IFERROR(VLOOKUP('OB Format'!D733,'Team Data'!C:AC,25,FALSE),"")</f>
        <v/>
      </c>
    </row>
    <row r="734" spans="5:19" x14ac:dyDescent="0.25">
      <c r="E734" t="str">
        <f>IFERROR(VLOOKUP(D734,'Team Data'!C:AB,4,FALSE),"")</f>
        <v/>
      </c>
      <c r="F734" t="str">
        <f>IFERROR(VLOOKUP(D734,'Team Data'!C:AB,5,FALSE),"")</f>
        <v/>
      </c>
      <c r="G734" t="str">
        <f>IFERROR(VLOOKUP('OB Format'!D734,'Team Data'!C:AB,17,FALSE),"")</f>
        <v/>
      </c>
      <c r="H734" t="str">
        <f>IFERROR(VLOOKUP(D734,'Team Data'!C:AB,7,FALSE),"")</f>
        <v/>
      </c>
      <c r="I734" t="str">
        <f>IFERROR(VLOOKUP(D734,'Team Data'!C:AB,14,FALSE),"")</f>
        <v/>
      </c>
      <c r="J734" t="str">
        <f>IFERROR(VLOOKUP(D734,'Team Data'!C:AB,8,FALSE),"")</f>
        <v/>
      </c>
      <c r="K734" t="str">
        <f>IFERROR(VLOOKUP(D734,'Team Data'!C:AB,9,FALSE),"")</f>
        <v/>
      </c>
      <c r="L734" t="str">
        <f>IFERROR(VLOOKUP(D734,'Team Data'!C:AB,10,FALSE),"")</f>
        <v/>
      </c>
      <c r="M734" t="str">
        <f t="shared" si="24"/>
        <v/>
      </c>
      <c r="N734" t="str">
        <f>IFERROR(VLOOKUP(D734,'Team Data'!C:AB,23,FALSE),"")</f>
        <v/>
      </c>
      <c r="O734" t="str">
        <f>IFERROR(VLOOKUP(D734,'Team Data'!C:AB,22,FALSE),"")</f>
        <v/>
      </c>
      <c r="P734" t="str">
        <f t="shared" si="25"/>
        <v/>
      </c>
      <c r="Q734" t="str">
        <f>IFERROR(VLOOKUP(D734,'Team Data'!C:AB,15,FALSE),"")</f>
        <v/>
      </c>
      <c r="R734" t="str">
        <f>IFERROR(VLOOKUP('OB Format'!D734,'Team Data'!C:AB,24,FALSE),"")</f>
        <v/>
      </c>
      <c r="S734" t="str">
        <f>IFERROR(VLOOKUP('OB Format'!D734,'Team Data'!C:AC,25,FALSE),"")</f>
        <v/>
      </c>
    </row>
    <row r="735" spans="5:19" x14ac:dyDescent="0.25">
      <c r="E735" t="str">
        <f>IFERROR(VLOOKUP(D735,'Team Data'!C:AB,4,FALSE),"")</f>
        <v/>
      </c>
      <c r="F735" t="str">
        <f>IFERROR(VLOOKUP(D735,'Team Data'!C:AB,5,FALSE),"")</f>
        <v/>
      </c>
      <c r="G735" t="str">
        <f>IFERROR(VLOOKUP('OB Format'!D735,'Team Data'!C:AB,17,FALSE),"")</f>
        <v/>
      </c>
      <c r="H735" t="str">
        <f>IFERROR(VLOOKUP(D735,'Team Data'!C:AB,7,FALSE),"")</f>
        <v/>
      </c>
      <c r="I735" t="str">
        <f>IFERROR(VLOOKUP(D735,'Team Data'!C:AB,14,FALSE),"")</f>
        <v/>
      </c>
      <c r="J735" t="str">
        <f>IFERROR(VLOOKUP(D735,'Team Data'!C:AB,8,FALSE),"")</f>
        <v/>
      </c>
      <c r="K735" t="str">
        <f>IFERROR(VLOOKUP(D735,'Team Data'!C:AB,9,FALSE),"")</f>
        <v/>
      </c>
      <c r="L735" t="str">
        <f>IFERROR(VLOOKUP(D735,'Team Data'!C:AB,10,FALSE),"")</f>
        <v/>
      </c>
      <c r="M735" t="str">
        <f t="shared" si="24"/>
        <v/>
      </c>
      <c r="N735" t="str">
        <f>IFERROR(VLOOKUP(D735,'Team Data'!C:AB,23,FALSE),"")</f>
        <v/>
      </c>
      <c r="O735" t="str">
        <f>IFERROR(VLOOKUP(D735,'Team Data'!C:AB,22,FALSE),"")</f>
        <v/>
      </c>
      <c r="P735" t="str">
        <f t="shared" si="25"/>
        <v/>
      </c>
      <c r="Q735" t="str">
        <f>IFERROR(VLOOKUP(D735,'Team Data'!C:AB,15,FALSE),"")</f>
        <v/>
      </c>
      <c r="R735" t="str">
        <f>IFERROR(VLOOKUP('OB Format'!D735,'Team Data'!C:AB,24,FALSE),"")</f>
        <v/>
      </c>
      <c r="S735" t="str">
        <f>IFERROR(VLOOKUP('OB Format'!D735,'Team Data'!C:AC,25,FALSE),"")</f>
        <v/>
      </c>
    </row>
    <row r="736" spans="5:19" x14ac:dyDescent="0.25">
      <c r="E736" t="str">
        <f>IFERROR(VLOOKUP(D736,'Team Data'!C:AB,4,FALSE),"")</f>
        <v/>
      </c>
      <c r="F736" t="str">
        <f>IFERROR(VLOOKUP(D736,'Team Data'!C:AB,5,FALSE),"")</f>
        <v/>
      </c>
      <c r="G736" t="str">
        <f>IFERROR(VLOOKUP('OB Format'!D736,'Team Data'!C:AB,17,FALSE),"")</f>
        <v/>
      </c>
      <c r="H736" t="str">
        <f>IFERROR(VLOOKUP(D736,'Team Data'!C:AB,7,FALSE),"")</f>
        <v/>
      </c>
      <c r="I736" t="str">
        <f>IFERROR(VLOOKUP(D736,'Team Data'!C:AB,14,FALSE),"")</f>
        <v/>
      </c>
      <c r="J736" t="str">
        <f>IFERROR(VLOOKUP(D736,'Team Data'!C:AB,8,FALSE),"")</f>
        <v/>
      </c>
      <c r="K736" t="str">
        <f>IFERROR(VLOOKUP(D736,'Team Data'!C:AB,9,FALSE),"")</f>
        <v/>
      </c>
      <c r="L736" t="str">
        <f>IFERROR(VLOOKUP(D736,'Team Data'!C:AB,10,FALSE),"")</f>
        <v/>
      </c>
      <c r="M736" t="str">
        <f t="shared" si="24"/>
        <v/>
      </c>
      <c r="N736" t="str">
        <f>IFERROR(VLOOKUP(D736,'Team Data'!C:AB,23,FALSE),"")</f>
        <v/>
      </c>
      <c r="O736" t="str">
        <f>IFERROR(VLOOKUP(D736,'Team Data'!C:AB,22,FALSE),"")</f>
        <v/>
      </c>
      <c r="P736" t="str">
        <f t="shared" si="25"/>
        <v/>
      </c>
      <c r="Q736" t="str">
        <f>IFERROR(VLOOKUP(D736,'Team Data'!C:AB,15,FALSE),"")</f>
        <v/>
      </c>
      <c r="R736" t="str">
        <f>IFERROR(VLOOKUP('OB Format'!D736,'Team Data'!C:AB,24,FALSE),"")</f>
        <v/>
      </c>
      <c r="S736" t="str">
        <f>IFERROR(VLOOKUP('OB Format'!D736,'Team Data'!C:AC,25,FALSE),"")</f>
        <v/>
      </c>
    </row>
    <row r="737" spans="5:19" x14ac:dyDescent="0.25">
      <c r="E737" t="str">
        <f>IFERROR(VLOOKUP(D737,'Team Data'!C:AB,4,FALSE),"")</f>
        <v/>
      </c>
      <c r="F737" t="str">
        <f>IFERROR(VLOOKUP(D737,'Team Data'!C:AB,5,FALSE),"")</f>
        <v/>
      </c>
      <c r="G737" t="str">
        <f>IFERROR(VLOOKUP('OB Format'!D737,'Team Data'!C:AB,17,FALSE),"")</f>
        <v/>
      </c>
      <c r="H737" t="str">
        <f>IFERROR(VLOOKUP(D737,'Team Data'!C:AB,7,FALSE),"")</f>
        <v/>
      </c>
      <c r="I737" t="str">
        <f>IFERROR(VLOOKUP(D737,'Team Data'!C:AB,14,FALSE),"")</f>
        <v/>
      </c>
      <c r="J737" t="str">
        <f>IFERROR(VLOOKUP(D737,'Team Data'!C:AB,8,FALSE),"")</f>
        <v/>
      </c>
      <c r="K737" t="str">
        <f>IFERROR(VLOOKUP(D737,'Team Data'!C:AB,9,FALSE),"")</f>
        <v/>
      </c>
      <c r="L737" t="str">
        <f>IFERROR(VLOOKUP(D737,'Team Data'!C:AB,10,FALSE),"")</f>
        <v/>
      </c>
      <c r="M737" t="str">
        <f t="shared" si="24"/>
        <v/>
      </c>
      <c r="N737" t="str">
        <f>IFERROR(VLOOKUP(D737,'Team Data'!C:AB,23,FALSE),"")</f>
        <v/>
      </c>
      <c r="O737" t="str">
        <f>IFERROR(VLOOKUP(D737,'Team Data'!C:AB,22,FALSE),"")</f>
        <v/>
      </c>
      <c r="P737" t="str">
        <f t="shared" si="25"/>
        <v/>
      </c>
      <c r="Q737" t="str">
        <f>IFERROR(VLOOKUP(D737,'Team Data'!C:AB,15,FALSE),"")</f>
        <v/>
      </c>
      <c r="R737" t="str">
        <f>IFERROR(VLOOKUP('OB Format'!D737,'Team Data'!C:AB,24,FALSE),"")</f>
        <v/>
      </c>
      <c r="S737" t="str">
        <f>IFERROR(VLOOKUP('OB Format'!D737,'Team Data'!C:AC,25,FALSE),"")</f>
        <v/>
      </c>
    </row>
    <row r="738" spans="5:19" x14ac:dyDescent="0.25">
      <c r="E738" t="str">
        <f>IFERROR(VLOOKUP(D738,'Team Data'!C:AB,4,FALSE),"")</f>
        <v/>
      </c>
      <c r="F738" t="str">
        <f>IFERROR(VLOOKUP(D738,'Team Data'!C:AB,5,FALSE),"")</f>
        <v/>
      </c>
      <c r="G738" t="str">
        <f>IFERROR(VLOOKUP('OB Format'!D738,'Team Data'!C:AB,17,FALSE),"")</f>
        <v/>
      </c>
      <c r="H738" t="str">
        <f>IFERROR(VLOOKUP(D738,'Team Data'!C:AB,7,FALSE),"")</f>
        <v/>
      </c>
      <c r="I738" t="str">
        <f>IFERROR(VLOOKUP(D738,'Team Data'!C:AB,14,FALSE),"")</f>
        <v/>
      </c>
      <c r="J738" t="str">
        <f>IFERROR(VLOOKUP(D738,'Team Data'!C:AB,8,FALSE),"")</f>
        <v/>
      </c>
      <c r="K738" t="str">
        <f>IFERROR(VLOOKUP(D738,'Team Data'!C:AB,9,FALSE),"")</f>
        <v/>
      </c>
      <c r="L738" t="str">
        <f>IFERROR(VLOOKUP(D738,'Team Data'!C:AB,10,FALSE),"")</f>
        <v/>
      </c>
      <c r="M738" t="str">
        <f t="shared" si="24"/>
        <v/>
      </c>
      <c r="N738" t="str">
        <f>IFERROR(VLOOKUP(D738,'Team Data'!C:AB,23,FALSE),"")</f>
        <v/>
      </c>
      <c r="O738" t="str">
        <f>IFERROR(VLOOKUP(D738,'Team Data'!C:AB,22,FALSE),"")</f>
        <v/>
      </c>
      <c r="P738" t="str">
        <f t="shared" si="25"/>
        <v/>
      </c>
      <c r="Q738" t="str">
        <f>IFERROR(VLOOKUP(D738,'Team Data'!C:AB,15,FALSE),"")</f>
        <v/>
      </c>
      <c r="R738" t="str">
        <f>IFERROR(VLOOKUP('OB Format'!D738,'Team Data'!C:AB,24,FALSE),"")</f>
        <v/>
      </c>
      <c r="S738" t="str">
        <f>IFERROR(VLOOKUP('OB Format'!D738,'Team Data'!C:AC,25,FALSE),"")</f>
        <v/>
      </c>
    </row>
    <row r="739" spans="5:19" x14ac:dyDescent="0.25">
      <c r="E739" t="str">
        <f>IFERROR(VLOOKUP(D739,'Team Data'!C:AB,4,FALSE),"")</f>
        <v/>
      </c>
      <c r="F739" t="str">
        <f>IFERROR(VLOOKUP(D739,'Team Data'!C:AB,5,FALSE),"")</f>
        <v/>
      </c>
      <c r="G739" t="str">
        <f>IFERROR(VLOOKUP('OB Format'!D739,'Team Data'!C:AB,17,FALSE),"")</f>
        <v/>
      </c>
      <c r="H739" t="str">
        <f>IFERROR(VLOOKUP(D739,'Team Data'!C:AB,7,FALSE),"")</f>
        <v/>
      </c>
      <c r="I739" t="str">
        <f>IFERROR(VLOOKUP(D739,'Team Data'!C:AB,14,FALSE),"")</f>
        <v/>
      </c>
      <c r="J739" t="str">
        <f>IFERROR(VLOOKUP(D739,'Team Data'!C:AB,8,FALSE),"")</f>
        <v/>
      </c>
      <c r="K739" t="str">
        <f>IFERROR(VLOOKUP(D739,'Team Data'!C:AB,9,FALSE),"")</f>
        <v/>
      </c>
      <c r="L739" t="str">
        <f>IFERROR(VLOOKUP(D739,'Team Data'!C:AB,10,FALSE),"")</f>
        <v/>
      </c>
      <c r="M739" t="str">
        <f t="shared" si="24"/>
        <v/>
      </c>
      <c r="N739" t="str">
        <f>IFERROR(VLOOKUP(D739,'Team Data'!C:AB,23,FALSE),"")</f>
        <v/>
      </c>
      <c r="O739" t="str">
        <f>IFERROR(VLOOKUP(D739,'Team Data'!C:AB,22,FALSE),"")</f>
        <v/>
      </c>
      <c r="P739" t="str">
        <f t="shared" si="25"/>
        <v/>
      </c>
      <c r="Q739" t="str">
        <f>IFERROR(VLOOKUP(D739,'Team Data'!C:AB,15,FALSE),"")</f>
        <v/>
      </c>
      <c r="R739" t="str">
        <f>IFERROR(VLOOKUP('OB Format'!D739,'Team Data'!C:AB,24,FALSE),"")</f>
        <v/>
      </c>
      <c r="S739" t="str">
        <f>IFERROR(VLOOKUP('OB Format'!D739,'Team Data'!C:AC,25,FALSE),"")</f>
        <v/>
      </c>
    </row>
    <row r="740" spans="5:19" x14ac:dyDescent="0.25">
      <c r="E740" t="str">
        <f>IFERROR(VLOOKUP(D740,'Team Data'!C:AB,4,FALSE),"")</f>
        <v/>
      </c>
      <c r="F740" t="str">
        <f>IFERROR(VLOOKUP(D740,'Team Data'!C:AB,5,FALSE),"")</f>
        <v/>
      </c>
      <c r="G740" t="str">
        <f>IFERROR(VLOOKUP('OB Format'!D740,'Team Data'!C:AB,17,FALSE),"")</f>
        <v/>
      </c>
      <c r="H740" t="str">
        <f>IFERROR(VLOOKUP(D740,'Team Data'!C:AB,7,FALSE),"")</f>
        <v/>
      </c>
      <c r="I740" t="str">
        <f>IFERROR(VLOOKUP(D740,'Team Data'!C:AB,14,FALSE),"")</f>
        <v/>
      </c>
      <c r="J740" t="str">
        <f>IFERROR(VLOOKUP(D740,'Team Data'!C:AB,8,FALSE),"")</f>
        <v/>
      </c>
      <c r="K740" t="str">
        <f>IFERROR(VLOOKUP(D740,'Team Data'!C:AB,9,FALSE),"")</f>
        <v/>
      </c>
      <c r="L740" t="str">
        <f>IFERROR(VLOOKUP(D740,'Team Data'!C:AB,10,FALSE),"")</f>
        <v/>
      </c>
      <c r="M740" t="str">
        <f t="shared" si="24"/>
        <v/>
      </c>
      <c r="N740" t="str">
        <f>IFERROR(VLOOKUP(D740,'Team Data'!C:AB,23,FALSE),"")</f>
        <v/>
      </c>
      <c r="O740" t="str">
        <f>IFERROR(VLOOKUP(D740,'Team Data'!C:AB,22,FALSE),"")</f>
        <v/>
      </c>
      <c r="P740" t="str">
        <f t="shared" si="25"/>
        <v/>
      </c>
      <c r="Q740" t="str">
        <f>IFERROR(VLOOKUP(D740,'Team Data'!C:AB,15,FALSE),"")</f>
        <v/>
      </c>
      <c r="R740" t="str">
        <f>IFERROR(VLOOKUP('OB Format'!D740,'Team Data'!C:AB,24,FALSE),"")</f>
        <v/>
      </c>
      <c r="S740" t="str">
        <f>IFERROR(VLOOKUP('OB Format'!D740,'Team Data'!C:AC,25,FALSE),"")</f>
        <v/>
      </c>
    </row>
    <row r="741" spans="5:19" x14ac:dyDescent="0.25">
      <c r="E741" t="str">
        <f>IFERROR(VLOOKUP(D741,'Team Data'!C:AB,4,FALSE),"")</f>
        <v/>
      </c>
      <c r="F741" t="str">
        <f>IFERROR(VLOOKUP(D741,'Team Data'!C:AB,5,FALSE),"")</f>
        <v/>
      </c>
      <c r="G741" t="str">
        <f>IFERROR(VLOOKUP('OB Format'!D741,'Team Data'!C:AB,17,FALSE),"")</f>
        <v/>
      </c>
      <c r="H741" t="str">
        <f>IFERROR(VLOOKUP(D741,'Team Data'!C:AB,7,FALSE),"")</f>
        <v/>
      </c>
      <c r="I741" t="str">
        <f>IFERROR(VLOOKUP(D741,'Team Data'!C:AB,14,FALSE),"")</f>
        <v/>
      </c>
      <c r="J741" t="str">
        <f>IFERROR(VLOOKUP(D741,'Team Data'!C:AB,8,FALSE),"")</f>
        <v/>
      </c>
      <c r="K741" t="str">
        <f>IFERROR(VLOOKUP(D741,'Team Data'!C:AB,9,FALSE),"")</f>
        <v/>
      </c>
      <c r="L741" t="str">
        <f>IFERROR(VLOOKUP(D741,'Team Data'!C:AB,10,FALSE),"")</f>
        <v/>
      </c>
      <c r="M741" t="str">
        <f t="shared" si="24"/>
        <v/>
      </c>
      <c r="N741" t="str">
        <f>IFERROR(VLOOKUP(D741,'Team Data'!C:AB,23,FALSE),"")</f>
        <v/>
      </c>
      <c r="O741" t="str">
        <f>IFERROR(VLOOKUP(D741,'Team Data'!C:AB,22,FALSE),"")</f>
        <v/>
      </c>
      <c r="P741" t="str">
        <f t="shared" si="25"/>
        <v/>
      </c>
      <c r="Q741" t="str">
        <f>IFERROR(VLOOKUP(D741,'Team Data'!C:AB,15,FALSE),"")</f>
        <v/>
      </c>
      <c r="R741" t="str">
        <f>IFERROR(VLOOKUP('OB Format'!D741,'Team Data'!C:AB,24,FALSE),"")</f>
        <v/>
      </c>
      <c r="S741" t="str">
        <f>IFERROR(VLOOKUP('OB Format'!D741,'Team Data'!C:AC,25,FALSE),"")</f>
        <v/>
      </c>
    </row>
    <row r="742" spans="5:19" x14ac:dyDescent="0.25">
      <c r="E742" t="str">
        <f>IFERROR(VLOOKUP(D742,'Team Data'!C:AB,4,FALSE),"")</f>
        <v/>
      </c>
      <c r="F742" t="str">
        <f>IFERROR(VLOOKUP(D742,'Team Data'!C:AB,5,FALSE),"")</f>
        <v/>
      </c>
      <c r="G742" t="str">
        <f>IFERROR(VLOOKUP('OB Format'!D742,'Team Data'!C:AB,17,FALSE),"")</f>
        <v/>
      </c>
      <c r="H742" t="str">
        <f>IFERROR(VLOOKUP(D742,'Team Data'!C:AB,7,FALSE),"")</f>
        <v/>
      </c>
      <c r="I742" t="str">
        <f>IFERROR(VLOOKUP(D742,'Team Data'!C:AB,14,FALSE),"")</f>
        <v/>
      </c>
      <c r="J742" t="str">
        <f>IFERROR(VLOOKUP(D742,'Team Data'!C:AB,8,FALSE),"")</f>
        <v/>
      </c>
      <c r="K742" t="str">
        <f>IFERROR(VLOOKUP(D742,'Team Data'!C:AB,9,FALSE),"")</f>
        <v/>
      </c>
      <c r="L742" t="str">
        <f>IFERROR(VLOOKUP(D742,'Team Data'!C:AB,10,FALSE),"")</f>
        <v/>
      </c>
      <c r="M742" t="str">
        <f t="shared" si="24"/>
        <v/>
      </c>
      <c r="N742" t="str">
        <f>IFERROR(VLOOKUP(D742,'Team Data'!C:AB,23,FALSE),"")</f>
        <v/>
      </c>
      <c r="O742" t="str">
        <f>IFERROR(VLOOKUP(D742,'Team Data'!C:AB,22,FALSE),"")</f>
        <v/>
      </c>
      <c r="P742" t="str">
        <f t="shared" si="25"/>
        <v/>
      </c>
      <c r="Q742" t="str">
        <f>IFERROR(VLOOKUP(D742,'Team Data'!C:AB,15,FALSE),"")</f>
        <v/>
      </c>
      <c r="R742" t="str">
        <f>IFERROR(VLOOKUP('OB Format'!D742,'Team Data'!C:AB,24,FALSE),"")</f>
        <v/>
      </c>
      <c r="S742" t="str">
        <f>IFERROR(VLOOKUP('OB Format'!D742,'Team Data'!C:AC,25,FALSE),"")</f>
        <v/>
      </c>
    </row>
    <row r="743" spans="5:19" x14ac:dyDescent="0.25">
      <c r="E743" t="str">
        <f>IFERROR(VLOOKUP(D743,'Team Data'!C:AB,4,FALSE),"")</f>
        <v/>
      </c>
      <c r="F743" t="str">
        <f>IFERROR(VLOOKUP(D743,'Team Data'!C:AB,5,FALSE),"")</f>
        <v/>
      </c>
      <c r="G743" t="str">
        <f>IFERROR(VLOOKUP('OB Format'!D743,'Team Data'!C:AB,17,FALSE),"")</f>
        <v/>
      </c>
      <c r="H743" t="str">
        <f>IFERROR(VLOOKUP(D743,'Team Data'!C:AB,7,FALSE),"")</f>
        <v/>
      </c>
      <c r="I743" t="str">
        <f>IFERROR(VLOOKUP(D743,'Team Data'!C:AB,14,FALSE),"")</f>
        <v/>
      </c>
      <c r="J743" t="str">
        <f>IFERROR(VLOOKUP(D743,'Team Data'!C:AB,8,FALSE),"")</f>
        <v/>
      </c>
      <c r="K743" t="str">
        <f>IFERROR(VLOOKUP(D743,'Team Data'!C:AB,9,FALSE),"")</f>
        <v/>
      </c>
      <c r="L743" t="str">
        <f>IFERROR(VLOOKUP(D743,'Team Data'!C:AB,10,FALSE),"")</f>
        <v/>
      </c>
      <c r="M743" t="str">
        <f t="shared" si="24"/>
        <v/>
      </c>
      <c r="N743" t="str">
        <f>IFERROR(VLOOKUP(D743,'Team Data'!C:AB,23,FALSE),"")</f>
        <v/>
      </c>
      <c r="O743" t="str">
        <f>IFERROR(VLOOKUP(D743,'Team Data'!C:AB,22,FALSE),"")</f>
        <v/>
      </c>
      <c r="P743" t="str">
        <f t="shared" si="25"/>
        <v/>
      </c>
      <c r="Q743" t="str">
        <f>IFERROR(VLOOKUP(D743,'Team Data'!C:AB,15,FALSE),"")</f>
        <v/>
      </c>
      <c r="R743" t="str">
        <f>IFERROR(VLOOKUP('OB Format'!D743,'Team Data'!C:AB,24,FALSE),"")</f>
        <v/>
      </c>
      <c r="S743" t="str">
        <f>IFERROR(VLOOKUP('OB Format'!D743,'Team Data'!C:AC,25,FALSE),"")</f>
        <v/>
      </c>
    </row>
    <row r="744" spans="5:19" x14ac:dyDescent="0.25">
      <c r="E744" t="str">
        <f>IFERROR(VLOOKUP(D744,'Team Data'!C:AB,4,FALSE),"")</f>
        <v/>
      </c>
      <c r="F744" t="str">
        <f>IFERROR(VLOOKUP(D744,'Team Data'!C:AB,5,FALSE),"")</f>
        <v/>
      </c>
      <c r="G744" t="str">
        <f>IFERROR(VLOOKUP('OB Format'!D744,'Team Data'!C:AB,17,FALSE),"")</f>
        <v/>
      </c>
      <c r="H744" t="str">
        <f>IFERROR(VLOOKUP(D744,'Team Data'!C:AB,7,FALSE),"")</f>
        <v/>
      </c>
      <c r="I744" t="str">
        <f>IFERROR(VLOOKUP(D744,'Team Data'!C:AB,14,FALSE),"")</f>
        <v/>
      </c>
      <c r="J744" t="str">
        <f>IFERROR(VLOOKUP(D744,'Team Data'!C:AB,8,FALSE),"")</f>
        <v/>
      </c>
      <c r="K744" t="str">
        <f>IFERROR(VLOOKUP(D744,'Team Data'!C:AB,9,FALSE),"")</f>
        <v/>
      </c>
      <c r="L744" t="str">
        <f>IFERROR(VLOOKUP(D744,'Team Data'!C:AB,10,FALSE),"")</f>
        <v/>
      </c>
      <c r="M744" t="str">
        <f t="shared" si="24"/>
        <v/>
      </c>
      <c r="N744" t="str">
        <f>IFERROR(VLOOKUP(D744,'Team Data'!C:AB,23,FALSE),"")</f>
        <v/>
      </c>
      <c r="O744" t="str">
        <f>IFERROR(VLOOKUP(D744,'Team Data'!C:AB,22,FALSE),"")</f>
        <v/>
      </c>
      <c r="P744" t="str">
        <f t="shared" si="25"/>
        <v/>
      </c>
      <c r="Q744" t="str">
        <f>IFERROR(VLOOKUP(D744,'Team Data'!C:AB,15,FALSE),"")</f>
        <v/>
      </c>
      <c r="R744" t="str">
        <f>IFERROR(VLOOKUP('OB Format'!D744,'Team Data'!C:AB,24,FALSE),"")</f>
        <v/>
      </c>
      <c r="S744" t="str">
        <f>IFERROR(VLOOKUP('OB Format'!D744,'Team Data'!C:AC,25,FALSE),"")</f>
        <v/>
      </c>
    </row>
    <row r="745" spans="5:19" x14ac:dyDescent="0.25">
      <c r="E745" t="str">
        <f>IFERROR(VLOOKUP(D745,'Team Data'!C:AB,4,FALSE),"")</f>
        <v/>
      </c>
      <c r="F745" t="str">
        <f>IFERROR(VLOOKUP(D745,'Team Data'!C:AB,5,FALSE),"")</f>
        <v/>
      </c>
      <c r="G745" t="str">
        <f>IFERROR(VLOOKUP('OB Format'!D745,'Team Data'!C:AB,17,FALSE),"")</f>
        <v/>
      </c>
      <c r="H745" t="str">
        <f>IFERROR(VLOOKUP(D745,'Team Data'!C:AB,7,FALSE),"")</f>
        <v/>
      </c>
      <c r="I745" t="str">
        <f>IFERROR(VLOOKUP(D745,'Team Data'!C:AB,14,FALSE),"")</f>
        <v/>
      </c>
      <c r="J745" t="str">
        <f>IFERROR(VLOOKUP(D745,'Team Data'!C:AB,8,FALSE),"")</f>
        <v/>
      </c>
      <c r="K745" t="str">
        <f>IFERROR(VLOOKUP(D745,'Team Data'!C:AB,9,FALSE),"")</f>
        <v/>
      </c>
      <c r="L745" t="str">
        <f>IFERROR(VLOOKUP(D745,'Team Data'!C:AB,10,FALSE),"")</f>
        <v/>
      </c>
      <c r="M745" t="str">
        <f t="shared" si="24"/>
        <v/>
      </c>
      <c r="N745" t="str">
        <f>IFERROR(VLOOKUP(D745,'Team Data'!C:AB,23,FALSE),"")</f>
        <v/>
      </c>
      <c r="O745" t="str">
        <f>IFERROR(VLOOKUP(D745,'Team Data'!C:AB,22,FALSE),"")</f>
        <v/>
      </c>
      <c r="P745" t="str">
        <f t="shared" si="25"/>
        <v/>
      </c>
      <c r="Q745" t="str">
        <f>IFERROR(VLOOKUP(D745,'Team Data'!C:AB,15,FALSE),"")</f>
        <v/>
      </c>
      <c r="R745" t="str">
        <f>IFERROR(VLOOKUP('OB Format'!D745,'Team Data'!C:AB,24,FALSE),"")</f>
        <v/>
      </c>
      <c r="S745" t="str">
        <f>IFERROR(VLOOKUP('OB Format'!D745,'Team Data'!C:AC,25,FALSE),"")</f>
        <v/>
      </c>
    </row>
    <row r="746" spans="5:19" x14ac:dyDescent="0.25">
      <c r="E746" t="str">
        <f>IFERROR(VLOOKUP(D746,'Team Data'!C:AB,4,FALSE),"")</f>
        <v/>
      </c>
      <c r="F746" t="str">
        <f>IFERROR(VLOOKUP(D746,'Team Data'!C:AB,5,FALSE),"")</f>
        <v/>
      </c>
      <c r="G746" t="str">
        <f>IFERROR(VLOOKUP('OB Format'!D746,'Team Data'!C:AB,17,FALSE),"")</f>
        <v/>
      </c>
      <c r="H746" t="str">
        <f>IFERROR(VLOOKUP(D746,'Team Data'!C:AB,7,FALSE),"")</f>
        <v/>
      </c>
      <c r="I746" t="str">
        <f>IFERROR(VLOOKUP(D746,'Team Data'!C:AB,14,FALSE),"")</f>
        <v/>
      </c>
      <c r="J746" t="str">
        <f>IFERROR(VLOOKUP(D746,'Team Data'!C:AB,8,FALSE),"")</f>
        <v/>
      </c>
      <c r="K746" t="str">
        <f>IFERROR(VLOOKUP(D746,'Team Data'!C:AB,9,FALSE),"")</f>
        <v/>
      </c>
      <c r="L746" t="str">
        <f>IFERROR(VLOOKUP(D746,'Team Data'!C:AB,10,FALSE),"")</f>
        <v/>
      </c>
      <c r="M746" t="str">
        <f t="shared" si="24"/>
        <v/>
      </c>
      <c r="N746" t="str">
        <f>IFERROR(VLOOKUP(D746,'Team Data'!C:AB,23,FALSE),"")</f>
        <v/>
      </c>
      <c r="O746" t="str">
        <f>IFERROR(VLOOKUP(D746,'Team Data'!C:AB,22,FALSE),"")</f>
        <v/>
      </c>
      <c r="P746" t="str">
        <f t="shared" si="25"/>
        <v/>
      </c>
      <c r="Q746" t="str">
        <f>IFERROR(VLOOKUP(D746,'Team Data'!C:AB,15,FALSE),"")</f>
        <v/>
      </c>
      <c r="R746" t="str">
        <f>IFERROR(VLOOKUP('OB Format'!D746,'Team Data'!C:AB,24,FALSE),"")</f>
        <v/>
      </c>
      <c r="S746" t="str">
        <f>IFERROR(VLOOKUP('OB Format'!D746,'Team Data'!C:AC,25,FALSE),"")</f>
        <v/>
      </c>
    </row>
    <row r="747" spans="5:19" x14ac:dyDescent="0.25">
      <c r="E747" t="str">
        <f>IFERROR(VLOOKUP(D747,'Team Data'!C:AB,4,FALSE),"")</f>
        <v/>
      </c>
      <c r="F747" t="str">
        <f>IFERROR(VLOOKUP(D747,'Team Data'!C:AB,5,FALSE),"")</f>
        <v/>
      </c>
      <c r="G747" t="str">
        <f>IFERROR(VLOOKUP('OB Format'!D747,'Team Data'!C:AB,17,FALSE),"")</f>
        <v/>
      </c>
      <c r="H747" t="str">
        <f>IFERROR(VLOOKUP(D747,'Team Data'!C:AB,7,FALSE),"")</f>
        <v/>
      </c>
      <c r="I747" t="str">
        <f>IFERROR(VLOOKUP(D747,'Team Data'!C:AB,14,FALSE),"")</f>
        <v/>
      </c>
      <c r="J747" t="str">
        <f>IFERROR(VLOOKUP(D747,'Team Data'!C:AB,8,FALSE),"")</f>
        <v/>
      </c>
      <c r="K747" t="str">
        <f>IFERROR(VLOOKUP(D747,'Team Data'!C:AB,9,FALSE),"")</f>
        <v/>
      </c>
      <c r="L747" t="str">
        <f>IFERROR(VLOOKUP(D747,'Team Data'!C:AB,10,FALSE),"")</f>
        <v/>
      </c>
      <c r="M747" t="str">
        <f t="shared" si="24"/>
        <v/>
      </c>
      <c r="N747" t="str">
        <f>IFERROR(VLOOKUP(D747,'Team Data'!C:AB,23,FALSE),"")</f>
        <v/>
      </c>
      <c r="O747" t="str">
        <f>IFERROR(VLOOKUP(D747,'Team Data'!C:AB,22,FALSE),"")</f>
        <v/>
      </c>
      <c r="P747" t="str">
        <f t="shared" si="25"/>
        <v/>
      </c>
      <c r="Q747" t="str">
        <f>IFERROR(VLOOKUP(D747,'Team Data'!C:AB,15,FALSE),"")</f>
        <v/>
      </c>
      <c r="R747" t="str">
        <f>IFERROR(VLOOKUP('OB Format'!D747,'Team Data'!C:AB,24,FALSE),"")</f>
        <v/>
      </c>
      <c r="S747" t="str">
        <f>IFERROR(VLOOKUP('OB Format'!D747,'Team Data'!C:AC,25,FALSE),"")</f>
        <v/>
      </c>
    </row>
    <row r="748" spans="5:19" x14ac:dyDescent="0.25">
      <c r="E748" t="str">
        <f>IFERROR(VLOOKUP(D748,'Team Data'!C:AB,4,FALSE),"")</f>
        <v/>
      </c>
      <c r="F748" t="str">
        <f>IFERROR(VLOOKUP(D748,'Team Data'!C:AB,5,FALSE),"")</f>
        <v/>
      </c>
      <c r="G748" t="str">
        <f>IFERROR(VLOOKUP('OB Format'!D748,'Team Data'!C:AB,17,FALSE),"")</f>
        <v/>
      </c>
      <c r="H748" t="str">
        <f>IFERROR(VLOOKUP(D748,'Team Data'!C:AB,7,FALSE),"")</f>
        <v/>
      </c>
      <c r="I748" t="str">
        <f>IFERROR(VLOOKUP(D748,'Team Data'!C:AB,14,FALSE),"")</f>
        <v/>
      </c>
      <c r="J748" t="str">
        <f>IFERROR(VLOOKUP(D748,'Team Data'!C:AB,8,FALSE),"")</f>
        <v/>
      </c>
      <c r="K748" t="str">
        <f>IFERROR(VLOOKUP(D748,'Team Data'!C:AB,9,FALSE),"")</f>
        <v/>
      </c>
      <c r="L748" t="str">
        <f>IFERROR(VLOOKUP(D748,'Team Data'!C:AB,10,FALSE),"")</f>
        <v/>
      </c>
      <c r="M748" t="str">
        <f t="shared" si="24"/>
        <v/>
      </c>
      <c r="N748" t="str">
        <f>IFERROR(VLOOKUP(D748,'Team Data'!C:AB,23,FALSE),"")</f>
        <v/>
      </c>
      <c r="O748" t="str">
        <f>IFERROR(VLOOKUP(D748,'Team Data'!C:AB,22,FALSE),"")</f>
        <v/>
      </c>
      <c r="P748" t="str">
        <f t="shared" si="25"/>
        <v/>
      </c>
      <c r="Q748" t="str">
        <f>IFERROR(VLOOKUP(D748,'Team Data'!C:AB,15,FALSE),"")</f>
        <v/>
      </c>
      <c r="R748" t="str">
        <f>IFERROR(VLOOKUP('OB Format'!D748,'Team Data'!C:AB,24,FALSE),"")</f>
        <v/>
      </c>
      <c r="S748" t="str">
        <f>IFERROR(VLOOKUP('OB Format'!D748,'Team Data'!C:AC,25,FALSE),"")</f>
        <v/>
      </c>
    </row>
    <row r="749" spans="5:19" x14ac:dyDescent="0.25">
      <c r="E749" t="str">
        <f>IFERROR(VLOOKUP(D749,'Team Data'!C:AB,4,FALSE),"")</f>
        <v/>
      </c>
      <c r="F749" t="str">
        <f>IFERROR(VLOOKUP(D749,'Team Data'!C:AB,5,FALSE),"")</f>
        <v/>
      </c>
      <c r="G749" t="str">
        <f>IFERROR(VLOOKUP('OB Format'!D749,'Team Data'!C:AB,17,FALSE),"")</f>
        <v/>
      </c>
      <c r="H749" t="str">
        <f>IFERROR(VLOOKUP(D749,'Team Data'!C:AB,7,FALSE),"")</f>
        <v/>
      </c>
      <c r="I749" t="str">
        <f>IFERROR(VLOOKUP(D749,'Team Data'!C:AB,14,FALSE),"")</f>
        <v/>
      </c>
      <c r="J749" t="str">
        <f>IFERROR(VLOOKUP(D749,'Team Data'!C:AB,8,FALSE),"")</f>
        <v/>
      </c>
      <c r="K749" t="str">
        <f>IFERROR(VLOOKUP(D749,'Team Data'!C:AB,9,FALSE),"")</f>
        <v/>
      </c>
      <c r="L749" t="str">
        <f>IFERROR(VLOOKUP(D749,'Team Data'!C:AB,10,FALSE),"")</f>
        <v/>
      </c>
      <c r="M749" t="str">
        <f t="shared" si="24"/>
        <v/>
      </c>
      <c r="N749" t="str">
        <f>IFERROR(VLOOKUP(D749,'Team Data'!C:AB,23,FALSE),"")</f>
        <v/>
      </c>
      <c r="O749" t="str">
        <f>IFERROR(VLOOKUP(D749,'Team Data'!C:AB,22,FALSE),"")</f>
        <v/>
      </c>
      <c r="P749" t="str">
        <f t="shared" si="25"/>
        <v/>
      </c>
      <c r="Q749" t="str">
        <f>IFERROR(VLOOKUP(D749,'Team Data'!C:AB,15,FALSE),"")</f>
        <v/>
      </c>
      <c r="R749" t="str">
        <f>IFERROR(VLOOKUP('OB Format'!D749,'Team Data'!C:AB,24,FALSE),"")</f>
        <v/>
      </c>
      <c r="S749" t="str">
        <f>IFERROR(VLOOKUP('OB Format'!D749,'Team Data'!C:AC,25,FALSE),"")</f>
        <v/>
      </c>
    </row>
    <row r="750" spans="5:19" x14ac:dyDescent="0.25">
      <c r="E750" t="str">
        <f>IFERROR(VLOOKUP(D750,'Team Data'!C:AB,4,FALSE),"")</f>
        <v/>
      </c>
      <c r="F750" t="str">
        <f>IFERROR(VLOOKUP(D750,'Team Data'!C:AB,5,FALSE),"")</f>
        <v/>
      </c>
      <c r="G750" t="str">
        <f>IFERROR(VLOOKUP('OB Format'!D750,'Team Data'!C:AB,17,FALSE),"")</f>
        <v/>
      </c>
      <c r="H750" t="str">
        <f>IFERROR(VLOOKUP(D750,'Team Data'!C:AB,7,FALSE),"")</f>
        <v/>
      </c>
      <c r="I750" t="str">
        <f>IFERROR(VLOOKUP(D750,'Team Data'!C:AB,14,FALSE),"")</f>
        <v/>
      </c>
      <c r="J750" t="str">
        <f>IFERROR(VLOOKUP(D750,'Team Data'!C:AB,8,FALSE),"")</f>
        <v/>
      </c>
      <c r="K750" t="str">
        <f>IFERROR(VLOOKUP(D750,'Team Data'!C:AB,9,FALSE),"")</f>
        <v/>
      </c>
      <c r="L750" t="str">
        <f>IFERROR(VLOOKUP(D750,'Team Data'!C:AB,10,FALSE),"")</f>
        <v/>
      </c>
      <c r="M750" t="str">
        <f t="shared" si="24"/>
        <v/>
      </c>
      <c r="N750" t="str">
        <f>IFERROR(VLOOKUP(D750,'Team Data'!C:AB,23,FALSE),"")</f>
        <v/>
      </c>
      <c r="O750" t="str">
        <f>IFERROR(VLOOKUP(D750,'Team Data'!C:AB,22,FALSE),"")</f>
        <v/>
      </c>
      <c r="P750" t="str">
        <f t="shared" si="25"/>
        <v/>
      </c>
      <c r="Q750" t="str">
        <f>IFERROR(VLOOKUP(D750,'Team Data'!C:AB,15,FALSE),"")</f>
        <v/>
      </c>
      <c r="R750" t="str">
        <f>IFERROR(VLOOKUP('OB Format'!D750,'Team Data'!C:AB,24,FALSE),"")</f>
        <v/>
      </c>
      <c r="S750" t="str">
        <f>IFERROR(VLOOKUP('OB Format'!D750,'Team Data'!C:AC,25,FALSE),"")</f>
        <v/>
      </c>
    </row>
    <row r="751" spans="5:19" x14ac:dyDescent="0.25">
      <c r="E751" t="str">
        <f>IFERROR(VLOOKUP(D751,'Team Data'!C:AB,4,FALSE),"")</f>
        <v/>
      </c>
      <c r="F751" t="str">
        <f>IFERROR(VLOOKUP(D751,'Team Data'!C:AB,5,FALSE),"")</f>
        <v/>
      </c>
      <c r="G751" t="str">
        <f>IFERROR(VLOOKUP('OB Format'!D751,'Team Data'!C:AB,17,FALSE),"")</f>
        <v/>
      </c>
      <c r="H751" t="str">
        <f>IFERROR(VLOOKUP(D751,'Team Data'!C:AB,7,FALSE),"")</f>
        <v/>
      </c>
      <c r="I751" t="str">
        <f>IFERROR(VLOOKUP(D751,'Team Data'!C:AB,14,FALSE),"")</f>
        <v/>
      </c>
      <c r="J751" t="str">
        <f>IFERROR(VLOOKUP(D751,'Team Data'!C:AB,8,FALSE),"")</f>
        <v/>
      </c>
      <c r="K751" t="str">
        <f>IFERROR(VLOOKUP(D751,'Team Data'!C:AB,9,FALSE),"")</f>
        <v/>
      </c>
      <c r="L751" t="str">
        <f>IFERROR(VLOOKUP(D751,'Team Data'!C:AB,10,FALSE),"")</f>
        <v/>
      </c>
      <c r="M751" t="str">
        <f t="shared" si="24"/>
        <v/>
      </c>
      <c r="N751" t="str">
        <f>IFERROR(VLOOKUP(D751,'Team Data'!C:AB,23,FALSE),"")</f>
        <v/>
      </c>
      <c r="O751" t="str">
        <f>IFERROR(VLOOKUP(D751,'Team Data'!C:AB,22,FALSE),"")</f>
        <v/>
      </c>
      <c r="P751" t="str">
        <f t="shared" si="25"/>
        <v/>
      </c>
      <c r="Q751" t="str">
        <f>IFERROR(VLOOKUP(D751,'Team Data'!C:AB,15,FALSE),"")</f>
        <v/>
      </c>
      <c r="R751" t="str">
        <f>IFERROR(VLOOKUP('OB Format'!D751,'Team Data'!C:AB,24,FALSE),"")</f>
        <v/>
      </c>
      <c r="S751" t="str">
        <f>IFERROR(VLOOKUP('OB Format'!D751,'Team Data'!C:AC,25,FALSE),"")</f>
        <v/>
      </c>
    </row>
    <row r="752" spans="5:19" x14ac:dyDescent="0.25">
      <c r="E752" t="str">
        <f>IFERROR(VLOOKUP(D752,'Team Data'!C:AB,4,FALSE),"")</f>
        <v/>
      </c>
      <c r="F752" t="str">
        <f>IFERROR(VLOOKUP(D752,'Team Data'!C:AB,5,FALSE),"")</f>
        <v/>
      </c>
      <c r="G752" t="str">
        <f>IFERROR(VLOOKUP('OB Format'!D752,'Team Data'!C:AB,17,FALSE),"")</f>
        <v/>
      </c>
      <c r="H752" t="str">
        <f>IFERROR(VLOOKUP(D752,'Team Data'!C:AB,7,FALSE),"")</f>
        <v/>
      </c>
      <c r="I752" t="str">
        <f>IFERROR(VLOOKUP(D752,'Team Data'!C:AB,14,FALSE),"")</f>
        <v/>
      </c>
      <c r="J752" t="str">
        <f>IFERROR(VLOOKUP(D752,'Team Data'!C:AB,8,FALSE),"")</f>
        <v/>
      </c>
      <c r="K752" t="str">
        <f>IFERROR(VLOOKUP(D752,'Team Data'!C:AB,9,FALSE),"")</f>
        <v/>
      </c>
      <c r="L752" t="str">
        <f>IFERROR(VLOOKUP(D752,'Team Data'!C:AB,10,FALSE),"")</f>
        <v/>
      </c>
      <c r="M752" t="str">
        <f t="shared" si="24"/>
        <v/>
      </c>
      <c r="N752" t="str">
        <f>IFERROR(VLOOKUP(D752,'Team Data'!C:AB,23,FALSE),"")</f>
        <v/>
      </c>
      <c r="O752" t="str">
        <f>IFERROR(VLOOKUP(D752,'Team Data'!C:AB,22,FALSE),"")</f>
        <v/>
      </c>
      <c r="P752" t="str">
        <f t="shared" si="25"/>
        <v/>
      </c>
      <c r="Q752" t="str">
        <f>IFERROR(VLOOKUP(D752,'Team Data'!C:AB,15,FALSE),"")</f>
        <v/>
      </c>
      <c r="R752" t="str">
        <f>IFERROR(VLOOKUP('OB Format'!D752,'Team Data'!C:AB,24,FALSE),"")</f>
        <v/>
      </c>
      <c r="S752" t="str">
        <f>IFERROR(VLOOKUP('OB Format'!D752,'Team Data'!C:AC,25,FALSE),"")</f>
        <v/>
      </c>
    </row>
    <row r="753" spans="5:19" x14ac:dyDescent="0.25">
      <c r="E753" t="str">
        <f>IFERROR(VLOOKUP(D753,'Team Data'!C:AB,4,FALSE),"")</f>
        <v/>
      </c>
      <c r="F753" t="str">
        <f>IFERROR(VLOOKUP(D753,'Team Data'!C:AB,5,FALSE),"")</f>
        <v/>
      </c>
      <c r="G753" t="str">
        <f>IFERROR(VLOOKUP('OB Format'!D753,'Team Data'!C:AB,17,FALSE),"")</f>
        <v/>
      </c>
      <c r="H753" t="str">
        <f>IFERROR(VLOOKUP(D753,'Team Data'!C:AB,7,FALSE),"")</f>
        <v/>
      </c>
      <c r="I753" t="str">
        <f>IFERROR(VLOOKUP(D753,'Team Data'!C:AB,14,FALSE),"")</f>
        <v/>
      </c>
      <c r="J753" t="str">
        <f>IFERROR(VLOOKUP(D753,'Team Data'!C:AB,8,FALSE),"")</f>
        <v/>
      </c>
      <c r="K753" t="str">
        <f>IFERROR(VLOOKUP(D753,'Team Data'!C:AB,9,FALSE),"")</f>
        <v/>
      </c>
      <c r="L753" t="str">
        <f>IFERROR(VLOOKUP(D753,'Team Data'!C:AB,10,FALSE),"")</f>
        <v/>
      </c>
      <c r="M753" t="str">
        <f t="shared" si="24"/>
        <v/>
      </c>
      <c r="N753" t="str">
        <f>IFERROR(VLOOKUP(D753,'Team Data'!C:AB,23,FALSE),"")</f>
        <v/>
      </c>
      <c r="O753" t="str">
        <f>IFERROR(VLOOKUP(D753,'Team Data'!C:AB,22,FALSE),"")</f>
        <v/>
      </c>
      <c r="P753" t="str">
        <f t="shared" si="25"/>
        <v/>
      </c>
      <c r="Q753" t="str">
        <f>IFERROR(VLOOKUP(D753,'Team Data'!C:AB,15,FALSE),"")</f>
        <v/>
      </c>
      <c r="R753" t="str">
        <f>IFERROR(VLOOKUP('OB Format'!D753,'Team Data'!C:AB,24,FALSE),"")</f>
        <v/>
      </c>
      <c r="S753" t="str">
        <f>IFERROR(VLOOKUP('OB Format'!D753,'Team Data'!C:AC,25,FALSE),"")</f>
        <v/>
      </c>
    </row>
    <row r="754" spans="5:19" x14ac:dyDescent="0.25">
      <c r="E754" t="str">
        <f>IFERROR(VLOOKUP(D754,'Team Data'!C:AB,4,FALSE),"")</f>
        <v/>
      </c>
      <c r="F754" t="str">
        <f>IFERROR(VLOOKUP(D754,'Team Data'!C:AB,5,FALSE),"")</f>
        <v/>
      </c>
      <c r="G754" t="str">
        <f>IFERROR(VLOOKUP('OB Format'!D754,'Team Data'!C:AB,17,FALSE),"")</f>
        <v/>
      </c>
      <c r="H754" t="str">
        <f>IFERROR(VLOOKUP(D754,'Team Data'!C:AB,7,FALSE),"")</f>
        <v/>
      </c>
      <c r="I754" t="str">
        <f>IFERROR(VLOOKUP(D754,'Team Data'!C:AB,14,FALSE),"")</f>
        <v/>
      </c>
      <c r="J754" t="str">
        <f>IFERROR(VLOOKUP(D754,'Team Data'!C:AB,8,FALSE),"")</f>
        <v/>
      </c>
      <c r="K754" t="str">
        <f>IFERROR(VLOOKUP(D754,'Team Data'!C:AB,9,FALSE),"")</f>
        <v/>
      </c>
      <c r="L754" t="str">
        <f>IFERROR(VLOOKUP(D754,'Team Data'!C:AB,10,FALSE),"")</f>
        <v/>
      </c>
      <c r="M754" t="str">
        <f t="shared" si="24"/>
        <v/>
      </c>
      <c r="N754" t="str">
        <f>IFERROR(VLOOKUP(D754,'Team Data'!C:AB,23,FALSE),"")</f>
        <v/>
      </c>
      <c r="O754" t="str">
        <f>IFERROR(VLOOKUP(D754,'Team Data'!C:AB,22,FALSE),"")</f>
        <v/>
      </c>
      <c r="P754" t="str">
        <f t="shared" si="25"/>
        <v/>
      </c>
      <c r="Q754" t="str">
        <f>IFERROR(VLOOKUP(D754,'Team Data'!C:AB,15,FALSE),"")</f>
        <v/>
      </c>
      <c r="R754" t="str">
        <f>IFERROR(VLOOKUP('OB Format'!D754,'Team Data'!C:AB,24,FALSE),"")</f>
        <v/>
      </c>
      <c r="S754" t="str">
        <f>IFERROR(VLOOKUP('OB Format'!D754,'Team Data'!C:AC,25,FALSE),"")</f>
        <v/>
      </c>
    </row>
    <row r="755" spans="5:19" x14ac:dyDescent="0.25">
      <c r="E755" t="str">
        <f>IFERROR(VLOOKUP(D755,'Team Data'!C:AB,4,FALSE),"")</f>
        <v/>
      </c>
      <c r="F755" t="str">
        <f>IFERROR(VLOOKUP(D755,'Team Data'!C:AB,5,FALSE),"")</f>
        <v/>
      </c>
      <c r="G755" t="str">
        <f>IFERROR(VLOOKUP('OB Format'!D755,'Team Data'!C:AB,17,FALSE),"")</f>
        <v/>
      </c>
      <c r="H755" t="str">
        <f>IFERROR(VLOOKUP(D755,'Team Data'!C:AB,7,FALSE),"")</f>
        <v/>
      </c>
      <c r="I755" t="str">
        <f>IFERROR(VLOOKUP(D755,'Team Data'!C:AB,14,FALSE),"")</f>
        <v/>
      </c>
      <c r="J755" t="str">
        <f>IFERROR(VLOOKUP(D755,'Team Data'!C:AB,8,FALSE),"")</f>
        <v/>
      </c>
      <c r="K755" t="str">
        <f>IFERROR(VLOOKUP(D755,'Team Data'!C:AB,9,FALSE),"")</f>
        <v/>
      </c>
      <c r="L755" t="str">
        <f>IFERROR(VLOOKUP(D755,'Team Data'!C:AB,10,FALSE),"")</f>
        <v/>
      </c>
      <c r="M755" t="str">
        <f t="shared" si="24"/>
        <v/>
      </c>
      <c r="N755" t="str">
        <f>IFERROR(VLOOKUP(D755,'Team Data'!C:AB,23,FALSE),"")</f>
        <v/>
      </c>
      <c r="O755" t="str">
        <f>IFERROR(VLOOKUP(D755,'Team Data'!C:AB,22,FALSE),"")</f>
        <v/>
      </c>
      <c r="P755" t="str">
        <f t="shared" si="25"/>
        <v/>
      </c>
      <c r="Q755" t="str">
        <f>IFERROR(VLOOKUP(D755,'Team Data'!C:AB,15,FALSE),"")</f>
        <v/>
      </c>
      <c r="R755" t="str">
        <f>IFERROR(VLOOKUP('OB Format'!D755,'Team Data'!C:AB,24,FALSE),"")</f>
        <v/>
      </c>
      <c r="S755" t="str">
        <f>IFERROR(VLOOKUP('OB Format'!D755,'Team Data'!C:AC,25,FALSE),"")</f>
        <v/>
      </c>
    </row>
    <row r="756" spans="5:19" x14ac:dyDescent="0.25">
      <c r="E756" t="str">
        <f>IFERROR(VLOOKUP(D756,'Team Data'!C:AB,4,FALSE),"")</f>
        <v/>
      </c>
      <c r="F756" t="str">
        <f>IFERROR(VLOOKUP(D756,'Team Data'!C:AB,5,FALSE),"")</f>
        <v/>
      </c>
      <c r="G756" t="str">
        <f>IFERROR(VLOOKUP('OB Format'!D756,'Team Data'!C:AB,17,FALSE),"")</f>
        <v/>
      </c>
      <c r="H756" t="str">
        <f>IFERROR(VLOOKUP(D756,'Team Data'!C:AB,7,FALSE),"")</f>
        <v/>
      </c>
      <c r="I756" t="str">
        <f>IFERROR(VLOOKUP(D756,'Team Data'!C:AB,14,FALSE),"")</f>
        <v/>
      </c>
      <c r="J756" t="str">
        <f>IFERROR(VLOOKUP(D756,'Team Data'!C:AB,8,FALSE),"")</f>
        <v/>
      </c>
      <c r="K756" t="str">
        <f>IFERROR(VLOOKUP(D756,'Team Data'!C:AB,9,FALSE),"")</f>
        <v/>
      </c>
      <c r="L756" t="str">
        <f>IFERROR(VLOOKUP(D756,'Team Data'!C:AB,10,FALSE),"")</f>
        <v/>
      </c>
      <c r="M756" t="str">
        <f t="shared" si="24"/>
        <v/>
      </c>
      <c r="N756" t="str">
        <f>IFERROR(VLOOKUP(D756,'Team Data'!C:AB,23,FALSE),"")</f>
        <v/>
      </c>
      <c r="O756" t="str">
        <f>IFERROR(VLOOKUP(D756,'Team Data'!C:AB,22,FALSE),"")</f>
        <v/>
      </c>
      <c r="P756" t="str">
        <f t="shared" si="25"/>
        <v/>
      </c>
      <c r="Q756" t="str">
        <f>IFERROR(VLOOKUP(D756,'Team Data'!C:AB,15,FALSE),"")</f>
        <v/>
      </c>
      <c r="R756" t="str">
        <f>IFERROR(VLOOKUP('OB Format'!D756,'Team Data'!C:AB,24,FALSE),"")</f>
        <v/>
      </c>
      <c r="S756" t="str">
        <f>IFERROR(VLOOKUP('OB Format'!D756,'Team Data'!C:AC,25,FALSE),"")</f>
        <v/>
      </c>
    </row>
    <row r="757" spans="5:19" x14ac:dyDescent="0.25">
      <c r="E757" t="str">
        <f>IFERROR(VLOOKUP(D757,'Team Data'!C:AB,4,FALSE),"")</f>
        <v/>
      </c>
      <c r="F757" t="str">
        <f>IFERROR(VLOOKUP(D757,'Team Data'!C:AB,5,FALSE),"")</f>
        <v/>
      </c>
      <c r="G757" t="str">
        <f>IFERROR(VLOOKUP('OB Format'!D757,'Team Data'!C:AB,17,FALSE),"")</f>
        <v/>
      </c>
      <c r="H757" t="str">
        <f>IFERROR(VLOOKUP(D757,'Team Data'!C:AB,7,FALSE),"")</f>
        <v/>
      </c>
      <c r="I757" t="str">
        <f>IFERROR(VLOOKUP(D757,'Team Data'!C:AB,14,FALSE),"")</f>
        <v/>
      </c>
      <c r="J757" t="str">
        <f>IFERROR(VLOOKUP(D757,'Team Data'!C:AB,8,FALSE),"")</f>
        <v/>
      </c>
      <c r="K757" t="str">
        <f>IFERROR(VLOOKUP(D757,'Team Data'!C:AB,9,FALSE),"")</f>
        <v/>
      </c>
      <c r="L757" t="str">
        <f>IFERROR(VLOOKUP(D757,'Team Data'!C:AB,10,FALSE),"")</f>
        <v/>
      </c>
      <c r="M757" t="str">
        <f t="shared" si="24"/>
        <v/>
      </c>
      <c r="N757" t="str">
        <f>IFERROR(VLOOKUP(D757,'Team Data'!C:AB,23,FALSE),"")</f>
        <v/>
      </c>
      <c r="O757" t="str">
        <f>IFERROR(VLOOKUP(D757,'Team Data'!C:AB,22,FALSE),"")</f>
        <v/>
      </c>
      <c r="P757" t="str">
        <f t="shared" si="25"/>
        <v/>
      </c>
      <c r="Q757" t="str">
        <f>IFERROR(VLOOKUP(D757,'Team Data'!C:AB,15,FALSE),"")</f>
        <v/>
      </c>
      <c r="R757" t="str">
        <f>IFERROR(VLOOKUP('OB Format'!D757,'Team Data'!C:AB,24,FALSE),"")</f>
        <v/>
      </c>
      <c r="S757" t="str">
        <f>IFERROR(VLOOKUP('OB Format'!D757,'Team Data'!C:AC,25,FALSE),"")</f>
        <v/>
      </c>
    </row>
    <row r="758" spans="5:19" x14ac:dyDescent="0.25">
      <c r="E758" t="str">
        <f>IFERROR(VLOOKUP(D758,'Team Data'!C:AB,4,FALSE),"")</f>
        <v/>
      </c>
      <c r="F758" t="str">
        <f>IFERROR(VLOOKUP(D758,'Team Data'!C:AB,5,FALSE),"")</f>
        <v/>
      </c>
      <c r="G758" t="str">
        <f>IFERROR(VLOOKUP('OB Format'!D758,'Team Data'!C:AB,17,FALSE),"")</f>
        <v/>
      </c>
      <c r="H758" t="str">
        <f>IFERROR(VLOOKUP(D758,'Team Data'!C:AB,7,FALSE),"")</f>
        <v/>
      </c>
      <c r="I758" t="str">
        <f>IFERROR(VLOOKUP(D758,'Team Data'!C:AB,14,FALSE),"")</f>
        <v/>
      </c>
      <c r="J758" t="str">
        <f>IFERROR(VLOOKUP(D758,'Team Data'!C:AB,8,FALSE),"")</f>
        <v/>
      </c>
      <c r="K758" t="str">
        <f>IFERROR(VLOOKUP(D758,'Team Data'!C:AB,9,FALSE),"")</f>
        <v/>
      </c>
      <c r="L758" t="str">
        <f>IFERROR(VLOOKUP(D758,'Team Data'!C:AB,10,FALSE),"")</f>
        <v/>
      </c>
      <c r="M758" t="str">
        <f t="shared" si="24"/>
        <v/>
      </c>
      <c r="N758" t="str">
        <f>IFERROR(VLOOKUP(D758,'Team Data'!C:AB,23,FALSE),"")</f>
        <v/>
      </c>
      <c r="O758" t="str">
        <f>IFERROR(VLOOKUP(D758,'Team Data'!C:AB,22,FALSE),"")</f>
        <v/>
      </c>
      <c r="P758" t="str">
        <f t="shared" si="25"/>
        <v/>
      </c>
      <c r="Q758" t="str">
        <f>IFERROR(VLOOKUP(D758,'Team Data'!C:AB,15,FALSE),"")</f>
        <v/>
      </c>
      <c r="R758" t="str">
        <f>IFERROR(VLOOKUP('OB Format'!D758,'Team Data'!C:AB,24,FALSE),"")</f>
        <v/>
      </c>
      <c r="S758" t="str">
        <f>IFERROR(VLOOKUP('OB Format'!D758,'Team Data'!C:AC,25,FALSE),"")</f>
        <v/>
      </c>
    </row>
    <row r="759" spans="5:19" x14ac:dyDescent="0.25">
      <c r="E759" t="str">
        <f>IFERROR(VLOOKUP(D759,'Team Data'!C:AB,4,FALSE),"")</f>
        <v/>
      </c>
      <c r="F759" t="str">
        <f>IFERROR(VLOOKUP(D759,'Team Data'!C:AB,5,FALSE),"")</f>
        <v/>
      </c>
      <c r="G759" t="str">
        <f>IFERROR(VLOOKUP('OB Format'!D759,'Team Data'!C:AB,17,FALSE),"")</f>
        <v/>
      </c>
      <c r="H759" t="str">
        <f>IFERROR(VLOOKUP(D759,'Team Data'!C:AB,7,FALSE),"")</f>
        <v/>
      </c>
      <c r="I759" t="str">
        <f>IFERROR(VLOOKUP(D759,'Team Data'!C:AB,14,FALSE),"")</f>
        <v/>
      </c>
      <c r="J759" t="str">
        <f>IFERROR(VLOOKUP(D759,'Team Data'!C:AB,8,FALSE),"")</f>
        <v/>
      </c>
      <c r="K759" t="str">
        <f>IFERROR(VLOOKUP(D759,'Team Data'!C:AB,9,FALSE),"")</f>
        <v/>
      </c>
      <c r="L759" t="str">
        <f>IFERROR(VLOOKUP(D759,'Team Data'!C:AB,10,FALSE),"")</f>
        <v/>
      </c>
      <c r="M759" t="str">
        <f t="shared" si="24"/>
        <v/>
      </c>
      <c r="N759" t="str">
        <f>IFERROR(VLOOKUP(D759,'Team Data'!C:AB,23,FALSE),"")</f>
        <v/>
      </c>
      <c r="O759" t="str">
        <f>IFERROR(VLOOKUP(D759,'Team Data'!C:AB,22,FALSE),"")</f>
        <v/>
      </c>
      <c r="P759" t="str">
        <f t="shared" si="25"/>
        <v/>
      </c>
      <c r="Q759" t="str">
        <f>IFERROR(VLOOKUP(D759,'Team Data'!C:AB,15,FALSE),"")</f>
        <v/>
      </c>
      <c r="R759" t="str">
        <f>IFERROR(VLOOKUP('OB Format'!D759,'Team Data'!C:AB,24,FALSE),"")</f>
        <v/>
      </c>
      <c r="S759" t="str">
        <f>IFERROR(VLOOKUP('OB Format'!D759,'Team Data'!C:AC,25,FALSE),"")</f>
        <v/>
      </c>
    </row>
    <row r="760" spans="5:19" x14ac:dyDescent="0.25">
      <c r="E760" t="str">
        <f>IFERROR(VLOOKUP(D760,'Team Data'!C:AB,4,FALSE),"")</f>
        <v/>
      </c>
      <c r="F760" t="str">
        <f>IFERROR(VLOOKUP(D760,'Team Data'!C:AB,5,FALSE),"")</f>
        <v/>
      </c>
      <c r="G760" t="str">
        <f>IFERROR(VLOOKUP('OB Format'!D760,'Team Data'!C:AB,17,FALSE),"")</f>
        <v/>
      </c>
      <c r="H760" t="str">
        <f>IFERROR(VLOOKUP(D760,'Team Data'!C:AB,7,FALSE),"")</f>
        <v/>
      </c>
      <c r="I760" t="str">
        <f>IFERROR(VLOOKUP(D760,'Team Data'!C:AB,14,FALSE),"")</f>
        <v/>
      </c>
      <c r="J760" t="str">
        <f>IFERROR(VLOOKUP(D760,'Team Data'!C:AB,8,FALSE),"")</f>
        <v/>
      </c>
      <c r="K760" t="str">
        <f>IFERROR(VLOOKUP(D760,'Team Data'!C:AB,9,FALSE),"")</f>
        <v/>
      </c>
      <c r="L760" t="str">
        <f>IFERROR(VLOOKUP(D760,'Team Data'!C:AB,10,FALSE),"")</f>
        <v/>
      </c>
      <c r="M760" t="str">
        <f t="shared" si="24"/>
        <v/>
      </c>
      <c r="N760" t="str">
        <f>IFERROR(VLOOKUP(D760,'Team Data'!C:AB,23,FALSE),"")</f>
        <v/>
      </c>
      <c r="O760" t="str">
        <f>IFERROR(VLOOKUP(D760,'Team Data'!C:AB,22,FALSE),"")</f>
        <v/>
      </c>
      <c r="P760" t="str">
        <f t="shared" si="25"/>
        <v/>
      </c>
      <c r="Q760" t="str">
        <f>IFERROR(VLOOKUP(D760,'Team Data'!C:AB,15,FALSE),"")</f>
        <v/>
      </c>
      <c r="R760" t="str">
        <f>IFERROR(VLOOKUP('OB Format'!D760,'Team Data'!C:AB,24,FALSE),"")</f>
        <v/>
      </c>
      <c r="S760" t="str">
        <f>IFERROR(VLOOKUP('OB Format'!D760,'Team Data'!C:AC,25,FALSE),"")</f>
        <v/>
      </c>
    </row>
    <row r="761" spans="5:19" x14ac:dyDescent="0.25">
      <c r="E761" t="str">
        <f>IFERROR(VLOOKUP(D761,'Team Data'!C:AB,4,FALSE),"")</f>
        <v/>
      </c>
      <c r="F761" t="str">
        <f>IFERROR(VLOOKUP(D761,'Team Data'!C:AB,5,FALSE),"")</f>
        <v/>
      </c>
      <c r="G761" t="str">
        <f>IFERROR(VLOOKUP('OB Format'!D761,'Team Data'!C:AB,17,FALSE),"")</f>
        <v/>
      </c>
      <c r="H761" t="str">
        <f>IFERROR(VLOOKUP(D761,'Team Data'!C:AB,7,FALSE),"")</f>
        <v/>
      </c>
      <c r="I761" t="str">
        <f>IFERROR(VLOOKUP(D761,'Team Data'!C:AB,14,FALSE),"")</f>
        <v/>
      </c>
      <c r="J761" t="str">
        <f>IFERROR(VLOOKUP(D761,'Team Data'!C:AB,8,FALSE),"")</f>
        <v/>
      </c>
      <c r="K761" t="str">
        <f>IFERROR(VLOOKUP(D761,'Team Data'!C:AB,9,FALSE),"")</f>
        <v/>
      </c>
      <c r="L761" t="str">
        <f>IFERROR(VLOOKUP(D761,'Team Data'!C:AB,10,FALSE),"")</f>
        <v/>
      </c>
      <c r="M761" t="str">
        <f t="shared" si="24"/>
        <v/>
      </c>
      <c r="N761" t="str">
        <f>IFERROR(VLOOKUP(D761,'Team Data'!C:AB,23,FALSE),"")</f>
        <v/>
      </c>
      <c r="O761" t="str">
        <f>IFERROR(VLOOKUP(D761,'Team Data'!C:AB,22,FALSE),"")</f>
        <v/>
      </c>
      <c r="P761" t="str">
        <f t="shared" si="25"/>
        <v/>
      </c>
      <c r="Q761" t="str">
        <f>IFERROR(VLOOKUP(D761,'Team Data'!C:AB,15,FALSE),"")</f>
        <v/>
      </c>
      <c r="R761" t="str">
        <f>IFERROR(VLOOKUP('OB Format'!D761,'Team Data'!C:AB,24,FALSE),"")</f>
        <v/>
      </c>
      <c r="S761" t="str">
        <f>IFERROR(VLOOKUP('OB Format'!D761,'Team Data'!C:AC,25,FALSE),"")</f>
        <v/>
      </c>
    </row>
    <row r="762" spans="5:19" x14ac:dyDescent="0.25">
      <c r="E762" t="str">
        <f>IFERROR(VLOOKUP(D762,'Team Data'!C:AB,4,FALSE),"")</f>
        <v/>
      </c>
      <c r="F762" t="str">
        <f>IFERROR(VLOOKUP(D762,'Team Data'!C:AB,5,FALSE),"")</f>
        <v/>
      </c>
      <c r="G762" t="str">
        <f>IFERROR(VLOOKUP('OB Format'!D762,'Team Data'!C:AB,17,FALSE),"")</f>
        <v/>
      </c>
      <c r="H762" t="str">
        <f>IFERROR(VLOOKUP(D762,'Team Data'!C:AB,7,FALSE),"")</f>
        <v/>
      </c>
      <c r="I762" t="str">
        <f>IFERROR(VLOOKUP(D762,'Team Data'!C:AB,14,FALSE),"")</f>
        <v/>
      </c>
      <c r="J762" t="str">
        <f>IFERROR(VLOOKUP(D762,'Team Data'!C:AB,8,FALSE),"")</f>
        <v/>
      </c>
      <c r="K762" t="str">
        <f>IFERROR(VLOOKUP(D762,'Team Data'!C:AB,9,FALSE),"")</f>
        <v/>
      </c>
      <c r="L762" t="str">
        <f>IFERROR(VLOOKUP(D762,'Team Data'!C:AB,10,FALSE),"")</f>
        <v/>
      </c>
      <c r="M762" t="str">
        <f t="shared" si="24"/>
        <v/>
      </c>
      <c r="N762" t="str">
        <f>IFERROR(VLOOKUP(D762,'Team Data'!C:AB,23,FALSE),"")</f>
        <v/>
      </c>
      <c r="O762" t="str">
        <f>IFERROR(VLOOKUP(D762,'Team Data'!C:AB,22,FALSE),"")</f>
        <v/>
      </c>
      <c r="P762" t="str">
        <f t="shared" si="25"/>
        <v/>
      </c>
      <c r="Q762" t="str">
        <f>IFERROR(VLOOKUP(D762,'Team Data'!C:AB,15,FALSE),"")</f>
        <v/>
      </c>
      <c r="R762" t="str">
        <f>IFERROR(VLOOKUP('OB Format'!D762,'Team Data'!C:AB,24,FALSE),"")</f>
        <v/>
      </c>
      <c r="S762" t="str">
        <f>IFERROR(VLOOKUP('OB Format'!D762,'Team Data'!C:AC,25,FALSE),"")</f>
        <v/>
      </c>
    </row>
    <row r="763" spans="5:19" x14ac:dyDescent="0.25">
      <c r="E763" t="str">
        <f>IFERROR(VLOOKUP(D763,'Team Data'!C:AB,4,FALSE),"")</f>
        <v/>
      </c>
      <c r="F763" t="str">
        <f>IFERROR(VLOOKUP(D763,'Team Data'!C:AB,5,FALSE),"")</f>
        <v/>
      </c>
      <c r="G763" t="str">
        <f>IFERROR(VLOOKUP('OB Format'!D763,'Team Data'!C:AB,17,FALSE),"")</f>
        <v/>
      </c>
      <c r="H763" t="str">
        <f>IFERROR(VLOOKUP(D763,'Team Data'!C:AB,7,FALSE),"")</f>
        <v/>
      </c>
      <c r="I763" t="str">
        <f>IFERROR(VLOOKUP(D763,'Team Data'!C:AB,14,FALSE),"")</f>
        <v/>
      </c>
      <c r="J763" t="str">
        <f>IFERROR(VLOOKUP(D763,'Team Data'!C:AB,8,FALSE),"")</f>
        <v/>
      </c>
      <c r="K763" t="str">
        <f>IFERROR(VLOOKUP(D763,'Team Data'!C:AB,9,FALSE),"")</f>
        <v/>
      </c>
      <c r="L763" t="str">
        <f>IFERROR(VLOOKUP(D763,'Team Data'!C:AB,10,FALSE),"")</f>
        <v/>
      </c>
      <c r="M763" t="str">
        <f t="shared" si="24"/>
        <v/>
      </c>
      <c r="N763" t="str">
        <f>IFERROR(VLOOKUP(D763,'Team Data'!C:AB,23,FALSE),"")</f>
        <v/>
      </c>
      <c r="O763" t="str">
        <f>IFERROR(VLOOKUP(D763,'Team Data'!C:AB,22,FALSE),"")</f>
        <v/>
      </c>
      <c r="P763" t="str">
        <f t="shared" si="25"/>
        <v/>
      </c>
      <c r="Q763" t="str">
        <f>IFERROR(VLOOKUP(D763,'Team Data'!C:AB,15,FALSE),"")</f>
        <v/>
      </c>
      <c r="R763" t="str">
        <f>IFERROR(VLOOKUP('OB Format'!D763,'Team Data'!C:AB,24,FALSE),"")</f>
        <v/>
      </c>
      <c r="S763" t="str">
        <f>IFERROR(VLOOKUP('OB Format'!D763,'Team Data'!C:AC,25,FALSE),"")</f>
        <v/>
      </c>
    </row>
    <row r="764" spans="5:19" x14ac:dyDescent="0.25">
      <c r="E764" t="str">
        <f>IFERROR(VLOOKUP(D764,'Team Data'!C:AB,4,FALSE),"")</f>
        <v/>
      </c>
      <c r="F764" t="str">
        <f>IFERROR(VLOOKUP(D764,'Team Data'!C:AB,5,FALSE),"")</f>
        <v/>
      </c>
      <c r="G764" t="str">
        <f>IFERROR(VLOOKUP('OB Format'!D764,'Team Data'!C:AB,17,FALSE),"")</f>
        <v/>
      </c>
      <c r="H764" t="str">
        <f>IFERROR(VLOOKUP(D764,'Team Data'!C:AB,7,FALSE),"")</f>
        <v/>
      </c>
      <c r="I764" t="str">
        <f>IFERROR(VLOOKUP(D764,'Team Data'!C:AB,14,FALSE),"")</f>
        <v/>
      </c>
      <c r="J764" t="str">
        <f>IFERROR(VLOOKUP(D764,'Team Data'!C:AB,8,FALSE),"")</f>
        <v/>
      </c>
      <c r="K764" t="str">
        <f>IFERROR(VLOOKUP(D764,'Team Data'!C:AB,9,FALSE),"")</f>
        <v/>
      </c>
      <c r="L764" t="str">
        <f>IFERROR(VLOOKUP(D764,'Team Data'!C:AB,10,FALSE),"")</f>
        <v/>
      </c>
      <c r="M764" t="str">
        <f t="shared" si="24"/>
        <v/>
      </c>
      <c r="N764" t="str">
        <f>IFERROR(VLOOKUP(D764,'Team Data'!C:AB,23,FALSE),"")</f>
        <v/>
      </c>
      <c r="O764" t="str">
        <f>IFERROR(VLOOKUP(D764,'Team Data'!C:AB,22,FALSE),"")</f>
        <v/>
      </c>
      <c r="P764" t="str">
        <f t="shared" si="25"/>
        <v/>
      </c>
      <c r="Q764" t="str">
        <f>IFERROR(VLOOKUP(D764,'Team Data'!C:AB,15,FALSE),"")</f>
        <v/>
      </c>
      <c r="R764" t="str">
        <f>IFERROR(VLOOKUP('OB Format'!D764,'Team Data'!C:AB,24,FALSE),"")</f>
        <v/>
      </c>
      <c r="S764" t="str">
        <f>IFERROR(VLOOKUP('OB Format'!D764,'Team Data'!C:AC,25,FALSE),"")</f>
        <v/>
      </c>
    </row>
    <row r="765" spans="5:19" x14ac:dyDescent="0.25">
      <c r="E765" t="str">
        <f>IFERROR(VLOOKUP(D765,'Team Data'!C:AB,4,FALSE),"")</f>
        <v/>
      </c>
      <c r="F765" t="str">
        <f>IFERROR(VLOOKUP(D765,'Team Data'!C:AB,5,FALSE),"")</f>
        <v/>
      </c>
      <c r="G765" t="str">
        <f>IFERROR(VLOOKUP('OB Format'!D765,'Team Data'!C:AB,17,FALSE),"")</f>
        <v/>
      </c>
      <c r="H765" t="str">
        <f>IFERROR(VLOOKUP(D765,'Team Data'!C:AB,7,FALSE),"")</f>
        <v/>
      </c>
      <c r="I765" t="str">
        <f>IFERROR(VLOOKUP(D765,'Team Data'!C:AB,14,FALSE),"")</f>
        <v/>
      </c>
      <c r="J765" t="str">
        <f>IFERROR(VLOOKUP(D765,'Team Data'!C:AB,8,FALSE),"")</f>
        <v/>
      </c>
      <c r="K765" t="str">
        <f>IFERROR(VLOOKUP(D765,'Team Data'!C:AB,9,FALSE),"")</f>
        <v/>
      </c>
      <c r="L765" t="str">
        <f>IFERROR(VLOOKUP(D765,'Team Data'!C:AB,10,FALSE),"")</f>
        <v/>
      </c>
      <c r="M765" t="str">
        <f t="shared" si="24"/>
        <v/>
      </c>
      <c r="N765" t="str">
        <f>IFERROR(VLOOKUP(D765,'Team Data'!C:AB,23,FALSE),"")</f>
        <v/>
      </c>
      <c r="O765" t="str">
        <f>IFERROR(VLOOKUP(D765,'Team Data'!C:AB,22,FALSE),"")</f>
        <v/>
      </c>
      <c r="P765" t="str">
        <f t="shared" si="25"/>
        <v/>
      </c>
      <c r="Q765" t="str">
        <f>IFERROR(VLOOKUP(D765,'Team Data'!C:AB,15,FALSE),"")</f>
        <v/>
      </c>
      <c r="R765" t="str">
        <f>IFERROR(VLOOKUP('OB Format'!D765,'Team Data'!C:AB,24,FALSE),"")</f>
        <v/>
      </c>
      <c r="S765" t="str">
        <f>IFERROR(VLOOKUP('OB Format'!D765,'Team Data'!C:AC,25,FALSE),"")</f>
        <v/>
      </c>
    </row>
    <row r="766" spans="5:19" x14ac:dyDescent="0.25">
      <c r="E766" t="str">
        <f>IFERROR(VLOOKUP(D766,'Team Data'!C:AB,4,FALSE),"")</f>
        <v/>
      </c>
      <c r="F766" t="str">
        <f>IFERROR(VLOOKUP(D766,'Team Data'!C:AB,5,FALSE),"")</f>
        <v/>
      </c>
      <c r="G766" t="str">
        <f>IFERROR(VLOOKUP('OB Format'!D766,'Team Data'!C:AB,17,FALSE),"")</f>
        <v/>
      </c>
      <c r="H766" t="str">
        <f>IFERROR(VLOOKUP(D766,'Team Data'!C:AB,7,FALSE),"")</f>
        <v/>
      </c>
      <c r="I766" t="str">
        <f>IFERROR(VLOOKUP(D766,'Team Data'!C:AB,14,FALSE),"")</f>
        <v/>
      </c>
      <c r="J766" t="str">
        <f>IFERROR(VLOOKUP(D766,'Team Data'!C:AB,8,FALSE),"")</f>
        <v/>
      </c>
      <c r="K766" t="str">
        <f>IFERROR(VLOOKUP(D766,'Team Data'!C:AB,9,FALSE),"")</f>
        <v/>
      </c>
      <c r="L766" t="str">
        <f>IFERROR(VLOOKUP(D766,'Team Data'!C:AB,10,FALSE),"")</f>
        <v/>
      </c>
      <c r="M766" t="str">
        <f t="shared" si="24"/>
        <v/>
      </c>
      <c r="N766" t="str">
        <f>IFERROR(VLOOKUP(D766,'Team Data'!C:AB,23,FALSE),"")</f>
        <v/>
      </c>
      <c r="O766" t="str">
        <f>IFERROR(VLOOKUP(D766,'Team Data'!C:AB,22,FALSE),"")</f>
        <v/>
      </c>
      <c r="P766" t="str">
        <f t="shared" si="25"/>
        <v/>
      </c>
      <c r="Q766" t="str">
        <f>IFERROR(VLOOKUP(D766,'Team Data'!C:AB,15,FALSE),"")</f>
        <v/>
      </c>
      <c r="R766" t="str">
        <f>IFERROR(VLOOKUP('OB Format'!D766,'Team Data'!C:AB,24,FALSE),"")</f>
        <v/>
      </c>
      <c r="S766" t="str">
        <f>IFERROR(VLOOKUP('OB Format'!D766,'Team Data'!C:AC,25,FALSE),"")</f>
        <v/>
      </c>
    </row>
    <row r="767" spans="5:19" x14ac:dyDescent="0.25">
      <c r="E767" t="str">
        <f>IFERROR(VLOOKUP(D767,'Team Data'!C:AB,4,FALSE),"")</f>
        <v/>
      </c>
      <c r="F767" t="str">
        <f>IFERROR(VLOOKUP(D767,'Team Data'!C:AB,5,FALSE),"")</f>
        <v/>
      </c>
      <c r="G767" t="str">
        <f>IFERROR(VLOOKUP('OB Format'!D767,'Team Data'!C:AB,17,FALSE),"")</f>
        <v/>
      </c>
      <c r="H767" t="str">
        <f>IFERROR(VLOOKUP(D767,'Team Data'!C:AB,7,FALSE),"")</f>
        <v/>
      </c>
      <c r="I767" t="str">
        <f>IFERROR(VLOOKUP(D767,'Team Data'!C:AB,14,FALSE),"")</f>
        <v/>
      </c>
      <c r="J767" t="str">
        <f>IFERROR(VLOOKUP(D767,'Team Data'!C:AB,8,FALSE),"")</f>
        <v/>
      </c>
      <c r="K767" t="str">
        <f>IFERROR(VLOOKUP(D767,'Team Data'!C:AB,9,FALSE),"")</f>
        <v/>
      </c>
      <c r="L767" t="str">
        <f>IFERROR(VLOOKUP(D767,'Team Data'!C:AB,10,FALSE),"")</f>
        <v/>
      </c>
      <c r="M767" t="str">
        <f t="shared" si="24"/>
        <v/>
      </c>
      <c r="N767" t="str">
        <f>IFERROR(VLOOKUP(D767,'Team Data'!C:AB,23,FALSE),"")</f>
        <v/>
      </c>
      <c r="O767" t="str">
        <f>IFERROR(VLOOKUP(D767,'Team Data'!C:AB,22,FALSE),"")</f>
        <v/>
      </c>
      <c r="P767" t="str">
        <f t="shared" si="25"/>
        <v/>
      </c>
      <c r="Q767" t="str">
        <f>IFERROR(VLOOKUP(D767,'Team Data'!C:AB,15,FALSE),"")</f>
        <v/>
      </c>
      <c r="R767" t="str">
        <f>IFERROR(VLOOKUP('OB Format'!D767,'Team Data'!C:AB,24,FALSE),"")</f>
        <v/>
      </c>
      <c r="S767" t="str">
        <f>IFERROR(VLOOKUP('OB Format'!D767,'Team Data'!C:AC,25,FALSE),"")</f>
        <v/>
      </c>
    </row>
    <row r="768" spans="5:19" x14ac:dyDescent="0.25">
      <c r="E768" t="str">
        <f>IFERROR(VLOOKUP(D768,'Team Data'!C:AB,4,FALSE),"")</f>
        <v/>
      </c>
      <c r="F768" t="str">
        <f>IFERROR(VLOOKUP(D768,'Team Data'!C:AB,5,FALSE),"")</f>
        <v/>
      </c>
      <c r="G768" t="str">
        <f>IFERROR(VLOOKUP('OB Format'!D768,'Team Data'!C:AB,17,FALSE),"")</f>
        <v/>
      </c>
      <c r="H768" t="str">
        <f>IFERROR(VLOOKUP(D768,'Team Data'!C:AB,7,FALSE),"")</f>
        <v/>
      </c>
      <c r="I768" t="str">
        <f>IFERROR(VLOOKUP(D768,'Team Data'!C:AB,14,FALSE),"")</f>
        <v/>
      </c>
      <c r="J768" t="str">
        <f>IFERROR(VLOOKUP(D768,'Team Data'!C:AB,8,FALSE),"")</f>
        <v/>
      </c>
      <c r="K768" t="str">
        <f>IFERROR(VLOOKUP(D768,'Team Data'!C:AB,9,FALSE),"")</f>
        <v/>
      </c>
      <c r="L768" t="str">
        <f>IFERROR(VLOOKUP(D768,'Team Data'!C:AB,10,FALSE),"")</f>
        <v/>
      </c>
      <c r="M768" t="str">
        <f t="shared" si="24"/>
        <v/>
      </c>
      <c r="N768" t="str">
        <f>IFERROR(VLOOKUP(D768,'Team Data'!C:AB,23,FALSE),"")</f>
        <v/>
      </c>
      <c r="O768" t="str">
        <f>IFERROR(VLOOKUP(D768,'Team Data'!C:AB,22,FALSE),"")</f>
        <v/>
      </c>
      <c r="P768" t="str">
        <f t="shared" si="25"/>
        <v/>
      </c>
      <c r="Q768" t="str">
        <f>IFERROR(VLOOKUP(D768,'Team Data'!C:AB,15,FALSE),"")</f>
        <v/>
      </c>
      <c r="R768" t="str">
        <f>IFERROR(VLOOKUP('OB Format'!D768,'Team Data'!C:AB,24,FALSE),"")</f>
        <v/>
      </c>
      <c r="S768" t="str">
        <f>IFERROR(VLOOKUP('OB Format'!D768,'Team Data'!C:AC,25,FALSE),"")</f>
        <v/>
      </c>
    </row>
    <row r="769" spans="5:19" x14ac:dyDescent="0.25">
      <c r="E769" t="str">
        <f>IFERROR(VLOOKUP(D769,'Team Data'!C:AB,4,FALSE),"")</f>
        <v/>
      </c>
      <c r="F769" t="str">
        <f>IFERROR(VLOOKUP(D769,'Team Data'!C:AB,5,FALSE),"")</f>
        <v/>
      </c>
      <c r="G769" t="str">
        <f>IFERROR(VLOOKUP('OB Format'!D769,'Team Data'!C:AB,17,FALSE),"")</f>
        <v/>
      </c>
      <c r="H769" t="str">
        <f>IFERROR(VLOOKUP(D769,'Team Data'!C:AB,7,FALSE),"")</f>
        <v/>
      </c>
      <c r="I769" t="str">
        <f>IFERROR(VLOOKUP(D769,'Team Data'!C:AB,14,FALSE),"")</f>
        <v/>
      </c>
      <c r="J769" t="str">
        <f>IFERROR(VLOOKUP(D769,'Team Data'!C:AB,8,FALSE),"")</f>
        <v/>
      </c>
      <c r="K769" t="str">
        <f>IFERROR(VLOOKUP(D769,'Team Data'!C:AB,9,FALSE),"")</f>
        <v/>
      </c>
      <c r="L769" t="str">
        <f>IFERROR(VLOOKUP(D769,'Team Data'!C:AB,10,FALSE),"")</f>
        <v/>
      </c>
      <c r="M769" t="str">
        <f t="shared" si="24"/>
        <v/>
      </c>
      <c r="N769" t="str">
        <f>IFERROR(VLOOKUP(D769,'Team Data'!C:AB,23,FALSE),"")</f>
        <v/>
      </c>
      <c r="O769" t="str">
        <f>IFERROR(VLOOKUP(D769,'Team Data'!C:AB,22,FALSE),"")</f>
        <v/>
      </c>
      <c r="P769" t="str">
        <f t="shared" si="25"/>
        <v/>
      </c>
      <c r="Q769" t="str">
        <f>IFERROR(VLOOKUP(D769,'Team Data'!C:AB,15,FALSE),"")</f>
        <v/>
      </c>
      <c r="R769" t="str">
        <f>IFERROR(VLOOKUP('OB Format'!D769,'Team Data'!C:AB,24,FALSE),"")</f>
        <v/>
      </c>
      <c r="S769" t="str">
        <f>IFERROR(VLOOKUP('OB Format'!D769,'Team Data'!C:AC,25,FALSE),"")</f>
        <v/>
      </c>
    </row>
    <row r="770" spans="5:19" x14ac:dyDescent="0.25">
      <c r="E770" t="str">
        <f>IFERROR(VLOOKUP(D770,'Team Data'!C:AB,4,FALSE),"")</f>
        <v/>
      </c>
      <c r="F770" t="str">
        <f>IFERROR(VLOOKUP(D770,'Team Data'!C:AB,5,FALSE),"")</f>
        <v/>
      </c>
      <c r="G770" t="str">
        <f>IFERROR(VLOOKUP('OB Format'!D770,'Team Data'!C:AB,17,FALSE),"")</f>
        <v/>
      </c>
      <c r="H770" t="str">
        <f>IFERROR(VLOOKUP(D770,'Team Data'!C:AB,7,FALSE),"")</f>
        <v/>
      </c>
      <c r="I770" t="str">
        <f>IFERROR(VLOOKUP(D770,'Team Data'!C:AB,14,FALSE),"")</f>
        <v/>
      </c>
      <c r="J770" t="str">
        <f>IFERROR(VLOOKUP(D770,'Team Data'!C:AB,8,FALSE),"")</f>
        <v/>
      </c>
      <c r="K770" t="str">
        <f>IFERROR(VLOOKUP(D770,'Team Data'!C:AB,9,FALSE),"")</f>
        <v/>
      </c>
      <c r="L770" t="str">
        <f>IFERROR(VLOOKUP(D770,'Team Data'!C:AB,10,FALSE),"")</f>
        <v/>
      </c>
      <c r="M770" t="str">
        <f t="shared" si="24"/>
        <v/>
      </c>
      <c r="N770" t="str">
        <f>IFERROR(VLOOKUP(D770,'Team Data'!C:AB,23,FALSE),"")</f>
        <v/>
      </c>
      <c r="O770" t="str">
        <f>IFERROR(VLOOKUP(D770,'Team Data'!C:AB,22,FALSE),"")</f>
        <v/>
      </c>
      <c r="P770" t="str">
        <f t="shared" si="25"/>
        <v/>
      </c>
      <c r="Q770" t="str">
        <f>IFERROR(VLOOKUP(D770,'Team Data'!C:AB,15,FALSE),"")</f>
        <v/>
      </c>
      <c r="R770" t="str">
        <f>IFERROR(VLOOKUP('OB Format'!D770,'Team Data'!C:AB,24,FALSE),"")</f>
        <v/>
      </c>
      <c r="S770" t="str">
        <f>IFERROR(VLOOKUP('OB Format'!D770,'Team Data'!C:AC,25,FALSE),"")</f>
        <v/>
      </c>
    </row>
    <row r="771" spans="5:19" x14ac:dyDescent="0.25">
      <c r="E771" t="str">
        <f>IFERROR(VLOOKUP(D771,'Team Data'!C:AB,4,FALSE),"")</f>
        <v/>
      </c>
      <c r="F771" t="str">
        <f>IFERROR(VLOOKUP(D771,'Team Data'!C:AB,5,FALSE),"")</f>
        <v/>
      </c>
      <c r="G771" t="str">
        <f>IFERROR(VLOOKUP('OB Format'!D771,'Team Data'!C:AB,17,FALSE),"")</f>
        <v/>
      </c>
      <c r="H771" t="str">
        <f>IFERROR(VLOOKUP(D771,'Team Data'!C:AB,7,FALSE),"")</f>
        <v/>
      </c>
      <c r="I771" t="str">
        <f>IFERROR(VLOOKUP(D771,'Team Data'!C:AB,14,FALSE),"")</f>
        <v/>
      </c>
      <c r="J771" t="str">
        <f>IFERROR(VLOOKUP(D771,'Team Data'!C:AB,8,FALSE),"")</f>
        <v/>
      </c>
      <c r="K771" t="str">
        <f>IFERROR(VLOOKUP(D771,'Team Data'!C:AB,9,FALSE),"")</f>
        <v/>
      </c>
      <c r="L771" t="str">
        <f>IFERROR(VLOOKUP(D771,'Team Data'!C:AB,10,FALSE),"")</f>
        <v/>
      </c>
      <c r="M771" t="str">
        <f t="shared" si="24"/>
        <v/>
      </c>
      <c r="N771" t="str">
        <f>IFERROR(VLOOKUP(D771,'Team Data'!C:AB,23,FALSE),"")</f>
        <v/>
      </c>
      <c r="O771" t="str">
        <f>IFERROR(VLOOKUP(D771,'Team Data'!C:AB,22,FALSE),"")</f>
        <v/>
      </c>
      <c r="P771" t="str">
        <f t="shared" si="25"/>
        <v/>
      </c>
      <c r="Q771" t="str">
        <f>IFERROR(VLOOKUP(D771,'Team Data'!C:AB,15,FALSE),"")</f>
        <v/>
      </c>
      <c r="R771" t="str">
        <f>IFERROR(VLOOKUP('OB Format'!D771,'Team Data'!C:AB,24,FALSE),"")</f>
        <v/>
      </c>
      <c r="S771" t="str">
        <f>IFERROR(VLOOKUP('OB Format'!D771,'Team Data'!C:AC,25,FALSE),"")</f>
        <v/>
      </c>
    </row>
    <row r="772" spans="5:19" x14ac:dyDescent="0.25">
      <c r="E772" t="str">
        <f>IFERROR(VLOOKUP(D772,'Team Data'!C:AB,4,FALSE),"")</f>
        <v/>
      </c>
      <c r="F772" t="str">
        <f>IFERROR(VLOOKUP(D772,'Team Data'!C:AB,5,FALSE),"")</f>
        <v/>
      </c>
      <c r="G772" t="str">
        <f>IFERROR(VLOOKUP('OB Format'!D772,'Team Data'!C:AB,17,FALSE),"")</f>
        <v/>
      </c>
      <c r="H772" t="str">
        <f>IFERROR(VLOOKUP(D772,'Team Data'!C:AB,7,FALSE),"")</f>
        <v/>
      </c>
      <c r="I772" t="str">
        <f>IFERROR(VLOOKUP(D772,'Team Data'!C:AB,14,FALSE),"")</f>
        <v/>
      </c>
      <c r="J772" t="str">
        <f>IFERROR(VLOOKUP(D772,'Team Data'!C:AB,8,FALSE),"")</f>
        <v/>
      </c>
      <c r="K772" t="str">
        <f>IFERROR(VLOOKUP(D772,'Team Data'!C:AB,9,FALSE),"")</f>
        <v/>
      </c>
      <c r="L772" t="str">
        <f>IFERROR(VLOOKUP(D772,'Team Data'!C:AB,10,FALSE),"")</f>
        <v/>
      </c>
      <c r="M772" t="str">
        <f t="shared" si="24"/>
        <v/>
      </c>
      <c r="N772" t="str">
        <f>IFERROR(VLOOKUP(D772,'Team Data'!C:AB,23,FALSE),"")</f>
        <v/>
      </c>
      <c r="O772" t="str">
        <f>IFERROR(VLOOKUP(D772,'Team Data'!C:AB,22,FALSE),"")</f>
        <v/>
      </c>
      <c r="P772" t="str">
        <f t="shared" si="25"/>
        <v/>
      </c>
      <c r="Q772" t="str">
        <f>IFERROR(VLOOKUP(D772,'Team Data'!C:AB,15,FALSE),"")</f>
        <v/>
      </c>
      <c r="R772" t="str">
        <f>IFERROR(VLOOKUP('OB Format'!D772,'Team Data'!C:AB,24,FALSE),"")</f>
        <v/>
      </c>
      <c r="S772" t="str">
        <f>IFERROR(VLOOKUP('OB Format'!D772,'Team Data'!C:AC,25,FALSE),"")</f>
        <v/>
      </c>
    </row>
    <row r="773" spans="5:19" x14ac:dyDescent="0.25">
      <c r="E773" t="str">
        <f>IFERROR(VLOOKUP(D773,'Team Data'!C:AB,4,FALSE),"")</f>
        <v/>
      </c>
      <c r="F773" t="str">
        <f>IFERROR(VLOOKUP(D773,'Team Data'!C:AB,5,FALSE),"")</f>
        <v/>
      </c>
      <c r="G773" t="str">
        <f>IFERROR(VLOOKUP('OB Format'!D773,'Team Data'!C:AB,17,FALSE),"")</f>
        <v/>
      </c>
      <c r="H773" t="str">
        <f>IFERROR(VLOOKUP(D773,'Team Data'!C:AB,7,FALSE),"")</f>
        <v/>
      </c>
      <c r="I773" t="str">
        <f>IFERROR(VLOOKUP(D773,'Team Data'!C:AB,14,FALSE),"")</f>
        <v/>
      </c>
      <c r="J773" t="str">
        <f>IFERROR(VLOOKUP(D773,'Team Data'!C:AB,8,FALSE),"")</f>
        <v/>
      </c>
      <c r="K773" t="str">
        <f>IFERROR(VLOOKUP(D773,'Team Data'!C:AB,9,FALSE),"")</f>
        <v/>
      </c>
      <c r="L773" t="str">
        <f>IFERROR(VLOOKUP(D773,'Team Data'!C:AB,10,FALSE),"")</f>
        <v/>
      </c>
      <c r="M773" t="str">
        <f t="shared" si="24"/>
        <v/>
      </c>
      <c r="N773" t="str">
        <f>IFERROR(VLOOKUP(D773,'Team Data'!C:AB,23,FALSE),"")</f>
        <v/>
      </c>
      <c r="O773" t="str">
        <f>IFERROR(VLOOKUP(D773,'Team Data'!C:AB,22,FALSE),"")</f>
        <v/>
      </c>
      <c r="P773" t="str">
        <f t="shared" si="25"/>
        <v/>
      </c>
      <c r="Q773" t="str">
        <f>IFERROR(VLOOKUP(D773,'Team Data'!C:AB,15,FALSE),"")</f>
        <v/>
      </c>
      <c r="R773" t="str">
        <f>IFERROR(VLOOKUP('OB Format'!D773,'Team Data'!C:AB,24,FALSE),"")</f>
        <v/>
      </c>
      <c r="S773" t="str">
        <f>IFERROR(VLOOKUP('OB Format'!D773,'Team Data'!C:AC,25,FALSE),"")</f>
        <v/>
      </c>
    </row>
    <row r="774" spans="5:19" x14ac:dyDescent="0.25">
      <c r="E774" t="str">
        <f>IFERROR(VLOOKUP(D774,'Team Data'!C:AB,4,FALSE),"")</f>
        <v/>
      </c>
      <c r="F774" t="str">
        <f>IFERROR(VLOOKUP(D774,'Team Data'!C:AB,5,FALSE),"")</f>
        <v/>
      </c>
      <c r="G774" t="str">
        <f>IFERROR(VLOOKUP('OB Format'!D774,'Team Data'!C:AB,17,FALSE),"")</f>
        <v/>
      </c>
      <c r="H774" t="str">
        <f>IFERROR(VLOOKUP(D774,'Team Data'!C:AB,7,FALSE),"")</f>
        <v/>
      </c>
      <c r="I774" t="str">
        <f>IFERROR(VLOOKUP(D774,'Team Data'!C:AB,14,FALSE),"")</f>
        <v/>
      </c>
      <c r="J774" t="str">
        <f>IFERROR(VLOOKUP(D774,'Team Data'!C:AB,8,FALSE),"")</f>
        <v/>
      </c>
      <c r="K774" t="str">
        <f>IFERROR(VLOOKUP(D774,'Team Data'!C:AB,9,FALSE),"")</f>
        <v/>
      </c>
      <c r="L774" t="str">
        <f>IFERROR(VLOOKUP(D774,'Team Data'!C:AB,10,FALSE),"")</f>
        <v/>
      </c>
      <c r="M774" t="str">
        <f t="shared" si="24"/>
        <v/>
      </c>
      <c r="N774" t="str">
        <f>IFERROR(VLOOKUP(D774,'Team Data'!C:AB,23,FALSE),"")</f>
        <v/>
      </c>
      <c r="O774" t="str">
        <f>IFERROR(VLOOKUP(D774,'Team Data'!C:AB,22,FALSE),"")</f>
        <v/>
      </c>
      <c r="P774" t="str">
        <f t="shared" si="25"/>
        <v/>
      </c>
      <c r="Q774" t="str">
        <f>IFERROR(VLOOKUP(D774,'Team Data'!C:AB,15,FALSE),"")</f>
        <v/>
      </c>
      <c r="R774" t="str">
        <f>IFERROR(VLOOKUP('OB Format'!D774,'Team Data'!C:AB,24,FALSE),"")</f>
        <v/>
      </c>
      <c r="S774" t="str">
        <f>IFERROR(VLOOKUP('OB Format'!D774,'Team Data'!C:AC,25,FALSE),"")</f>
        <v/>
      </c>
    </row>
    <row r="775" spans="5:19" x14ac:dyDescent="0.25">
      <c r="E775" t="str">
        <f>IFERROR(VLOOKUP(D775,'Team Data'!C:AB,4,FALSE),"")</f>
        <v/>
      </c>
      <c r="F775" t="str">
        <f>IFERROR(VLOOKUP(D775,'Team Data'!C:AB,5,FALSE),"")</f>
        <v/>
      </c>
      <c r="G775" t="str">
        <f>IFERROR(VLOOKUP('OB Format'!D775,'Team Data'!C:AB,17,FALSE),"")</f>
        <v/>
      </c>
      <c r="H775" t="str">
        <f>IFERROR(VLOOKUP(D775,'Team Data'!C:AB,7,FALSE),"")</f>
        <v/>
      </c>
      <c r="I775" t="str">
        <f>IFERROR(VLOOKUP(D775,'Team Data'!C:AB,14,FALSE),"")</f>
        <v/>
      </c>
      <c r="J775" t="str">
        <f>IFERROR(VLOOKUP(D775,'Team Data'!C:AB,8,FALSE),"")</f>
        <v/>
      </c>
      <c r="K775" t="str">
        <f>IFERROR(VLOOKUP(D775,'Team Data'!C:AB,9,FALSE),"")</f>
        <v/>
      </c>
      <c r="L775" t="str">
        <f>IFERROR(VLOOKUP(D775,'Team Data'!C:AB,10,FALSE),"")</f>
        <v/>
      </c>
      <c r="M775" t="str">
        <f t="shared" si="24"/>
        <v/>
      </c>
      <c r="N775" t="str">
        <f>IFERROR(VLOOKUP(D775,'Team Data'!C:AB,23,FALSE),"")</f>
        <v/>
      </c>
      <c r="O775" t="str">
        <f>IFERROR(VLOOKUP(D775,'Team Data'!C:AB,22,FALSE),"")</f>
        <v/>
      </c>
      <c r="P775" t="str">
        <f t="shared" si="25"/>
        <v/>
      </c>
      <c r="Q775" t="str">
        <f>IFERROR(VLOOKUP(D775,'Team Data'!C:AB,15,FALSE),"")</f>
        <v/>
      </c>
      <c r="R775" t="str">
        <f>IFERROR(VLOOKUP('OB Format'!D775,'Team Data'!C:AB,24,FALSE),"")</f>
        <v/>
      </c>
      <c r="S775" t="str">
        <f>IFERROR(VLOOKUP('OB Format'!D775,'Team Data'!C:AC,25,FALSE),"")</f>
        <v/>
      </c>
    </row>
    <row r="776" spans="5:19" x14ac:dyDescent="0.25">
      <c r="E776" t="str">
        <f>IFERROR(VLOOKUP(D776,'Team Data'!C:AB,4,FALSE),"")</f>
        <v/>
      </c>
      <c r="F776" t="str">
        <f>IFERROR(VLOOKUP(D776,'Team Data'!C:AB,5,FALSE),"")</f>
        <v/>
      </c>
      <c r="G776" t="str">
        <f>IFERROR(VLOOKUP('OB Format'!D776,'Team Data'!C:AB,17,FALSE),"")</f>
        <v/>
      </c>
      <c r="H776" t="str">
        <f>IFERROR(VLOOKUP(D776,'Team Data'!C:AB,7,FALSE),"")</f>
        <v/>
      </c>
      <c r="I776" t="str">
        <f>IFERROR(VLOOKUP(D776,'Team Data'!C:AB,14,FALSE),"")</f>
        <v/>
      </c>
      <c r="J776" t="str">
        <f>IFERROR(VLOOKUP(D776,'Team Data'!C:AB,8,FALSE),"")</f>
        <v/>
      </c>
      <c r="K776" t="str">
        <f>IFERROR(VLOOKUP(D776,'Team Data'!C:AB,9,FALSE),"")</f>
        <v/>
      </c>
      <c r="L776" t="str">
        <f>IFERROR(VLOOKUP(D776,'Team Data'!C:AB,10,FALSE),"")</f>
        <v/>
      </c>
      <c r="M776" t="str">
        <f t="shared" si="24"/>
        <v/>
      </c>
      <c r="N776" t="str">
        <f>IFERROR(VLOOKUP(D776,'Team Data'!C:AB,23,FALSE),"")</f>
        <v/>
      </c>
      <c r="O776" t="str">
        <f>IFERROR(VLOOKUP(D776,'Team Data'!C:AB,22,FALSE),"")</f>
        <v/>
      </c>
      <c r="P776" t="str">
        <f t="shared" si="25"/>
        <v/>
      </c>
      <c r="Q776" t="str">
        <f>IFERROR(VLOOKUP(D776,'Team Data'!C:AB,15,FALSE),"")</f>
        <v/>
      </c>
      <c r="R776" t="str">
        <f>IFERROR(VLOOKUP('OB Format'!D776,'Team Data'!C:AB,24,FALSE),"")</f>
        <v/>
      </c>
      <c r="S776" t="str">
        <f>IFERROR(VLOOKUP('OB Format'!D776,'Team Data'!C:AC,25,FALSE),"")</f>
        <v/>
      </c>
    </row>
    <row r="777" spans="5:19" x14ac:dyDescent="0.25">
      <c r="E777" t="str">
        <f>IFERROR(VLOOKUP(D777,'Team Data'!C:AB,4,FALSE),"")</f>
        <v/>
      </c>
      <c r="F777" t="str">
        <f>IFERROR(VLOOKUP(D777,'Team Data'!C:AB,5,FALSE),"")</f>
        <v/>
      </c>
      <c r="G777" t="str">
        <f>IFERROR(VLOOKUP('OB Format'!D777,'Team Data'!C:AB,17,FALSE),"")</f>
        <v/>
      </c>
      <c r="H777" t="str">
        <f>IFERROR(VLOOKUP(D777,'Team Data'!C:AB,7,FALSE),"")</f>
        <v/>
      </c>
      <c r="I777" t="str">
        <f>IFERROR(VLOOKUP(D777,'Team Data'!C:AB,14,FALSE),"")</f>
        <v/>
      </c>
      <c r="J777" t="str">
        <f>IFERROR(VLOOKUP(D777,'Team Data'!C:AB,8,FALSE),"")</f>
        <v/>
      </c>
      <c r="K777" t="str">
        <f>IFERROR(VLOOKUP(D777,'Team Data'!C:AB,9,FALSE),"")</f>
        <v/>
      </c>
      <c r="L777" t="str">
        <f>IFERROR(VLOOKUP(D777,'Team Data'!C:AB,10,FALSE),"")</f>
        <v/>
      </c>
      <c r="M777" t="str">
        <f t="shared" si="24"/>
        <v/>
      </c>
      <c r="N777" t="str">
        <f>IFERROR(VLOOKUP(D777,'Team Data'!C:AB,23,FALSE),"")</f>
        <v/>
      </c>
      <c r="O777" t="str">
        <f>IFERROR(VLOOKUP(D777,'Team Data'!C:AB,22,FALSE),"")</f>
        <v/>
      </c>
      <c r="P777" t="str">
        <f t="shared" si="25"/>
        <v/>
      </c>
      <c r="Q777" t="str">
        <f>IFERROR(VLOOKUP(D777,'Team Data'!C:AB,15,FALSE),"")</f>
        <v/>
      </c>
      <c r="R777" t="str">
        <f>IFERROR(VLOOKUP('OB Format'!D777,'Team Data'!C:AB,24,FALSE),"")</f>
        <v/>
      </c>
      <c r="S777" t="str">
        <f>IFERROR(VLOOKUP('OB Format'!D777,'Team Data'!C:AC,25,FALSE),"")</f>
        <v/>
      </c>
    </row>
    <row r="778" spans="5:19" x14ac:dyDescent="0.25">
      <c r="E778" t="str">
        <f>IFERROR(VLOOKUP(D778,'Team Data'!C:AB,4,FALSE),"")</f>
        <v/>
      </c>
      <c r="F778" t="str">
        <f>IFERROR(VLOOKUP(D778,'Team Data'!C:AB,5,FALSE),"")</f>
        <v/>
      </c>
      <c r="G778" t="str">
        <f>IFERROR(VLOOKUP('OB Format'!D778,'Team Data'!C:AB,17,FALSE),"")</f>
        <v/>
      </c>
      <c r="H778" t="str">
        <f>IFERROR(VLOOKUP(D778,'Team Data'!C:AB,7,FALSE),"")</f>
        <v/>
      </c>
      <c r="I778" t="str">
        <f>IFERROR(VLOOKUP(D778,'Team Data'!C:AB,14,FALSE),"")</f>
        <v/>
      </c>
      <c r="J778" t="str">
        <f>IFERROR(VLOOKUP(D778,'Team Data'!C:AB,8,FALSE),"")</f>
        <v/>
      </c>
      <c r="K778" t="str">
        <f>IFERROR(VLOOKUP(D778,'Team Data'!C:AB,9,FALSE),"")</f>
        <v/>
      </c>
      <c r="L778" t="str">
        <f>IFERROR(VLOOKUP(D778,'Team Data'!C:AB,10,FALSE),"")</f>
        <v/>
      </c>
      <c r="M778" t="str">
        <f t="shared" si="24"/>
        <v/>
      </c>
      <c r="N778" t="str">
        <f>IFERROR(VLOOKUP(D778,'Team Data'!C:AB,23,FALSE),"")</f>
        <v/>
      </c>
      <c r="O778" t="str">
        <f>IFERROR(VLOOKUP(D778,'Team Data'!C:AB,22,FALSE),"")</f>
        <v/>
      </c>
      <c r="P778" t="str">
        <f t="shared" si="25"/>
        <v/>
      </c>
      <c r="Q778" t="str">
        <f>IFERROR(VLOOKUP(D778,'Team Data'!C:AB,15,FALSE),"")</f>
        <v/>
      </c>
      <c r="R778" t="str">
        <f>IFERROR(VLOOKUP('OB Format'!D778,'Team Data'!C:AB,24,FALSE),"")</f>
        <v/>
      </c>
      <c r="S778" t="str">
        <f>IFERROR(VLOOKUP('OB Format'!D778,'Team Data'!C:AC,25,FALSE),"")</f>
        <v/>
      </c>
    </row>
    <row r="779" spans="5:19" x14ac:dyDescent="0.25">
      <c r="E779" t="str">
        <f>IFERROR(VLOOKUP(D779,'Team Data'!C:AB,4,FALSE),"")</f>
        <v/>
      </c>
      <c r="F779" t="str">
        <f>IFERROR(VLOOKUP(D779,'Team Data'!C:AB,5,FALSE),"")</f>
        <v/>
      </c>
      <c r="G779" t="str">
        <f>IFERROR(VLOOKUP('OB Format'!D779,'Team Data'!C:AB,17,FALSE),"")</f>
        <v/>
      </c>
      <c r="H779" t="str">
        <f>IFERROR(VLOOKUP(D779,'Team Data'!C:AB,7,FALSE),"")</f>
        <v/>
      </c>
      <c r="I779" t="str">
        <f>IFERROR(VLOOKUP(D779,'Team Data'!C:AB,14,FALSE),"")</f>
        <v/>
      </c>
      <c r="J779" t="str">
        <f>IFERROR(VLOOKUP(D779,'Team Data'!C:AB,8,FALSE),"")</f>
        <v/>
      </c>
      <c r="K779" t="str">
        <f>IFERROR(VLOOKUP(D779,'Team Data'!C:AB,9,FALSE),"")</f>
        <v/>
      </c>
      <c r="L779" t="str">
        <f>IFERROR(VLOOKUP(D779,'Team Data'!C:AB,10,FALSE),"")</f>
        <v/>
      </c>
      <c r="M779" t="str">
        <f t="shared" si="24"/>
        <v/>
      </c>
      <c r="N779" t="str">
        <f>IFERROR(VLOOKUP(D779,'Team Data'!C:AB,23,FALSE),"")</f>
        <v/>
      </c>
      <c r="O779" t="str">
        <f>IFERROR(VLOOKUP(D779,'Team Data'!C:AB,22,FALSE),"")</f>
        <v/>
      </c>
      <c r="P779" t="str">
        <f t="shared" si="25"/>
        <v/>
      </c>
      <c r="Q779" t="str">
        <f>IFERROR(VLOOKUP(D779,'Team Data'!C:AB,15,FALSE),"")</f>
        <v/>
      </c>
      <c r="R779" t="str">
        <f>IFERROR(VLOOKUP('OB Format'!D779,'Team Data'!C:AB,24,FALSE),"")</f>
        <v/>
      </c>
      <c r="S779" t="str">
        <f>IFERROR(VLOOKUP('OB Format'!D779,'Team Data'!C:AC,25,FALSE),"")</f>
        <v/>
      </c>
    </row>
    <row r="780" spans="5:19" x14ac:dyDescent="0.25">
      <c r="E780" t="str">
        <f>IFERROR(VLOOKUP(D780,'Team Data'!C:AB,4,FALSE),"")</f>
        <v/>
      </c>
      <c r="F780" t="str">
        <f>IFERROR(VLOOKUP(D780,'Team Data'!C:AB,5,FALSE),"")</f>
        <v/>
      </c>
      <c r="G780" t="str">
        <f>IFERROR(VLOOKUP('OB Format'!D780,'Team Data'!C:AB,17,FALSE),"")</f>
        <v/>
      </c>
      <c r="H780" t="str">
        <f>IFERROR(VLOOKUP(D780,'Team Data'!C:AB,7,FALSE),"")</f>
        <v/>
      </c>
      <c r="I780" t="str">
        <f>IFERROR(VLOOKUP(D780,'Team Data'!C:AB,14,FALSE),"")</f>
        <v/>
      </c>
      <c r="J780" t="str">
        <f>IFERROR(VLOOKUP(D780,'Team Data'!C:AB,8,FALSE),"")</f>
        <v/>
      </c>
      <c r="K780" t="str">
        <f>IFERROR(VLOOKUP(D780,'Team Data'!C:AB,9,FALSE),"")</f>
        <v/>
      </c>
      <c r="L780" t="str">
        <f>IFERROR(VLOOKUP(D780,'Team Data'!C:AB,10,FALSE),"")</f>
        <v/>
      </c>
      <c r="M780" t="str">
        <f t="shared" si="24"/>
        <v/>
      </c>
      <c r="N780" t="str">
        <f>IFERROR(VLOOKUP(D780,'Team Data'!C:AB,23,FALSE),"")</f>
        <v/>
      </c>
      <c r="O780" t="str">
        <f>IFERROR(VLOOKUP(D780,'Team Data'!C:AB,22,FALSE),"")</f>
        <v/>
      </c>
      <c r="P780" t="str">
        <f t="shared" si="25"/>
        <v/>
      </c>
      <c r="Q780" t="str">
        <f>IFERROR(VLOOKUP(D780,'Team Data'!C:AB,15,FALSE),"")</f>
        <v/>
      </c>
      <c r="R780" t="str">
        <f>IFERROR(VLOOKUP('OB Format'!D780,'Team Data'!C:AB,24,FALSE),"")</f>
        <v/>
      </c>
      <c r="S780" t="str">
        <f>IFERROR(VLOOKUP('OB Format'!D780,'Team Data'!C:AC,25,FALSE),"")</f>
        <v/>
      </c>
    </row>
    <row r="781" spans="5:19" x14ac:dyDescent="0.25">
      <c r="E781" t="str">
        <f>IFERROR(VLOOKUP(D781,'Team Data'!C:AB,4,FALSE),"")</f>
        <v/>
      </c>
      <c r="F781" t="str">
        <f>IFERROR(VLOOKUP(D781,'Team Data'!C:AB,5,FALSE),"")</f>
        <v/>
      </c>
      <c r="G781" t="str">
        <f>IFERROR(VLOOKUP('OB Format'!D781,'Team Data'!C:AB,17,FALSE),"")</f>
        <v/>
      </c>
      <c r="H781" t="str">
        <f>IFERROR(VLOOKUP(D781,'Team Data'!C:AB,7,FALSE),"")</f>
        <v/>
      </c>
      <c r="I781" t="str">
        <f>IFERROR(VLOOKUP(D781,'Team Data'!C:AB,14,FALSE),"")</f>
        <v/>
      </c>
      <c r="J781" t="str">
        <f>IFERROR(VLOOKUP(D781,'Team Data'!C:AB,8,FALSE),"")</f>
        <v/>
      </c>
      <c r="K781" t="str">
        <f>IFERROR(VLOOKUP(D781,'Team Data'!C:AB,9,FALSE),"")</f>
        <v/>
      </c>
      <c r="L781" t="str">
        <f>IFERROR(VLOOKUP(D781,'Team Data'!C:AB,10,FALSE),"")</f>
        <v/>
      </c>
      <c r="M781" t="str">
        <f t="shared" ref="M781:M844" si="26">IFERROR(H781-(J781+L781+K781),"")</f>
        <v/>
      </c>
      <c r="N781" t="str">
        <f>IFERROR(VLOOKUP(D781,'Team Data'!C:AB,23,FALSE),"")</f>
        <v/>
      </c>
      <c r="O781" t="str">
        <f>IFERROR(VLOOKUP(D781,'Team Data'!C:AB,22,FALSE),"")</f>
        <v/>
      </c>
      <c r="P781" t="str">
        <f t="shared" ref="P781:P844" si="27">IFERROR(E781-(H781+N781+Q781+I781+O781),"")</f>
        <v/>
      </c>
      <c r="Q781" t="str">
        <f>IFERROR(VLOOKUP(D781,'Team Data'!C:AB,15,FALSE),"")</f>
        <v/>
      </c>
      <c r="R781" t="str">
        <f>IFERROR(VLOOKUP('OB Format'!D781,'Team Data'!C:AB,24,FALSE),"")</f>
        <v/>
      </c>
      <c r="S781" t="str">
        <f>IFERROR(VLOOKUP('OB Format'!D781,'Team Data'!C:AC,25,FALSE),"")</f>
        <v/>
      </c>
    </row>
    <row r="782" spans="5:19" x14ac:dyDescent="0.25">
      <c r="E782" t="str">
        <f>IFERROR(VLOOKUP(D782,'Team Data'!C:AB,4,FALSE),"")</f>
        <v/>
      </c>
      <c r="F782" t="str">
        <f>IFERROR(VLOOKUP(D782,'Team Data'!C:AB,5,FALSE),"")</f>
        <v/>
      </c>
      <c r="G782" t="str">
        <f>IFERROR(VLOOKUP('OB Format'!D782,'Team Data'!C:AB,17,FALSE),"")</f>
        <v/>
      </c>
      <c r="H782" t="str">
        <f>IFERROR(VLOOKUP(D782,'Team Data'!C:AB,7,FALSE),"")</f>
        <v/>
      </c>
      <c r="I782" t="str">
        <f>IFERROR(VLOOKUP(D782,'Team Data'!C:AB,14,FALSE),"")</f>
        <v/>
      </c>
      <c r="J782" t="str">
        <f>IFERROR(VLOOKUP(D782,'Team Data'!C:AB,8,FALSE),"")</f>
        <v/>
      </c>
      <c r="K782" t="str">
        <f>IFERROR(VLOOKUP(D782,'Team Data'!C:AB,9,FALSE),"")</f>
        <v/>
      </c>
      <c r="L782" t="str">
        <f>IFERROR(VLOOKUP(D782,'Team Data'!C:AB,10,FALSE),"")</f>
        <v/>
      </c>
      <c r="M782" t="str">
        <f t="shared" si="26"/>
        <v/>
      </c>
      <c r="N782" t="str">
        <f>IFERROR(VLOOKUP(D782,'Team Data'!C:AB,23,FALSE),"")</f>
        <v/>
      </c>
      <c r="O782" t="str">
        <f>IFERROR(VLOOKUP(D782,'Team Data'!C:AB,22,FALSE),"")</f>
        <v/>
      </c>
      <c r="P782" t="str">
        <f t="shared" si="27"/>
        <v/>
      </c>
      <c r="Q782" t="str">
        <f>IFERROR(VLOOKUP(D782,'Team Data'!C:AB,15,FALSE),"")</f>
        <v/>
      </c>
      <c r="R782" t="str">
        <f>IFERROR(VLOOKUP('OB Format'!D782,'Team Data'!C:AB,24,FALSE),"")</f>
        <v/>
      </c>
      <c r="S782" t="str">
        <f>IFERROR(VLOOKUP('OB Format'!D782,'Team Data'!C:AC,25,FALSE),"")</f>
        <v/>
      </c>
    </row>
    <row r="783" spans="5:19" x14ac:dyDescent="0.25">
      <c r="E783" t="str">
        <f>IFERROR(VLOOKUP(D783,'Team Data'!C:AB,4,FALSE),"")</f>
        <v/>
      </c>
      <c r="F783" t="str">
        <f>IFERROR(VLOOKUP(D783,'Team Data'!C:AB,5,FALSE),"")</f>
        <v/>
      </c>
      <c r="G783" t="str">
        <f>IFERROR(VLOOKUP('OB Format'!D783,'Team Data'!C:AB,17,FALSE),"")</f>
        <v/>
      </c>
      <c r="H783" t="str">
        <f>IFERROR(VLOOKUP(D783,'Team Data'!C:AB,7,FALSE),"")</f>
        <v/>
      </c>
      <c r="I783" t="str">
        <f>IFERROR(VLOOKUP(D783,'Team Data'!C:AB,14,FALSE),"")</f>
        <v/>
      </c>
      <c r="J783" t="str">
        <f>IFERROR(VLOOKUP(D783,'Team Data'!C:AB,8,FALSE),"")</f>
        <v/>
      </c>
      <c r="K783" t="str">
        <f>IFERROR(VLOOKUP(D783,'Team Data'!C:AB,9,FALSE),"")</f>
        <v/>
      </c>
      <c r="L783" t="str">
        <f>IFERROR(VLOOKUP(D783,'Team Data'!C:AB,10,FALSE),"")</f>
        <v/>
      </c>
      <c r="M783" t="str">
        <f t="shared" si="26"/>
        <v/>
      </c>
      <c r="N783" t="str">
        <f>IFERROR(VLOOKUP(D783,'Team Data'!C:AB,23,FALSE),"")</f>
        <v/>
      </c>
      <c r="O783" t="str">
        <f>IFERROR(VLOOKUP(D783,'Team Data'!C:AB,22,FALSE),"")</f>
        <v/>
      </c>
      <c r="P783" t="str">
        <f t="shared" si="27"/>
        <v/>
      </c>
      <c r="Q783" t="str">
        <f>IFERROR(VLOOKUP(D783,'Team Data'!C:AB,15,FALSE),"")</f>
        <v/>
      </c>
      <c r="R783" t="str">
        <f>IFERROR(VLOOKUP('OB Format'!D783,'Team Data'!C:AB,24,FALSE),"")</f>
        <v/>
      </c>
      <c r="S783" t="str">
        <f>IFERROR(VLOOKUP('OB Format'!D783,'Team Data'!C:AC,25,FALSE),"")</f>
        <v/>
      </c>
    </row>
    <row r="784" spans="5:19" x14ac:dyDescent="0.25">
      <c r="E784" t="str">
        <f>IFERROR(VLOOKUP(D784,'Team Data'!C:AB,4,FALSE),"")</f>
        <v/>
      </c>
      <c r="F784" t="str">
        <f>IFERROR(VLOOKUP(D784,'Team Data'!C:AB,5,FALSE),"")</f>
        <v/>
      </c>
      <c r="G784" t="str">
        <f>IFERROR(VLOOKUP('OB Format'!D784,'Team Data'!C:AB,17,FALSE),"")</f>
        <v/>
      </c>
      <c r="H784" t="str">
        <f>IFERROR(VLOOKUP(D784,'Team Data'!C:AB,7,FALSE),"")</f>
        <v/>
      </c>
      <c r="I784" t="str">
        <f>IFERROR(VLOOKUP(D784,'Team Data'!C:AB,14,FALSE),"")</f>
        <v/>
      </c>
      <c r="J784" t="str">
        <f>IFERROR(VLOOKUP(D784,'Team Data'!C:AB,8,FALSE),"")</f>
        <v/>
      </c>
      <c r="K784" t="str">
        <f>IFERROR(VLOOKUP(D784,'Team Data'!C:AB,9,FALSE),"")</f>
        <v/>
      </c>
      <c r="L784" t="str">
        <f>IFERROR(VLOOKUP(D784,'Team Data'!C:AB,10,FALSE),"")</f>
        <v/>
      </c>
      <c r="M784" t="str">
        <f t="shared" si="26"/>
        <v/>
      </c>
      <c r="N784" t="str">
        <f>IFERROR(VLOOKUP(D784,'Team Data'!C:AB,23,FALSE),"")</f>
        <v/>
      </c>
      <c r="O784" t="str">
        <f>IFERROR(VLOOKUP(D784,'Team Data'!C:AB,22,FALSE),"")</f>
        <v/>
      </c>
      <c r="P784" t="str">
        <f t="shared" si="27"/>
        <v/>
      </c>
      <c r="Q784" t="str">
        <f>IFERROR(VLOOKUP(D784,'Team Data'!C:AB,15,FALSE),"")</f>
        <v/>
      </c>
      <c r="R784" t="str">
        <f>IFERROR(VLOOKUP('OB Format'!D784,'Team Data'!C:AB,24,FALSE),"")</f>
        <v/>
      </c>
      <c r="S784" t="str">
        <f>IFERROR(VLOOKUP('OB Format'!D784,'Team Data'!C:AC,25,FALSE),"")</f>
        <v/>
      </c>
    </row>
    <row r="785" spans="5:19" x14ac:dyDescent="0.25">
      <c r="E785" t="str">
        <f>IFERROR(VLOOKUP(D785,'Team Data'!C:AB,4,FALSE),"")</f>
        <v/>
      </c>
      <c r="F785" t="str">
        <f>IFERROR(VLOOKUP(D785,'Team Data'!C:AB,5,FALSE),"")</f>
        <v/>
      </c>
      <c r="G785" t="str">
        <f>IFERROR(VLOOKUP('OB Format'!D785,'Team Data'!C:AB,17,FALSE),"")</f>
        <v/>
      </c>
      <c r="H785" t="str">
        <f>IFERROR(VLOOKUP(D785,'Team Data'!C:AB,7,FALSE),"")</f>
        <v/>
      </c>
      <c r="I785" t="str">
        <f>IFERROR(VLOOKUP(D785,'Team Data'!C:AB,14,FALSE),"")</f>
        <v/>
      </c>
      <c r="J785" t="str">
        <f>IFERROR(VLOOKUP(D785,'Team Data'!C:AB,8,FALSE),"")</f>
        <v/>
      </c>
      <c r="K785" t="str">
        <f>IFERROR(VLOOKUP(D785,'Team Data'!C:AB,9,FALSE),"")</f>
        <v/>
      </c>
      <c r="L785" t="str">
        <f>IFERROR(VLOOKUP(D785,'Team Data'!C:AB,10,FALSE),"")</f>
        <v/>
      </c>
      <c r="M785" t="str">
        <f t="shared" si="26"/>
        <v/>
      </c>
      <c r="N785" t="str">
        <f>IFERROR(VLOOKUP(D785,'Team Data'!C:AB,23,FALSE),"")</f>
        <v/>
      </c>
      <c r="O785" t="str">
        <f>IFERROR(VLOOKUP(D785,'Team Data'!C:AB,22,FALSE),"")</f>
        <v/>
      </c>
      <c r="P785" t="str">
        <f t="shared" si="27"/>
        <v/>
      </c>
      <c r="Q785" t="str">
        <f>IFERROR(VLOOKUP(D785,'Team Data'!C:AB,15,FALSE),"")</f>
        <v/>
      </c>
      <c r="R785" t="str">
        <f>IFERROR(VLOOKUP('OB Format'!D785,'Team Data'!C:AB,24,FALSE),"")</f>
        <v/>
      </c>
      <c r="S785" t="str">
        <f>IFERROR(VLOOKUP('OB Format'!D785,'Team Data'!C:AC,25,FALSE),"")</f>
        <v/>
      </c>
    </row>
    <row r="786" spans="5:19" x14ac:dyDescent="0.25">
      <c r="E786" t="str">
        <f>IFERROR(VLOOKUP(D786,'Team Data'!C:AB,4,FALSE),"")</f>
        <v/>
      </c>
      <c r="F786" t="str">
        <f>IFERROR(VLOOKUP(D786,'Team Data'!C:AB,5,FALSE),"")</f>
        <v/>
      </c>
      <c r="G786" t="str">
        <f>IFERROR(VLOOKUP('OB Format'!D786,'Team Data'!C:AB,17,FALSE),"")</f>
        <v/>
      </c>
      <c r="H786" t="str">
        <f>IFERROR(VLOOKUP(D786,'Team Data'!C:AB,7,FALSE),"")</f>
        <v/>
      </c>
      <c r="I786" t="str">
        <f>IFERROR(VLOOKUP(D786,'Team Data'!C:AB,14,FALSE),"")</f>
        <v/>
      </c>
      <c r="J786" t="str">
        <f>IFERROR(VLOOKUP(D786,'Team Data'!C:AB,8,FALSE),"")</f>
        <v/>
      </c>
      <c r="K786" t="str">
        <f>IFERROR(VLOOKUP(D786,'Team Data'!C:AB,9,FALSE),"")</f>
        <v/>
      </c>
      <c r="L786" t="str">
        <f>IFERROR(VLOOKUP(D786,'Team Data'!C:AB,10,FALSE),"")</f>
        <v/>
      </c>
      <c r="M786" t="str">
        <f t="shared" si="26"/>
        <v/>
      </c>
      <c r="N786" t="str">
        <f>IFERROR(VLOOKUP(D786,'Team Data'!C:AB,23,FALSE),"")</f>
        <v/>
      </c>
      <c r="O786" t="str">
        <f>IFERROR(VLOOKUP(D786,'Team Data'!C:AB,22,FALSE),"")</f>
        <v/>
      </c>
      <c r="P786" t="str">
        <f t="shared" si="27"/>
        <v/>
      </c>
      <c r="Q786" t="str">
        <f>IFERROR(VLOOKUP(D786,'Team Data'!C:AB,15,FALSE),"")</f>
        <v/>
      </c>
      <c r="R786" t="str">
        <f>IFERROR(VLOOKUP('OB Format'!D786,'Team Data'!C:AB,24,FALSE),"")</f>
        <v/>
      </c>
      <c r="S786" t="str">
        <f>IFERROR(VLOOKUP('OB Format'!D786,'Team Data'!C:AC,25,FALSE),"")</f>
        <v/>
      </c>
    </row>
    <row r="787" spans="5:19" x14ac:dyDescent="0.25">
      <c r="E787" t="str">
        <f>IFERROR(VLOOKUP(D787,'Team Data'!C:AB,4,FALSE),"")</f>
        <v/>
      </c>
      <c r="F787" t="str">
        <f>IFERROR(VLOOKUP(D787,'Team Data'!C:AB,5,FALSE),"")</f>
        <v/>
      </c>
      <c r="G787" t="str">
        <f>IFERROR(VLOOKUP('OB Format'!D787,'Team Data'!C:AB,17,FALSE),"")</f>
        <v/>
      </c>
      <c r="H787" t="str">
        <f>IFERROR(VLOOKUP(D787,'Team Data'!C:AB,7,FALSE),"")</f>
        <v/>
      </c>
      <c r="I787" t="str">
        <f>IFERROR(VLOOKUP(D787,'Team Data'!C:AB,14,FALSE),"")</f>
        <v/>
      </c>
      <c r="J787" t="str">
        <f>IFERROR(VLOOKUP(D787,'Team Data'!C:AB,8,FALSE),"")</f>
        <v/>
      </c>
      <c r="K787" t="str">
        <f>IFERROR(VLOOKUP(D787,'Team Data'!C:AB,9,FALSE),"")</f>
        <v/>
      </c>
      <c r="L787" t="str">
        <f>IFERROR(VLOOKUP(D787,'Team Data'!C:AB,10,FALSE),"")</f>
        <v/>
      </c>
      <c r="M787" t="str">
        <f t="shared" si="26"/>
        <v/>
      </c>
      <c r="N787" t="str">
        <f>IFERROR(VLOOKUP(D787,'Team Data'!C:AB,23,FALSE),"")</f>
        <v/>
      </c>
      <c r="O787" t="str">
        <f>IFERROR(VLOOKUP(D787,'Team Data'!C:AB,22,FALSE),"")</f>
        <v/>
      </c>
      <c r="P787" t="str">
        <f t="shared" si="27"/>
        <v/>
      </c>
      <c r="Q787" t="str">
        <f>IFERROR(VLOOKUP(D787,'Team Data'!C:AB,15,FALSE),"")</f>
        <v/>
      </c>
      <c r="R787" t="str">
        <f>IFERROR(VLOOKUP('OB Format'!D787,'Team Data'!C:AB,24,FALSE),"")</f>
        <v/>
      </c>
      <c r="S787" t="str">
        <f>IFERROR(VLOOKUP('OB Format'!D787,'Team Data'!C:AC,25,FALSE),"")</f>
        <v/>
      </c>
    </row>
    <row r="788" spans="5:19" x14ac:dyDescent="0.25">
      <c r="E788" t="str">
        <f>IFERROR(VLOOKUP(D788,'Team Data'!C:AB,4,FALSE),"")</f>
        <v/>
      </c>
      <c r="F788" t="str">
        <f>IFERROR(VLOOKUP(D788,'Team Data'!C:AB,5,FALSE),"")</f>
        <v/>
      </c>
      <c r="G788" t="str">
        <f>IFERROR(VLOOKUP('OB Format'!D788,'Team Data'!C:AB,17,FALSE),"")</f>
        <v/>
      </c>
      <c r="H788" t="str">
        <f>IFERROR(VLOOKUP(D788,'Team Data'!C:AB,7,FALSE),"")</f>
        <v/>
      </c>
      <c r="I788" t="str">
        <f>IFERROR(VLOOKUP(D788,'Team Data'!C:AB,14,FALSE),"")</f>
        <v/>
      </c>
      <c r="J788" t="str">
        <f>IFERROR(VLOOKUP(D788,'Team Data'!C:AB,8,FALSE),"")</f>
        <v/>
      </c>
      <c r="K788" t="str">
        <f>IFERROR(VLOOKUP(D788,'Team Data'!C:AB,9,FALSE),"")</f>
        <v/>
      </c>
      <c r="L788" t="str">
        <f>IFERROR(VLOOKUP(D788,'Team Data'!C:AB,10,FALSE),"")</f>
        <v/>
      </c>
      <c r="M788" t="str">
        <f t="shared" si="26"/>
        <v/>
      </c>
      <c r="N788" t="str">
        <f>IFERROR(VLOOKUP(D788,'Team Data'!C:AB,23,FALSE),"")</f>
        <v/>
      </c>
      <c r="O788" t="str">
        <f>IFERROR(VLOOKUP(D788,'Team Data'!C:AB,22,FALSE),"")</f>
        <v/>
      </c>
      <c r="P788" t="str">
        <f t="shared" si="27"/>
        <v/>
      </c>
      <c r="Q788" t="str">
        <f>IFERROR(VLOOKUP(D788,'Team Data'!C:AB,15,FALSE),"")</f>
        <v/>
      </c>
      <c r="R788" t="str">
        <f>IFERROR(VLOOKUP('OB Format'!D788,'Team Data'!C:AB,24,FALSE),"")</f>
        <v/>
      </c>
      <c r="S788" t="str">
        <f>IFERROR(VLOOKUP('OB Format'!D788,'Team Data'!C:AC,25,FALSE),"")</f>
        <v/>
      </c>
    </row>
    <row r="789" spans="5:19" x14ac:dyDescent="0.25">
      <c r="E789" t="str">
        <f>IFERROR(VLOOKUP(D789,'Team Data'!C:AB,4,FALSE),"")</f>
        <v/>
      </c>
      <c r="F789" t="str">
        <f>IFERROR(VLOOKUP(D789,'Team Data'!C:AB,5,FALSE),"")</f>
        <v/>
      </c>
      <c r="G789" t="str">
        <f>IFERROR(VLOOKUP('OB Format'!D789,'Team Data'!C:AB,17,FALSE),"")</f>
        <v/>
      </c>
      <c r="H789" t="str">
        <f>IFERROR(VLOOKUP(D789,'Team Data'!C:AB,7,FALSE),"")</f>
        <v/>
      </c>
      <c r="I789" t="str">
        <f>IFERROR(VLOOKUP(D789,'Team Data'!C:AB,14,FALSE),"")</f>
        <v/>
      </c>
      <c r="J789" t="str">
        <f>IFERROR(VLOOKUP(D789,'Team Data'!C:AB,8,FALSE),"")</f>
        <v/>
      </c>
      <c r="K789" t="str">
        <f>IFERROR(VLOOKUP(D789,'Team Data'!C:AB,9,FALSE),"")</f>
        <v/>
      </c>
      <c r="L789" t="str">
        <f>IFERROR(VLOOKUP(D789,'Team Data'!C:AB,10,FALSE),"")</f>
        <v/>
      </c>
      <c r="M789" t="str">
        <f t="shared" si="26"/>
        <v/>
      </c>
      <c r="N789" t="str">
        <f>IFERROR(VLOOKUP(D789,'Team Data'!C:AB,23,FALSE),"")</f>
        <v/>
      </c>
      <c r="O789" t="str">
        <f>IFERROR(VLOOKUP(D789,'Team Data'!C:AB,22,FALSE),"")</f>
        <v/>
      </c>
      <c r="P789" t="str">
        <f t="shared" si="27"/>
        <v/>
      </c>
      <c r="Q789" t="str">
        <f>IFERROR(VLOOKUP(D789,'Team Data'!C:AB,15,FALSE),"")</f>
        <v/>
      </c>
      <c r="R789" t="str">
        <f>IFERROR(VLOOKUP('OB Format'!D789,'Team Data'!C:AB,24,FALSE),"")</f>
        <v/>
      </c>
      <c r="S789" t="str">
        <f>IFERROR(VLOOKUP('OB Format'!D789,'Team Data'!C:AC,25,FALSE),"")</f>
        <v/>
      </c>
    </row>
    <row r="790" spans="5:19" x14ac:dyDescent="0.25">
      <c r="E790" t="str">
        <f>IFERROR(VLOOKUP(D790,'Team Data'!C:AB,4,FALSE),"")</f>
        <v/>
      </c>
      <c r="F790" t="str">
        <f>IFERROR(VLOOKUP(D790,'Team Data'!C:AB,5,FALSE),"")</f>
        <v/>
      </c>
      <c r="G790" t="str">
        <f>IFERROR(VLOOKUP('OB Format'!D790,'Team Data'!C:AB,17,FALSE),"")</f>
        <v/>
      </c>
      <c r="H790" t="str">
        <f>IFERROR(VLOOKUP(D790,'Team Data'!C:AB,7,FALSE),"")</f>
        <v/>
      </c>
      <c r="I790" t="str">
        <f>IFERROR(VLOOKUP(D790,'Team Data'!C:AB,14,FALSE),"")</f>
        <v/>
      </c>
      <c r="J790" t="str">
        <f>IFERROR(VLOOKUP(D790,'Team Data'!C:AB,8,FALSE),"")</f>
        <v/>
      </c>
      <c r="K790" t="str">
        <f>IFERROR(VLOOKUP(D790,'Team Data'!C:AB,9,FALSE),"")</f>
        <v/>
      </c>
      <c r="L790" t="str">
        <f>IFERROR(VLOOKUP(D790,'Team Data'!C:AB,10,FALSE),"")</f>
        <v/>
      </c>
      <c r="M790" t="str">
        <f t="shared" si="26"/>
        <v/>
      </c>
      <c r="N790" t="str">
        <f>IFERROR(VLOOKUP(D790,'Team Data'!C:AB,23,FALSE),"")</f>
        <v/>
      </c>
      <c r="O790" t="str">
        <f>IFERROR(VLOOKUP(D790,'Team Data'!C:AB,22,FALSE),"")</f>
        <v/>
      </c>
      <c r="P790" t="str">
        <f t="shared" si="27"/>
        <v/>
      </c>
      <c r="Q790" t="str">
        <f>IFERROR(VLOOKUP(D790,'Team Data'!C:AB,15,FALSE),"")</f>
        <v/>
      </c>
      <c r="R790" t="str">
        <f>IFERROR(VLOOKUP('OB Format'!D790,'Team Data'!C:AB,24,FALSE),"")</f>
        <v/>
      </c>
      <c r="S790" t="str">
        <f>IFERROR(VLOOKUP('OB Format'!D790,'Team Data'!C:AC,25,FALSE),"")</f>
        <v/>
      </c>
    </row>
    <row r="791" spans="5:19" x14ac:dyDescent="0.25">
      <c r="E791" t="str">
        <f>IFERROR(VLOOKUP(D791,'Team Data'!C:AB,4,FALSE),"")</f>
        <v/>
      </c>
      <c r="F791" t="str">
        <f>IFERROR(VLOOKUP(D791,'Team Data'!C:AB,5,FALSE),"")</f>
        <v/>
      </c>
      <c r="G791" t="str">
        <f>IFERROR(VLOOKUP('OB Format'!D791,'Team Data'!C:AB,17,FALSE),"")</f>
        <v/>
      </c>
      <c r="H791" t="str">
        <f>IFERROR(VLOOKUP(D791,'Team Data'!C:AB,7,FALSE),"")</f>
        <v/>
      </c>
      <c r="I791" t="str">
        <f>IFERROR(VLOOKUP(D791,'Team Data'!C:AB,14,FALSE),"")</f>
        <v/>
      </c>
      <c r="J791" t="str">
        <f>IFERROR(VLOOKUP(D791,'Team Data'!C:AB,8,FALSE),"")</f>
        <v/>
      </c>
      <c r="K791" t="str">
        <f>IFERROR(VLOOKUP(D791,'Team Data'!C:AB,9,FALSE),"")</f>
        <v/>
      </c>
      <c r="L791" t="str">
        <f>IFERROR(VLOOKUP(D791,'Team Data'!C:AB,10,FALSE),"")</f>
        <v/>
      </c>
      <c r="M791" t="str">
        <f t="shared" si="26"/>
        <v/>
      </c>
      <c r="N791" t="str">
        <f>IFERROR(VLOOKUP(D791,'Team Data'!C:AB,23,FALSE),"")</f>
        <v/>
      </c>
      <c r="O791" t="str">
        <f>IFERROR(VLOOKUP(D791,'Team Data'!C:AB,22,FALSE),"")</f>
        <v/>
      </c>
      <c r="P791" t="str">
        <f t="shared" si="27"/>
        <v/>
      </c>
      <c r="Q791" t="str">
        <f>IFERROR(VLOOKUP(D791,'Team Data'!C:AB,15,FALSE),"")</f>
        <v/>
      </c>
      <c r="R791" t="str">
        <f>IFERROR(VLOOKUP('OB Format'!D791,'Team Data'!C:AB,24,FALSE),"")</f>
        <v/>
      </c>
      <c r="S791" t="str">
        <f>IFERROR(VLOOKUP('OB Format'!D791,'Team Data'!C:AC,25,FALSE),"")</f>
        <v/>
      </c>
    </row>
    <row r="792" spans="5:19" x14ac:dyDescent="0.25">
      <c r="E792" t="str">
        <f>IFERROR(VLOOKUP(D792,'Team Data'!C:AB,4,FALSE),"")</f>
        <v/>
      </c>
      <c r="F792" t="str">
        <f>IFERROR(VLOOKUP(D792,'Team Data'!C:AB,5,FALSE),"")</f>
        <v/>
      </c>
      <c r="G792" t="str">
        <f>IFERROR(VLOOKUP('OB Format'!D792,'Team Data'!C:AB,17,FALSE),"")</f>
        <v/>
      </c>
      <c r="H792" t="str">
        <f>IFERROR(VLOOKUP(D792,'Team Data'!C:AB,7,FALSE),"")</f>
        <v/>
      </c>
      <c r="I792" t="str">
        <f>IFERROR(VLOOKUP(D792,'Team Data'!C:AB,14,FALSE),"")</f>
        <v/>
      </c>
      <c r="J792" t="str">
        <f>IFERROR(VLOOKUP(D792,'Team Data'!C:AB,8,FALSE),"")</f>
        <v/>
      </c>
      <c r="K792" t="str">
        <f>IFERROR(VLOOKUP(D792,'Team Data'!C:AB,9,FALSE),"")</f>
        <v/>
      </c>
      <c r="L792" t="str">
        <f>IFERROR(VLOOKUP(D792,'Team Data'!C:AB,10,FALSE),"")</f>
        <v/>
      </c>
      <c r="M792" t="str">
        <f t="shared" si="26"/>
        <v/>
      </c>
      <c r="N792" t="str">
        <f>IFERROR(VLOOKUP(D792,'Team Data'!C:AB,23,FALSE),"")</f>
        <v/>
      </c>
      <c r="O792" t="str">
        <f>IFERROR(VLOOKUP(D792,'Team Data'!C:AB,22,FALSE),"")</f>
        <v/>
      </c>
      <c r="P792" t="str">
        <f t="shared" si="27"/>
        <v/>
      </c>
      <c r="Q792" t="str">
        <f>IFERROR(VLOOKUP(D792,'Team Data'!C:AB,15,FALSE),"")</f>
        <v/>
      </c>
      <c r="R792" t="str">
        <f>IFERROR(VLOOKUP('OB Format'!D792,'Team Data'!C:AB,24,FALSE),"")</f>
        <v/>
      </c>
      <c r="S792" t="str">
        <f>IFERROR(VLOOKUP('OB Format'!D792,'Team Data'!C:AC,25,FALSE),"")</f>
        <v/>
      </c>
    </row>
    <row r="793" spans="5:19" x14ac:dyDescent="0.25">
      <c r="E793" t="str">
        <f>IFERROR(VLOOKUP(D793,'Team Data'!C:AB,4,FALSE),"")</f>
        <v/>
      </c>
      <c r="F793" t="str">
        <f>IFERROR(VLOOKUP(D793,'Team Data'!C:AB,5,FALSE),"")</f>
        <v/>
      </c>
      <c r="G793" t="str">
        <f>IFERROR(VLOOKUP('OB Format'!D793,'Team Data'!C:AB,17,FALSE),"")</f>
        <v/>
      </c>
      <c r="H793" t="str">
        <f>IFERROR(VLOOKUP(D793,'Team Data'!C:AB,7,FALSE),"")</f>
        <v/>
      </c>
      <c r="I793" t="str">
        <f>IFERROR(VLOOKUP(D793,'Team Data'!C:AB,14,FALSE),"")</f>
        <v/>
      </c>
      <c r="J793" t="str">
        <f>IFERROR(VLOOKUP(D793,'Team Data'!C:AB,8,FALSE),"")</f>
        <v/>
      </c>
      <c r="K793" t="str">
        <f>IFERROR(VLOOKUP(D793,'Team Data'!C:AB,9,FALSE),"")</f>
        <v/>
      </c>
      <c r="L793" t="str">
        <f>IFERROR(VLOOKUP(D793,'Team Data'!C:AB,10,FALSE),"")</f>
        <v/>
      </c>
      <c r="M793" t="str">
        <f t="shared" si="26"/>
        <v/>
      </c>
      <c r="N793" t="str">
        <f>IFERROR(VLOOKUP(D793,'Team Data'!C:AB,23,FALSE),"")</f>
        <v/>
      </c>
      <c r="O793" t="str">
        <f>IFERROR(VLOOKUP(D793,'Team Data'!C:AB,22,FALSE),"")</f>
        <v/>
      </c>
      <c r="P793" t="str">
        <f t="shared" si="27"/>
        <v/>
      </c>
      <c r="Q793" t="str">
        <f>IFERROR(VLOOKUP(D793,'Team Data'!C:AB,15,FALSE),"")</f>
        <v/>
      </c>
      <c r="R793" t="str">
        <f>IFERROR(VLOOKUP('OB Format'!D793,'Team Data'!C:AB,24,FALSE),"")</f>
        <v/>
      </c>
      <c r="S793" t="str">
        <f>IFERROR(VLOOKUP('OB Format'!D793,'Team Data'!C:AC,25,FALSE),"")</f>
        <v/>
      </c>
    </row>
    <row r="794" spans="5:19" x14ac:dyDescent="0.25">
      <c r="E794" t="str">
        <f>IFERROR(VLOOKUP(D794,'Team Data'!C:AB,4,FALSE),"")</f>
        <v/>
      </c>
      <c r="F794" t="str">
        <f>IFERROR(VLOOKUP(D794,'Team Data'!C:AB,5,FALSE),"")</f>
        <v/>
      </c>
      <c r="G794" t="str">
        <f>IFERROR(VLOOKUP('OB Format'!D794,'Team Data'!C:AB,17,FALSE),"")</f>
        <v/>
      </c>
      <c r="H794" t="str">
        <f>IFERROR(VLOOKUP(D794,'Team Data'!C:AB,7,FALSE),"")</f>
        <v/>
      </c>
      <c r="I794" t="str">
        <f>IFERROR(VLOOKUP(D794,'Team Data'!C:AB,14,FALSE),"")</f>
        <v/>
      </c>
      <c r="J794" t="str">
        <f>IFERROR(VLOOKUP(D794,'Team Data'!C:AB,8,FALSE),"")</f>
        <v/>
      </c>
      <c r="K794" t="str">
        <f>IFERROR(VLOOKUP(D794,'Team Data'!C:AB,9,FALSE),"")</f>
        <v/>
      </c>
      <c r="L794" t="str">
        <f>IFERROR(VLOOKUP(D794,'Team Data'!C:AB,10,FALSE),"")</f>
        <v/>
      </c>
      <c r="M794" t="str">
        <f t="shared" si="26"/>
        <v/>
      </c>
      <c r="N794" t="str">
        <f>IFERROR(VLOOKUP(D794,'Team Data'!C:AB,23,FALSE),"")</f>
        <v/>
      </c>
      <c r="O794" t="str">
        <f>IFERROR(VLOOKUP(D794,'Team Data'!C:AB,22,FALSE),"")</f>
        <v/>
      </c>
      <c r="P794" t="str">
        <f t="shared" si="27"/>
        <v/>
      </c>
      <c r="Q794" t="str">
        <f>IFERROR(VLOOKUP(D794,'Team Data'!C:AB,15,FALSE),"")</f>
        <v/>
      </c>
      <c r="R794" t="str">
        <f>IFERROR(VLOOKUP('OB Format'!D794,'Team Data'!C:AB,24,FALSE),"")</f>
        <v/>
      </c>
      <c r="S794" t="str">
        <f>IFERROR(VLOOKUP('OB Format'!D794,'Team Data'!C:AC,25,FALSE),"")</f>
        <v/>
      </c>
    </row>
    <row r="795" spans="5:19" x14ac:dyDescent="0.25">
      <c r="E795" t="str">
        <f>IFERROR(VLOOKUP(D795,'Team Data'!C:AB,4,FALSE),"")</f>
        <v/>
      </c>
      <c r="F795" t="str">
        <f>IFERROR(VLOOKUP(D795,'Team Data'!C:AB,5,FALSE),"")</f>
        <v/>
      </c>
      <c r="G795" t="str">
        <f>IFERROR(VLOOKUP('OB Format'!D795,'Team Data'!C:AB,17,FALSE),"")</f>
        <v/>
      </c>
      <c r="H795" t="str">
        <f>IFERROR(VLOOKUP(D795,'Team Data'!C:AB,7,FALSE),"")</f>
        <v/>
      </c>
      <c r="I795" t="str">
        <f>IFERROR(VLOOKUP(D795,'Team Data'!C:AB,14,FALSE),"")</f>
        <v/>
      </c>
      <c r="J795" t="str">
        <f>IFERROR(VLOOKUP(D795,'Team Data'!C:AB,8,FALSE),"")</f>
        <v/>
      </c>
      <c r="K795" t="str">
        <f>IFERROR(VLOOKUP(D795,'Team Data'!C:AB,9,FALSE),"")</f>
        <v/>
      </c>
      <c r="L795" t="str">
        <f>IFERROR(VLOOKUP(D795,'Team Data'!C:AB,10,FALSE),"")</f>
        <v/>
      </c>
      <c r="M795" t="str">
        <f t="shared" si="26"/>
        <v/>
      </c>
      <c r="N795" t="str">
        <f>IFERROR(VLOOKUP(D795,'Team Data'!C:AB,23,FALSE),"")</f>
        <v/>
      </c>
      <c r="O795" t="str">
        <f>IFERROR(VLOOKUP(D795,'Team Data'!C:AB,22,FALSE),"")</f>
        <v/>
      </c>
      <c r="P795" t="str">
        <f t="shared" si="27"/>
        <v/>
      </c>
      <c r="Q795" t="str">
        <f>IFERROR(VLOOKUP(D795,'Team Data'!C:AB,15,FALSE),"")</f>
        <v/>
      </c>
      <c r="R795" t="str">
        <f>IFERROR(VLOOKUP('OB Format'!D795,'Team Data'!C:AB,24,FALSE),"")</f>
        <v/>
      </c>
      <c r="S795" t="str">
        <f>IFERROR(VLOOKUP('OB Format'!D795,'Team Data'!C:AC,25,FALSE),"")</f>
        <v/>
      </c>
    </row>
    <row r="796" spans="5:19" x14ac:dyDescent="0.25">
      <c r="E796" t="str">
        <f>IFERROR(VLOOKUP(D796,'Team Data'!C:AB,4,FALSE),"")</f>
        <v/>
      </c>
      <c r="F796" t="str">
        <f>IFERROR(VLOOKUP(D796,'Team Data'!C:AB,5,FALSE),"")</f>
        <v/>
      </c>
      <c r="G796" t="str">
        <f>IFERROR(VLOOKUP('OB Format'!D796,'Team Data'!C:AB,17,FALSE),"")</f>
        <v/>
      </c>
      <c r="H796" t="str">
        <f>IFERROR(VLOOKUP(D796,'Team Data'!C:AB,7,FALSE),"")</f>
        <v/>
      </c>
      <c r="I796" t="str">
        <f>IFERROR(VLOOKUP(D796,'Team Data'!C:AB,14,FALSE),"")</f>
        <v/>
      </c>
      <c r="J796" t="str">
        <f>IFERROR(VLOOKUP(D796,'Team Data'!C:AB,8,FALSE),"")</f>
        <v/>
      </c>
      <c r="K796" t="str">
        <f>IFERROR(VLOOKUP(D796,'Team Data'!C:AB,9,FALSE),"")</f>
        <v/>
      </c>
      <c r="L796" t="str">
        <f>IFERROR(VLOOKUP(D796,'Team Data'!C:AB,10,FALSE),"")</f>
        <v/>
      </c>
      <c r="M796" t="str">
        <f t="shared" si="26"/>
        <v/>
      </c>
      <c r="N796" t="str">
        <f>IFERROR(VLOOKUP(D796,'Team Data'!C:AB,23,FALSE),"")</f>
        <v/>
      </c>
      <c r="O796" t="str">
        <f>IFERROR(VLOOKUP(D796,'Team Data'!C:AB,22,FALSE),"")</f>
        <v/>
      </c>
      <c r="P796" t="str">
        <f t="shared" si="27"/>
        <v/>
      </c>
      <c r="Q796" t="str">
        <f>IFERROR(VLOOKUP(D796,'Team Data'!C:AB,15,FALSE),"")</f>
        <v/>
      </c>
      <c r="R796" t="str">
        <f>IFERROR(VLOOKUP('OB Format'!D796,'Team Data'!C:AB,24,FALSE),"")</f>
        <v/>
      </c>
      <c r="S796" t="str">
        <f>IFERROR(VLOOKUP('OB Format'!D796,'Team Data'!C:AC,25,FALSE),"")</f>
        <v/>
      </c>
    </row>
    <row r="797" spans="5:19" x14ac:dyDescent="0.25">
      <c r="E797" t="str">
        <f>IFERROR(VLOOKUP(D797,'Team Data'!C:AB,4,FALSE),"")</f>
        <v/>
      </c>
      <c r="F797" t="str">
        <f>IFERROR(VLOOKUP(D797,'Team Data'!C:AB,5,FALSE),"")</f>
        <v/>
      </c>
      <c r="G797" t="str">
        <f>IFERROR(VLOOKUP('OB Format'!D797,'Team Data'!C:AB,17,FALSE),"")</f>
        <v/>
      </c>
      <c r="H797" t="str">
        <f>IFERROR(VLOOKUP(D797,'Team Data'!C:AB,7,FALSE),"")</f>
        <v/>
      </c>
      <c r="I797" t="str">
        <f>IFERROR(VLOOKUP(D797,'Team Data'!C:AB,14,FALSE),"")</f>
        <v/>
      </c>
      <c r="J797" t="str">
        <f>IFERROR(VLOOKUP(D797,'Team Data'!C:AB,8,FALSE),"")</f>
        <v/>
      </c>
      <c r="K797" t="str">
        <f>IFERROR(VLOOKUP(D797,'Team Data'!C:AB,9,FALSE),"")</f>
        <v/>
      </c>
      <c r="L797" t="str">
        <f>IFERROR(VLOOKUP(D797,'Team Data'!C:AB,10,FALSE),"")</f>
        <v/>
      </c>
      <c r="M797" t="str">
        <f t="shared" si="26"/>
        <v/>
      </c>
      <c r="N797" t="str">
        <f>IFERROR(VLOOKUP(D797,'Team Data'!C:AB,23,FALSE),"")</f>
        <v/>
      </c>
      <c r="O797" t="str">
        <f>IFERROR(VLOOKUP(D797,'Team Data'!C:AB,22,FALSE),"")</f>
        <v/>
      </c>
      <c r="P797" t="str">
        <f t="shared" si="27"/>
        <v/>
      </c>
      <c r="Q797" t="str">
        <f>IFERROR(VLOOKUP(D797,'Team Data'!C:AB,15,FALSE),"")</f>
        <v/>
      </c>
      <c r="R797" t="str">
        <f>IFERROR(VLOOKUP('OB Format'!D797,'Team Data'!C:AB,24,FALSE),"")</f>
        <v/>
      </c>
      <c r="S797" t="str">
        <f>IFERROR(VLOOKUP('OB Format'!D797,'Team Data'!C:AC,25,FALSE),"")</f>
        <v/>
      </c>
    </row>
    <row r="798" spans="5:19" x14ac:dyDescent="0.25">
      <c r="E798" t="str">
        <f>IFERROR(VLOOKUP(D798,'Team Data'!C:AB,4,FALSE),"")</f>
        <v/>
      </c>
      <c r="F798" t="str">
        <f>IFERROR(VLOOKUP(D798,'Team Data'!C:AB,5,FALSE),"")</f>
        <v/>
      </c>
      <c r="G798" t="str">
        <f>IFERROR(VLOOKUP('OB Format'!D798,'Team Data'!C:AB,17,FALSE),"")</f>
        <v/>
      </c>
      <c r="H798" t="str">
        <f>IFERROR(VLOOKUP(D798,'Team Data'!C:AB,7,FALSE),"")</f>
        <v/>
      </c>
      <c r="I798" t="str">
        <f>IFERROR(VLOOKUP(D798,'Team Data'!C:AB,14,FALSE),"")</f>
        <v/>
      </c>
      <c r="J798" t="str">
        <f>IFERROR(VLOOKUP(D798,'Team Data'!C:AB,8,FALSE),"")</f>
        <v/>
      </c>
      <c r="K798" t="str">
        <f>IFERROR(VLOOKUP(D798,'Team Data'!C:AB,9,FALSE),"")</f>
        <v/>
      </c>
      <c r="L798" t="str">
        <f>IFERROR(VLOOKUP(D798,'Team Data'!C:AB,10,FALSE),"")</f>
        <v/>
      </c>
      <c r="M798" t="str">
        <f t="shared" si="26"/>
        <v/>
      </c>
      <c r="N798" t="str">
        <f>IFERROR(VLOOKUP(D798,'Team Data'!C:AB,23,FALSE),"")</f>
        <v/>
      </c>
      <c r="O798" t="str">
        <f>IFERROR(VLOOKUP(D798,'Team Data'!C:AB,22,FALSE),"")</f>
        <v/>
      </c>
      <c r="P798" t="str">
        <f t="shared" si="27"/>
        <v/>
      </c>
      <c r="Q798" t="str">
        <f>IFERROR(VLOOKUP(D798,'Team Data'!C:AB,15,FALSE),"")</f>
        <v/>
      </c>
      <c r="R798" t="str">
        <f>IFERROR(VLOOKUP('OB Format'!D798,'Team Data'!C:AB,24,FALSE),"")</f>
        <v/>
      </c>
      <c r="S798" t="str">
        <f>IFERROR(VLOOKUP('OB Format'!D798,'Team Data'!C:AC,25,FALSE),"")</f>
        <v/>
      </c>
    </row>
    <row r="799" spans="5:19" x14ac:dyDescent="0.25">
      <c r="E799" t="str">
        <f>IFERROR(VLOOKUP(D799,'Team Data'!C:AB,4,FALSE),"")</f>
        <v/>
      </c>
      <c r="F799" t="str">
        <f>IFERROR(VLOOKUP(D799,'Team Data'!C:AB,5,FALSE),"")</f>
        <v/>
      </c>
      <c r="G799" t="str">
        <f>IFERROR(VLOOKUP('OB Format'!D799,'Team Data'!C:AB,17,FALSE),"")</f>
        <v/>
      </c>
      <c r="H799" t="str">
        <f>IFERROR(VLOOKUP(D799,'Team Data'!C:AB,7,FALSE),"")</f>
        <v/>
      </c>
      <c r="I799" t="str">
        <f>IFERROR(VLOOKUP(D799,'Team Data'!C:AB,14,FALSE),"")</f>
        <v/>
      </c>
      <c r="J799" t="str">
        <f>IFERROR(VLOOKUP(D799,'Team Data'!C:AB,8,FALSE),"")</f>
        <v/>
      </c>
      <c r="K799" t="str">
        <f>IFERROR(VLOOKUP(D799,'Team Data'!C:AB,9,FALSE),"")</f>
        <v/>
      </c>
      <c r="L799" t="str">
        <f>IFERROR(VLOOKUP(D799,'Team Data'!C:AB,10,FALSE),"")</f>
        <v/>
      </c>
      <c r="M799" t="str">
        <f t="shared" si="26"/>
        <v/>
      </c>
      <c r="N799" t="str">
        <f>IFERROR(VLOOKUP(D799,'Team Data'!C:AB,23,FALSE),"")</f>
        <v/>
      </c>
      <c r="O799" t="str">
        <f>IFERROR(VLOOKUP(D799,'Team Data'!C:AB,22,FALSE),"")</f>
        <v/>
      </c>
      <c r="P799" t="str">
        <f t="shared" si="27"/>
        <v/>
      </c>
      <c r="Q799" t="str">
        <f>IFERROR(VLOOKUP(D799,'Team Data'!C:AB,15,FALSE),"")</f>
        <v/>
      </c>
      <c r="R799" t="str">
        <f>IFERROR(VLOOKUP('OB Format'!D799,'Team Data'!C:AB,24,FALSE),"")</f>
        <v/>
      </c>
      <c r="S799" t="str">
        <f>IFERROR(VLOOKUP('OB Format'!D799,'Team Data'!C:AC,25,FALSE),"")</f>
        <v/>
      </c>
    </row>
    <row r="800" spans="5:19" x14ac:dyDescent="0.25">
      <c r="E800" t="str">
        <f>IFERROR(VLOOKUP(D800,'Team Data'!C:AB,4,FALSE),"")</f>
        <v/>
      </c>
      <c r="F800" t="str">
        <f>IFERROR(VLOOKUP(D800,'Team Data'!C:AB,5,FALSE),"")</f>
        <v/>
      </c>
      <c r="G800" t="str">
        <f>IFERROR(VLOOKUP('OB Format'!D800,'Team Data'!C:AB,17,FALSE),"")</f>
        <v/>
      </c>
      <c r="H800" t="str">
        <f>IFERROR(VLOOKUP(D800,'Team Data'!C:AB,7,FALSE),"")</f>
        <v/>
      </c>
      <c r="I800" t="str">
        <f>IFERROR(VLOOKUP(D800,'Team Data'!C:AB,14,FALSE),"")</f>
        <v/>
      </c>
      <c r="J800" t="str">
        <f>IFERROR(VLOOKUP(D800,'Team Data'!C:AB,8,FALSE),"")</f>
        <v/>
      </c>
      <c r="K800" t="str">
        <f>IFERROR(VLOOKUP(D800,'Team Data'!C:AB,9,FALSE),"")</f>
        <v/>
      </c>
      <c r="L800" t="str">
        <f>IFERROR(VLOOKUP(D800,'Team Data'!C:AB,10,FALSE),"")</f>
        <v/>
      </c>
      <c r="M800" t="str">
        <f t="shared" si="26"/>
        <v/>
      </c>
      <c r="N800" t="str">
        <f>IFERROR(VLOOKUP(D800,'Team Data'!C:AB,23,FALSE),"")</f>
        <v/>
      </c>
      <c r="O800" t="str">
        <f>IFERROR(VLOOKUP(D800,'Team Data'!C:AB,22,FALSE),"")</f>
        <v/>
      </c>
      <c r="P800" t="str">
        <f t="shared" si="27"/>
        <v/>
      </c>
      <c r="Q800" t="str">
        <f>IFERROR(VLOOKUP(D800,'Team Data'!C:AB,15,FALSE),"")</f>
        <v/>
      </c>
      <c r="R800" t="str">
        <f>IFERROR(VLOOKUP('OB Format'!D800,'Team Data'!C:AB,24,FALSE),"")</f>
        <v/>
      </c>
      <c r="S800" t="str">
        <f>IFERROR(VLOOKUP('OB Format'!D800,'Team Data'!C:AC,25,FALSE),"")</f>
        <v/>
      </c>
    </row>
    <row r="801" spans="5:19" x14ac:dyDescent="0.25">
      <c r="E801" t="str">
        <f>IFERROR(VLOOKUP(D801,'Team Data'!C:AB,4,FALSE),"")</f>
        <v/>
      </c>
      <c r="F801" t="str">
        <f>IFERROR(VLOOKUP(D801,'Team Data'!C:AB,5,FALSE),"")</f>
        <v/>
      </c>
      <c r="G801" t="str">
        <f>IFERROR(VLOOKUP('OB Format'!D801,'Team Data'!C:AB,17,FALSE),"")</f>
        <v/>
      </c>
      <c r="H801" t="str">
        <f>IFERROR(VLOOKUP(D801,'Team Data'!C:AB,7,FALSE),"")</f>
        <v/>
      </c>
      <c r="I801" t="str">
        <f>IFERROR(VLOOKUP(D801,'Team Data'!C:AB,14,FALSE),"")</f>
        <v/>
      </c>
      <c r="J801" t="str">
        <f>IFERROR(VLOOKUP(D801,'Team Data'!C:AB,8,FALSE),"")</f>
        <v/>
      </c>
      <c r="K801" t="str">
        <f>IFERROR(VLOOKUP(D801,'Team Data'!C:AB,9,FALSE),"")</f>
        <v/>
      </c>
      <c r="L801" t="str">
        <f>IFERROR(VLOOKUP(D801,'Team Data'!C:AB,10,FALSE),"")</f>
        <v/>
      </c>
      <c r="M801" t="str">
        <f t="shared" si="26"/>
        <v/>
      </c>
      <c r="N801" t="str">
        <f>IFERROR(VLOOKUP(D801,'Team Data'!C:AB,23,FALSE),"")</f>
        <v/>
      </c>
      <c r="O801" t="str">
        <f>IFERROR(VLOOKUP(D801,'Team Data'!C:AB,22,FALSE),"")</f>
        <v/>
      </c>
      <c r="P801" t="str">
        <f t="shared" si="27"/>
        <v/>
      </c>
      <c r="Q801" t="str">
        <f>IFERROR(VLOOKUP(D801,'Team Data'!C:AB,15,FALSE),"")</f>
        <v/>
      </c>
      <c r="R801" t="str">
        <f>IFERROR(VLOOKUP('OB Format'!D801,'Team Data'!C:AB,24,FALSE),"")</f>
        <v/>
      </c>
      <c r="S801" t="str">
        <f>IFERROR(VLOOKUP('OB Format'!D801,'Team Data'!C:AC,25,FALSE),"")</f>
        <v/>
      </c>
    </row>
    <row r="802" spans="5:19" x14ac:dyDescent="0.25">
      <c r="E802" t="str">
        <f>IFERROR(VLOOKUP(D802,'Team Data'!C:AB,4,FALSE),"")</f>
        <v/>
      </c>
      <c r="F802" t="str">
        <f>IFERROR(VLOOKUP(D802,'Team Data'!C:AB,5,FALSE),"")</f>
        <v/>
      </c>
      <c r="G802" t="str">
        <f>IFERROR(VLOOKUP('OB Format'!D802,'Team Data'!C:AB,17,FALSE),"")</f>
        <v/>
      </c>
      <c r="H802" t="str">
        <f>IFERROR(VLOOKUP(D802,'Team Data'!C:AB,7,FALSE),"")</f>
        <v/>
      </c>
      <c r="I802" t="str">
        <f>IFERROR(VLOOKUP(D802,'Team Data'!C:AB,14,FALSE),"")</f>
        <v/>
      </c>
      <c r="J802" t="str">
        <f>IFERROR(VLOOKUP(D802,'Team Data'!C:AB,8,FALSE),"")</f>
        <v/>
      </c>
      <c r="K802" t="str">
        <f>IFERROR(VLOOKUP(D802,'Team Data'!C:AB,9,FALSE),"")</f>
        <v/>
      </c>
      <c r="L802" t="str">
        <f>IFERROR(VLOOKUP(D802,'Team Data'!C:AB,10,FALSE),"")</f>
        <v/>
      </c>
      <c r="M802" t="str">
        <f t="shared" si="26"/>
        <v/>
      </c>
      <c r="N802" t="str">
        <f>IFERROR(VLOOKUP(D802,'Team Data'!C:AB,23,FALSE),"")</f>
        <v/>
      </c>
      <c r="O802" t="str">
        <f>IFERROR(VLOOKUP(D802,'Team Data'!C:AB,22,FALSE),"")</f>
        <v/>
      </c>
      <c r="P802" t="str">
        <f t="shared" si="27"/>
        <v/>
      </c>
      <c r="Q802" t="str">
        <f>IFERROR(VLOOKUP(D802,'Team Data'!C:AB,15,FALSE),"")</f>
        <v/>
      </c>
      <c r="R802" t="str">
        <f>IFERROR(VLOOKUP('OB Format'!D802,'Team Data'!C:AB,24,FALSE),"")</f>
        <v/>
      </c>
      <c r="S802" t="str">
        <f>IFERROR(VLOOKUP('OB Format'!D802,'Team Data'!C:AC,25,FALSE),"")</f>
        <v/>
      </c>
    </row>
    <row r="803" spans="5:19" x14ac:dyDescent="0.25">
      <c r="E803" t="str">
        <f>IFERROR(VLOOKUP(D803,'Team Data'!C:AB,4,FALSE),"")</f>
        <v/>
      </c>
      <c r="F803" t="str">
        <f>IFERROR(VLOOKUP(D803,'Team Data'!C:AB,5,FALSE),"")</f>
        <v/>
      </c>
      <c r="G803" t="str">
        <f>IFERROR(VLOOKUP('OB Format'!D803,'Team Data'!C:AB,17,FALSE),"")</f>
        <v/>
      </c>
      <c r="H803" t="str">
        <f>IFERROR(VLOOKUP(D803,'Team Data'!C:AB,7,FALSE),"")</f>
        <v/>
      </c>
      <c r="I803" t="str">
        <f>IFERROR(VLOOKUP(D803,'Team Data'!C:AB,14,FALSE),"")</f>
        <v/>
      </c>
      <c r="J803" t="str">
        <f>IFERROR(VLOOKUP(D803,'Team Data'!C:AB,8,FALSE),"")</f>
        <v/>
      </c>
      <c r="K803" t="str">
        <f>IFERROR(VLOOKUP(D803,'Team Data'!C:AB,9,FALSE),"")</f>
        <v/>
      </c>
      <c r="L803" t="str">
        <f>IFERROR(VLOOKUP(D803,'Team Data'!C:AB,10,FALSE),"")</f>
        <v/>
      </c>
      <c r="M803" t="str">
        <f t="shared" si="26"/>
        <v/>
      </c>
      <c r="N803" t="str">
        <f>IFERROR(VLOOKUP(D803,'Team Data'!C:AB,23,FALSE),"")</f>
        <v/>
      </c>
      <c r="O803" t="str">
        <f>IFERROR(VLOOKUP(D803,'Team Data'!C:AB,22,FALSE),"")</f>
        <v/>
      </c>
      <c r="P803" t="str">
        <f t="shared" si="27"/>
        <v/>
      </c>
      <c r="Q803" t="str">
        <f>IFERROR(VLOOKUP(D803,'Team Data'!C:AB,15,FALSE),"")</f>
        <v/>
      </c>
      <c r="R803" t="str">
        <f>IFERROR(VLOOKUP('OB Format'!D803,'Team Data'!C:AB,24,FALSE),"")</f>
        <v/>
      </c>
      <c r="S803" t="str">
        <f>IFERROR(VLOOKUP('OB Format'!D803,'Team Data'!C:AC,25,FALSE),"")</f>
        <v/>
      </c>
    </row>
    <row r="804" spans="5:19" x14ac:dyDescent="0.25">
      <c r="E804" t="str">
        <f>IFERROR(VLOOKUP(D804,'Team Data'!C:AB,4,FALSE),"")</f>
        <v/>
      </c>
      <c r="F804" t="str">
        <f>IFERROR(VLOOKUP(D804,'Team Data'!C:AB,5,FALSE),"")</f>
        <v/>
      </c>
      <c r="G804" t="str">
        <f>IFERROR(VLOOKUP('OB Format'!D804,'Team Data'!C:AB,17,FALSE),"")</f>
        <v/>
      </c>
      <c r="H804" t="str">
        <f>IFERROR(VLOOKUP(D804,'Team Data'!C:AB,7,FALSE),"")</f>
        <v/>
      </c>
      <c r="I804" t="str">
        <f>IFERROR(VLOOKUP(D804,'Team Data'!C:AB,14,FALSE),"")</f>
        <v/>
      </c>
      <c r="J804" t="str">
        <f>IFERROR(VLOOKUP(D804,'Team Data'!C:AB,8,FALSE),"")</f>
        <v/>
      </c>
      <c r="K804" t="str">
        <f>IFERROR(VLOOKUP(D804,'Team Data'!C:AB,9,FALSE),"")</f>
        <v/>
      </c>
      <c r="L804" t="str">
        <f>IFERROR(VLOOKUP(D804,'Team Data'!C:AB,10,FALSE),"")</f>
        <v/>
      </c>
      <c r="M804" t="str">
        <f t="shared" si="26"/>
        <v/>
      </c>
      <c r="N804" t="str">
        <f>IFERROR(VLOOKUP(D804,'Team Data'!C:AB,23,FALSE),"")</f>
        <v/>
      </c>
      <c r="O804" t="str">
        <f>IFERROR(VLOOKUP(D804,'Team Data'!C:AB,22,FALSE),"")</f>
        <v/>
      </c>
      <c r="P804" t="str">
        <f t="shared" si="27"/>
        <v/>
      </c>
      <c r="Q804" t="str">
        <f>IFERROR(VLOOKUP(D804,'Team Data'!C:AB,15,FALSE),"")</f>
        <v/>
      </c>
      <c r="R804" t="str">
        <f>IFERROR(VLOOKUP('OB Format'!D804,'Team Data'!C:AB,24,FALSE),"")</f>
        <v/>
      </c>
      <c r="S804" t="str">
        <f>IFERROR(VLOOKUP('OB Format'!D804,'Team Data'!C:AC,25,FALSE),"")</f>
        <v/>
      </c>
    </row>
    <row r="805" spans="5:19" x14ac:dyDescent="0.25">
      <c r="E805" t="str">
        <f>IFERROR(VLOOKUP(D805,'Team Data'!C:AB,4,FALSE),"")</f>
        <v/>
      </c>
      <c r="F805" t="str">
        <f>IFERROR(VLOOKUP(D805,'Team Data'!C:AB,5,FALSE),"")</f>
        <v/>
      </c>
      <c r="G805" t="str">
        <f>IFERROR(VLOOKUP('OB Format'!D805,'Team Data'!C:AB,17,FALSE),"")</f>
        <v/>
      </c>
      <c r="H805" t="str">
        <f>IFERROR(VLOOKUP(D805,'Team Data'!C:AB,7,FALSE),"")</f>
        <v/>
      </c>
      <c r="I805" t="str">
        <f>IFERROR(VLOOKUP(D805,'Team Data'!C:AB,14,FALSE),"")</f>
        <v/>
      </c>
      <c r="J805" t="str">
        <f>IFERROR(VLOOKUP(D805,'Team Data'!C:AB,8,FALSE),"")</f>
        <v/>
      </c>
      <c r="K805" t="str">
        <f>IFERROR(VLOOKUP(D805,'Team Data'!C:AB,9,FALSE),"")</f>
        <v/>
      </c>
      <c r="L805" t="str">
        <f>IFERROR(VLOOKUP(D805,'Team Data'!C:AB,10,FALSE),"")</f>
        <v/>
      </c>
      <c r="M805" t="str">
        <f t="shared" si="26"/>
        <v/>
      </c>
      <c r="N805" t="str">
        <f>IFERROR(VLOOKUP(D805,'Team Data'!C:AB,23,FALSE),"")</f>
        <v/>
      </c>
      <c r="O805" t="str">
        <f>IFERROR(VLOOKUP(D805,'Team Data'!C:AB,22,FALSE),"")</f>
        <v/>
      </c>
      <c r="P805" t="str">
        <f t="shared" si="27"/>
        <v/>
      </c>
      <c r="Q805" t="str">
        <f>IFERROR(VLOOKUP(D805,'Team Data'!C:AB,15,FALSE),"")</f>
        <v/>
      </c>
      <c r="R805" t="str">
        <f>IFERROR(VLOOKUP('OB Format'!D805,'Team Data'!C:AB,24,FALSE),"")</f>
        <v/>
      </c>
      <c r="S805" t="str">
        <f>IFERROR(VLOOKUP('OB Format'!D805,'Team Data'!C:AC,25,FALSE),"")</f>
        <v/>
      </c>
    </row>
    <row r="806" spans="5:19" x14ac:dyDescent="0.25">
      <c r="E806" t="str">
        <f>IFERROR(VLOOKUP(D806,'Team Data'!C:AB,4,FALSE),"")</f>
        <v/>
      </c>
      <c r="F806" t="str">
        <f>IFERROR(VLOOKUP(D806,'Team Data'!C:AB,5,FALSE),"")</f>
        <v/>
      </c>
      <c r="G806" t="str">
        <f>IFERROR(VLOOKUP('OB Format'!D806,'Team Data'!C:AB,17,FALSE),"")</f>
        <v/>
      </c>
      <c r="H806" t="str">
        <f>IFERROR(VLOOKUP(D806,'Team Data'!C:AB,7,FALSE),"")</f>
        <v/>
      </c>
      <c r="I806" t="str">
        <f>IFERROR(VLOOKUP(D806,'Team Data'!C:AB,14,FALSE),"")</f>
        <v/>
      </c>
      <c r="J806" t="str">
        <f>IFERROR(VLOOKUP(D806,'Team Data'!C:AB,8,FALSE),"")</f>
        <v/>
      </c>
      <c r="K806" t="str">
        <f>IFERROR(VLOOKUP(D806,'Team Data'!C:AB,9,FALSE),"")</f>
        <v/>
      </c>
      <c r="L806" t="str">
        <f>IFERROR(VLOOKUP(D806,'Team Data'!C:AB,10,FALSE),"")</f>
        <v/>
      </c>
      <c r="M806" t="str">
        <f t="shared" si="26"/>
        <v/>
      </c>
      <c r="N806" t="str">
        <f>IFERROR(VLOOKUP(D806,'Team Data'!C:AB,23,FALSE),"")</f>
        <v/>
      </c>
      <c r="O806" t="str">
        <f>IFERROR(VLOOKUP(D806,'Team Data'!C:AB,22,FALSE),"")</f>
        <v/>
      </c>
      <c r="P806" t="str">
        <f t="shared" si="27"/>
        <v/>
      </c>
      <c r="Q806" t="str">
        <f>IFERROR(VLOOKUP(D806,'Team Data'!C:AB,15,FALSE),"")</f>
        <v/>
      </c>
      <c r="R806" t="str">
        <f>IFERROR(VLOOKUP('OB Format'!D806,'Team Data'!C:AB,24,FALSE),"")</f>
        <v/>
      </c>
      <c r="S806" t="str">
        <f>IFERROR(VLOOKUP('OB Format'!D806,'Team Data'!C:AC,25,FALSE),"")</f>
        <v/>
      </c>
    </row>
    <row r="807" spans="5:19" x14ac:dyDescent="0.25">
      <c r="E807" t="str">
        <f>IFERROR(VLOOKUP(D807,'Team Data'!C:AB,4,FALSE),"")</f>
        <v/>
      </c>
      <c r="F807" t="str">
        <f>IFERROR(VLOOKUP(D807,'Team Data'!C:AB,5,FALSE),"")</f>
        <v/>
      </c>
      <c r="G807" t="str">
        <f>IFERROR(VLOOKUP('OB Format'!D807,'Team Data'!C:AB,17,FALSE),"")</f>
        <v/>
      </c>
      <c r="H807" t="str">
        <f>IFERROR(VLOOKUP(D807,'Team Data'!C:AB,7,FALSE),"")</f>
        <v/>
      </c>
      <c r="I807" t="str">
        <f>IFERROR(VLOOKUP(D807,'Team Data'!C:AB,14,FALSE),"")</f>
        <v/>
      </c>
      <c r="J807" t="str">
        <f>IFERROR(VLOOKUP(D807,'Team Data'!C:AB,8,FALSE),"")</f>
        <v/>
      </c>
      <c r="K807" t="str">
        <f>IFERROR(VLOOKUP(D807,'Team Data'!C:AB,9,FALSE),"")</f>
        <v/>
      </c>
      <c r="L807" t="str">
        <f>IFERROR(VLOOKUP(D807,'Team Data'!C:AB,10,FALSE),"")</f>
        <v/>
      </c>
      <c r="M807" t="str">
        <f t="shared" si="26"/>
        <v/>
      </c>
      <c r="N807" t="str">
        <f>IFERROR(VLOOKUP(D807,'Team Data'!C:AB,23,FALSE),"")</f>
        <v/>
      </c>
      <c r="O807" t="str">
        <f>IFERROR(VLOOKUP(D807,'Team Data'!C:AB,22,FALSE),"")</f>
        <v/>
      </c>
      <c r="P807" t="str">
        <f t="shared" si="27"/>
        <v/>
      </c>
      <c r="Q807" t="str">
        <f>IFERROR(VLOOKUP(D807,'Team Data'!C:AB,15,FALSE),"")</f>
        <v/>
      </c>
      <c r="R807" t="str">
        <f>IFERROR(VLOOKUP('OB Format'!D807,'Team Data'!C:AB,24,FALSE),"")</f>
        <v/>
      </c>
      <c r="S807" t="str">
        <f>IFERROR(VLOOKUP('OB Format'!D807,'Team Data'!C:AC,25,FALSE),"")</f>
        <v/>
      </c>
    </row>
    <row r="808" spans="5:19" x14ac:dyDescent="0.25">
      <c r="E808" t="str">
        <f>IFERROR(VLOOKUP(D808,'Team Data'!C:AB,4,FALSE),"")</f>
        <v/>
      </c>
      <c r="F808" t="str">
        <f>IFERROR(VLOOKUP(D808,'Team Data'!C:AB,5,FALSE),"")</f>
        <v/>
      </c>
      <c r="G808" t="str">
        <f>IFERROR(VLOOKUP('OB Format'!D808,'Team Data'!C:AB,17,FALSE),"")</f>
        <v/>
      </c>
      <c r="H808" t="str">
        <f>IFERROR(VLOOKUP(D808,'Team Data'!C:AB,7,FALSE),"")</f>
        <v/>
      </c>
      <c r="I808" t="str">
        <f>IFERROR(VLOOKUP(D808,'Team Data'!C:AB,14,FALSE),"")</f>
        <v/>
      </c>
      <c r="J808" t="str">
        <f>IFERROR(VLOOKUP(D808,'Team Data'!C:AB,8,FALSE),"")</f>
        <v/>
      </c>
      <c r="K808" t="str">
        <f>IFERROR(VLOOKUP(D808,'Team Data'!C:AB,9,FALSE),"")</f>
        <v/>
      </c>
      <c r="L808" t="str">
        <f>IFERROR(VLOOKUP(D808,'Team Data'!C:AB,10,FALSE),"")</f>
        <v/>
      </c>
      <c r="M808" t="str">
        <f t="shared" si="26"/>
        <v/>
      </c>
      <c r="N808" t="str">
        <f>IFERROR(VLOOKUP(D808,'Team Data'!C:AB,23,FALSE),"")</f>
        <v/>
      </c>
      <c r="O808" t="str">
        <f>IFERROR(VLOOKUP(D808,'Team Data'!C:AB,22,FALSE),"")</f>
        <v/>
      </c>
      <c r="P808" t="str">
        <f t="shared" si="27"/>
        <v/>
      </c>
      <c r="Q808" t="str">
        <f>IFERROR(VLOOKUP(D808,'Team Data'!C:AB,15,FALSE),"")</f>
        <v/>
      </c>
      <c r="R808" t="str">
        <f>IFERROR(VLOOKUP('OB Format'!D808,'Team Data'!C:AB,24,FALSE),"")</f>
        <v/>
      </c>
      <c r="S808" t="str">
        <f>IFERROR(VLOOKUP('OB Format'!D808,'Team Data'!C:AC,25,FALSE),"")</f>
        <v/>
      </c>
    </row>
    <row r="809" spans="5:19" x14ac:dyDescent="0.25">
      <c r="E809" t="str">
        <f>IFERROR(VLOOKUP(D809,'Team Data'!C:AB,4,FALSE),"")</f>
        <v/>
      </c>
      <c r="F809" t="str">
        <f>IFERROR(VLOOKUP(D809,'Team Data'!C:AB,5,FALSE),"")</f>
        <v/>
      </c>
      <c r="G809" t="str">
        <f>IFERROR(VLOOKUP('OB Format'!D809,'Team Data'!C:AB,17,FALSE),"")</f>
        <v/>
      </c>
      <c r="H809" t="str">
        <f>IFERROR(VLOOKUP(D809,'Team Data'!C:AB,7,FALSE),"")</f>
        <v/>
      </c>
      <c r="I809" t="str">
        <f>IFERROR(VLOOKUP(D809,'Team Data'!C:AB,14,FALSE),"")</f>
        <v/>
      </c>
      <c r="J809" t="str">
        <f>IFERROR(VLOOKUP(D809,'Team Data'!C:AB,8,FALSE),"")</f>
        <v/>
      </c>
      <c r="K809" t="str">
        <f>IFERROR(VLOOKUP(D809,'Team Data'!C:AB,9,FALSE),"")</f>
        <v/>
      </c>
      <c r="L809" t="str">
        <f>IFERROR(VLOOKUP(D809,'Team Data'!C:AB,10,FALSE),"")</f>
        <v/>
      </c>
      <c r="M809" t="str">
        <f t="shared" si="26"/>
        <v/>
      </c>
      <c r="N809" t="str">
        <f>IFERROR(VLOOKUP(D809,'Team Data'!C:AB,23,FALSE),"")</f>
        <v/>
      </c>
      <c r="O809" t="str">
        <f>IFERROR(VLOOKUP(D809,'Team Data'!C:AB,22,FALSE),"")</f>
        <v/>
      </c>
      <c r="P809" t="str">
        <f t="shared" si="27"/>
        <v/>
      </c>
      <c r="Q809" t="str">
        <f>IFERROR(VLOOKUP(D809,'Team Data'!C:AB,15,FALSE),"")</f>
        <v/>
      </c>
      <c r="R809" t="str">
        <f>IFERROR(VLOOKUP('OB Format'!D809,'Team Data'!C:AB,24,FALSE),"")</f>
        <v/>
      </c>
      <c r="S809" t="str">
        <f>IFERROR(VLOOKUP('OB Format'!D809,'Team Data'!C:AC,25,FALSE),"")</f>
        <v/>
      </c>
    </row>
    <row r="810" spans="5:19" x14ac:dyDescent="0.25">
      <c r="E810" t="str">
        <f>IFERROR(VLOOKUP(D810,'Team Data'!C:AB,4,FALSE),"")</f>
        <v/>
      </c>
      <c r="F810" t="str">
        <f>IFERROR(VLOOKUP(D810,'Team Data'!C:AB,5,FALSE),"")</f>
        <v/>
      </c>
      <c r="G810" t="str">
        <f>IFERROR(VLOOKUP('OB Format'!D810,'Team Data'!C:AB,17,FALSE),"")</f>
        <v/>
      </c>
      <c r="H810" t="str">
        <f>IFERROR(VLOOKUP(D810,'Team Data'!C:AB,7,FALSE),"")</f>
        <v/>
      </c>
      <c r="I810" t="str">
        <f>IFERROR(VLOOKUP(D810,'Team Data'!C:AB,14,FALSE),"")</f>
        <v/>
      </c>
      <c r="J810" t="str">
        <f>IFERROR(VLOOKUP(D810,'Team Data'!C:AB,8,FALSE),"")</f>
        <v/>
      </c>
      <c r="K810" t="str">
        <f>IFERROR(VLOOKUP(D810,'Team Data'!C:AB,9,FALSE),"")</f>
        <v/>
      </c>
      <c r="L810" t="str">
        <f>IFERROR(VLOOKUP(D810,'Team Data'!C:AB,10,FALSE),"")</f>
        <v/>
      </c>
      <c r="M810" t="str">
        <f t="shared" si="26"/>
        <v/>
      </c>
      <c r="N810" t="str">
        <f>IFERROR(VLOOKUP(D810,'Team Data'!C:AB,23,FALSE),"")</f>
        <v/>
      </c>
      <c r="O810" t="str">
        <f>IFERROR(VLOOKUP(D810,'Team Data'!C:AB,22,FALSE),"")</f>
        <v/>
      </c>
      <c r="P810" t="str">
        <f t="shared" si="27"/>
        <v/>
      </c>
      <c r="Q810" t="str">
        <f>IFERROR(VLOOKUP(D810,'Team Data'!C:AB,15,FALSE),"")</f>
        <v/>
      </c>
      <c r="R810" t="str">
        <f>IFERROR(VLOOKUP('OB Format'!D810,'Team Data'!C:AB,24,FALSE),"")</f>
        <v/>
      </c>
      <c r="S810" t="str">
        <f>IFERROR(VLOOKUP('OB Format'!D810,'Team Data'!C:AC,25,FALSE),"")</f>
        <v/>
      </c>
    </row>
    <row r="811" spans="5:19" x14ac:dyDescent="0.25">
      <c r="E811" t="str">
        <f>IFERROR(VLOOKUP(D811,'Team Data'!C:AB,4,FALSE),"")</f>
        <v/>
      </c>
      <c r="F811" t="str">
        <f>IFERROR(VLOOKUP(D811,'Team Data'!C:AB,5,FALSE),"")</f>
        <v/>
      </c>
      <c r="G811" t="str">
        <f>IFERROR(VLOOKUP('OB Format'!D811,'Team Data'!C:AB,17,FALSE),"")</f>
        <v/>
      </c>
      <c r="H811" t="str">
        <f>IFERROR(VLOOKUP(D811,'Team Data'!C:AB,7,FALSE),"")</f>
        <v/>
      </c>
      <c r="I811" t="str">
        <f>IFERROR(VLOOKUP(D811,'Team Data'!C:AB,14,FALSE),"")</f>
        <v/>
      </c>
      <c r="J811" t="str">
        <f>IFERROR(VLOOKUP(D811,'Team Data'!C:AB,8,FALSE),"")</f>
        <v/>
      </c>
      <c r="K811" t="str">
        <f>IFERROR(VLOOKUP(D811,'Team Data'!C:AB,9,FALSE),"")</f>
        <v/>
      </c>
      <c r="L811" t="str">
        <f>IFERROR(VLOOKUP(D811,'Team Data'!C:AB,10,FALSE),"")</f>
        <v/>
      </c>
      <c r="M811" t="str">
        <f t="shared" si="26"/>
        <v/>
      </c>
      <c r="N811" t="str">
        <f>IFERROR(VLOOKUP(D811,'Team Data'!C:AB,23,FALSE),"")</f>
        <v/>
      </c>
      <c r="O811" t="str">
        <f>IFERROR(VLOOKUP(D811,'Team Data'!C:AB,22,FALSE),"")</f>
        <v/>
      </c>
      <c r="P811" t="str">
        <f t="shared" si="27"/>
        <v/>
      </c>
      <c r="Q811" t="str">
        <f>IFERROR(VLOOKUP(D811,'Team Data'!C:AB,15,FALSE),"")</f>
        <v/>
      </c>
      <c r="R811" t="str">
        <f>IFERROR(VLOOKUP('OB Format'!D811,'Team Data'!C:AB,24,FALSE),"")</f>
        <v/>
      </c>
      <c r="S811" t="str">
        <f>IFERROR(VLOOKUP('OB Format'!D811,'Team Data'!C:AC,25,FALSE),"")</f>
        <v/>
      </c>
    </row>
    <row r="812" spans="5:19" x14ac:dyDescent="0.25">
      <c r="E812" t="str">
        <f>IFERROR(VLOOKUP(D812,'Team Data'!C:AB,4,FALSE),"")</f>
        <v/>
      </c>
      <c r="F812" t="str">
        <f>IFERROR(VLOOKUP(D812,'Team Data'!C:AB,5,FALSE),"")</f>
        <v/>
      </c>
      <c r="G812" t="str">
        <f>IFERROR(VLOOKUP('OB Format'!D812,'Team Data'!C:AB,17,FALSE),"")</f>
        <v/>
      </c>
      <c r="H812" t="str">
        <f>IFERROR(VLOOKUP(D812,'Team Data'!C:AB,7,FALSE),"")</f>
        <v/>
      </c>
      <c r="I812" t="str">
        <f>IFERROR(VLOOKUP(D812,'Team Data'!C:AB,14,FALSE),"")</f>
        <v/>
      </c>
      <c r="J812" t="str">
        <f>IFERROR(VLOOKUP(D812,'Team Data'!C:AB,8,FALSE),"")</f>
        <v/>
      </c>
      <c r="K812" t="str">
        <f>IFERROR(VLOOKUP(D812,'Team Data'!C:AB,9,FALSE),"")</f>
        <v/>
      </c>
      <c r="L812" t="str">
        <f>IFERROR(VLOOKUP(D812,'Team Data'!C:AB,10,FALSE),"")</f>
        <v/>
      </c>
      <c r="M812" t="str">
        <f t="shared" si="26"/>
        <v/>
      </c>
      <c r="N812" t="str">
        <f>IFERROR(VLOOKUP(D812,'Team Data'!C:AB,23,FALSE),"")</f>
        <v/>
      </c>
      <c r="O812" t="str">
        <f>IFERROR(VLOOKUP(D812,'Team Data'!C:AB,22,FALSE),"")</f>
        <v/>
      </c>
      <c r="P812" t="str">
        <f t="shared" si="27"/>
        <v/>
      </c>
      <c r="Q812" t="str">
        <f>IFERROR(VLOOKUP(D812,'Team Data'!C:AB,15,FALSE),"")</f>
        <v/>
      </c>
      <c r="R812" t="str">
        <f>IFERROR(VLOOKUP('OB Format'!D812,'Team Data'!C:AB,24,FALSE),"")</f>
        <v/>
      </c>
      <c r="S812" t="str">
        <f>IFERROR(VLOOKUP('OB Format'!D812,'Team Data'!C:AC,25,FALSE),"")</f>
        <v/>
      </c>
    </row>
    <row r="813" spans="5:19" x14ac:dyDescent="0.25">
      <c r="E813" t="str">
        <f>IFERROR(VLOOKUP(D813,'Team Data'!C:AB,4,FALSE),"")</f>
        <v/>
      </c>
      <c r="F813" t="str">
        <f>IFERROR(VLOOKUP(D813,'Team Data'!C:AB,5,FALSE),"")</f>
        <v/>
      </c>
      <c r="G813" t="str">
        <f>IFERROR(VLOOKUP('OB Format'!D813,'Team Data'!C:AB,17,FALSE),"")</f>
        <v/>
      </c>
      <c r="H813" t="str">
        <f>IFERROR(VLOOKUP(D813,'Team Data'!C:AB,7,FALSE),"")</f>
        <v/>
      </c>
      <c r="I813" t="str">
        <f>IFERROR(VLOOKUP(D813,'Team Data'!C:AB,14,FALSE),"")</f>
        <v/>
      </c>
      <c r="J813" t="str">
        <f>IFERROR(VLOOKUP(D813,'Team Data'!C:AB,8,FALSE),"")</f>
        <v/>
      </c>
      <c r="K813" t="str">
        <f>IFERROR(VLOOKUP(D813,'Team Data'!C:AB,9,FALSE),"")</f>
        <v/>
      </c>
      <c r="L813" t="str">
        <f>IFERROR(VLOOKUP(D813,'Team Data'!C:AB,10,FALSE),"")</f>
        <v/>
      </c>
      <c r="M813" t="str">
        <f t="shared" si="26"/>
        <v/>
      </c>
      <c r="N813" t="str">
        <f>IFERROR(VLOOKUP(D813,'Team Data'!C:AB,23,FALSE),"")</f>
        <v/>
      </c>
      <c r="O813" t="str">
        <f>IFERROR(VLOOKUP(D813,'Team Data'!C:AB,22,FALSE),"")</f>
        <v/>
      </c>
      <c r="P813" t="str">
        <f t="shared" si="27"/>
        <v/>
      </c>
      <c r="Q813" t="str">
        <f>IFERROR(VLOOKUP(D813,'Team Data'!C:AB,15,FALSE),"")</f>
        <v/>
      </c>
      <c r="R813" t="str">
        <f>IFERROR(VLOOKUP('OB Format'!D813,'Team Data'!C:AB,24,FALSE),"")</f>
        <v/>
      </c>
      <c r="S813" t="str">
        <f>IFERROR(VLOOKUP('OB Format'!D813,'Team Data'!C:AC,25,FALSE),"")</f>
        <v/>
      </c>
    </row>
    <row r="814" spans="5:19" x14ac:dyDescent="0.25">
      <c r="E814" t="str">
        <f>IFERROR(VLOOKUP(D814,'Team Data'!C:AB,4,FALSE),"")</f>
        <v/>
      </c>
      <c r="F814" t="str">
        <f>IFERROR(VLOOKUP(D814,'Team Data'!C:AB,5,FALSE),"")</f>
        <v/>
      </c>
      <c r="G814" t="str">
        <f>IFERROR(VLOOKUP('OB Format'!D814,'Team Data'!C:AB,17,FALSE),"")</f>
        <v/>
      </c>
      <c r="H814" t="str">
        <f>IFERROR(VLOOKUP(D814,'Team Data'!C:AB,7,FALSE),"")</f>
        <v/>
      </c>
      <c r="I814" t="str">
        <f>IFERROR(VLOOKUP(D814,'Team Data'!C:AB,14,FALSE),"")</f>
        <v/>
      </c>
      <c r="J814" t="str">
        <f>IFERROR(VLOOKUP(D814,'Team Data'!C:AB,8,FALSE),"")</f>
        <v/>
      </c>
      <c r="K814" t="str">
        <f>IFERROR(VLOOKUP(D814,'Team Data'!C:AB,9,FALSE),"")</f>
        <v/>
      </c>
      <c r="L814" t="str">
        <f>IFERROR(VLOOKUP(D814,'Team Data'!C:AB,10,FALSE),"")</f>
        <v/>
      </c>
      <c r="M814" t="str">
        <f t="shared" si="26"/>
        <v/>
      </c>
      <c r="N814" t="str">
        <f>IFERROR(VLOOKUP(D814,'Team Data'!C:AB,23,FALSE),"")</f>
        <v/>
      </c>
      <c r="O814" t="str">
        <f>IFERROR(VLOOKUP(D814,'Team Data'!C:AB,22,FALSE),"")</f>
        <v/>
      </c>
      <c r="P814" t="str">
        <f t="shared" si="27"/>
        <v/>
      </c>
      <c r="Q814" t="str">
        <f>IFERROR(VLOOKUP(D814,'Team Data'!C:AB,15,FALSE),"")</f>
        <v/>
      </c>
      <c r="R814" t="str">
        <f>IFERROR(VLOOKUP('OB Format'!D814,'Team Data'!C:AB,24,FALSE),"")</f>
        <v/>
      </c>
      <c r="S814" t="str">
        <f>IFERROR(VLOOKUP('OB Format'!D814,'Team Data'!C:AC,25,FALSE),"")</f>
        <v/>
      </c>
    </row>
    <row r="815" spans="5:19" x14ac:dyDescent="0.25">
      <c r="E815" t="str">
        <f>IFERROR(VLOOKUP(D815,'Team Data'!C:AB,4,FALSE),"")</f>
        <v/>
      </c>
      <c r="F815" t="str">
        <f>IFERROR(VLOOKUP(D815,'Team Data'!C:AB,5,FALSE),"")</f>
        <v/>
      </c>
      <c r="G815" t="str">
        <f>IFERROR(VLOOKUP('OB Format'!D815,'Team Data'!C:AB,17,FALSE),"")</f>
        <v/>
      </c>
      <c r="H815" t="str">
        <f>IFERROR(VLOOKUP(D815,'Team Data'!C:AB,7,FALSE),"")</f>
        <v/>
      </c>
      <c r="I815" t="str">
        <f>IFERROR(VLOOKUP(D815,'Team Data'!C:AB,14,FALSE),"")</f>
        <v/>
      </c>
      <c r="J815" t="str">
        <f>IFERROR(VLOOKUP(D815,'Team Data'!C:AB,8,FALSE),"")</f>
        <v/>
      </c>
      <c r="K815" t="str">
        <f>IFERROR(VLOOKUP(D815,'Team Data'!C:AB,9,FALSE),"")</f>
        <v/>
      </c>
      <c r="L815" t="str">
        <f>IFERROR(VLOOKUP(D815,'Team Data'!C:AB,10,FALSE),"")</f>
        <v/>
      </c>
      <c r="M815" t="str">
        <f t="shared" si="26"/>
        <v/>
      </c>
      <c r="N815" t="str">
        <f>IFERROR(VLOOKUP(D815,'Team Data'!C:AB,23,FALSE),"")</f>
        <v/>
      </c>
      <c r="O815" t="str">
        <f>IFERROR(VLOOKUP(D815,'Team Data'!C:AB,22,FALSE),"")</f>
        <v/>
      </c>
      <c r="P815" t="str">
        <f t="shared" si="27"/>
        <v/>
      </c>
      <c r="Q815" t="str">
        <f>IFERROR(VLOOKUP(D815,'Team Data'!C:AB,15,FALSE),"")</f>
        <v/>
      </c>
      <c r="R815" t="str">
        <f>IFERROR(VLOOKUP('OB Format'!D815,'Team Data'!C:AB,24,FALSE),"")</f>
        <v/>
      </c>
      <c r="S815" t="str">
        <f>IFERROR(VLOOKUP('OB Format'!D815,'Team Data'!C:AC,25,FALSE),"")</f>
        <v/>
      </c>
    </row>
    <row r="816" spans="5:19" x14ac:dyDescent="0.25">
      <c r="E816" t="str">
        <f>IFERROR(VLOOKUP(D816,'Team Data'!C:AB,4,FALSE),"")</f>
        <v/>
      </c>
      <c r="F816" t="str">
        <f>IFERROR(VLOOKUP(D816,'Team Data'!C:AB,5,FALSE),"")</f>
        <v/>
      </c>
      <c r="G816" t="str">
        <f>IFERROR(VLOOKUP('OB Format'!D816,'Team Data'!C:AB,17,FALSE),"")</f>
        <v/>
      </c>
      <c r="H816" t="str">
        <f>IFERROR(VLOOKUP(D816,'Team Data'!C:AB,7,FALSE),"")</f>
        <v/>
      </c>
      <c r="I816" t="str">
        <f>IFERROR(VLOOKUP(D816,'Team Data'!C:AB,14,FALSE),"")</f>
        <v/>
      </c>
      <c r="J816" t="str">
        <f>IFERROR(VLOOKUP(D816,'Team Data'!C:AB,8,FALSE),"")</f>
        <v/>
      </c>
      <c r="K816" t="str">
        <f>IFERROR(VLOOKUP(D816,'Team Data'!C:AB,9,FALSE),"")</f>
        <v/>
      </c>
      <c r="L816" t="str">
        <f>IFERROR(VLOOKUP(D816,'Team Data'!C:AB,10,FALSE),"")</f>
        <v/>
      </c>
      <c r="M816" t="str">
        <f t="shared" si="26"/>
        <v/>
      </c>
      <c r="N816" t="str">
        <f>IFERROR(VLOOKUP(D816,'Team Data'!C:AB,23,FALSE),"")</f>
        <v/>
      </c>
      <c r="O816" t="str">
        <f>IFERROR(VLOOKUP(D816,'Team Data'!C:AB,22,FALSE),"")</f>
        <v/>
      </c>
      <c r="P816" t="str">
        <f t="shared" si="27"/>
        <v/>
      </c>
      <c r="Q816" t="str">
        <f>IFERROR(VLOOKUP(D816,'Team Data'!C:AB,15,FALSE),"")</f>
        <v/>
      </c>
      <c r="R816" t="str">
        <f>IFERROR(VLOOKUP('OB Format'!D816,'Team Data'!C:AB,24,FALSE),"")</f>
        <v/>
      </c>
      <c r="S816" t="str">
        <f>IFERROR(VLOOKUP('OB Format'!D816,'Team Data'!C:AC,25,FALSE),"")</f>
        <v/>
      </c>
    </row>
    <row r="817" spans="5:19" x14ac:dyDescent="0.25">
      <c r="E817" t="str">
        <f>IFERROR(VLOOKUP(D817,'Team Data'!C:AB,4,FALSE),"")</f>
        <v/>
      </c>
      <c r="F817" t="str">
        <f>IFERROR(VLOOKUP(D817,'Team Data'!C:AB,5,FALSE),"")</f>
        <v/>
      </c>
      <c r="G817" t="str">
        <f>IFERROR(VLOOKUP('OB Format'!D817,'Team Data'!C:AB,17,FALSE),"")</f>
        <v/>
      </c>
      <c r="H817" t="str">
        <f>IFERROR(VLOOKUP(D817,'Team Data'!C:AB,7,FALSE),"")</f>
        <v/>
      </c>
      <c r="I817" t="str">
        <f>IFERROR(VLOOKUP(D817,'Team Data'!C:AB,14,FALSE),"")</f>
        <v/>
      </c>
      <c r="J817" t="str">
        <f>IFERROR(VLOOKUP(D817,'Team Data'!C:AB,8,FALSE),"")</f>
        <v/>
      </c>
      <c r="K817" t="str">
        <f>IFERROR(VLOOKUP(D817,'Team Data'!C:AB,9,FALSE),"")</f>
        <v/>
      </c>
      <c r="L817" t="str">
        <f>IFERROR(VLOOKUP(D817,'Team Data'!C:AB,10,FALSE),"")</f>
        <v/>
      </c>
      <c r="M817" t="str">
        <f t="shared" si="26"/>
        <v/>
      </c>
      <c r="N817" t="str">
        <f>IFERROR(VLOOKUP(D817,'Team Data'!C:AB,23,FALSE),"")</f>
        <v/>
      </c>
      <c r="O817" t="str">
        <f>IFERROR(VLOOKUP(D817,'Team Data'!C:AB,22,FALSE),"")</f>
        <v/>
      </c>
      <c r="P817" t="str">
        <f t="shared" si="27"/>
        <v/>
      </c>
      <c r="Q817" t="str">
        <f>IFERROR(VLOOKUP(D817,'Team Data'!C:AB,15,FALSE),"")</f>
        <v/>
      </c>
      <c r="R817" t="str">
        <f>IFERROR(VLOOKUP('OB Format'!D817,'Team Data'!C:AB,24,FALSE),"")</f>
        <v/>
      </c>
      <c r="S817" t="str">
        <f>IFERROR(VLOOKUP('OB Format'!D817,'Team Data'!C:AC,25,FALSE),"")</f>
        <v/>
      </c>
    </row>
    <row r="818" spans="5:19" x14ac:dyDescent="0.25">
      <c r="E818" t="str">
        <f>IFERROR(VLOOKUP(D818,'Team Data'!C:AB,4,FALSE),"")</f>
        <v/>
      </c>
      <c r="F818" t="str">
        <f>IFERROR(VLOOKUP(D818,'Team Data'!C:AB,5,FALSE),"")</f>
        <v/>
      </c>
      <c r="G818" t="str">
        <f>IFERROR(VLOOKUP('OB Format'!D818,'Team Data'!C:AB,17,FALSE),"")</f>
        <v/>
      </c>
      <c r="H818" t="str">
        <f>IFERROR(VLOOKUP(D818,'Team Data'!C:AB,7,FALSE),"")</f>
        <v/>
      </c>
      <c r="I818" t="str">
        <f>IFERROR(VLOOKUP(D818,'Team Data'!C:AB,14,FALSE),"")</f>
        <v/>
      </c>
      <c r="J818" t="str">
        <f>IFERROR(VLOOKUP(D818,'Team Data'!C:AB,8,FALSE),"")</f>
        <v/>
      </c>
      <c r="K818" t="str">
        <f>IFERROR(VLOOKUP(D818,'Team Data'!C:AB,9,FALSE),"")</f>
        <v/>
      </c>
      <c r="L818" t="str">
        <f>IFERROR(VLOOKUP(D818,'Team Data'!C:AB,10,FALSE),"")</f>
        <v/>
      </c>
      <c r="M818" t="str">
        <f t="shared" si="26"/>
        <v/>
      </c>
      <c r="N818" t="str">
        <f>IFERROR(VLOOKUP(D818,'Team Data'!C:AB,23,FALSE),"")</f>
        <v/>
      </c>
      <c r="O818" t="str">
        <f>IFERROR(VLOOKUP(D818,'Team Data'!C:AB,22,FALSE),"")</f>
        <v/>
      </c>
      <c r="P818" t="str">
        <f t="shared" si="27"/>
        <v/>
      </c>
      <c r="Q818" t="str">
        <f>IFERROR(VLOOKUP(D818,'Team Data'!C:AB,15,FALSE),"")</f>
        <v/>
      </c>
      <c r="R818" t="str">
        <f>IFERROR(VLOOKUP('OB Format'!D818,'Team Data'!C:AB,24,FALSE),"")</f>
        <v/>
      </c>
      <c r="S818" t="str">
        <f>IFERROR(VLOOKUP('OB Format'!D818,'Team Data'!C:AC,25,FALSE),"")</f>
        <v/>
      </c>
    </row>
    <row r="819" spans="5:19" x14ac:dyDescent="0.25">
      <c r="E819" t="str">
        <f>IFERROR(VLOOKUP(D819,'Team Data'!C:AB,4,FALSE),"")</f>
        <v/>
      </c>
      <c r="F819" t="str">
        <f>IFERROR(VLOOKUP(D819,'Team Data'!C:AB,5,FALSE),"")</f>
        <v/>
      </c>
      <c r="G819" t="str">
        <f>IFERROR(VLOOKUP('OB Format'!D819,'Team Data'!C:AB,17,FALSE),"")</f>
        <v/>
      </c>
      <c r="H819" t="str">
        <f>IFERROR(VLOOKUP(D819,'Team Data'!C:AB,7,FALSE),"")</f>
        <v/>
      </c>
      <c r="I819" t="str">
        <f>IFERROR(VLOOKUP(D819,'Team Data'!C:AB,14,FALSE),"")</f>
        <v/>
      </c>
      <c r="J819" t="str">
        <f>IFERROR(VLOOKUP(D819,'Team Data'!C:AB,8,FALSE),"")</f>
        <v/>
      </c>
      <c r="K819" t="str">
        <f>IFERROR(VLOOKUP(D819,'Team Data'!C:AB,9,FALSE),"")</f>
        <v/>
      </c>
      <c r="L819" t="str">
        <f>IFERROR(VLOOKUP(D819,'Team Data'!C:AB,10,FALSE),"")</f>
        <v/>
      </c>
      <c r="M819" t="str">
        <f t="shared" si="26"/>
        <v/>
      </c>
      <c r="N819" t="str">
        <f>IFERROR(VLOOKUP(D819,'Team Data'!C:AB,23,FALSE),"")</f>
        <v/>
      </c>
      <c r="O819" t="str">
        <f>IFERROR(VLOOKUP(D819,'Team Data'!C:AB,22,FALSE),"")</f>
        <v/>
      </c>
      <c r="P819" t="str">
        <f t="shared" si="27"/>
        <v/>
      </c>
      <c r="Q819" t="str">
        <f>IFERROR(VLOOKUP(D819,'Team Data'!C:AB,15,FALSE),"")</f>
        <v/>
      </c>
      <c r="R819" t="str">
        <f>IFERROR(VLOOKUP('OB Format'!D819,'Team Data'!C:AB,24,FALSE),"")</f>
        <v/>
      </c>
      <c r="S819" t="str">
        <f>IFERROR(VLOOKUP('OB Format'!D819,'Team Data'!C:AC,25,FALSE),"")</f>
        <v/>
      </c>
    </row>
    <row r="820" spans="5:19" x14ac:dyDescent="0.25">
      <c r="E820" t="str">
        <f>IFERROR(VLOOKUP(D820,'Team Data'!C:AB,4,FALSE),"")</f>
        <v/>
      </c>
      <c r="F820" t="str">
        <f>IFERROR(VLOOKUP(D820,'Team Data'!C:AB,5,FALSE),"")</f>
        <v/>
      </c>
      <c r="G820" t="str">
        <f>IFERROR(VLOOKUP('OB Format'!D820,'Team Data'!C:AB,17,FALSE),"")</f>
        <v/>
      </c>
      <c r="H820" t="str">
        <f>IFERROR(VLOOKUP(D820,'Team Data'!C:AB,7,FALSE),"")</f>
        <v/>
      </c>
      <c r="I820" t="str">
        <f>IFERROR(VLOOKUP(D820,'Team Data'!C:AB,14,FALSE),"")</f>
        <v/>
      </c>
      <c r="J820" t="str">
        <f>IFERROR(VLOOKUP(D820,'Team Data'!C:AB,8,FALSE),"")</f>
        <v/>
      </c>
      <c r="K820" t="str">
        <f>IFERROR(VLOOKUP(D820,'Team Data'!C:AB,9,FALSE),"")</f>
        <v/>
      </c>
      <c r="L820" t="str">
        <f>IFERROR(VLOOKUP(D820,'Team Data'!C:AB,10,FALSE),"")</f>
        <v/>
      </c>
      <c r="M820" t="str">
        <f t="shared" si="26"/>
        <v/>
      </c>
      <c r="N820" t="str">
        <f>IFERROR(VLOOKUP(D820,'Team Data'!C:AB,23,FALSE),"")</f>
        <v/>
      </c>
      <c r="O820" t="str">
        <f>IFERROR(VLOOKUP(D820,'Team Data'!C:AB,22,FALSE),"")</f>
        <v/>
      </c>
      <c r="P820" t="str">
        <f t="shared" si="27"/>
        <v/>
      </c>
      <c r="Q820" t="str">
        <f>IFERROR(VLOOKUP(D820,'Team Data'!C:AB,15,FALSE),"")</f>
        <v/>
      </c>
      <c r="R820" t="str">
        <f>IFERROR(VLOOKUP('OB Format'!D820,'Team Data'!C:AB,24,FALSE),"")</f>
        <v/>
      </c>
      <c r="S820" t="str">
        <f>IFERROR(VLOOKUP('OB Format'!D820,'Team Data'!C:AC,25,FALSE),"")</f>
        <v/>
      </c>
    </row>
    <row r="821" spans="5:19" x14ac:dyDescent="0.25">
      <c r="E821" t="str">
        <f>IFERROR(VLOOKUP(D821,'Team Data'!C:AB,4,FALSE),"")</f>
        <v/>
      </c>
      <c r="F821" t="str">
        <f>IFERROR(VLOOKUP(D821,'Team Data'!C:AB,5,FALSE),"")</f>
        <v/>
      </c>
      <c r="G821" t="str">
        <f>IFERROR(VLOOKUP('OB Format'!D821,'Team Data'!C:AB,17,FALSE),"")</f>
        <v/>
      </c>
      <c r="H821" t="str">
        <f>IFERROR(VLOOKUP(D821,'Team Data'!C:AB,7,FALSE),"")</f>
        <v/>
      </c>
      <c r="I821" t="str">
        <f>IFERROR(VLOOKUP(D821,'Team Data'!C:AB,14,FALSE),"")</f>
        <v/>
      </c>
      <c r="J821" t="str">
        <f>IFERROR(VLOOKUP(D821,'Team Data'!C:AB,8,FALSE),"")</f>
        <v/>
      </c>
      <c r="K821" t="str">
        <f>IFERROR(VLOOKUP(D821,'Team Data'!C:AB,9,FALSE),"")</f>
        <v/>
      </c>
      <c r="L821" t="str">
        <f>IFERROR(VLOOKUP(D821,'Team Data'!C:AB,10,FALSE),"")</f>
        <v/>
      </c>
      <c r="M821" t="str">
        <f t="shared" si="26"/>
        <v/>
      </c>
      <c r="N821" t="str">
        <f>IFERROR(VLOOKUP(D821,'Team Data'!C:AB,23,FALSE),"")</f>
        <v/>
      </c>
      <c r="O821" t="str">
        <f>IFERROR(VLOOKUP(D821,'Team Data'!C:AB,22,FALSE),"")</f>
        <v/>
      </c>
      <c r="P821" t="str">
        <f t="shared" si="27"/>
        <v/>
      </c>
      <c r="Q821" t="str">
        <f>IFERROR(VLOOKUP(D821,'Team Data'!C:AB,15,FALSE),"")</f>
        <v/>
      </c>
      <c r="R821" t="str">
        <f>IFERROR(VLOOKUP('OB Format'!D821,'Team Data'!C:AB,24,FALSE),"")</f>
        <v/>
      </c>
      <c r="S821" t="str">
        <f>IFERROR(VLOOKUP('OB Format'!D821,'Team Data'!C:AC,25,FALSE),"")</f>
        <v/>
      </c>
    </row>
    <row r="822" spans="5:19" x14ac:dyDescent="0.25">
      <c r="E822" t="str">
        <f>IFERROR(VLOOKUP(D822,'Team Data'!C:AB,4,FALSE),"")</f>
        <v/>
      </c>
      <c r="F822" t="str">
        <f>IFERROR(VLOOKUP(D822,'Team Data'!C:AB,5,FALSE),"")</f>
        <v/>
      </c>
      <c r="G822" t="str">
        <f>IFERROR(VLOOKUP('OB Format'!D822,'Team Data'!C:AB,17,FALSE),"")</f>
        <v/>
      </c>
      <c r="H822" t="str">
        <f>IFERROR(VLOOKUP(D822,'Team Data'!C:AB,7,FALSE),"")</f>
        <v/>
      </c>
      <c r="I822" t="str">
        <f>IFERROR(VLOOKUP(D822,'Team Data'!C:AB,14,FALSE),"")</f>
        <v/>
      </c>
      <c r="J822" t="str">
        <f>IFERROR(VLOOKUP(D822,'Team Data'!C:AB,8,FALSE),"")</f>
        <v/>
      </c>
      <c r="K822" t="str">
        <f>IFERROR(VLOOKUP(D822,'Team Data'!C:AB,9,FALSE),"")</f>
        <v/>
      </c>
      <c r="L822" t="str">
        <f>IFERROR(VLOOKUP(D822,'Team Data'!C:AB,10,FALSE),"")</f>
        <v/>
      </c>
      <c r="M822" t="str">
        <f t="shared" si="26"/>
        <v/>
      </c>
      <c r="N822" t="str">
        <f>IFERROR(VLOOKUP(D822,'Team Data'!C:AB,23,FALSE),"")</f>
        <v/>
      </c>
      <c r="O822" t="str">
        <f>IFERROR(VLOOKUP(D822,'Team Data'!C:AB,22,FALSE),"")</f>
        <v/>
      </c>
      <c r="P822" t="str">
        <f t="shared" si="27"/>
        <v/>
      </c>
      <c r="Q822" t="str">
        <f>IFERROR(VLOOKUP(D822,'Team Data'!C:AB,15,FALSE),"")</f>
        <v/>
      </c>
      <c r="R822" t="str">
        <f>IFERROR(VLOOKUP('OB Format'!D822,'Team Data'!C:AB,24,FALSE),"")</f>
        <v/>
      </c>
      <c r="S822" t="str">
        <f>IFERROR(VLOOKUP('OB Format'!D822,'Team Data'!C:AC,25,FALSE),"")</f>
        <v/>
      </c>
    </row>
    <row r="823" spans="5:19" x14ac:dyDescent="0.25">
      <c r="E823" t="str">
        <f>IFERROR(VLOOKUP(D823,'Team Data'!C:AB,4,FALSE),"")</f>
        <v/>
      </c>
      <c r="F823" t="str">
        <f>IFERROR(VLOOKUP(D823,'Team Data'!C:AB,5,FALSE),"")</f>
        <v/>
      </c>
      <c r="G823" t="str">
        <f>IFERROR(VLOOKUP('OB Format'!D823,'Team Data'!C:AB,17,FALSE),"")</f>
        <v/>
      </c>
      <c r="H823" t="str">
        <f>IFERROR(VLOOKUP(D823,'Team Data'!C:AB,7,FALSE),"")</f>
        <v/>
      </c>
      <c r="I823" t="str">
        <f>IFERROR(VLOOKUP(D823,'Team Data'!C:AB,14,FALSE),"")</f>
        <v/>
      </c>
      <c r="J823" t="str">
        <f>IFERROR(VLOOKUP(D823,'Team Data'!C:AB,8,FALSE),"")</f>
        <v/>
      </c>
      <c r="K823" t="str">
        <f>IFERROR(VLOOKUP(D823,'Team Data'!C:AB,9,FALSE),"")</f>
        <v/>
      </c>
      <c r="L823" t="str">
        <f>IFERROR(VLOOKUP(D823,'Team Data'!C:AB,10,FALSE),"")</f>
        <v/>
      </c>
      <c r="M823" t="str">
        <f t="shared" si="26"/>
        <v/>
      </c>
      <c r="N823" t="str">
        <f>IFERROR(VLOOKUP(D823,'Team Data'!C:AB,23,FALSE),"")</f>
        <v/>
      </c>
      <c r="O823" t="str">
        <f>IFERROR(VLOOKUP(D823,'Team Data'!C:AB,22,FALSE),"")</f>
        <v/>
      </c>
      <c r="P823" t="str">
        <f t="shared" si="27"/>
        <v/>
      </c>
      <c r="Q823" t="str">
        <f>IFERROR(VLOOKUP(D823,'Team Data'!C:AB,15,FALSE),"")</f>
        <v/>
      </c>
      <c r="R823" t="str">
        <f>IFERROR(VLOOKUP('OB Format'!D823,'Team Data'!C:AB,24,FALSE),"")</f>
        <v/>
      </c>
      <c r="S823" t="str">
        <f>IFERROR(VLOOKUP('OB Format'!D823,'Team Data'!C:AC,25,FALSE),"")</f>
        <v/>
      </c>
    </row>
    <row r="824" spans="5:19" x14ac:dyDescent="0.25">
      <c r="E824" t="str">
        <f>IFERROR(VLOOKUP(D824,'Team Data'!C:AB,4,FALSE),"")</f>
        <v/>
      </c>
      <c r="F824" t="str">
        <f>IFERROR(VLOOKUP(D824,'Team Data'!C:AB,5,FALSE),"")</f>
        <v/>
      </c>
      <c r="G824" t="str">
        <f>IFERROR(VLOOKUP('OB Format'!D824,'Team Data'!C:AB,17,FALSE),"")</f>
        <v/>
      </c>
      <c r="H824" t="str">
        <f>IFERROR(VLOOKUP(D824,'Team Data'!C:AB,7,FALSE),"")</f>
        <v/>
      </c>
      <c r="I824" t="str">
        <f>IFERROR(VLOOKUP(D824,'Team Data'!C:AB,14,FALSE),"")</f>
        <v/>
      </c>
      <c r="J824" t="str">
        <f>IFERROR(VLOOKUP(D824,'Team Data'!C:AB,8,FALSE),"")</f>
        <v/>
      </c>
      <c r="K824" t="str">
        <f>IFERROR(VLOOKUP(D824,'Team Data'!C:AB,9,FALSE),"")</f>
        <v/>
      </c>
      <c r="L824" t="str">
        <f>IFERROR(VLOOKUP(D824,'Team Data'!C:AB,10,FALSE),"")</f>
        <v/>
      </c>
      <c r="M824" t="str">
        <f t="shared" si="26"/>
        <v/>
      </c>
      <c r="N824" t="str">
        <f>IFERROR(VLOOKUP(D824,'Team Data'!C:AB,23,FALSE),"")</f>
        <v/>
      </c>
      <c r="O824" t="str">
        <f>IFERROR(VLOOKUP(D824,'Team Data'!C:AB,22,FALSE),"")</f>
        <v/>
      </c>
      <c r="P824" t="str">
        <f t="shared" si="27"/>
        <v/>
      </c>
      <c r="Q824" t="str">
        <f>IFERROR(VLOOKUP(D824,'Team Data'!C:AB,15,FALSE),"")</f>
        <v/>
      </c>
      <c r="R824" t="str">
        <f>IFERROR(VLOOKUP('OB Format'!D824,'Team Data'!C:AB,24,FALSE),"")</f>
        <v/>
      </c>
      <c r="S824" t="str">
        <f>IFERROR(VLOOKUP('OB Format'!D824,'Team Data'!C:AC,25,FALSE),"")</f>
        <v/>
      </c>
    </row>
    <row r="825" spans="5:19" x14ac:dyDescent="0.25">
      <c r="E825" t="str">
        <f>IFERROR(VLOOKUP(D825,'Team Data'!C:AB,4,FALSE),"")</f>
        <v/>
      </c>
      <c r="F825" t="str">
        <f>IFERROR(VLOOKUP(D825,'Team Data'!C:AB,5,FALSE),"")</f>
        <v/>
      </c>
      <c r="G825" t="str">
        <f>IFERROR(VLOOKUP('OB Format'!D825,'Team Data'!C:AB,17,FALSE),"")</f>
        <v/>
      </c>
      <c r="H825" t="str">
        <f>IFERROR(VLOOKUP(D825,'Team Data'!C:AB,7,FALSE),"")</f>
        <v/>
      </c>
      <c r="I825" t="str">
        <f>IFERROR(VLOOKUP(D825,'Team Data'!C:AB,14,FALSE),"")</f>
        <v/>
      </c>
      <c r="J825" t="str">
        <f>IFERROR(VLOOKUP(D825,'Team Data'!C:AB,8,FALSE),"")</f>
        <v/>
      </c>
      <c r="K825" t="str">
        <f>IFERROR(VLOOKUP(D825,'Team Data'!C:AB,9,FALSE),"")</f>
        <v/>
      </c>
      <c r="L825" t="str">
        <f>IFERROR(VLOOKUP(D825,'Team Data'!C:AB,10,FALSE),"")</f>
        <v/>
      </c>
      <c r="M825" t="str">
        <f t="shared" si="26"/>
        <v/>
      </c>
      <c r="N825" t="str">
        <f>IFERROR(VLOOKUP(D825,'Team Data'!C:AB,23,FALSE),"")</f>
        <v/>
      </c>
      <c r="O825" t="str">
        <f>IFERROR(VLOOKUP(D825,'Team Data'!C:AB,22,FALSE),"")</f>
        <v/>
      </c>
      <c r="P825" t="str">
        <f t="shared" si="27"/>
        <v/>
      </c>
      <c r="Q825" t="str">
        <f>IFERROR(VLOOKUP(D825,'Team Data'!C:AB,15,FALSE),"")</f>
        <v/>
      </c>
      <c r="R825" t="str">
        <f>IFERROR(VLOOKUP('OB Format'!D825,'Team Data'!C:AB,24,FALSE),"")</f>
        <v/>
      </c>
      <c r="S825" t="str">
        <f>IFERROR(VLOOKUP('OB Format'!D825,'Team Data'!C:AC,25,FALSE),"")</f>
        <v/>
      </c>
    </row>
    <row r="826" spans="5:19" x14ac:dyDescent="0.25">
      <c r="E826" t="str">
        <f>IFERROR(VLOOKUP(D826,'Team Data'!C:AB,4,FALSE),"")</f>
        <v/>
      </c>
      <c r="F826" t="str">
        <f>IFERROR(VLOOKUP(D826,'Team Data'!C:AB,5,FALSE),"")</f>
        <v/>
      </c>
      <c r="G826" t="str">
        <f>IFERROR(VLOOKUP('OB Format'!D826,'Team Data'!C:AB,17,FALSE),"")</f>
        <v/>
      </c>
      <c r="H826" t="str">
        <f>IFERROR(VLOOKUP(D826,'Team Data'!C:AB,7,FALSE),"")</f>
        <v/>
      </c>
      <c r="I826" t="str">
        <f>IFERROR(VLOOKUP(D826,'Team Data'!C:AB,14,FALSE),"")</f>
        <v/>
      </c>
      <c r="J826" t="str">
        <f>IFERROR(VLOOKUP(D826,'Team Data'!C:AB,8,FALSE),"")</f>
        <v/>
      </c>
      <c r="K826" t="str">
        <f>IFERROR(VLOOKUP(D826,'Team Data'!C:AB,9,FALSE),"")</f>
        <v/>
      </c>
      <c r="L826" t="str">
        <f>IFERROR(VLOOKUP(D826,'Team Data'!C:AB,10,FALSE),"")</f>
        <v/>
      </c>
      <c r="M826" t="str">
        <f t="shared" si="26"/>
        <v/>
      </c>
      <c r="N826" t="str">
        <f>IFERROR(VLOOKUP(D826,'Team Data'!C:AB,23,FALSE),"")</f>
        <v/>
      </c>
      <c r="O826" t="str">
        <f>IFERROR(VLOOKUP(D826,'Team Data'!C:AB,22,FALSE),"")</f>
        <v/>
      </c>
      <c r="P826" t="str">
        <f t="shared" si="27"/>
        <v/>
      </c>
      <c r="Q826" t="str">
        <f>IFERROR(VLOOKUP(D826,'Team Data'!C:AB,15,FALSE),"")</f>
        <v/>
      </c>
      <c r="R826" t="str">
        <f>IFERROR(VLOOKUP('OB Format'!D826,'Team Data'!C:AB,24,FALSE),"")</f>
        <v/>
      </c>
      <c r="S826" t="str">
        <f>IFERROR(VLOOKUP('OB Format'!D826,'Team Data'!C:AC,25,FALSE),"")</f>
        <v/>
      </c>
    </row>
    <row r="827" spans="5:19" x14ac:dyDescent="0.25">
      <c r="E827" t="str">
        <f>IFERROR(VLOOKUP(D827,'Team Data'!C:AB,4,FALSE),"")</f>
        <v/>
      </c>
      <c r="F827" t="str">
        <f>IFERROR(VLOOKUP(D827,'Team Data'!C:AB,5,FALSE),"")</f>
        <v/>
      </c>
      <c r="G827" t="str">
        <f>IFERROR(VLOOKUP('OB Format'!D827,'Team Data'!C:AB,17,FALSE),"")</f>
        <v/>
      </c>
      <c r="H827" t="str">
        <f>IFERROR(VLOOKUP(D827,'Team Data'!C:AB,7,FALSE),"")</f>
        <v/>
      </c>
      <c r="I827" t="str">
        <f>IFERROR(VLOOKUP(D827,'Team Data'!C:AB,14,FALSE),"")</f>
        <v/>
      </c>
      <c r="J827" t="str">
        <f>IFERROR(VLOOKUP(D827,'Team Data'!C:AB,8,FALSE),"")</f>
        <v/>
      </c>
      <c r="K827" t="str">
        <f>IFERROR(VLOOKUP(D827,'Team Data'!C:AB,9,FALSE),"")</f>
        <v/>
      </c>
      <c r="L827" t="str">
        <f>IFERROR(VLOOKUP(D827,'Team Data'!C:AB,10,FALSE),"")</f>
        <v/>
      </c>
      <c r="M827" t="str">
        <f t="shared" si="26"/>
        <v/>
      </c>
      <c r="N827" t="str">
        <f>IFERROR(VLOOKUP(D827,'Team Data'!C:AB,23,FALSE),"")</f>
        <v/>
      </c>
      <c r="O827" t="str">
        <f>IFERROR(VLOOKUP(D827,'Team Data'!C:AB,22,FALSE),"")</f>
        <v/>
      </c>
      <c r="P827" t="str">
        <f t="shared" si="27"/>
        <v/>
      </c>
      <c r="Q827" t="str">
        <f>IFERROR(VLOOKUP(D827,'Team Data'!C:AB,15,FALSE),"")</f>
        <v/>
      </c>
      <c r="R827" t="str">
        <f>IFERROR(VLOOKUP('OB Format'!D827,'Team Data'!C:AB,24,FALSE),"")</f>
        <v/>
      </c>
      <c r="S827" t="str">
        <f>IFERROR(VLOOKUP('OB Format'!D827,'Team Data'!C:AC,25,FALSE),"")</f>
        <v/>
      </c>
    </row>
    <row r="828" spans="5:19" x14ac:dyDescent="0.25">
      <c r="E828" t="str">
        <f>IFERROR(VLOOKUP(D828,'Team Data'!C:AB,4,FALSE),"")</f>
        <v/>
      </c>
      <c r="F828" t="str">
        <f>IFERROR(VLOOKUP(D828,'Team Data'!C:AB,5,FALSE),"")</f>
        <v/>
      </c>
      <c r="G828" t="str">
        <f>IFERROR(VLOOKUP('OB Format'!D828,'Team Data'!C:AB,17,FALSE),"")</f>
        <v/>
      </c>
      <c r="H828" t="str">
        <f>IFERROR(VLOOKUP(D828,'Team Data'!C:AB,7,FALSE),"")</f>
        <v/>
      </c>
      <c r="I828" t="str">
        <f>IFERROR(VLOOKUP(D828,'Team Data'!C:AB,14,FALSE),"")</f>
        <v/>
      </c>
      <c r="J828" t="str">
        <f>IFERROR(VLOOKUP(D828,'Team Data'!C:AB,8,FALSE),"")</f>
        <v/>
      </c>
      <c r="K828" t="str">
        <f>IFERROR(VLOOKUP(D828,'Team Data'!C:AB,9,FALSE),"")</f>
        <v/>
      </c>
      <c r="L828" t="str">
        <f>IFERROR(VLOOKUP(D828,'Team Data'!C:AB,10,FALSE),"")</f>
        <v/>
      </c>
      <c r="M828" t="str">
        <f t="shared" si="26"/>
        <v/>
      </c>
      <c r="N828" t="str">
        <f>IFERROR(VLOOKUP(D828,'Team Data'!C:AB,23,FALSE),"")</f>
        <v/>
      </c>
      <c r="O828" t="str">
        <f>IFERROR(VLOOKUP(D828,'Team Data'!C:AB,22,FALSE),"")</f>
        <v/>
      </c>
      <c r="P828" t="str">
        <f t="shared" si="27"/>
        <v/>
      </c>
      <c r="Q828" t="str">
        <f>IFERROR(VLOOKUP(D828,'Team Data'!C:AB,15,FALSE),"")</f>
        <v/>
      </c>
      <c r="R828" t="str">
        <f>IFERROR(VLOOKUP('OB Format'!D828,'Team Data'!C:AB,24,FALSE),"")</f>
        <v/>
      </c>
      <c r="S828" t="str">
        <f>IFERROR(VLOOKUP('OB Format'!D828,'Team Data'!C:AC,25,FALSE),"")</f>
        <v/>
      </c>
    </row>
    <row r="829" spans="5:19" x14ac:dyDescent="0.25">
      <c r="E829" t="str">
        <f>IFERROR(VLOOKUP(D829,'Team Data'!C:AB,4,FALSE),"")</f>
        <v/>
      </c>
      <c r="F829" t="str">
        <f>IFERROR(VLOOKUP(D829,'Team Data'!C:AB,5,FALSE),"")</f>
        <v/>
      </c>
      <c r="G829" t="str">
        <f>IFERROR(VLOOKUP('OB Format'!D829,'Team Data'!C:AB,17,FALSE),"")</f>
        <v/>
      </c>
      <c r="H829" t="str">
        <f>IFERROR(VLOOKUP(D829,'Team Data'!C:AB,7,FALSE),"")</f>
        <v/>
      </c>
      <c r="I829" t="str">
        <f>IFERROR(VLOOKUP(D829,'Team Data'!C:AB,14,FALSE),"")</f>
        <v/>
      </c>
      <c r="J829" t="str">
        <f>IFERROR(VLOOKUP(D829,'Team Data'!C:AB,8,FALSE),"")</f>
        <v/>
      </c>
      <c r="K829" t="str">
        <f>IFERROR(VLOOKUP(D829,'Team Data'!C:AB,9,FALSE),"")</f>
        <v/>
      </c>
      <c r="L829" t="str">
        <f>IFERROR(VLOOKUP(D829,'Team Data'!C:AB,10,FALSE),"")</f>
        <v/>
      </c>
      <c r="M829" t="str">
        <f t="shared" si="26"/>
        <v/>
      </c>
      <c r="N829" t="str">
        <f>IFERROR(VLOOKUP(D829,'Team Data'!C:AB,23,FALSE),"")</f>
        <v/>
      </c>
      <c r="O829" t="str">
        <f>IFERROR(VLOOKUP(D829,'Team Data'!C:AB,22,FALSE),"")</f>
        <v/>
      </c>
      <c r="P829" t="str">
        <f t="shared" si="27"/>
        <v/>
      </c>
      <c r="Q829" t="str">
        <f>IFERROR(VLOOKUP(D829,'Team Data'!C:AB,15,FALSE),"")</f>
        <v/>
      </c>
      <c r="R829" t="str">
        <f>IFERROR(VLOOKUP('OB Format'!D829,'Team Data'!C:AB,24,FALSE),"")</f>
        <v/>
      </c>
      <c r="S829" t="str">
        <f>IFERROR(VLOOKUP('OB Format'!D829,'Team Data'!C:AC,25,FALSE),"")</f>
        <v/>
      </c>
    </row>
    <row r="830" spans="5:19" x14ac:dyDescent="0.25">
      <c r="E830" t="str">
        <f>IFERROR(VLOOKUP(D830,'Team Data'!C:AB,4,FALSE),"")</f>
        <v/>
      </c>
      <c r="F830" t="str">
        <f>IFERROR(VLOOKUP(D830,'Team Data'!C:AB,5,FALSE),"")</f>
        <v/>
      </c>
      <c r="G830" t="str">
        <f>IFERROR(VLOOKUP('OB Format'!D830,'Team Data'!C:AB,17,FALSE),"")</f>
        <v/>
      </c>
      <c r="H830" t="str">
        <f>IFERROR(VLOOKUP(D830,'Team Data'!C:AB,7,FALSE),"")</f>
        <v/>
      </c>
      <c r="I830" t="str">
        <f>IFERROR(VLOOKUP(D830,'Team Data'!C:AB,14,FALSE),"")</f>
        <v/>
      </c>
      <c r="J830" t="str">
        <f>IFERROR(VLOOKUP(D830,'Team Data'!C:AB,8,FALSE),"")</f>
        <v/>
      </c>
      <c r="K830" t="str">
        <f>IFERROR(VLOOKUP(D830,'Team Data'!C:AB,9,FALSE),"")</f>
        <v/>
      </c>
      <c r="L830" t="str">
        <f>IFERROR(VLOOKUP(D830,'Team Data'!C:AB,10,FALSE),"")</f>
        <v/>
      </c>
      <c r="M830" t="str">
        <f t="shared" si="26"/>
        <v/>
      </c>
      <c r="N830" t="str">
        <f>IFERROR(VLOOKUP(D830,'Team Data'!C:AB,23,FALSE),"")</f>
        <v/>
      </c>
      <c r="O830" t="str">
        <f>IFERROR(VLOOKUP(D830,'Team Data'!C:AB,22,FALSE),"")</f>
        <v/>
      </c>
      <c r="P830" t="str">
        <f t="shared" si="27"/>
        <v/>
      </c>
      <c r="Q830" t="str">
        <f>IFERROR(VLOOKUP(D830,'Team Data'!C:AB,15,FALSE),"")</f>
        <v/>
      </c>
      <c r="R830" t="str">
        <f>IFERROR(VLOOKUP('OB Format'!D830,'Team Data'!C:AB,24,FALSE),"")</f>
        <v/>
      </c>
      <c r="S830" t="str">
        <f>IFERROR(VLOOKUP('OB Format'!D830,'Team Data'!C:AC,25,FALSE),"")</f>
        <v/>
      </c>
    </row>
    <row r="831" spans="5:19" x14ac:dyDescent="0.25">
      <c r="E831" t="str">
        <f>IFERROR(VLOOKUP(D831,'Team Data'!C:AB,4,FALSE),"")</f>
        <v/>
      </c>
      <c r="F831" t="str">
        <f>IFERROR(VLOOKUP(D831,'Team Data'!C:AB,5,FALSE),"")</f>
        <v/>
      </c>
      <c r="G831" t="str">
        <f>IFERROR(VLOOKUP('OB Format'!D831,'Team Data'!C:AB,17,FALSE),"")</f>
        <v/>
      </c>
      <c r="H831" t="str">
        <f>IFERROR(VLOOKUP(D831,'Team Data'!C:AB,7,FALSE),"")</f>
        <v/>
      </c>
      <c r="I831" t="str">
        <f>IFERROR(VLOOKUP(D831,'Team Data'!C:AB,14,FALSE),"")</f>
        <v/>
      </c>
      <c r="J831" t="str">
        <f>IFERROR(VLOOKUP(D831,'Team Data'!C:AB,8,FALSE),"")</f>
        <v/>
      </c>
      <c r="K831" t="str">
        <f>IFERROR(VLOOKUP(D831,'Team Data'!C:AB,9,FALSE),"")</f>
        <v/>
      </c>
      <c r="L831" t="str">
        <f>IFERROR(VLOOKUP(D831,'Team Data'!C:AB,10,FALSE),"")</f>
        <v/>
      </c>
      <c r="M831" t="str">
        <f t="shared" si="26"/>
        <v/>
      </c>
      <c r="N831" t="str">
        <f>IFERROR(VLOOKUP(D831,'Team Data'!C:AB,23,FALSE),"")</f>
        <v/>
      </c>
      <c r="O831" t="str">
        <f>IFERROR(VLOOKUP(D831,'Team Data'!C:AB,22,FALSE),"")</f>
        <v/>
      </c>
      <c r="P831" t="str">
        <f t="shared" si="27"/>
        <v/>
      </c>
      <c r="Q831" t="str">
        <f>IFERROR(VLOOKUP(D831,'Team Data'!C:AB,15,FALSE),"")</f>
        <v/>
      </c>
      <c r="R831" t="str">
        <f>IFERROR(VLOOKUP('OB Format'!D831,'Team Data'!C:AB,24,FALSE),"")</f>
        <v/>
      </c>
      <c r="S831" t="str">
        <f>IFERROR(VLOOKUP('OB Format'!D831,'Team Data'!C:AC,25,FALSE),"")</f>
        <v/>
      </c>
    </row>
    <row r="832" spans="5:19" x14ac:dyDescent="0.25">
      <c r="E832" t="str">
        <f>IFERROR(VLOOKUP(D832,'Team Data'!C:AB,4,FALSE),"")</f>
        <v/>
      </c>
      <c r="F832" t="str">
        <f>IFERROR(VLOOKUP(D832,'Team Data'!C:AB,5,FALSE),"")</f>
        <v/>
      </c>
      <c r="G832" t="str">
        <f>IFERROR(VLOOKUP('OB Format'!D832,'Team Data'!C:AB,17,FALSE),"")</f>
        <v/>
      </c>
      <c r="H832" t="str">
        <f>IFERROR(VLOOKUP(D832,'Team Data'!C:AB,7,FALSE),"")</f>
        <v/>
      </c>
      <c r="I832" t="str">
        <f>IFERROR(VLOOKUP(D832,'Team Data'!C:AB,14,FALSE),"")</f>
        <v/>
      </c>
      <c r="J832" t="str">
        <f>IFERROR(VLOOKUP(D832,'Team Data'!C:AB,8,FALSE),"")</f>
        <v/>
      </c>
      <c r="K832" t="str">
        <f>IFERROR(VLOOKUP(D832,'Team Data'!C:AB,9,FALSE),"")</f>
        <v/>
      </c>
      <c r="L832" t="str">
        <f>IFERROR(VLOOKUP(D832,'Team Data'!C:AB,10,FALSE),"")</f>
        <v/>
      </c>
      <c r="M832" t="str">
        <f t="shared" si="26"/>
        <v/>
      </c>
      <c r="N832" t="str">
        <f>IFERROR(VLOOKUP(D832,'Team Data'!C:AB,23,FALSE),"")</f>
        <v/>
      </c>
      <c r="O832" t="str">
        <f>IFERROR(VLOOKUP(D832,'Team Data'!C:AB,22,FALSE),"")</f>
        <v/>
      </c>
      <c r="P832" t="str">
        <f t="shared" si="27"/>
        <v/>
      </c>
      <c r="Q832" t="str">
        <f>IFERROR(VLOOKUP(D832,'Team Data'!C:AB,15,FALSE),"")</f>
        <v/>
      </c>
      <c r="R832" t="str">
        <f>IFERROR(VLOOKUP('OB Format'!D832,'Team Data'!C:AB,24,FALSE),"")</f>
        <v/>
      </c>
      <c r="S832" t="str">
        <f>IFERROR(VLOOKUP('OB Format'!D832,'Team Data'!C:AC,25,FALSE),"")</f>
        <v/>
      </c>
    </row>
    <row r="833" spans="5:19" x14ac:dyDescent="0.25">
      <c r="E833" t="str">
        <f>IFERROR(VLOOKUP(D833,'Team Data'!C:AB,4,FALSE),"")</f>
        <v/>
      </c>
      <c r="F833" t="str">
        <f>IFERROR(VLOOKUP(D833,'Team Data'!C:AB,5,FALSE),"")</f>
        <v/>
      </c>
      <c r="G833" t="str">
        <f>IFERROR(VLOOKUP('OB Format'!D833,'Team Data'!C:AB,17,FALSE),"")</f>
        <v/>
      </c>
      <c r="H833" t="str">
        <f>IFERROR(VLOOKUP(D833,'Team Data'!C:AB,7,FALSE),"")</f>
        <v/>
      </c>
      <c r="I833" t="str">
        <f>IFERROR(VLOOKUP(D833,'Team Data'!C:AB,14,FALSE),"")</f>
        <v/>
      </c>
      <c r="J833" t="str">
        <f>IFERROR(VLOOKUP(D833,'Team Data'!C:AB,8,FALSE),"")</f>
        <v/>
      </c>
      <c r="K833" t="str">
        <f>IFERROR(VLOOKUP(D833,'Team Data'!C:AB,9,FALSE),"")</f>
        <v/>
      </c>
      <c r="L833" t="str">
        <f>IFERROR(VLOOKUP(D833,'Team Data'!C:AB,10,FALSE),"")</f>
        <v/>
      </c>
      <c r="M833" t="str">
        <f t="shared" si="26"/>
        <v/>
      </c>
      <c r="N833" t="str">
        <f>IFERROR(VLOOKUP(D833,'Team Data'!C:AB,23,FALSE),"")</f>
        <v/>
      </c>
      <c r="O833" t="str">
        <f>IFERROR(VLOOKUP(D833,'Team Data'!C:AB,22,FALSE),"")</f>
        <v/>
      </c>
      <c r="P833" t="str">
        <f t="shared" si="27"/>
        <v/>
      </c>
      <c r="Q833" t="str">
        <f>IFERROR(VLOOKUP(D833,'Team Data'!C:AB,15,FALSE),"")</f>
        <v/>
      </c>
      <c r="R833" t="str">
        <f>IFERROR(VLOOKUP('OB Format'!D833,'Team Data'!C:AB,24,FALSE),"")</f>
        <v/>
      </c>
      <c r="S833" t="str">
        <f>IFERROR(VLOOKUP('OB Format'!D833,'Team Data'!C:AC,25,FALSE),"")</f>
        <v/>
      </c>
    </row>
    <row r="834" spans="5:19" x14ac:dyDescent="0.25">
      <c r="E834" t="str">
        <f>IFERROR(VLOOKUP(D834,'Team Data'!C:AB,4,FALSE),"")</f>
        <v/>
      </c>
      <c r="F834" t="str">
        <f>IFERROR(VLOOKUP(D834,'Team Data'!C:AB,5,FALSE),"")</f>
        <v/>
      </c>
      <c r="G834" t="str">
        <f>IFERROR(VLOOKUP('OB Format'!D834,'Team Data'!C:AB,17,FALSE),"")</f>
        <v/>
      </c>
      <c r="H834" t="str">
        <f>IFERROR(VLOOKUP(D834,'Team Data'!C:AB,7,FALSE),"")</f>
        <v/>
      </c>
      <c r="I834" t="str">
        <f>IFERROR(VLOOKUP(D834,'Team Data'!C:AB,14,FALSE),"")</f>
        <v/>
      </c>
      <c r="J834" t="str">
        <f>IFERROR(VLOOKUP(D834,'Team Data'!C:AB,8,FALSE),"")</f>
        <v/>
      </c>
      <c r="K834" t="str">
        <f>IFERROR(VLOOKUP(D834,'Team Data'!C:AB,9,FALSE),"")</f>
        <v/>
      </c>
      <c r="L834" t="str">
        <f>IFERROR(VLOOKUP(D834,'Team Data'!C:AB,10,FALSE),"")</f>
        <v/>
      </c>
      <c r="M834" t="str">
        <f t="shared" si="26"/>
        <v/>
      </c>
      <c r="N834" t="str">
        <f>IFERROR(VLOOKUP(D834,'Team Data'!C:AB,23,FALSE),"")</f>
        <v/>
      </c>
      <c r="O834" t="str">
        <f>IFERROR(VLOOKUP(D834,'Team Data'!C:AB,22,FALSE),"")</f>
        <v/>
      </c>
      <c r="P834" t="str">
        <f t="shared" si="27"/>
        <v/>
      </c>
      <c r="Q834" t="str">
        <f>IFERROR(VLOOKUP(D834,'Team Data'!C:AB,15,FALSE),"")</f>
        <v/>
      </c>
      <c r="R834" t="str">
        <f>IFERROR(VLOOKUP('OB Format'!D834,'Team Data'!C:AB,24,FALSE),"")</f>
        <v/>
      </c>
      <c r="S834" t="str">
        <f>IFERROR(VLOOKUP('OB Format'!D834,'Team Data'!C:AC,25,FALSE),"")</f>
        <v/>
      </c>
    </row>
    <row r="835" spans="5:19" x14ac:dyDescent="0.25">
      <c r="E835" t="str">
        <f>IFERROR(VLOOKUP(D835,'Team Data'!C:AB,4,FALSE),"")</f>
        <v/>
      </c>
      <c r="F835" t="str">
        <f>IFERROR(VLOOKUP(D835,'Team Data'!C:AB,5,FALSE),"")</f>
        <v/>
      </c>
      <c r="G835" t="str">
        <f>IFERROR(VLOOKUP('OB Format'!D835,'Team Data'!C:AB,17,FALSE),"")</f>
        <v/>
      </c>
      <c r="H835" t="str">
        <f>IFERROR(VLOOKUP(D835,'Team Data'!C:AB,7,FALSE),"")</f>
        <v/>
      </c>
      <c r="I835" t="str">
        <f>IFERROR(VLOOKUP(D835,'Team Data'!C:AB,14,FALSE),"")</f>
        <v/>
      </c>
      <c r="J835" t="str">
        <f>IFERROR(VLOOKUP(D835,'Team Data'!C:AB,8,FALSE),"")</f>
        <v/>
      </c>
      <c r="K835" t="str">
        <f>IFERROR(VLOOKUP(D835,'Team Data'!C:AB,9,FALSE),"")</f>
        <v/>
      </c>
      <c r="L835" t="str">
        <f>IFERROR(VLOOKUP(D835,'Team Data'!C:AB,10,FALSE),"")</f>
        <v/>
      </c>
      <c r="M835" t="str">
        <f t="shared" si="26"/>
        <v/>
      </c>
      <c r="N835" t="str">
        <f>IFERROR(VLOOKUP(D835,'Team Data'!C:AB,23,FALSE),"")</f>
        <v/>
      </c>
      <c r="O835" t="str">
        <f>IFERROR(VLOOKUP(D835,'Team Data'!C:AB,22,FALSE),"")</f>
        <v/>
      </c>
      <c r="P835" t="str">
        <f t="shared" si="27"/>
        <v/>
      </c>
      <c r="Q835" t="str">
        <f>IFERROR(VLOOKUP(D835,'Team Data'!C:AB,15,FALSE),"")</f>
        <v/>
      </c>
      <c r="R835" t="str">
        <f>IFERROR(VLOOKUP('OB Format'!D835,'Team Data'!C:AB,24,FALSE),"")</f>
        <v/>
      </c>
      <c r="S835" t="str">
        <f>IFERROR(VLOOKUP('OB Format'!D835,'Team Data'!C:AC,25,FALSE),"")</f>
        <v/>
      </c>
    </row>
    <row r="836" spans="5:19" x14ac:dyDescent="0.25">
      <c r="E836" t="str">
        <f>IFERROR(VLOOKUP(D836,'Team Data'!C:AB,4,FALSE),"")</f>
        <v/>
      </c>
      <c r="F836" t="str">
        <f>IFERROR(VLOOKUP(D836,'Team Data'!C:AB,5,FALSE),"")</f>
        <v/>
      </c>
      <c r="G836" t="str">
        <f>IFERROR(VLOOKUP('OB Format'!D836,'Team Data'!C:AB,17,FALSE),"")</f>
        <v/>
      </c>
      <c r="H836" t="str">
        <f>IFERROR(VLOOKUP(D836,'Team Data'!C:AB,7,FALSE),"")</f>
        <v/>
      </c>
      <c r="I836" t="str">
        <f>IFERROR(VLOOKUP(D836,'Team Data'!C:AB,14,FALSE),"")</f>
        <v/>
      </c>
      <c r="J836" t="str">
        <f>IFERROR(VLOOKUP(D836,'Team Data'!C:AB,8,FALSE),"")</f>
        <v/>
      </c>
      <c r="K836" t="str">
        <f>IFERROR(VLOOKUP(D836,'Team Data'!C:AB,9,FALSE),"")</f>
        <v/>
      </c>
      <c r="L836" t="str">
        <f>IFERROR(VLOOKUP(D836,'Team Data'!C:AB,10,FALSE),"")</f>
        <v/>
      </c>
      <c r="M836" t="str">
        <f t="shared" si="26"/>
        <v/>
      </c>
      <c r="N836" t="str">
        <f>IFERROR(VLOOKUP(D836,'Team Data'!C:AB,23,FALSE),"")</f>
        <v/>
      </c>
      <c r="O836" t="str">
        <f>IFERROR(VLOOKUP(D836,'Team Data'!C:AB,22,FALSE),"")</f>
        <v/>
      </c>
      <c r="P836" t="str">
        <f t="shared" si="27"/>
        <v/>
      </c>
      <c r="Q836" t="str">
        <f>IFERROR(VLOOKUP(D836,'Team Data'!C:AB,15,FALSE),"")</f>
        <v/>
      </c>
      <c r="R836" t="str">
        <f>IFERROR(VLOOKUP('OB Format'!D836,'Team Data'!C:AB,24,FALSE),"")</f>
        <v/>
      </c>
      <c r="S836" t="str">
        <f>IFERROR(VLOOKUP('OB Format'!D836,'Team Data'!C:AC,25,FALSE),"")</f>
        <v/>
      </c>
    </row>
    <row r="837" spans="5:19" x14ac:dyDescent="0.25">
      <c r="E837" t="str">
        <f>IFERROR(VLOOKUP(D837,'Team Data'!C:AB,4,FALSE),"")</f>
        <v/>
      </c>
      <c r="F837" t="str">
        <f>IFERROR(VLOOKUP(D837,'Team Data'!C:AB,5,FALSE),"")</f>
        <v/>
      </c>
      <c r="G837" t="str">
        <f>IFERROR(VLOOKUP('OB Format'!D837,'Team Data'!C:AB,17,FALSE),"")</f>
        <v/>
      </c>
      <c r="H837" t="str">
        <f>IFERROR(VLOOKUP(D837,'Team Data'!C:AB,7,FALSE),"")</f>
        <v/>
      </c>
      <c r="I837" t="str">
        <f>IFERROR(VLOOKUP(D837,'Team Data'!C:AB,14,FALSE),"")</f>
        <v/>
      </c>
      <c r="J837" t="str">
        <f>IFERROR(VLOOKUP(D837,'Team Data'!C:AB,8,FALSE),"")</f>
        <v/>
      </c>
      <c r="K837" t="str">
        <f>IFERROR(VLOOKUP(D837,'Team Data'!C:AB,9,FALSE),"")</f>
        <v/>
      </c>
      <c r="L837" t="str">
        <f>IFERROR(VLOOKUP(D837,'Team Data'!C:AB,10,FALSE),"")</f>
        <v/>
      </c>
      <c r="M837" t="str">
        <f t="shared" si="26"/>
        <v/>
      </c>
      <c r="N837" t="str">
        <f>IFERROR(VLOOKUP(D837,'Team Data'!C:AB,23,FALSE),"")</f>
        <v/>
      </c>
      <c r="O837" t="str">
        <f>IFERROR(VLOOKUP(D837,'Team Data'!C:AB,22,FALSE),"")</f>
        <v/>
      </c>
      <c r="P837" t="str">
        <f t="shared" si="27"/>
        <v/>
      </c>
      <c r="Q837" t="str">
        <f>IFERROR(VLOOKUP(D837,'Team Data'!C:AB,15,FALSE),"")</f>
        <v/>
      </c>
      <c r="R837" t="str">
        <f>IFERROR(VLOOKUP('OB Format'!D837,'Team Data'!C:AB,24,FALSE),"")</f>
        <v/>
      </c>
      <c r="S837" t="str">
        <f>IFERROR(VLOOKUP('OB Format'!D837,'Team Data'!C:AC,25,FALSE),"")</f>
        <v/>
      </c>
    </row>
    <row r="838" spans="5:19" x14ac:dyDescent="0.25">
      <c r="E838" t="str">
        <f>IFERROR(VLOOKUP(D838,'Team Data'!C:AB,4,FALSE),"")</f>
        <v/>
      </c>
      <c r="F838" t="str">
        <f>IFERROR(VLOOKUP(D838,'Team Data'!C:AB,5,FALSE),"")</f>
        <v/>
      </c>
      <c r="G838" t="str">
        <f>IFERROR(VLOOKUP('OB Format'!D838,'Team Data'!C:AB,17,FALSE),"")</f>
        <v/>
      </c>
      <c r="H838" t="str">
        <f>IFERROR(VLOOKUP(D838,'Team Data'!C:AB,7,FALSE),"")</f>
        <v/>
      </c>
      <c r="I838" t="str">
        <f>IFERROR(VLOOKUP(D838,'Team Data'!C:AB,14,FALSE),"")</f>
        <v/>
      </c>
      <c r="J838" t="str">
        <f>IFERROR(VLOOKUP(D838,'Team Data'!C:AB,8,FALSE),"")</f>
        <v/>
      </c>
      <c r="K838" t="str">
        <f>IFERROR(VLOOKUP(D838,'Team Data'!C:AB,9,FALSE),"")</f>
        <v/>
      </c>
      <c r="L838" t="str">
        <f>IFERROR(VLOOKUP(D838,'Team Data'!C:AB,10,FALSE),"")</f>
        <v/>
      </c>
      <c r="M838" t="str">
        <f t="shared" si="26"/>
        <v/>
      </c>
      <c r="N838" t="str">
        <f>IFERROR(VLOOKUP(D838,'Team Data'!C:AB,23,FALSE),"")</f>
        <v/>
      </c>
      <c r="O838" t="str">
        <f>IFERROR(VLOOKUP(D838,'Team Data'!C:AB,22,FALSE),"")</f>
        <v/>
      </c>
      <c r="P838" t="str">
        <f t="shared" si="27"/>
        <v/>
      </c>
      <c r="Q838" t="str">
        <f>IFERROR(VLOOKUP(D838,'Team Data'!C:AB,15,FALSE),"")</f>
        <v/>
      </c>
      <c r="R838" t="str">
        <f>IFERROR(VLOOKUP('OB Format'!D838,'Team Data'!C:AB,24,FALSE),"")</f>
        <v/>
      </c>
      <c r="S838" t="str">
        <f>IFERROR(VLOOKUP('OB Format'!D838,'Team Data'!C:AC,25,FALSE),"")</f>
        <v/>
      </c>
    </row>
    <row r="839" spans="5:19" x14ac:dyDescent="0.25">
      <c r="E839" t="str">
        <f>IFERROR(VLOOKUP(D839,'Team Data'!C:AB,4,FALSE),"")</f>
        <v/>
      </c>
      <c r="F839" t="str">
        <f>IFERROR(VLOOKUP(D839,'Team Data'!C:AB,5,FALSE),"")</f>
        <v/>
      </c>
      <c r="G839" t="str">
        <f>IFERROR(VLOOKUP('OB Format'!D839,'Team Data'!C:AB,17,FALSE),"")</f>
        <v/>
      </c>
      <c r="H839" t="str">
        <f>IFERROR(VLOOKUP(D839,'Team Data'!C:AB,7,FALSE),"")</f>
        <v/>
      </c>
      <c r="I839" t="str">
        <f>IFERROR(VLOOKUP(D839,'Team Data'!C:AB,14,FALSE),"")</f>
        <v/>
      </c>
      <c r="J839" t="str">
        <f>IFERROR(VLOOKUP(D839,'Team Data'!C:AB,8,FALSE),"")</f>
        <v/>
      </c>
      <c r="K839" t="str">
        <f>IFERROR(VLOOKUP(D839,'Team Data'!C:AB,9,FALSE),"")</f>
        <v/>
      </c>
      <c r="L839" t="str">
        <f>IFERROR(VLOOKUP(D839,'Team Data'!C:AB,10,FALSE),"")</f>
        <v/>
      </c>
      <c r="M839" t="str">
        <f t="shared" si="26"/>
        <v/>
      </c>
      <c r="N839" t="str">
        <f>IFERROR(VLOOKUP(D839,'Team Data'!C:AB,23,FALSE),"")</f>
        <v/>
      </c>
      <c r="O839" t="str">
        <f>IFERROR(VLOOKUP(D839,'Team Data'!C:AB,22,FALSE),"")</f>
        <v/>
      </c>
      <c r="P839" t="str">
        <f t="shared" si="27"/>
        <v/>
      </c>
      <c r="Q839" t="str">
        <f>IFERROR(VLOOKUP(D839,'Team Data'!C:AB,15,FALSE),"")</f>
        <v/>
      </c>
      <c r="R839" t="str">
        <f>IFERROR(VLOOKUP('OB Format'!D839,'Team Data'!C:AB,24,FALSE),"")</f>
        <v/>
      </c>
      <c r="S839" t="str">
        <f>IFERROR(VLOOKUP('OB Format'!D839,'Team Data'!C:AC,25,FALSE),"")</f>
        <v/>
      </c>
    </row>
    <row r="840" spans="5:19" x14ac:dyDescent="0.25">
      <c r="E840" t="str">
        <f>IFERROR(VLOOKUP(D840,'Team Data'!C:AB,4,FALSE),"")</f>
        <v/>
      </c>
      <c r="F840" t="str">
        <f>IFERROR(VLOOKUP(D840,'Team Data'!C:AB,5,FALSE),"")</f>
        <v/>
      </c>
      <c r="G840" t="str">
        <f>IFERROR(VLOOKUP('OB Format'!D840,'Team Data'!C:AB,17,FALSE),"")</f>
        <v/>
      </c>
      <c r="H840" t="str">
        <f>IFERROR(VLOOKUP(D840,'Team Data'!C:AB,7,FALSE),"")</f>
        <v/>
      </c>
      <c r="I840" t="str">
        <f>IFERROR(VLOOKUP(D840,'Team Data'!C:AB,14,FALSE),"")</f>
        <v/>
      </c>
      <c r="J840" t="str">
        <f>IFERROR(VLOOKUP(D840,'Team Data'!C:AB,8,FALSE),"")</f>
        <v/>
      </c>
      <c r="K840" t="str">
        <f>IFERROR(VLOOKUP(D840,'Team Data'!C:AB,9,FALSE),"")</f>
        <v/>
      </c>
      <c r="L840" t="str">
        <f>IFERROR(VLOOKUP(D840,'Team Data'!C:AB,10,FALSE),"")</f>
        <v/>
      </c>
      <c r="M840" t="str">
        <f t="shared" si="26"/>
        <v/>
      </c>
      <c r="N840" t="str">
        <f>IFERROR(VLOOKUP(D840,'Team Data'!C:AB,23,FALSE),"")</f>
        <v/>
      </c>
      <c r="O840" t="str">
        <f>IFERROR(VLOOKUP(D840,'Team Data'!C:AB,22,FALSE),"")</f>
        <v/>
      </c>
      <c r="P840" t="str">
        <f t="shared" si="27"/>
        <v/>
      </c>
      <c r="Q840" t="str">
        <f>IFERROR(VLOOKUP(D840,'Team Data'!C:AB,15,FALSE),"")</f>
        <v/>
      </c>
      <c r="R840" t="str">
        <f>IFERROR(VLOOKUP('OB Format'!D840,'Team Data'!C:AB,24,FALSE),"")</f>
        <v/>
      </c>
      <c r="S840" t="str">
        <f>IFERROR(VLOOKUP('OB Format'!D840,'Team Data'!C:AC,25,FALSE),"")</f>
        <v/>
      </c>
    </row>
    <row r="841" spans="5:19" x14ac:dyDescent="0.25">
      <c r="E841" t="str">
        <f>IFERROR(VLOOKUP(D841,'Team Data'!C:AB,4,FALSE),"")</f>
        <v/>
      </c>
      <c r="F841" t="str">
        <f>IFERROR(VLOOKUP(D841,'Team Data'!C:AB,5,FALSE),"")</f>
        <v/>
      </c>
      <c r="G841" t="str">
        <f>IFERROR(VLOOKUP('OB Format'!D841,'Team Data'!C:AB,17,FALSE),"")</f>
        <v/>
      </c>
      <c r="H841" t="str">
        <f>IFERROR(VLOOKUP(D841,'Team Data'!C:AB,7,FALSE),"")</f>
        <v/>
      </c>
      <c r="I841" t="str">
        <f>IFERROR(VLOOKUP(D841,'Team Data'!C:AB,14,FALSE),"")</f>
        <v/>
      </c>
      <c r="J841" t="str">
        <f>IFERROR(VLOOKUP(D841,'Team Data'!C:AB,8,FALSE),"")</f>
        <v/>
      </c>
      <c r="K841" t="str">
        <f>IFERROR(VLOOKUP(D841,'Team Data'!C:AB,9,FALSE),"")</f>
        <v/>
      </c>
      <c r="L841" t="str">
        <f>IFERROR(VLOOKUP(D841,'Team Data'!C:AB,10,FALSE),"")</f>
        <v/>
      </c>
      <c r="M841" t="str">
        <f t="shared" si="26"/>
        <v/>
      </c>
      <c r="N841" t="str">
        <f>IFERROR(VLOOKUP(D841,'Team Data'!C:AB,23,FALSE),"")</f>
        <v/>
      </c>
      <c r="O841" t="str">
        <f>IFERROR(VLOOKUP(D841,'Team Data'!C:AB,22,FALSE),"")</f>
        <v/>
      </c>
      <c r="P841" t="str">
        <f t="shared" si="27"/>
        <v/>
      </c>
      <c r="Q841" t="str">
        <f>IFERROR(VLOOKUP(D841,'Team Data'!C:AB,15,FALSE),"")</f>
        <v/>
      </c>
      <c r="R841" t="str">
        <f>IFERROR(VLOOKUP('OB Format'!D841,'Team Data'!C:AB,24,FALSE),"")</f>
        <v/>
      </c>
      <c r="S841" t="str">
        <f>IFERROR(VLOOKUP('OB Format'!D841,'Team Data'!C:AC,25,FALSE),"")</f>
        <v/>
      </c>
    </row>
    <row r="842" spans="5:19" x14ac:dyDescent="0.25">
      <c r="E842" t="str">
        <f>IFERROR(VLOOKUP(D842,'Team Data'!C:AB,4,FALSE),"")</f>
        <v/>
      </c>
      <c r="F842" t="str">
        <f>IFERROR(VLOOKUP(D842,'Team Data'!C:AB,5,FALSE),"")</f>
        <v/>
      </c>
      <c r="G842" t="str">
        <f>IFERROR(VLOOKUP('OB Format'!D842,'Team Data'!C:AB,17,FALSE),"")</f>
        <v/>
      </c>
      <c r="H842" t="str">
        <f>IFERROR(VLOOKUP(D842,'Team Data'!C:AB,7,FALSE),"")</f>
        <v/>
      </c>
      <c r="I842" t="str">
        <f>IFERROR(VLOOKUP(D842,'Team Data'!C:AB,14,FALSE),"")</f>
        <v/>
      </c>
      <c r="J842" t="str">
        <f>IFERROR(VLOOKUP(D842,'Team Data'!C:AB,8,FALSE),"")</f>
        <v/>
      </c>
      <c r="K842" t="str">
        <f>IFERROR(VLOOKUP(D842,'Team Data'!C:AB,9,FALSE),"")</f>
        <v/>
      </c>
      <c r="L842" t="str">
        <f>IFERROR(VLOOKUP(D842,'Team Data'!C:AB,10,FALSE),"")</f>
        <v/>
      </c>
      <c r="M842" t="str">
        <f t="shared" si="26"/>
        <v/>
      </c>
      <c r="N842" t="str">
        <f>IFERROR(VLOOKUP(D842,'Team Data'!C:AB,23,FALSE),"")</f>
        <v/>
      </c>
      <c r="O842" t="str">
        <f>IFERROR(VLOOKUP(D842,'Team Data'!C:AB,22,FALSE),"")</f>
        <v/>
      </c>
      <c r="P842" t="str">
        <f t="shared" si="27"/>
        <v/>
      </c>
      <c r="Q842" t="str">
        <f>IFERROR(VLOOKUP(D842,'Team Data'!C:AB,15,FALSE),"")</f>
        <v/>
      </c>
      <c r="R842" t="str">
        <f>IFERROR(VLOOKUP('OB Format'!D842,'Team Data'!C:AB,24,FALSE),"")</f>
        <v/>
      </c>
      <c r="S842" t="str">
        <f>IFERROR(VLOOKUP('OB Format'!D842,'Team Data'!C:AC,25,FALSE),"")</f>
        <v/>
      </c>
    </row>
    <row r="843" spans="5:19" x14ac:dyDescent="0.25">
      <c r="E843" t="str">
        <f>IFERROR(VLOOKUP(D843,'Team Data'!C:AB,4,FALSE),"")</f>
        <v/>
      </c>
      <c r="F843" t="str">
        <f>IFERROR(VLOOKUP(D843,'Team Data'!C:AB,5,FALSE),"")</f>
        <v/>
      </c>
      <c r="G843" t="str">
        <f>IFERROR(VLOOKUP('OB Format'!D843,'Team Data'!C:AB,17,FALSE),"")</f>
        <v/>
      </c>
      <c r="H843" t="str">
        <f>IFERROR(VLOOKUP(D843,'Team Data'!C:AB,7,FALSE),"")</f>
        <v/>
      </c>
      <c r="I843" t="str">
        <f>IFERROR(VLOOKUP(D843,'Team Data'!C:AB,14,FALSE),"")</f>
        <v/>
      </c>
      <c r="J843" t="str">
        <f>IFERROR(VLOOKUP(D843,'Team Data'!C:AB,8,FALSE),"")</f>
        <v/>
      </c>
      <c r="K843" t="str">
        <f>IFERROR(VLOOKUP(D843,'Team Data'!C:AB,9,FALSE),"")</f>
        <v/>
      </c>
      <c r="L843" t="str">
        <f>IFERROR(VLOOKUP(D843,'Team Data'!C:AB,10,FALSE),"")</f>
        <v/>
      </c>
      <c r="M843" t="str">
        <f t="shared" si="26"/>
        <v/>
      </c>
      <c r="N843" t="str">
        <f>IFERROR(VLOOKUP(D843,'Team Data'!C:AB,23,FALSE),"")</f>
        <v/>
      </c>
      <c r="O843" t="str">
        <f>IFERROR(VLOOKUP(D843,'Team Data'!C:AB,22,FALSE),"")</f>
        <v/>
      </c>
      <c r="P843" t="str">
        <f t="shared" si="27"/>
        <v/>
      </c>
      <c r="Q843" t="str">
        <f>IFERROR(VLOOKUP(D843,'Team Data'!C:AB,15,FALSE),"")</f>
        <v/>
      </c>
      <c r="R843" t="str">
        <f>IFERROR(VLOOKUP('OB Format'!D843,'Team Data'!C:AB,24,FALSE),"")</f>
        <v/>
      </c>
      <c r="S843" t="str">
        <f>IFERROR(VLOOKUP('OB Format'!D843,'Team Data'!C:AC,25,FALSE),"")</f>
        <v/>
      </c>
    </row>
    <row r="844" spans="5:19" x14ac:dyDescent="0.25">
      <c r="E844" t="str">
        <f>IFERROR(VLOOKUP(D844,'Team Data'!C:AB,4,FALSE),"")</f>
        <v/>
      </c>
      <c r="F844" t="str">
        <f>IFERROR(VLOOKUP(D844,'Team Data'!C:AB,5,FALSE),"")</f>
        <v/>
      </c>
      <c r="G844" t="str">
        <f>IFERROR(VLOOKUP('OB Format'!D844,'Team Data'!C:AB,17,FALSE),"")</f>
        <v/>
      </c>
      <c r="H844" t="str">
        <f>IFERROR(VLOOKUP(D844,'Team Data'!C:AB,7,FALSE),"")</f>
        <v/>
      </c>
      <c r="I844" t="str">
        <f>IFERROR(VLOOKUP(D844,'Team Data'!C:AB,14,FALSE),"")</f>
        <v/>
      </c>
      <c r="J844" t="str">
        <f>IFERROR(VLOOKUP(D844,'Team Data'!C:AB,8,FALSE),"")</f>
        <v/>
      </c>
      <c r="K844" t="str">
        <f>IFERROR(VLOOKUP(D844,'Team Data'!C:AB,9,FALSE),"")</f>
        <v/>
      </c>
      <c r="L844" t="str">
        <f>IFERROR(VLOOKUP(D844,'Team Data'!C:AB,10,FALSE),"")</f>
        <v/>
      </c>
      <c r="M844" t="str">
        <f t="shared" si="26"/>
        <v/>
      </c>
      <c r="N844" t="str">
        <f>IFERROR(VLOOKUP(D844,'Team Data'!C:AB,23,FALSE),"")</f>
        <v/>
      </c>
      <c r="O844" t="str">
        <f>IFERROR(VLOOKUP(D844,'Team Data'!C:AB,22,FALSE),"")</f>
        <v/>
      </c>
      <c r="P844" t="str">
        <f t="shared" si="27"/>
        <v/>
      </c>
      <c r="Q844" t="str">
        <f>IFERROR(VLOOKUP(D844,'Team Data'!C:AB,15,FALSE),"")</f>
        <v/>
      </c>
      <c r="R844" t="str">
        <f>IFERROR(VLOOKUP('OB Format'!D844,'Team Data'!C:AB,24,FALSE),"")</f>
        <v/>
      </c>
      <c r="S844" t="str">
        <f>IFERROR(VLOOKUP('OB Format'!D844,'Team Data'!C:AC,25,FALSE),"")</f>
        <v/>
      </c>
    </row>
    <row r="845" spans="5:19" x14ac:dyDescent="0.25">
      <c r="E845" t="str">
        <f>IFERROR(VLOOKUP(D845,'Team Data'!C:AB,4,FALSE),"")</f>
        <v/>
      </c>
      <c r="F845" t="str">
        <f>IFERROR(VLOOKUP(D845,'Team Data'!C:AB,5,FALSE),"")</f>
        <v/>
      </c>
      <c r="G845" t="str">
        <f>IFERROR(VLOOKUP('OB Format'!D845,'Team Data'!C:AB,17,FALSE),"")</f>
        <v/>
      </c>
      <c r="H845" t="str">
        <f>IFERROR(VLOOKUP(D845,'Team Data'!C:AB,7,FALSE),"")</f>
        <v/>
      </c>
      <c r="I845" t="str">
        <f>IFERROR(VLOOKUP(D845,'Team Data'!C:AB,14,FALSE),"")</f>
        <v/>
      </c>
      <c r="J845" t="str">
        <f>IFERROR(VLOOKUP(D845,'Team Data'!C:AB,8,FALSE),"")</f>
        <v/>
      </c>
      <c r="K845" t="str">
        <f>IFERROR(VLOOKUP(D845,'Team Data'!C:AB,9,FALSE),"")</f>
        <v/>
      </c>
      <c r="L845" t="str">
        <f>IFERROR(VLOOKUP(D845,'Team Data'!C:AB,10,FALSE),"")</f>
        <v/>
      </c>
      <c r="M845" t="str">
        <f t="shared" ref="M845:M908" si="28">IFERROR(H845-(J845+L845+K845),"")</f>
        <v/>
      </c>
      <c r="N845" t="str">
        <f>IFERROR(VLOOKUP(D845,'Team Data'!C:AB,23,FALSE),"")</f>
        <v/>
      </c>
      <c r="O845" t="str">
        <f>IFERROR(VLOOKUP(D845,'Team Data'!C:AB,22,FALSE),"")</f>
        <v/>
      </c>
      <c r="P845" t="str">
        <f t="shared" ref="P845:P908" si="29">IFERROR(E845-(H845+N845+Q845+I845+O845),"")</f>
        <v/>
      </c>
      <c r="Q845" t="str">
        <f>IFERROR(VLOOKUP(D845,'Team Data'!C:AB,15,FALSE),"")</f>
        <v/>
      </c>
      <c r="R845" t="str">
        <f>IFERROR(VLOOKUP('OB Format'!D845,'Team Data'!C:AB,24,FALSE),"")</f>
        <v/>
      </c>
      <c r="S845" t="str">
        <f>IFERROR(VLOOKUP('OB Format'!D845,'Team Data'!C:AC,25,FALSE),"")</f>
        <v/>
      </c>
    </row>
    <row r="846" spans="5:19" x14ac:dyDescent="0.25">
      <c r="E846" t="str">
        <f>IFERROR(VLOOKUP(D846,'Team Data'!C:AB,4,FALSE),"")</f>
        <v/>
      </c>
      <c r="F846" t="str">
        <f>IFERROR(VLOOKUP(D846,'Team Data'!C:AB,5,FALSE),"")</f>
        <v/>
      </c>
      <c r="G846" t="str">
        <f>IFERROR(VLOOKUP('OB Format'!D846,'Team Data'!C:AB,17,FALSE),"")</f>
        <v/>
      </c>
      <c r="H846" t="str">
        <f>IFERROR(VLOOKUP(D846,'Team Data'!C:AB,7,FALSE),"")</f>
        <v/>
      </c>
      <c r="I846" t="str">
        <f>IFERROR(VLOOKUP(D846,'Team Data'!C:AB,14,FALSE),"")</f>
        <v/>
      </c>
      <c r="J846" t="str">
        <f>IFERROR(VLOOKUP(D846,'Team Data'!C:AB,8,FALSE),"")</f>
        <v/>
      </c>
      <c r="K846" t="str">
        <f>IFERROR(VLOOKUP(D846,'Team Data'!C:AB,9,FALSE),"")</f>
        <v/>
      </c>
      <c r="L846" t="str">
        <f>IFERROR(VLOOKUP(D846,'Team Data'!C:AB,10,FALSE),"")</f>
        <v/>
      </c>
      <c r="M846" t="str">
        <f t="shared" si="28"/>
        <v/>
      </c>
      <c r="N846" t="str">
        <f>IFERROR(VLOOKUP(D846,'Team Data'!C:AB,23,FALSE),"")</f>
        <v/>
      </c>
      <c r="O846" t="str">
        <f>IFERROR(VLOOKUP(D846,'Team Data'!C:AB,22,FALSE),"")</f>
        <v/>
      </c>
      <c r="P846" t="str">
        <f t="shared" si="29"/>
        <v/>
      </c>
      <c r="Q846" t="str">
        <f>IFERROR(VLOOKUP(D846,'Team Data'!C:AB,15,FALSE),"")</f>
        <v/>
      </c>
      <c r="R846" t="str">
        <f>IFERROR(VLOOKUP('OB Format'!D846,'Team Data'!C:AB,24,FALSE),"")</f>
        <v/>
      </c>
      <c r="S846" t="str">
        <f>IFERROR(VLOOKUP('OB Format'!D846,'Team Data'!C:AC,25,FALSE),"")</f>
        <v/>
      </c>
    </row>
    <row r="847" spans="5:19" x14ac:dyDescent="0.25">
      <c r="E847" t="str">
        <f>IFERROR(VLOOKUP(D847,'Team Data'!C:AB,4,FALSE),"")</f>
        <v/>
      </c>
      <c r="F847" t="str">
        <f>IFERROR(VLOOKUP(D847,'Team Data'!C:AB,5,FALSE),"")</f>
        <v/>
      </c>
      <c r="G847" t="str">
        <f>IFERROR(VLOOKUP('OB Format'!D847,'Team Data'!C:AB,17,FALSE),"")</f>
        <v/>
      </c>
      <c r="H847" t="str">
        <f>IFERROR(VLOOKUP(D847,'Team Data'!C:AB,7,FALSE),"")</f>
        <v/>
      </c>
      <c r="I847" t="str">
        <f>IFERROR(VLOOKUP(D847,'Team Data'!C:AB,14,FALSE),"")</f>
        <v/>
      </c>
      <c r="J847" t="str">
        <f>IFERROR(VLOOKUP(D847,'Team Data'!C:AB,8,FALSE),"")</f>
        <v/>
      </c>
      <c r="K847" t="str">
        <f>IFERROR(VLOOKUP(D847,'Team Data'!C:AB,9,FALSE),"")</f>
        <v/>
      </c>
      <c r="L847" t="str">
        <f>IFERROR(VLOOKUP(D847,'Team Data'!C:AB,10,FALSE),"")</f>
        <v/>
      </c>
      <c r="M847" t="str">
        <f t="shared" si="28"/>
        <v/>
      </c>
      <c r="N847" t="str">
        <f>IFERROR(VLOOKUP(D847,'Team Data'!C:AB,23,FALSE),"")</f>
        <v/>
      </c>
      <c r="O847" t="str">
        <f>IFERROR(VLOOKUP(D847,'Team Data'!C:AB,22,FALSE),"")</f>
        <v/>
      </c>
      <c r="P847" t="str">
        <f t="shared" si="29"/>
        <v/>
      </c>
      <c r="Q847" t="str">
        <f>IFERROR(VLOOKUP(D847,'Team Data'!C:AB,15,FALSE),"")</f>
        <v/>
      </c>
      <c r="R847" t="str">
        <f>IFERROR(VLOOKUP('OB Format'!D847,'Team Data'!C:AB,24,FALSE),"")</f>
        <v/>
      </c>
      <c r="S847" t="str">
        <f>IFERROR(VLOOKUP('OB Format'!D847,'Team Data'!C:AC,25,FALSE),"")</f>
        <v/>
      </c>
    </row>
    <row r="848" spans="5:19" x14ac:dyDescent="0.25">
      <c r="E848" t="str">
        <f>IFERROR(VLOOKUP(D848,'Team Data'!C:AB,4,FALSE),"")</f>
        <v/>
      </c>
      <c r="F848" t="str">
        <f>IFERROR(VLOOKUP(D848,'Team Data'!C:AB,5,FALSE),"")</f>
        <v/>
      </c>
      <c r="G848" t="str">
        <f>IFERROR(VLOOKUP('OB Format'!D848,'Team Data'!C:AB,17,FALSE),"")</f>
        <v/>
      </c>
      <c r="H848" t="str">
        <f>IFERROR(VLOOKUP(D848,'Team Data'!C:AB,7,FALSE),"")</f>
        <v/>
      </c>
      <c r="I848" t="str">
        <f>IFERROR(VLOOKUP(D848,'Team Data'!C:AB,14,FALSE),"")</f>
        <v/>
      </c>
      <c r="J848" t="str">
        <f>IFERROR(VLOOKUP(D848,'Team Data'!C:AB,8,FALSE),"")</f>
        <v/>
      </c>
      <c r="K848" t="str">
        <f>IFERROR(VLOOKUP(D848,'Team Data'!C:AB,9,FALSE),"")</f>
        <v/>
      </c>
      <c r="L848" t="str">
        <f>IFERROR(VLOOKUP(D848,'Team Data'!C:AB,10,FALSE),"")</f>
        <v/>
      </c>
      <c r="M848" t="str">
        <f t="shared" si="28"/>
        <v/>
      </c>
      <c r="N848" t="str">
        <f>IFERROR(VLOOKUP(D848,'Team Data'!C:AB,23,FALSE),"")</f>
        <v/>
      </c>
      <c r="O848" t="str">
        <f>IFERROR(VLOOKUP(D848,'Team Data'!C:AB,22,FALSE),"")</f>
        <v/>
      </c>
      <c r="P848" t="str">
        <f t="shared" si="29"/>
        <v/>
      </c>
      <c r="Q848" t="str">
        <f>IFERROR(VLOOKUP(D848,'Team Data'!C:AB,15,FALSE),"")</f>
        <v/>
      </c>
      <c r="R848" t="str">
        <f>IFERROR(VLOOKUP('OB Format'!D848,'Team Data'!C:AB,24,FALSE),"")</f>
        <v/>
      </c>
      <c r="S848" t="str">
        <f>IFERROR(VLOOKUP('OB Format'!D848,'Team Data'!C:AC,25,FALSE),"")</f>
        <v/>
      </c>
    </row>
    <row r="849" spans="5:19" x14ac:dyDescent="0.25">
      <c r="E849" t="str">
        <f>IFERROR(VLOOKUP(D849,'Team Data'!C:AB,4,FALSE),"")</f>
        <v/>
      </c>
      <c r="F849" t="str">
        <f>IFERROR(VLOOKUP(D849,'Team Data'!C:AB,5,FALSE),"")</f>
        <v/>
      </c>
      <c r="G849" t="str">
        <f>IFERROR(VLOOKUP('OB Format'!D849,'Team Data'!C:AB,17,FALSE),"")</f>
        <v/>
      </c>
      <c r="H849" t="str">
        <f>IFERROR(VLOOKUP(D849,'Team Data'!C:AB,7,FALSE),"")</f>
        <v/>
      </c>
      <c r="I849" t="str">
        <f>IFERROR(VLOOKUP(D849,'Team Data'!C:AB,14,FALSE),"")</f>
        <v/>
      </c>
      <c r="J849" t="str">
        <f>IFERROR(VLOOKUP(D849,'Team Data'!C:AB,8,FALSE),"")</f>
        <v/>
      </c>
      <c r="K849" t="str">
        <f>IFERROR(VLOOKUP(D849,'Team Data'!C:AB,9,FALSE),"")</f>
        <v/>
      </c>
      <c r="L849" t="str">
        <f>IFERROR(VLOOKUP(D849,'Team Data'!C:AB,10,FALSE),"")</f>
        <v/>
      </c>
      <c r="M849" t="str">
        <f t="shared" si="28"/>
        <v/>
      </c>
      <c r="N849" t="str">
        <f>IFERROR(VLOOKUP(D849,'Team Data'!C:AB,23,FALSE),"")</f>
        <v/>
      </c>
      <c r="O849" t="str">
        <f>IFERROR(VLOOKUP(D849,'Team Data'!C:AB,22,FALSE),"")</f>
        <v/>
      </c>
      <c r="P849" t="str">
        <f t="shared" si="29"/>
        <v/>
      </c>
      <c r="Q849" t="str">
        <f>IFERROR(VLOOKUP(D849,'Team Data'!C:AB,15,FALSE),"")</f>
        <v/>
      </c>
      <c r="R849" t="str">
        <f>IFERROR(VLOOKUP('OB Format'!D849,'Team Data'!C:AB,24,FALSE),"")</f>
        <v/>
      </c>
      <c r="S849" t="str">
        <f>IFERROR(VLOOKUP('OB Format'!D849,'Team Data'!C:AC,25,FALSE),"")</f>
        <v/>
      </c>
    </row>
    <row r="850" spans="5:19" x14ac:dyDescent="0.25">
      <c r="E850" t="str">
        <f>IFERROR(VLOOKUP(D850,'Team Data'!C:AB,4,FALSE),"")</f>
        <v/>
      </c>
      <c r="F850" t="str">
        <f>IFERROR(VLOOKUP(D850,'Team Data'!C:AB,5,FALSE),"")</f>
        <v/>
      </c>
      <c r="G850" t="str">
        <f>IFERROR(VLOOKUP('OB Format'!D850,'Team Data'!C:AB,17,FALSE),"")</f>
        <v/>
      </c>
      <c r="H850" t="str">
        <f>IFERROR(VLOOKUP(D850,'Team Data'!C:AB,7,FALSE),"")</f>
        <v/>
      </c>
      <c r="I850" t="str">
        <f>IFERROR(VLOOKUP(D850,'Team Data'!C:AB,14,FALSE),"")</f>
        <v/>
      </c>
      <c r="J850" t="str">
        <f>IFERROR(VLOOKUP(D850,'Team Data'!C:AB,8,FALSE),"")</f>
        <v/>
      </c>
      <c r="K850" t="str">
        <f>IFERROR(VLOOKUP(D850,'Team Data'!C:AB,9,FALSE),"")</f>
        <v/>
      </c>
      <c r="L850" t="str">
        <f>IFERROR(VLOOKUP(D850,'Team Data'!C:AB,10,FALSE),"")</f>
        <v/>
      </c>
      <c r="M850" t="str">
        <f t="shared" si="28"/>
        <v/>
      </c>
      <c r="N850" t="str">
        <f>IFERROR(VLOOKUP(D850,'Team Data'!C:AB,23,FALSE),"")</f>
        <v/>
      </c>
      <c r="O850" t="str">
        <f>IFERROR(VLOOKUP(D850,'Team Data'!C:AB,22,FALSE),"")</f>
        <v/>
      </c>
      <c r="P850" t="str">
        <f t="shared" si="29"/>
        <v/>
      </c>
      <c r="Q850" t="str">
        <f>IFERROR(VLOOKUP(D850,'Team Data'!C:AB,15,FALSE),"")</f>
        <v/>
      </c>
      <c r="R850" t="str">
        <f>IFERROR(VLOOKUP('OB Format'!D850,'Team Data'!C:AB,24,FALSE),"")</f>
        <v/>
      </c>
      <c r="S850" t="str">
        <f>IFERROR(VLOOKUP('OB Format'!D850,'Team Data'!C:AC,25,FALSE),"")</f>
        <v/>
      </c>
    </row>
    <row r="851" spans="5:19" x14ac:dyDescent="0.25">
      <c r="E851" t="str">
        <f>IFERROR(VLOOKUP(D851,'Team Data'!C:AB,4,FALSE),"")</f>
        <v/>
      </c>
      <c r="F851" t="str">
        <f>IFERROR(VLOOKUP(D851,'Team Data'!C:AB,5,FALSE),"")</f>
        <v/>
      </c>
      <c r="G851" t="str">
        <f>IFERROR(VLOOKUP('OB Format'!D851,'Team Data'!C:AB,17,FALSE),"")</f>
        <v/>
      </c>
      <c r="H851" t="str">
        <f>IFERROR(VLOOKUP(D851,'Team Data'!C:AB,7,FALSE),"")</f>
        <v/>
      </c>
      <c r="I851" t="str">
        <f>IFERROR(VLOOKUP(D851,'Team Data'!C:AB,14,FALSE),"")</f>
        <v/>
      </c>
      <c r="J851" t="str">
        <f>IFERROR(VLOOKUP(D851,'Team Data'!C:AB,8,FALSE),"")</f>
        <v/>
      </c>
      <c r="K851" t="str">
        <f>IFERROR(VLOOKUP(D851,'Team Data'!C:AB,9,FALSE),"")</f>
        <v/>
      </c>
      <c r="L851" t="str">
        <f>IFERROR(VLOOKUP(D851,'Team Data'!C:AB,10,FALSE),"")</f>
        <v/>
      </c>
      <c r="M851" t="str">
        <f t="shared" si="28"/>
        <v/>
      </c>
      <c r="N851" t="str">
        <f>IFERROR(VLOOKUP(D851,'Team Data'!C:AB,23,FALSE),"")</f>
        <v/>
      </c>
      <c r="O851" t="str">
        <f>IFERROR(VLOOKUP(D851,'Team Data'!C:AB,22,FALSE),"")</f>
        <v/>
      </c>
      <c r="P851" t="str">
        <f t="shared" si="29"/>
        <v/>
      </c>
      <c r="Q851" t="str">
        <f>IFERROR(VLOOKUP(D851,'Team Data'!C:AB,15,FALSE),"")</f>
        <v/>
      </c>
      <c r="R851" t="str">
        <f>IFERROR(VLOOKUP('OB Format'!D851,'Team Data'!C:AB,24,FALSE),"")</f>
        <v/>
      </c>
      <c r="S851" t="str">
        <f>IFERROR(VLOOKUP('OB Format'!D851,'Team Data'!C:AC,25,FALSE),"")</f>
        <v/>
      </c>
    </row>
    <row r="852" spans="5:19" x14ac:dyDescent="0.25">
      <c r="E852" t="str">
        <f>IFERROR(VLOOKUP(D852,'Team Data'!C:AB,4,FALSE),"")</f>
        <v/>
      </c>
      <c r="F852" t="str">
        <f>IFERROR(VLOOKUP(D852,'Team Data'!C:AB,5,FALSE),"")</f>
        <v/>
      </c>
      <c r="G852" t="str">
        <f>IFERROR(VLOOKUP('OB Format'!D852,'Team Data'!C:AB,17,FALSE),"")</f>
        <v/>
      </c>
      <c r="H852" t="str">
        <f>IFERROR(VLOOKUP(D852,'Team Data'!C:AB,7,FALSE),"")</f>
        <v/>
      </c>
      <c r="I852" t="str">
        <f>IFERROR(VLOOKUP(D852,'Team Data'!C:AB,14,FALSE),"")</f>
        <v/>
      </c>
      <c r="J852" t="str">
        <f>IFERROR(VLOOKUP(D852,'Team Data'!C:AB,8,FALSE),"")</f>
        <v/>
      </c>
      <c r="K852" t="str">
        <f>IFERROR(VLOOKUP(D852,'Team Data'!C:AB,9,FALSE),"")</f>
        <v/>
      </c>
      <c r="L852" t="str">
        <f>IFERROR(VLOOKUP(D852,'Team Data'!C:AB,10,FALSE),"")</f>
        <v/>
      </c>
      <c r="M852" t="str">
        <f t="shared" si="28"/>
        <v/>
      </c>
      <c r="N852" t="str">
        <f>IFERROR(VLOOKUP(D852,'Team Data'!C:AB,23,FALSE),"")</f>
        <v/>
      </c>
      <c r="O852" t="str">
        <f>IFERROR(VLOOKUP(D852,'Team Data'!C:AB,22,FALSE),"")</f>
        <v/>
      </c>
      <c r="P852" t="str">
        <f t="shared" si="29"/>
        <v/>
      </c>
      <c r="Q852" t="str">
        <f>IFERROR(VLOOKUP(D852,'Team Data'!C:AB,15,FALSE),"")</f>
        <v/>
      </c>
      <c r="R852" t="str">
        <f>IFERROR(VLOOKUP('OB Format'!D852,'Team Data'!C:AB,24,FALSE),"")</f>
        <v/>
      </c>
      <c r="S852" t="str">
        <f>IFERROR(VLOOKUP('OB Format'!D852,'Team Data'!C:AC,25,FALSE),"")</f>
        <v/>
      </c>
    </row>
    <row r="853" spans="5:19" x14ac:dyDescent="0.25">
      <c r="E853" t="str">
        <f>IFERROR(VLOOKUP(D853,'Team Data'!C:AB,4,FALSE),"")</f>
        <v/>
      </c>
      <c r="F853" t="str">
        <f>IFERROR(VLOOKUP(D853,'Team Data'!C:AB,5,FALSE),"")</f>
        <v/>
      </c>
      <c r="G853" t="str">
        <f>IFERROR(VLOOKUP('OB Format'!D853,'Team Data'!C:AB,17,FALSE),"")</f>
        <v/>
      </c>
      <c r="H853" t="str">
        <f>IFERROR(VLOOKUP(D853,'Team Data'!C:AB,7,FALSE),"")</f>
        <v/>
      </c>
      <c r="I853" t="str">
        <f>IFERROR(VLOOKUP(D853,'Team Data'!C:AB,14,FALSE),"")</f>
        <v/>
      </c>
      <c r="J853" t="str">
        <f>IFERROR(VLOOKUP(D853,'Team Data'!C:AB,8,FALSE),"")</f>
        <v/>
      </c>
      <c r="K853" t="str">
        <f>IFERROR(VLOOKUP(D853,'Team Data'!C:AB,9,FALSE),"")</f>
        <v/>
      </c>
      <c r="L853" t="str">
        <f>IFERROR(VLOOKUP(D853,'Team Data'!C:AB,10,FALSE),"")</f>
        <v/>
      </c>
      <c r="M853" t="str">
        <f t="shared" si="28"/>
        <v/>
      </c>
      <c r="N853" t="str">
        <f>IFERROR(VLOOKUP(D853,'Team Data'!C:AB,23,FALSE),"")</f>
        <v/>
      </c>
      <c r="O853" t="str">
        <f>IFERROR(VLOOKUP(D853,'Team Data'!C:AB,22,FALSE),"")</f>
        <v/>
      </c>
      <c r="P853" t="str">
        <f t="shared" si="29"/>
        <v/>
      </c>
      <c r="Q853" t="str">
        <f>IFERROR(VLOOKUP(D853,'Team Data'!C:AB,15,FALSE),"")</f>
        <v/>
      </c>
      <c r="R853" t="str">
        <f>IFERROR(VLOOKUP('OB Format'!D853,'Team Data'!C:AB,24,FALSE),"")</f>
        <v/>
      </c>
      <c r="S853" t="str">
        <f>IFERROR(VLOOKUP('OB Format'!D853,'Team Data'!C:AC,25,FALSE),"")</f>
        <v/>
      </c>
    </row>
    <row r="854" spans="5:19" x14ac:dyDescent="0.25">
      <c r="E854" t="str">
        <f>IFERROR(VLOOKUP(D854,'Team Data'!C:AB,4,FALSE),"")</f>
        <v/>
      </c>
      <c r="F854" t="str">
        <f>IFERROR(VLOOKUP(D854,'Team Data'!C:AB,5,FALSE),"")</f>
        <v/>
      </c>
      <c r="G854" t="str">
        <f>IFERROR(VLOOKUP('OB Format'!D854,'Team Data'!C:AB,17,FALSE),"")</f>
        <v/>
      </c>
      <c r="H854" t="str">
        <f>IFERROR(VLOOKUP(D854,'Team Data'!C:AB,7,FALSE),"")</f>
        <v/>
      </c>
      <c r="I854" t="str">
        <f>IFERROR(VLOOKUP(D854,'Team Data'!C:AB,14,FALSE),"")</f>
        <v/>
      </c>
      <c r="J854" t="str">
        <f>IFERROR(VLOOKUP(D854,'Team Data'!C:AB,8,FALSE),"")</f>
        <v/>
      </c>
      <c r="K854" t="str">
        <f>IFERROR(VLOOKUP(D854,'Team Data'!C:AB,9,FALSE),"")</f>
        <v/>
      </c>
      <c r="L854" t="str">
        <f>IFERROR(VLOOKUP(D854,'Team Data'!C:AB,10,FALSE),"")</f>
        <v/>
      </c>
      <c r="M854" t="str">
        <f t="shared" si="28"/>
        <v/>
      </c>
      <c r="N854" t="str">
        <f>IFERROR(VLOOKUP(D854,'Team Data'!C:AB,23,FALSE),"")</f>
        <v/>
      </c>
      <c r="O854" t="str">
        <f>IFERROR(VLOOKUP(D854,'Team Data'!C:AB,22,FALSE),"")</f>
        <v/>
      </c>
      <c r="P854" t="str">
        <f t="shared" si="29"/>
        <v/>
      </c>
      <c r="Q854" t="str">
        <f>IFERROR(VLOOKUP(D854,'Team Data'!C:AB,15,FALSE),"")</f>
        <v/>
      </c>
      <c r="R854" t="str">
        <f>IFERROR(VLOOKUP('OB Format'!D854,'Team Data'!C:AB,24,FALSE),"")</f>
        <v/>
      </c>
      <c r="S854" t="str">
        <f>IFERROR(VLOOKUP('OB Format'!D854,'Team Data'!C:AC,25,FALSE),"")</f>
        <v/>
      </c>
    </row>
    <row r="855" spans="5:19" x14ac:dyDescent="0.25">
      <c r="E855" t="str">
        <f>IFERROR(VLOOKUP(D855,'Team Data'!C:AB,4,FALSE),"")</f>
        <v/>
      </c>
      <c r="F855" t="str">
        <f>IFERROR(VLOOKUP(D855,'Team Data'!C:AB,5,FALSE),"")</f>
        <v/>
      </c>
      <c r="G855" t="str">
        <f>IFERROR(VLOOKUP('OB Format'!D855,'Team Data'!C:AB,17,FALSE),"")</f>
        <v/>
      </c>
      <c r="H855" t="str">
        <f>IFERROR(VLOOKUP(D855,'Team Data'!C:AB,7,FALSE),"")</f>
        <v/>
      </c>
      <c r="I855" t="str">
        <f>IFERROR(VLOOKUP(D855,'Team Data'!C:AB,14,FALSE),"")</f>
        <v/>
      </c>
      <c r="J855" t="str">
        <f>IFERROR(VLOOKUP(D855,'Team Data'!C:AB,8,FALSE),"")</f>
        <v/>
      </c>
      <c r="K855" t="str">
        <f>IFERROR(VLOOKUP(D855,'Team Data'!C:AB,9,FALSE),"")</f>
        <v/>
      </c>
      <c r="L855" t="str">
        <f>IFERROR(VLOOKUP(D855,'Team Data'!C:AB,10,FALSE),"")</f>
        <v/>
      </c>
      <c r="M855" t="str">
        <f t="shared" si="28"/>
        <v/>
      </c>
      <c r="N855" t="str">
        <f>IFERROR(VLOOKUP(D855,'Team Data'!C:AB,23,FALSE),"")</f>
        <v/>
      </c>
      <c r="O855" t="str">
        <f>IFERROR(VLOOKUP(D855,'Team Data'!C:AB,22,FALSE),"")</f>
        <v/>
      </c>
      <c r="P855" t="str">
        <f t="shared" si="29"/>
        <v/>
      </c>
      <c r="Q855" t="str">
        <f>IFERROR(VLOOKUP(D855,'Team Data'!C:AB,15,FALSE),"")</f>
        <v/>
      </c>
      <c r="R855" t="str">
        <f>IFERROR(VLOOKUP('OB Format'!D855,'Team Data'!C:AB,24,FALSE),"")</f>
        <v/>
      </c>
      <c r="S855" t="str">
        <f>IFERROR(VLOOKUP('OB Format'!D855,'Team Data'!C:AC,25,FALSE),"")</f>
        <v/>
      </c>
    </row>
    <row r="856" spans="5:19" x14ac:dyDescent="0.25">
      <c r="E856" t="str">
        <f>IFERROR(VLOOKUP(D856,'Team Data'!C:AB,4,FALSE),"")</f>
        <v/>
      </c>
      <c r="F856" t="str">
        <f>IFERROR(VLOOKUP(D856,'Team Data'!C:AB,5,FALSE),"")</f>
        <v/>
      </c>
      <c r="G856" t="str">
        <f>IFERROR(VLOOKUP('OB Format'!D856,'Team Data'!C:AB,17,FALSE),"")</f>
        <v/>
      </c>
      <c r="H856" t="str">
        <f>IFERROR(VLOOKUP(D856,'Team Data'!C:AB,7,FALSE),"")</f>
        <v/>
      </c>
      <c r="I856" t="str">
        <f>IFERROR(VLOOKUP(D856,'Team Data'!C:AB,14,FALSE),"")</f>
        <v/>
      </c>
      <c r="J856" t="str">
        <f>IFERROR(VLOOKUP(D856,'Team Data'!C:AB,8,FALSE),"")</f>
        <v/>
      </c>
      <c r="K856" t="str">
        <f>IFERROR(VLOOKUP(D856,'Team Data'!C:AB,9,FALSE),"")</f>
        <v/>
      </c>
      <c r="L856" t="str">
        <f>IFERROR(VLOOKUP(D856,'Team Data'!C:AB,10,FALSE),"")</f>
        <v/>
      </c>
      <c r="M856" t="str">
        <f t="shared" si="28"/>
        <v/>
      </c>
      <c r="N856" t="str">
        <f>IFERROR(VLOOKUP(D856,'Team Data'!C:AB,23,FALSE),"")</f>
        <v/>
      </c>
      <c r="O856" t="str">
        <f>IFERROR(VLOOKUP(D856,'Team Data'!C:AB,22,FALSE),"")</f>
        <v/>
      </c>
      <c r="P856" t="str">
        <f t="shared" si="29"/>
        <v/>
      </c>
      <c r="Q856" t="str">
        <f>IFERROR(VLOOKUP(D856,'Team Data'!C:AB,15,FALSE),"")</f>
        <v/>
      </c>
      <c r="R856" t="str">
        <f>IFERROR(VLOOKUP('OB Format'!D856,'Team Data'!C:AB,24,FALSE),"")</f>
        <v/>
      </c>
      <c r="S856" t="str">
        <f>IFERROR(VLOOKUP('OB Format'!D856,'Team Data'!C:AC,25,FALSE),"")</f>
        <v/>
      </c>
    </row>
    <row r="857" spans="5:19" x14ac:dyDescent="0.25">
      <c r="E857" t="str">
        <f>IFERROR(VLOOKUP(D857,'Team Data'!C:AB,4,FALSE),"")</f>
        <v/>
      </c>
      <c r="F857" t="str">
        <f>IFERROR(VLOOKUP(D857,'Team Data'!C:AB,5,FALSE),"")</f>
        <v/>
      </c>
      <c r="G857" t="str">
        <f>IFERROR(VLOOKUP('OB Format'!D857,'Team Data'!C:AB,17,FALSE),"")</f>
        <v/>
      </c>
      <c r="H857" t="str">
        <f>IFERROR(VLOOKUP(D857,'Team Data'!C:AB,7,FALSE),"")</f>
        <v/>
      </c>
      <c r="I857" t="str">
        <f>IFERROR(VLOOKUP(D857,'Team Data'!C:AB,14,FALSE),"")</f>
        <v/>
      </c>
      <c r="J857" t="str">
        <f>IFERROR(VLOOKUP(D857,'Team Data'!C:AB,8,FALSE),"")</f>
        <v/>
      </c>
      <c r="K857" t="str">
        <f>IFERROR(VLOOKUP(D857,'Team Data'!C:AB,9,FALSE),"")</f>
        <v/>
      </c>
      <c r="L857" t="str">
        <f>IFERROR(VLOOKUP(D857,'Team Data'!C:AB,10,FALSE),"")</f>
        <v/>
      </c>
      <c r="M857" t="str">
        <f t="shared" si="28"/>
        <v/>
      </c>
      <c r="N857" t="str">
        <f>IFERROR(VLOOKUP(D857,'Team Data'!C:AB,23,FALSE),"")</f>
        <v/>
      </c>
      <c r="O857" t="str">
        <f>IFERROR(VLOOKUP(D857,'Team Data'!C:AB,22,FALSE),"")</f>
        <v/>
      </c>
      <c r="P857" t="str">
        <f t="shared" si="29"/>
        <v/>
      </c>
      <c r="Q857" t="str">
        <f>IFERROR(VLOOKUP(D857,'Team Data'!C:AB,15,FALSE),"")</f>
        <v/>
      </c>
      <c r="R857" t="str">
        <f>IFERROR(VLOOKUP('OB Format'!D857,'Team Data'!C:AB,24,FALSE),"")</f>
        <v/>
      </c>
      <c r="S857" t="str">
        <f>IFERROR(VLOOKUP('OB Format'!D857,'Team Data'!C:AC,25,FALSE),"")</f>
        <v/>
      </c>
    </row>
    <row r="858" spans="5:19" x14ac:dyDescent="0.25">
      <c r="E858" t="str">
        <f>IFERROR(VLOOKUP(D858,'Team Data'!C:AB,4,FALSE),"")</f>
        <v/>
      </c>
      <c r="F858" t="str">
        <f>IFERROR(VLOOKUP(D858,'Team Data'!C:AB,5,FALSE),"")</f>
        <v/>
      </c>
      <c r="G858" t="str">
        <f>IFERROR(VLOOKUP('OB Format'!D858,'Team Data'!C:AB,17,FALSE),"")</f>
        <v/>
      </c>
      <c r="H858" t="str">
        <f>IFERROR(VLOOKUP(D858,'Team Data'!C:AB,7,FALSE),"")</f>
        <v/>
      </c>
      <c r="I858" t="str">
        <f>IFERROR(VLOOKUP(D858,'Team Data'!C:AB,14,FALSE),"")</f>
        <v/>
      </c>
      <c r="J858" t="str">
        <f>IFERROR(VLOOKUP(D858,'Team Data'!C:AB,8,FALSE),"")</f>
        <v/>
      </c>
      <c r="K858" t="str">
        <f>IFERROR(VLOOKUP(D858,'Team Data'!C:AB,9,FALSE),"")</f>
        <v/>
      </c>
      <c r="L858" t="str">
        <f>IFERROR(VLOOKUP(D858,'Team Data'!C:AB,10,FALSE),"")</f>
        <v/>
      </c>
      <c r="M858" t="str">
        <f t="shared" si="28"/>
        <v/>
      </c>
      <c r="N858" t="str">
        <f>IFERROR(VLOOKUP(D858,'Team Data'!C:AB,23,FALSE),"")</f>
        <v/>
      </c>
      <c r="O858" t="str">
        <f>IFERROR(VLOOKUP(D858,'Team Data'!C:AB,22,FALSE),"")</f>
        <v/>
      </c>
      <c r="P858" t="str">
        <f t="shared" si="29"/>
        <v/>
      </c>
      <c r="Q858" t="str">
        <f>IFERROR(VLOOKUP(D858,'Team Data'!C:AB,15,FALSE),"")</f>
        <v/>
      </c>
      <c r="R858" t="str">
        <f>IFERROR(VLOOKUP('OB Format'!D858,'Team Data'!C:AB,24,FALSE),"")</f>
        <v/>
      </c>
      <c r="S858" t="str">
        <f>IFERROR(VLOOKUP('OB Format'!D858,'Team Data'!C:AC,25,FALSE),"")</f>
        <v/>
      </c>
    </row>
    <row r="859" spans="5:19" x14ac:dyDescent="0.25">
      <c r="E859" t="str">
        <f>IFERROR(VLOOKUP(D859,'Team Data'!C:AB,4,FALSE),"")</f>
        <v/>
      </c>
      <c r="F859" t="str">
        <f>IFERROR(VLOOKUP(D859,'Team Data'!C:AB,5,FALSE),"")</f>
        <v/>
      </c>
      <c r="G859" t="str">
        <f>IFERROR(VLOOKUP('OB Format'!D859,'Team Data'!C:AB,17,FALSE),"")</f>
        <v/>
      </c>
      <c r="H859" t="str">
        <f>IFERROR(VLOOKUP(D859,'Team Data'!C:AB,7,FALSE),"")</f>
        <v/>
      </c>
      <c r="I859" t="str">
        <f>IFERROR(VLOOKUP(D859,'Team Data'!C:AB,14,FALSE),"")</f>
        <v/>
      </c>
      <c r="J859" t="str">
        <f>IFERROR(VLOOKUP(D859,'Team Data'!C:AB,8,FALSE),"")</f>
        <v/>
      </c>
      <c r="K859" t="str">
        <f>IFERROR(VLOOKUP(D859,'Team Data'!C:AB,9,FALSE),"")</f>
        <v/>
      </c>
      <c r="L859" t="str">
        <f>IFERROR(VLOOKUP(D859,'Team Data'!C:AB,10,FALSE),"")</f>
        <v/>
      </c>
      <c r="M859" t="str">
        <f t="shared" si="28"/>
        <v/>
      </c>
      <c r="N859" t="str">
        <f>IFERROR(VLOOKUP(D859,'Team Data'!C:AB,23,FALSE),"")</f>
        <v/>
      </c>
      <c r="O859" t="str">
        <f>IFERROR(VLOOKUP(D859,'Team Data'!C:AB,22,FALSE),"")</f>
        <v/>
      </c>
      <c r="P859" t="str">
        <f t="shared" si="29"/>
        <v/>
      </c>
      <c r="Q859" t="str">
        <f>IFERROR(VLOOKUP(D859,'Team Data'!C:AB,15,FALSE),"")</f>
        <v/>
      </c>
      <c r="R859" t="str">
        <f>IFERROR(VLOOKUP('OB Format'!D859,'Team Data'!C:AB,24,FALSE),"")</f>
        <v/>
      </c>
      <c r="S859" t="str">
        <f>IFERROR(VLOOKUP('OB Format'!D859,'Team Data'!C:AC,25,FALSE),"")</f>
        <v/>
      </c>
    </row>
    <row r="860" spans="5:19" x14ac:dyDescent="0.25">
      <c r="E860" t="str">
        <f>IFERROR(VLOOKUP(D860,'Team Data'!C:AB,4,FALSE),"")</f>
        <v/>
      </c>
      <c r="F860" t="str">
        <f>IFERROR(VLOOKUP(D860,'Team Data'!C:AB,5,FALSE),"")</f>
        <v/>
      </c>
      <c r="G860" t="str">
        <f>IFERROR(VLOOKUP('OB Format'!D860,'Team Data'!C:AB,17,FALSE),"")</f>
        <v/>
      </c>
      <c r="H860" t="str">
        <f>IFERROR(VLOOKUP(D860,'Team Data'!C:AB,7,FALSE),"")</f>
        <v/>
      </c>
      <c r="I860" t="str">
        <f>IFERROR(VLOOKUP(D860,'Team Data'!C:AB,14,FALSE),"")</f>
        <v/>
      </c>
      <c r="J860" t="str">
        <f>IFERROR(VLOOKUP(D860,'Team Data'!C:AB,8,FALSE),"")</f>
        <v/>
      </c>
      <c r="K860" t="str">
        <f>IFERROR(VLOOKUP(D860,'Team Data'!C:AB,9,FALSE),"")</f>
        <v/>
      </c>
      <c r="L860" t="str">
        <f>IFERROR(VLOOKUP(D860,'Team Data'!C:AB,10,FALSE),"")</f>
        <v/>
      </c>
      <c r="M860" t="str">
        <f t="shared" si="28"/>
        <v/>
      </c>
      <c r="N860" t="str">
        <f>IFERROR(VLOOKUP(D860,'Team Data'!C:AB,23,FALSE),"")</f>
        <v/>
      </c>
      <c r="O860" t="str">
        <f>IFERROR(VLOOKUP(D860,'Team Data'!C:AB,22,FALSE),"")</f>
        <v/>
      </c>
      <c r="P860" t="str">
        <f t="shared" si="29"/>
        <v/>
      </c>
      <c r="Q860" t="str">
        <f>IFERROR(VLOOKUP(D860,'Team Data'!C:AB,15,FALSE),"")</f>
        <v/>
      </c>
      <c r="R860" t="str">
        <f>IFERROR(VLOOKUP('OB Format'!D860,'Team Data'!C:AB,24,FALSE),"")</f>
        <v/>
      </c>
      <c r="S860" t="str">
        <f>IFERROR(VLOOKUP('OB Format'!D860,'Team Data'!C:AC,25,FALSE),"")</f>
        <v/>
      </c>
    </row>
    <row r="861" spans="5:19" x14ac:dyDescent="0.25">
      <c r="E861" t="str">
        <f>IFERROR(VLOOKUP(D861,'Team Data'!C:AB,4,FALSE),"")</f>
        <v/>
      </c>
      <c r="F861" t="str">
        <f>IFERROR(VLOOKUP(D861,'Team Data'!C:AB,5,FALSE),"")</f>
        <v/>
      </c>
      <c r="G861" t="str">
        <f>IFERROR(VLOOKUP('OB Format'!D861,'Team Data'!C:AB,17,FALSE),"")</f>
        <v/>
      </c>
      <c r="H861" t="str">
        <f>IFERROR(VLOOKUP(D861,'Team Data'!C:AB,7,FALSE),"")</f>
        <v/>
      </c>
      <c r="I861" t="str">
        <f>IFERROR(VLOOKUP(D861,'Team Data'!C:AB,14,FALSE),"")</f>
        <v/>
      </c>
      <c r="J861" t="str">
        <f>IFERROR(VLOOKUP(D861,'Team Data'!C:AB,8,FALSE),"")</f>
        <v/>
      </c>
      <c r="K861" t="str">
        <f>IFERROR(VLOOKUP(D861,'Team Data'!C:AB,9,FALSE),"")</f>
        <v/>
      </c>
      <c r="L861" t="str">
        <f>IFERROR(VLOOKUP(D861,'Team Data'!C:AB,10,FALSE),"")</f>
        <v/>
      </c>
      <c r="M861" t="str">
        <f t="shared" si="28"/>
        <v/>
      </c>
      <c r="N861" t="str">
        <f>IFERROR(VLOOKUP(D861,'Team Data'!C:AB,23,FALSE),"")</f>
        <v/>
      </c>
      <c r="O861" t="str">
        <f>IFERROR(VLOOKUP(D861,'Team Data'!C:AB,22,FALSE),"")</f>
        <v/>
      </c>
      <c r="P861" t="str">
        <f t="shared" si="29"/>
        <v/>
      </c>
      <c r="Q861" t="str">
        <f>IFERROR(VLOOKUP(D861,'Team Data'!C:AB,15,FALSE),"")</f>
        <v/>
      </c>
      <c r="R861" t="str">
        <f>IFERROR(VLOOKUP('OB Format'!D861,'Team Data'!C:AB,24,FALSE),"")</f>
        <v/>
      </c>
      <c r="S861" t="str">
        <f>IFERROR(VLOOKUP('OB Format'!D861,'Team Data'!C:AC,25,FALSE),"")</f>
        <v/>
      </c>
    </row>
    <row r="862" spans="5:19" x14ac:dyDescent="0.25">
      <c r="E862" t="str">
        <f>IFERROR(VLOOKUP(D862,'Team Data'!C:AB,4,FALSE),"")</f>
        <v/>
      </c>
      <c r="F862" t="str">
        <f>IFERROR(VLOOKUP(D862,'Team Data'!C:AB,5,FALSE),"")</f>
        <v/>
      </c>
      <c r="G862" t="str">
        <f>IFERROR(VLOOKUP('OB Format'!D862,'Team Data'!C:AB,17,FALSE),"")</f>
        <v/>
      </c>
      <c r="H862" t="str">
        <f>IFERROR(VLOOKUP(D862,'Team Data'!C:AB,7,FALSE),"")</f>
        <v/>
      </c>
      <c r="I862" t="str">
        <f>IFERROR(VLOOKUP(D862,'Team Data'!C:AB,14,FALSE),"")</f>
        <v/>
      </c>
      <c r="J862" t="str">
        <f>IFERROR(VLOOKUP(D862,'Team Data'!C:AB,8,FALSE),"")</f>
        <v/>
      </c>
      <c r="K862" t="str">
        <f>IFERROR(VLOOKUP(D862,'Team Data'!C:AB,9,FALSE),"")</f>
        <v/>
      </c>
      <c r="L862" t="str">
        <f>IFERROR(VLOOKUP(D862,'Team Data'!C:AB,10,FALSE),"")</f>
        <v/>
      </c>
      <c r="M862" t="str">
        <f t="shared" si="28"/>
        <v/>
      </c>
      <c r="N862" t="str">
        <f>IFERROR(VLOOKUP(D862,'Team Data'!C:AB,23,FALSE),"")</f>
        <v/>
      </c>
      <c r="O862" t="str">
        <f>IFERROR(VLOOKUP(D862,'Team Data'!C:AB,22,FALSE),"")</f>
        <v/>
      </c>
      <c r="P862" t="str">
        <f t="shared" si="29"/>
        <v/>
      </c>
      <c r="Q862" t="str">
        <f>IFERROR(VLOOKUP(D862,'Team Data'!C:AB,15,FALSE),"")</f>
        <v/>
      </c>
      <c r="R862" t="str">
        <f>IFERROR(VLOOKUP('OB Format'!D862,'Team Data'!C:AB,24,FALSE),"")</f>
        <v/>
      </c>
      <c r="S862" t="str">
        <f>IFERROR(VLOOKUP('OB Format'!D862,'Team Data'!C:AC,25,FALSE),"")</f>
        <v/>
      </c>
    </row>
    <row r="863" spans="5:19" x14ac:dyDescent="0.25">
      <c r="E863" t="str">
        <f>IFERROR(VLOOKUP(D863,'Team Data'!C:AB,4,FALSE),"")</f>
        <v/>
      </c>
      <c r="F863" t="str">
        <f>IFERROR(VLOOKUP(D863,'Team Data'!C:AB,5,FALSE),"")</f>
        <v/>
      </c>
      <c r="G863" t="str">
        <f>IFERROR(VLOOKUP('OB Format'!D863,'Team Data'!C:AB,17,FALSE),"")</f>
        <v/>
      </c>
      <c r="H863" t="str">
        <f>IFERROR(VLOOKUP(D863,'Team Data'!C:AB,7,FALSE),"")</f>
        <v/>
      </c>
      <c r="I863" t="str">
        <f>IFERROR(VLOOKUP(D863,'Team Data'!C:AB,14,FALSE),"")</f>
        <v/>
      </c>
      <c r="J863" t="str">
        <f>IFERROR(VLOOKUP(D863,'Team Data'!C:AB,8,FALSE),"")</f>
        <v/>
      </c>
      <c r="K863" t="str">
        <f>IFERROR(VLOOKUP(D863,'Team Data'!C:AB,9,FALSE),"")</f>
        <v/>
      </c>
      <c r="L863" t="str">
        <f>IFERROR(VLOOKUP(D863,'Team Data'!C:AB,10,FALSE),"")</f>
        <v/>
      </c>
      <c r="M863" t="str">
        <f t="shared" si="28"/>
        <v/>
      </c>
      <c r="N863" t="str">
        <f>IFERROR(VLOOKUP(D863,'Team Data'!C:AB,23,FALSE),"")</f>
        <v/>
      </c>
      <c r="O863" t="str">
        <f>IFERROR(VLOOKUP(D863,'Team Data'!C:AB,22,FALSE),"")</f>
        <v/>
      </c>
      <c r="P863" t="str">
        <f t="shared" si="29"/>
        <v/>
      </c>
      <c r="Q863" t="str">
        <f>IFERROR(VLOOKUP(D863,'Team Data'!C:AB,15,FALSE),"")</f>
        <v/>
      </c>
      <c r="R863" t="str">
        <f>IFERROR(VLOOKUP('OB Format'!D863,'Team Data'!C:AB,24,FALSE),"")</f>
        <v/>
      </c>
      <c r="S863" t="str">
        <f>IFERROR(VLOOKUP('OB Format'!D863,'Team Data'!C:AC,25,FALSE),"")</f>
        <v/>
      </c>
    </row>
    <row r="864" spans="5:19" x14ac:dyDescent="0.25">
      <c r="E864" t="str">
        <f>IFERROR(VLOOKUP(D864,'Team Data'!C:AB,4,FALSE),"")</f>
        <v/>
      </c>
      <c r="F864" t="str">
        <f>IFERROR(VLOOKUP(D864,'Team Data'!C:AB,5,FALSE),"")</f>
        <v/>
      </c>
      <c r="G864" t="str">
        <f>IFERROR(VLOOKUP('OB Format'!D864,'Team Data'!C:AB,17,FALSE),"")</f>
        <v/>
      </c>
      <c r="H864" t="str">
        <f>IFERROR(VLOOKUP(D864,'Team Data'!C:AB,7,FALSE),"")</f>
        <v/>
      </c>
      <c r="I864" t="str">
        <f>IFERROR(VLOOKUP(D864,'Team Data'!C:AB,14,FALSE),"")</f>
        <v/>
      </c>
      <c r="J864" t="str">
        <f>IFERROR(VLOOKUP(D864,'Team Data'!C:AB,8,FALSE),"")</f>
        <v/>
      </c>
      <c r="K864" t="str">
        <f>IFERROR(VLOOKUP(D864,'Team Data'!C:AB,9,FALSE),"")</f>
        <v/>
      </c>
      <c r="L864" t="str">
        <f>IFERROR(VLOOKUP(D864,'Team Data'!C:AB,10,FALSE),"")</f>
        <v/>
      </c>
      <c r="M864" t="str">
        <f t="shared" si="28"/>
        <v/>
      </c>
      <c r="N864" t="str">
        <f>IFERROR(VLOOKUP(D864,'Team Data'!C:AB,23,FALSE),"")</f>
        <v/>
      </c>
      <c r="O864" t="str">
        <f>IFERROR(VLOOKUP(D864,'Team Data'!C:AB,22,FALSE),"")</f>
        <v/>
      </c>
      <c r="P864" t="str">
        <f t="shared" si="29"/>
        <v/>
      </c>
      <c r="Q864" t="str">
        <f>IFERROR(VLOOKUP(D864,'Team Data'!C:AB,15,FALSE),"")</f>
        <v/>
      </c>
      <c r="R864" t="str">
        <f>IFERROR(VLOOKUP('OB Format'!D864,'Team Data'!C:AB,24,FALSE),"")</f>
        <v/>
      </c>
      <c r="S864" t="str">
        <f>IFERROR(VLOOKUP('OB Format'!D864,'Team Data'!C:AC,25,FALSE),"")</f>
        <v/>
      </c>
    </row>
    <row r="865" spans="5:19" x14ac:dyDescent="0.25">
      <c r="E865" t="str">
        <f>IFERROR(VLOOKUP(D865,'Team Data'!C:AB,4,FALSE),"")</f>
        <v/>
      </c>
      <c r="F865" t="str">
        <f>IFERROR(VLOOKUP(D865,'Team Data'!C:AB,5,FALSE),"")</f>
        <v/>
      </c>
      <c r="G865" t="str">
        <f>IFERROR(VLOOKUP('OB Format'!D865,'Team Data'!C:AB,17,FALSE),"")</f>
        <v/>
      </c>
      <c r="H865" t="str">
        <f>IFERROR(VLOOKUP(D865,'Team Data'!C:AB,7,FALSE),"")</f>
        <v/>
      </c>
      <c r="I865" t="str">
        <f>IFERROR(VLOOKUP(D865,'Team Data'!C:AB,14,FALSE),"")</f>
        <v/>
      </c>
      <c r="J865" t="str">
        <f>IFERROR(VLOOKUP(D865,'Team Data'!C:AB,8,FALSE),"")</f>
        <v/>
      </c>
      <c r="K865" t="str">
        <f>IFERROR(VLOOKUP(D865,'Team Data'!C:AB,9,FALSE),"")</f>
        <v/>
      </c>
      <c r="L865" t="str">
        <f>IFERROR(VLOOKUP(D865,'Team Data'!C:AB,10,FALSE),"")</f>
        <v/>
      </c>
      <c r="M865" t="str">
        <f t="shared" si="28"/>
        <v/>
      </c>
      <c r="N865" t="str">
        <f>IFERROR(VLOOKUP(D865,'Team Data'!C:AB,23,FALSE),"")</f>
        <v/>
      </c>
      <c r="O865" t="str">
        <f>IFERROR(VLOOKUP(D865,'Team Data'!C:AB,22,FALSE),"")</f>
        <v/>
      </c>
      <c r="P865" t="str">
        <f t="shared" si="29"/>
        <v/>
      </c>
      <c r="Q865" t="str">
        <f>IFERROR(VLOOKUP(D865,'Team Data'!C:AB,15,FALSE),"")</f>
        <v/>
      </c>
      <c r="R865" t="str">
        <f>IFERROR(VLOOKUP('OB Format'!D865,'Team Data'!C:AB,24,FALSE),"")</f>
        <v/>
      </c>
      <c r="S865" t="str">
        <f>IFERROR(VLOOKUP('OB Format'!D865,'Team Data'!C:AC,25,FALSE),"")</f>
        <v/>
      </c>
    </row>
    <row r="866" spans="5:19" x14ac:dyDescent="0.25">
      <c r="E866" t="str">
        <f>IFERROR(VLOOKUP(D866,'Team Data'!C:AB,4,FALSE),"")</f>
        <v/>
      </c>
      <c r="F866" t="str">
        <f>IFERROR(VLOOKUP(D866,'Team Data'!C:AB,5,FALSE),"")</f>
        <v/>
      </c>
      <c r="G866" t="str">
        <f>IFERROR(VLOOKUP('OB Format'!D866,'Team Data'!C:AB,17,FALSE),"")</f>
        <v/>
      </c>
      <c r="H866" t="str">
        <f>IFERROR(VLOOKUP(D866,'Team Data'!C:AB,7,FALSE),"")</f>
        <v/>
      </c>
      <c r="I866" t="str">
        <f>IFERROR(VLOOKUP(D866,'Team Data'!C:AB,14,FALSE),"")</f>
        <v/>
      </c>
      <c r="J866" t="str">
        <f>IFERROR(VLOOKUP(D866,'Team Data'!C:AB,8,FALSE),"")</f>
        <v/>
      </c>
      <c r="K866" t="str">
        <f>IFERROR(VLOOKUP(D866,'Team Data'!C:AB,9,FALSE),"")</f>
        <v/>
      </c>
      <c r="L866" t="str">
        <f>IFERROR(VLOOKUP(D866,'Team Data'!C:AB,10,FALSE),"")</f>
        <v/>
      </c>
      <c r="M866" t="str">
        <f t="shared" si="28"/>
        <v/>
      </c>
      <c r="N866" t="str">
        <f>IFERROR(VLOOKUP(D866,'Team Data'!C:AB,23,FALSE),"")</f>
        <v/>
      </c>
      <c r="O866" t="str">
        <f>IFERROR(VLOOKUP(D866,'Team Data'!C:AB,22,FALSE),"")</f>
        <v/>
      </c>
      <c r="P866" t="str">
        <f t="shared" si="29"/>
        <v/>
      </c>
      <c r="Q866" t="str">
        <f>IFERROR(VLOOKUP(D866,'Team Data'!C:AB,15,FALSE),"")</f>
        <v/>
      </c>
      <c r="R866" t="str">
        <f>IFERROR(VLOOKUP('OB Format'!D866,'Team Data'!C:AB,24,FALSE),"")</f>
        <v/>
      </c>
      <c r="S866" t="str">
        <f>IFERROR(VLOOKUP('OB Format'!D866,'Team Data'!C:AC,25,FALSE),"")</f>
        <v/>
      </c>
    </row>
    <row r="867" spans="5:19" x14ac:dyDescent="0.25">
      <c r="E867" t="str">
        <f>IFERROR(VLOOKUP(D867,'Team Data'!C:AB,4,FALSE),"")</f>
        <v/>
      </c>
      <c r="F867" t="str">
        <f>IFERROR(VLOOKUP(D867,'Team Data'!C:AB,5,FALSE),"")</f>
        <v/>
      </c>
      <c r="G867" t="str">
        <f>IFERROR(VLOOKUP('OB Format'!D867,'Team Data'!C:AB,17,FALSE),"")</f>
        <v/>
      </c>
      <c r="H867" t="str">
        <f>IFERROR(VLOOKUP(D867,'Team Data'!C:AB,7,FALSE),"")</f>
        <v/>
      </c>
      <c r="I867" t="str">
        <f>IFERROR(VLOOKUP(D867,'Team Data'!C:AB,14,FALSE),"")</f>
        <v/>
      </c>
      <c r="J867" t="str">
        <f>IFERROR(VLOOKUP(D867,'Team Data'!C:AB,8,FALSE),"")</f>
        <v/>
      </c>
      <c r="K867" t="str">
        <f>IFERROR(VLOOKUP(D867,'Team Data'!C:AB,9,FALSE),"")</f>
        <v/>
      </c>
      <c r="L867" t="str">
        <f>IFERROR(VLOOKUP(D867,'Team Data'!C:AB,10,FALSE),"")</f>
        <v/>
      </c>
      <c r="M867" t="str">
        <f t="shared" si="28"/>
        <v/>
      </c>
      <c r="N867" t="str">
        <f>IFERROR(VLOOKUP(D867,'Team Data'!C:AB,23,FALSE),"")</f>
        <v/>
      </c>
      <c r="O867" t="str">
        <f>IFERROR(VLOOKUP(D867,'Team Data'!C:AB,22,FALSE),"")</f>
        <v/>
      </c>
      <c r="P867" t="str">
        <f t="shared" si="29"/>
        <v/>
      </c>
      <c r="Q867" t="str">
        <f>IFERROR(VLOOKUP(D867,'Team Data'!C:AB,15,FALSE),"")</f>
        <v/>
      </c>
      <c r="R867" t="str">
        <f>IFERROR(VLOOKUP('OB Format'!D867,'Team Data'!C:AB,24,FALSE),"")</f>
        <v/>
      </c>
      <c r="S867" t="str">
        <f>IFERROR(VLOOKUP('OB Format'!D867,'Team Data'!C:AC,25,FALSE),"")</f>
        <v/>
      </c>
    </row>
    <row r="868" spans="5:19" x14ac:dyDescent="0.25">
      <c r="E868" t="str">
        <f>IFERROR(VLOOKUP(D868,'Team Data'!C:AB,4,FALSE),"")</f>
        <v/>
      </c>
      <c r="F868" t="str">
        <f>IFERROR(VLOOKUP(D868,'Team Data'!C:AB,5,FALSE),"")</f>
        <v/>
      </c>
      <c r="G868" t="str">
        <f>IFERROR(VLOOKUP('OB Format'!D868,'Team Data'!C:AB,17,FALSE),"")</f>
        <v/>
      </c>
      <c r="H868" t="str">
        <f>IFERROR(VLOOKUP(D868,'Team Data'!C:AB,7,FALSE),"")</f>
        <v/>
      </c>
      <c r="I868" t="str">
        <f>IFERROR(VLOOKUP(D868,'Team Data'!C:AB,14,FALSE),"")</f>
        <v/>
      </c>
      <c r="J868" t="str">
        <f>IFERROR(VLOOKUP(D868,'Team Data'!C:AB,8,FALSE),"")</f>
        <v/>
      </c>
      <c r="K868" t="str">
        <f>IFERROR(VLOOKUP(D868,'Team Data'!C:AB,9,FALSE),"")</f>
        <v/>
      </c>
      <c r="L868" t="str">
        <f>IFERROR(VLOOKUP(D868,'Team Data'!C:AB,10,FALSE),"")</f>
        <v/>
      </c>
      <c r="M868" t="str">
        <f t="shared" si="28"/>
        <v/>
      </c>
      <c r="N868" t="str">
        <f>IFERROR(VLOOKUP(D868,'Team Data'!C:AB,23,FALSE),"")</f>
        <v/>
      </c>
      <c r="O868" t="str">
        <f>IFERROR(VLOOKUP(D868,'Team Data'!C:AB,22,FALSE),"")</f>
        <v/>
      </c>
      <c r="P868" t="str">
        <f t="shared" si="29"/>
        <v/>
      </c>
      <c r="Q868" t="str">
        <f>IFERROR(VLOOKUP(D868,'Team Data'!C:AB,15,FALSE),"")</f>
        <v/>
      </c>
      <c r="R868" t="str">
        <f>IFERROR(VLOOKUP('OB Format'!D868,'Team Data'!C:AB,24,FALSE),"")</f>
        <v/>
      </c>
      <c r="S868" t="str">
        <f>IFERROR(VLOOKUP('OB Format'!D868,'Team Data'!C:AC,25,FALSE),"")</f>
        <v/>
      </c>
    </row>
    <row r="869" spans="5:19" x14ac:dyDescent="0.25">
      <c r="E869" t="str">
        <f>IFERROR(VLOOKUP(D869,'Team Data'!C:AB,4,FALSE),"")</f>
        <v/>
      </c>
      <c r="F869" t="str">
        <f>IFERROR(VLOOKUP(D869,'Team Data'!C:AB,5,FALSE),"")</f>
        <v/>
      </c>
      <c r="G869" t="str">
        <f>IFERROR(VLOOKUP('OB Format'!D869,'Team Data'!C:AB,17,FALSE),"")</f>
        <v/>
      </c>
      <c r="H869" t="str">
        <f>IFERROR(VLOOKUP(D869,'Team Data'!C:AB,7,FALSE),"")</f>
        <v/>
      </c>
      <c r="I869" t="str">
        <f>IFERROR(VLOOKUP(D869,'Team Data'!C:AB,14,FALSE),"")</f>
        <v/>
      </c>
      <c r="J869" t="str">
        <f>IFERROR(VLOOKUP(D869,'Team Data'!C:AB,8,FALSE),"")</f>
        <v/>
      </c>
      <c r="K869" t="str">
        <f>IFERROR(VLOOKUP(D869,'Team Data'!C:AB,9,FALSE),"")</f>
        <v/>
      </c>
      <c r="L869" t="str">
        <f>IFERROR(VLOOKUP(D869,'Team Data'!C:AB,10,FALSE),"")</f>
        <v/>
      </c>
      <c r="M869" t="str">
        <f t="shared" si="28"/>
        <v/>
      </c>
      <c r="N869" t="str">
        <f>IFERROR(VLOOKUP(D869,'Team Data'!C:AB,23,FALSE),"")</f>
        <v/>
      </c>
      <c r="O869" t="str">
        <f>IFERROR(VLOOKUP(D869,'Team Data'!C:AB,22,FALSE),"")</f>
        <v/>
      </c>
      <c r="P869" t="str">
        <f t="shared" si="29"/>
        <v/>
      </c>
      <c r="Q869" t="str">
        <f>IFERROR(VLOOKUP(D869,'Team Data'!C:AB,15,FALSE),"")</f>
        <v/>
      </c>
      <c r="R869" t="str">
        <f>IFERROR(VLOOKUP('OB Format'!D869,'Team Data'!C:AB,24,FALSE),"")</f>
        <v/>
      </c>
      <c r="S869" t="str">
        <f>IFERROR(VLOOKUP('OB Format'!D869,'Team Data'!C:AC,25,FALSE),"")</f>
        <v/>
      </c>
    </row>
    <row r="870" spans="5:19" x14ac:dyDescent="0.25">
      <c r="E870" t="str">
        <f>IFERROR(VLOOKUP(D870,'Team Data'!C:AB,4,FALSE),"")</f>
        <v/>
      </c>
      <c r="F870" t="str">
        <f>IFERROR(VLOOKUP(D870,'Team Data'!C:AB,5,FALSE),"")</f>
        <v/>
      </c>
      <c r="G870" t="str">
        <f>IFERROR(VLOOKUP('OB Format'!D870,'Team Data'!C:AB,17,FALSE),"")</f>
        <v/>
      </c>
      <c r="H870" t="str">
        <f>IFERROR(VLOOKUP(D870,'Team Data'!C:AB,7,FALSE),"")</f>
        <v/>
      </c>
      <c r="I870" t="str">
        <f>IFERROR(VLOOKUP(D870,'Team Data'!C:AB,14,FALSE),"")</f>
        <v/>
      </c>
      <c r="J870" t="str">
        <f>IFERROR(VLOOKUP(D870,'Team Data'!C:AB,8,FALSE),"")</f>
        <v/>
      </c>
      <c r="K870" t="str">
        <f>IFERROR(VLOOKUP(D870,'Team Data'!C:AB,9,FALSE),"")</f>
        <v/>
      </c>
      <c r="L870" t="str">
        <f>IFERROR(VLOOKUP(D870,'Team Data'!C:AB,10,FALSE),"")</f>
        <v/>
      </c>
      <c r="M870" t="str">
        <f t="shared" si="28"/>
        <v/>
      </c>
      <c r="N870" t="str">
        <f>IFERROR(VLOOKUP(D870,'Team Data'!C:AB,23,FALSE),"")</f>
        <v/>
      </c>
      <c r="O870" t="str">
        <f>IFERROR(VLOOKUP(D870,'Team Data'!C:AB,22,FALSE),"")</f>
        <v/>
      </c>
      <c r="P870" t="str">
        <f t="shared" si="29"/>
        <v/>
      </c>
      <c r="Q870" t="str">
        <f>IFERROR(VLOOKUP(D870,'Team Data'!C:AB,15,FALSE),"")</f>
        <v/>
      </c>
      <c r="R870" t="str">
        <f>IFERROR(VLOOKUP('OB Format'!D870,'Team Data'!C:AB,24,FALSE),"")</f>
        <v/>
      </c>
      <c r="S870" t="str">
        <f>IFERROR(VLOOKUP('OB Format'!D870,'Team Data'!C:AC,25,FALSE),"")</f>
        <v/>
      </c>
    </row>
    <row r="871" spans="5:19" x14ac:dyDescent="0.25">
      <c r="E871" t="str">
        <f>IFERROR(VLOOKUP(D871,'Team Data'!C:AB,4,FALSE),"")</f>
        <v/>
      </c>
      <c r="F871" t="str">
        <f>IFERROR(VLOOKUP(D871,'Team Data'!C:AB,5,FALSE),"")</f>
        <v/>
      </c>
      <c r="G871" t="str">
        <f>IFERROR(VLOOKUP('OB Format'!D871,'Team Data'!C:AB,17,FALSE),"")</f>
        <v/>
      </c>
      <c r="H871" t="str">
        <f>IFERROR(VLOOKUP(D871,'Team Data'!C:AB,7,FALSE),"")</f>
        <v/>
      </c>
      <c r="I871" t="str">
        <f>IFERROR(VLOOKUP(D871,'Team Data'!C:AB,14,FALSE),"")</f>
        <v/>
      </c>
      <c r="J871" t="str">
        <f>IFERROR(VLOOKUP(D871,'Team Data'!C:AB,8,FALSE),"")</f>
        <v/>
      </c>
      <c r="K871" t="str">
        <f>IFERROR(VLOOKUP(D871,'Team Data'!C:AB,9,FALSE),"")</f>
        <v/>
      </c>
      <c r="L871" t="str">
        <f>IFERROR(VLOOKUP(D871,'Team Data'!C:AB,10,FALSE),"")</f>
        <v/>
      </c>
      <c r="M871" t="str">
        <f t="shared" si="28"/>
        <v/>
      </c>
      <c r="N871" t="str">
        <f>IFERROR(VLOOKUP(D871,'Team Data'!C:AB,23,FALSE),"")</f>
        <v/>
      </c>
      <c r="O871" t="str">
        <f>IFERROR(VLOOKUP(D871,'Team Data'!C:AB,22,FALSE),"")</f>
        <v/>
      </c>
      <c r="P871" t="str">
        <f t="shared" si="29"/>
        <v/>
      </c>
      <c r="Q871" t="str">
        <f>IFERROR(VLOOKUP(D871,'Team Data'!C:AB,15,FALSE),"")</f>
        <v/>
      </c>
      <c r="R871" t="str">
        <f>IFERROR(VLOOKUP('OB Format'!D871,'Team Data'!C:AB,24,FALSE),"")</f>
        <v/>
      </c>
      <c r="S871" t="str">
        <f>IFERROR(VLOOKUP('OB Format'!D871,'Team Data'!C:AC,25,FALSE),"")</f>
        <v/>
      </c>
    </row>
    <row r="872" spans="5:19" x14ac:dyDescent="0.25">
      <c r="E872" t="str">
        <f>IFERROR(VLOOKUP(D872,'Team Data'!C:AB,4,FALSE),"")</f>
        <v/>
      </c>
      <c r="F872" t="str">
        <f>IFERROR(VLOOKUP(D872,'Team Data'!C:AB,5,FALSE),"")</f>
        <v/>
      </c>
      <c r="G872" t="str">
        <f>IFERROR(VLOOKUP('OB Format'!D872,'Team Data'!C:AB,17,FALSE),"")</f>
        <v/>
      </c>
      <c r="H872" t="str">
        <f>IFERROR(VLOOKUP(D872,'Team Data'!C:AB,7,FALSE),"")</f>
        <v/>
      </c>
      <c r="I872" t="str">
        <f>IFERROR(VLOOKUP(D872,'Team Data'!C:AB,14,FALSE),"")</f>
        <v/>
      </c>
      <c r="J872" t="str">
        <f>IFERROR(VLOOKUP(D872,'Team Data'!C:AB,8,FALSE),"")</f>
        <v/>
      </c>
      <c r="K872" t="str">
        <f>IFERROR(VLOOKUP(D872,'Team Data'!C:AB,9,FALSE),"")</f>
        <v/>
      </c>
      <c r="L872" t="str">
        <f>IFERROR(VLOOKUP(D872,'Team Data'!C:AB,10,FALSE),"")</f>
        <v/>
      </c>
      <c r="M872" t="str">
        <f t="shared" si="28"/>
        <v/>
      </c>
      <c r="N872" t="str">
        <f>IFERROR(VLOOKUP(D872,'Team Data'!C:AB,23,FALSE),"")</f>
        <v/>
      </c>
      <c r="O872" t="str">
        <f>IFERROR(VLOOKUP(D872,'Team Data'!C:AB,22,FALSE),"")</f>
        <v/>
      </c>
      <c r="P872" t="str">
        <f t="shared" si="29"/>
        <v/>
      </c>
      <c r="Q872" t="str">
        <f>IFERROR(VLOOKUP(D872,'Team Data'!C:AB,15,FALSE),"")</f>
        <v/>
      </c>
      <c r="R872" t="str">
        <f>IFERROR(VLOOKUP('OB Format'!D872,'Team Data'!C:AB,24,FALSE),"")</f>
        <v/>
      </c>
      <c r="S872" t="str">
        <f>IFERROR(VLOOKUP('OB Format'!D872,'Team Data'!C:AC,25,FALSE),"")</f>
        <v/>
      </c>
    </row>
    <row r="873" spans="5:19" x14ac:dyDescent="0.25">
      <c r="E873" t="str">
        <f>IFERROR(VLOOKUP(D873,'Team Data'!C:AB,4,FALSE),"")</f>
        <v/>
      </c>
      <c r="F873" t="str">
        <f>IFERROR(VLOOKUP(D873,'Team Data'!C:AB,5,FALSE),"")</f>
        <v/>
      </c>
      <c r="G873" t="str">
        <f>IFERROR(VLOOKUP('OB Format'!D873,'Team Data'!C:AB,17,FALSE),"")</f>
        <v/>
      </c>
      <c r="H873" t="str">
        <f>IFERROR(VLOOKUP(D873,'Team Data'!C:AB,7,FALSE),"")</f>
        <v/>
      </c>
      <c r="I873" t="str">
        <f>IFERROR(VLOOKUP(D873,'Team Data'!C:AB,14,FALSE),"")</f>
        <v/>
      </c>
      <c r="J873" t="str">
        <f>IFERROR(VLOOKUP(D873,'Team Data'!C:AB,8,FALSE),"")</f>
        <v/>
      </c>
      <c r="K873" t="str">
        <f>IFERROR(VLOOKUP(D873,'Team Data'!C:AB,9,FALSE),"")</f>
        <v/>
      </c>
      <c r="L873" t="str">
        <f>IFERROR(VLOOKUP(D873,'Team Data'!C:AB,10,FALSE),"")</f>
        <v/>
      </c>
      <c r="M873" t="str">
        <f t="shared" si="28"/>
        <v/>
      </c>
      <c r="N873" t="str">
        <f>IFERROR(VLOOKUP(D873,'Team Data'!C:AB,23,FALSE),"")</f>
        <v/>
      </c>
      <c r="O873" t="str">
        <f>IFERROR(VLOOKUP(D873,'Team Data'!C:AB,22,FALSE),"")</f>
        <v/>
      </c>
      <c r="P873" t="str">
        <f t="shared" si="29"/>
        <v/>
      </c>
      <c r="Q873" t="str">
        <f>IFERROR(VLOOKUP(D873,'Team Data'!C:AB,15,FALSE),"")</f>
        <v/>
      </c>
      <c r="R873" t="str">
        <f>IFERROR(VLOOKUP('OB Format'!D873,'Team Data'!C:AB,24,FALSE),"")</f>
        <v/>
      </c>
      <c r="S873" t="str">
        <f>IFERROR(VLOOKUP('OB Format'!D873,'Team Data'!C:AC,25,FALSE),"")</f>
        <v/>
      </c>
    </row>
    <row r="874" spans="5:19" x14ac:dyDescent="0.25">
      <c r="E874" t="str">
        <f>IFERROR(VLOOKUP(D874,'Team Data'!C:AB,4,FALSE),"")</f>
        <v/>
      </c>
      <c r="F874" t="str">
        <f>IFERROR(VLOOKUP(D874,'Team Data'!C:AB,5,FALSE),"")</f>
        <v/>
      </c>
      <c r="G874" t="str">
        <f>IFERROR(VLOOKUP('OB Format'!D874,'Team Data'!C:AB,17,FALSE),"")</f>
        <v/>
      </c>
      <c r="H874" t="str">
        <f>IFERROR(VLOOKUP(D874,'Team Data'!C:AB,7,FALSE),"")</f>
        <v/>
      </c>
      <c r="I874" t="str">
        <f>IFERROR(VLOOKUP(D874,'Team Data'!C:AB,14,FALSE),"")</f>
        <v/>
      </c>
      <c r="J874" t="str">
        <f>IFERROR(VLOOKUP(D874,'Team Data'!C:AB,8,FALSE),"")</f>
        <v/>
      </c>
      <c r="K874" t="str">
        <f>IFERROR(VLOOKUP(D874,'Team Data'!C:AB,9,FALSE),"")</f>
        <v/>
      </c>
      <c r="L874" t="str">
        <f>IFERROR(VLOOKUP(D874,'Team Data'!C:AB,10,FALSE),"")</f>
        <v/>
      </c>
      <c r="M874" t="str">
        <f t="shared" si="28"/>
        <v/>
      </c>
      <c r="N874" t="str">
        <f>IFERROR(VLOOKUP(D874,'Team Data'!C:AB,23,FALSE),"")</f>
        <v/>
      </c>
      <c r="O874" t="str">
        <f>IFERROR(VLOOKUP(D874,'Team Data'!C:AB,22,FALSE),"")</f>
        <v/>
      </c>
      <c r="P874" t="str">
        <f t="shared" si="29"/>
        <v/>
      </c>
      <c r="Q874" t="str">
        <f>IFERROR(VLOOKUP(D874,'Team Data'!C:AB,15,FALSE),"")</f>
        <v/>
      </c>
      <c r="R874" t="str">
        <f>IFERROR(VLOOKUP('OB Format'!D874,'Team Data'!C:AB,24,FALSE),"")</f>
        <v/>
      </c>
      <c r="S874" t="str">
        <f>IFERROR(VLOOKUP('OB Format'!D874,'Team Data'!C:AC,25,FALSE),"")</f>
        <v/>
      </c>
    </row>
    <row r="875" spans="5:19" x14ac:dyDescent="0.25">
      <c r="E875" t="str">
        <f>IFERROR(VLOOKUP(D875,'Team Data'!C:AB,4,FALSE),"")</f>
        <v/>
      </c>
      <c r="F875" t="str">
        <f>IFERROR(VLOOKUP(D875,'Team Data'!C:AB,5,FALSE),"")</f>
        <v/>
      </c>
      <c r="G875" t="str">
        <f>IFERROR(VLOOKUP('OB Format'!D875,'Team Data'!C:AB,17,FALSE),"")</f>
        <v/>
      </c>
      <c r="H875" t="str">
        <f>IFERROR(VLOOKUP(D875,'Team Data'!C:AB,7,FALSE),"")</f>
        <v/>
      </c>
      <c r="I875" t="str">
        <f>IFERROR(VLOOKUP(D875,'Team Data'!C:AB,14,FALSE),"")</f>
        <v/>
      </c>
      <c r="J875" t="str">
        <f>IFERROR(VLOOKUP(D875,'Team Data'!C:AB,8,FALSE),"")</f>
        <v/>
      </c>
      <c r="K875" t="str">
        <f>IFERROR(VLOOKUP(D875,'Team Data'!C:AB,9,FALSE),"")</f>
        <v/>
      </c>
      <c r="L875" t="str">
        <f>IFERROR(VLOOKUP(D875,'Team Data'!C:AB,10,FALSE),"")</f>
        <v/>
      </c>
      <c r="M875" t="str">
        <f t="shared" si="28"/>
        <v/>
      </c>
      <c r="N875" t="str">
        <f>IFERROR(VLOOKUP(D875,'Team Data'!C:AB,23,FALSE),"")</f>
        <v/>
      </c>
      <c r="O875" t="str">
        <f>IFERROR(VLOOKUP(D875,'Team Data'!C:AB,22,FALSE),"")</f>
        <v/>
      </c>
      <c r="P875" t="str">
        <f t="shared" si="29"/>
        <v/>
      </c>
      <c r="Q875" t="str">
        <f>IFERROR(VLOOKUP(D875,'Team Data'!C:AB,15,FALSE),"")</f>
        <v/>
      </c>
      <c r="R875" t="str">
        <f>IFERROR(VLOOKUP('OB Format'!D875,'Team Data'!C:AB,24,FALSE),"")</f>
        <v/>
      </c>
      <c r="S875" t="str">
        <f>IFERROR(VLOOKUP('OB Format'!D875,'Team Data'!C:AC,25,FALSE),"")</f>
        <v/>
      </c>
    </row>
    <row r="876" spans="5:19" x14ac:dyDescent="0.25">
      <c r="E876" t="str">
        <f>IFERROR(VLOOKUP(D876,'Team Data'!C:AB,4,FALSE),"")</f>
        <v/>
      </c>
      <c r="F876" t="str">
        <f>IFERROR(VLOOKUP(D876,'Team Data'!C:AB,5,FALSE),"")</f>
        <v/>
      </c>
      <c r="G876" t="str">
        <f>IFERROR(VLOOKUP('OB Format'!D876,'Team Data'!C:AB,17,FALSE),"")</f>
        <v/>
      </c>
      <c r="H876" t="str">
        <f>IFERROR(VLOOKUP(D876,'Team Data'!C:AB,7,FALSE),"")</f>
        <v/>
      </c>
      <c r="I876" t="str">
        <f>IFERROR(VLOOKUP(D876,'Team Data'!C:AB,14,FALSE),"")</f>
        <v/>
      </c>
      <c r="J876" t="str">
        <f>IFERROR(VLOOKUP(D876,'Team Data'!C:AB,8,FALSE),"")</f>
        <v/>
      </c>
      <c r="K876" t="str">
        <f>IFERROR(VLOOKUP(D876,'Team Data'!C:AB,9,FALSE),"")</f>
        <v/>
      </c>
      <c r="L876" t="str">
        <f>IFERROR(VLOOKUP(D876,'Team Data'!C:AB,10,FALSE),"")</f>
        <v/>
      </c>
      <c r="M876" t="str">
        <f t="shared" si="28"/>
        <v/>
      </c>
      <c r="N876" t="str">
        <f>IFERROR(VLOOKUP(D876,'Team Data'!C:AB,23,FALSE),"")</f>
        <v/>
      </c>
      <c r="O876" t="str">
        <f>IFERROR(VLOOKUP(D876,'Team Data'!C:AB,22,FALSE),"")</f>
        <v/>
      </c>
      <c r="P876" t="str">
        <f t="shared" si="29"/>
        <v/>
      </c>
      <c r="Q876" t="str">
        <f>IFERROR(VLOOKUP(D876,'Team Data'!C:AB,15,FALSE),"")</f>
        <v/>
      </c>
      <c r="R876" t="str">
        <f>IFERROR(VLOOKUP('OB Format'!D876,'Team Data'!C:AB,24,FALSE),"")</f>
        <v/>
      </c>
      <c r="S876" t="str">
        <f>IFERROR(VLOOKUP('OB Format'!D876,'Team Data'!C:AC,25,FALSE),"")</f>
        <v/>
      </c>
    </row>
    <row r="877" spans="5:19" x14ac:dyDescent="0.25">
      <c r="E877" t="str">
        <f>IFERROR(VLOOKUP(D877,'Team Data'!C:AB,4,FALSE),"")</f>
        <v/>
      </c>
      <c r="F877" t="str">
        <f>IFERROR(VLOOKUP(D877,'Team Data'!C:AB,5,FALSE),"")</f>
        <v/>
      </c>
      <c r="G877" t="str">
        <f>IFERROR(VLOOKUP('OB Format'!D877,'Team Data'!C:AB,17,FALSE),"")</f>
        <v/>
      </c>
      <c r="H877" t="str">
        <f>IFERROR(VLOOKUP(D877,'Team Data'!C:AB,7,FALSE),"")</f>
        <v/>
      </c>
      <c r="I877" t="str">
        <f>IFERROR(VLOOKUP(D877,'Team Data'!C:AB,14,FALSE),"")</f>
        <v/>
      </c>
      <c r="J877" t="str">
        <f>IFERROR(VLOOKUP(D877,'Team Data'!C:AB,8,FALSE),"")</f>
        <v/>
      </c>
      <c r="K877" t="str">
        <f>IFERROR(VLOOKUP(D877,'Team Data'!C:AB,9,FALSE),"")</f>
        <v/>
      </c>
      <c r="L877" t="str">
        <f>IFERROR(VLOOKUP(D877,'Team Data'!C:AB,10,FALSE),"")</f>
        <v/>
      </c>
      <c r="M877" t="str">
        <f t="shared" si="28"/>
        <v/>
      </c>
      <c r="N877" t="str">
        <f>IFERROR(VLOOKUP(D877,'Team Data'!C:AB,23,FALSE),"")</f>
        <v/>
      </c>
      <c r="O877" t="str">
        <f>IFERROR(VLOOKUP(D877,'Team Data'!C:AB,22,FALSE),"")</f>
        <v/>
      </c>
      <c r="P877" t="str">
        <f t="shared" si="29"/>
        <v/>
      </c>
      <c r="Q877" t="str">
        <f>IFERROR(VLOOKUP(D877,'Team Data'!C:AB,15,FALSE),"")</f>
        <v/>
      </c>
      <c r="R877" t="str">
        <f>IFERROR(VLOOKUP('OB Format'!D877,'Team Data'!C:AB,24,FALSE),"")</f>
        <v/>
      </c>
      <c r="S877" t="str">
        <f>IFERROR(VLOOKUP('OB Format'!D877,'Team Data'!C:AC,25,FALSE),"")</f>
        <v/>
      </c>
    </row>
    <row r="878" spans="5:19" x14ac:dyDescent="0.25">
      <c r="E878" t="str">
        <f>IFERROR(VLOOKUP(D878,'Team Data'!C:AB,4,FALSE),"")</f>
        <v/>
      </c>
      <c r="F878" t="str">
        <f>IFERROR(VLOOKUP(D878,'Team Data'!C:AB,5,FALSE),"")</f>
        <v/>
      </c>
      <c r="G878" t="str">
        <f>IFERROR(VLOOKUP('OB Format'!D878,'Team Data'!C:AB,17,FALSE),"")</f>
        <v/>
      </c>
      <c r="H878" t="str">
        <f>IFERROR(VLOOKUP(D878,'Team Data'!C:AB,7,FALSE),"")</f>
        <v/>
      </c>
      <c r="I878" t="str">
        <f>IFERROR(VLOOKUP(D878,'Team Data'!C:AB,14,FALSE),"")</f>
        <v/>
      </c>
      <c r="J878" t="str">
        <f>IFERROR(VLOOKUP(D878,'Team Data'!C:AB,8,FALSE),"")</f>
        <v/>
      </c>
      <c r="K878" t="str">
        <f>IFERROR(VLOOKUP(D878,'Team Data'!C:AB,9,FALSE),"")</f>
        <v/>
      </c>
      <c r="L878" t="str">
        <f>IFERROR(VLOOKUP(D878,'Team Data'!C:AB,10,FALSE),"")</f>
        <v/>
      </c>
      <c r="M878" t="str">
        <f t="shared" si="28"/>
        <v/>
      </c>
      <c r="N878" t="str">
        <f>IFERROR(VLOOKUP(D878,'Team Data'!C:AB,23,FALSE),"")</f>
        <v/>
      </c>
      <c r="O878" t="str">
        <f>IFERROR(VLOOKUP(D878,'Team Data'!C:AB,22,FALSE),"")</f>
        <v/>
      </c>
      <c r="P878" t="str">
        <f t="shared" si="29"/>
        <v/>
      </c>
      <c r="Q878" t="str">
        <f>IFERROR(VLOOKUP(D878,'Team Data'!C:AB,15,FALSE),"")</f>
        <v/>
      </c>
      <c r="R878" t="str">
        <f>IFERROR(VLOOKUP('OB Format'!D878,'Team Data'!C:AB,24,FALSE),"")</f>
        <v/>
      </c>
      <c r="S878" t="str">
        <f>IFERROR(VLOOKUP('OB Format'!D878,'Team Data'!C:AC,25,FALSE),"")</f>
        <v/>
      </c>
    </row>
    <row r="879" spans="5:19" x14ac:dyDescent="0.25">
      <c r="E879" t="str">
        <f>IFERROR(VLOOKUP(D879,'Team Data'!C:AB,4,FALSE),"")</f>
        <v/>
      </c>
      <c r="F879" t="str">
        <f>IFERROR(VLOOKUP(D879,'Team Data'!C:AB,5,FALSE),"")</f>
        <v/>
      </c>
      <c r="G879" t="str">
        <f>IFERROR(VLOOKUP('OB Format'!D879,'Team Data'!C:AB,17,FALSE),"")</f>
        <v/>
      </c>
      <c r="H879" t="str">
        <f>IFERROR(VLOOKUP(D879,'Team Data'!C:AB,7,FALSE),"")</f>
        <v/>
      </c>
      <c r="I879" t="str">
        <f>IFERROR(VLOOKUP(D879,'Team Data'!C:AB,14,FALSE),"")</f>
        <v/>
      </c>
      <c r="J879" t="str">
        <f>IFERROR(VLOOKUP(D879,'Team Data'!C:AB,8,FALSE),"")</f>
        <v/>
      </c>
      <c r="K879" t="str">
        <f>IFERROR(VLOOKUP(D879,'Team Data'!C:AB,9,FALSE),"")</f>
        <v/>
      </c>
      <c r="L879" t="str">
        <f>IFERROR(VLOOKUP(D879,'Team Data'!C:AB,10,FALSE),"")</f>
        <v/>
      </c>
      <c r="M879" t="str">
        <f t="shared" si="28"/>
        <v/>
      </c>
      <c r="N879" t="str">
        <f>IFERROR(VLOOKUP(D879,'Team Data'!C:AB,23,FALSE),"")</f>
        <v/>
      </c>
      <c r="O879" t="str">
        <f>IFERROR(VLOOKUP(D879,'Team Data'!C:AB,22,FALSE),"")</f>
        <v/>
      </c>
      <c r="P879" t="str">
        <f t="shared" si="29"/>
        <v/>
      </c>
      <c r="Q879" t="str">
        <f>IFERROR(VLOOKUP(D879,'Team Data'!C:AB,15,FALSE),"")</f>
        <v/>
      </c>
      <c r="R879" t="str">
        <f>IFERROR(VLOOKUP('OB Format'!D879,'Team Data'!C:AB,24,FALSE),"")</f>
        <v/>
      </c>
      <c r="S879" t="str">
        <f>IFERROR(VLOOKUP('OB Format'!D879,'Team Data'!C:AC,25,FALSE),"")</f>
        <v/>
      </c>
    </row>
    <row r="880" spans="5:19" x14ac:dyDescent="0.25">
      <c r="E880" t="str">
        <f>IFERROR(VLOOKUP(D880,'Team Data'!C:AB,4,FALSE),"")</f>
        <v/>
      </c>
      <c r="F880" t="str">
        <f>IFERROR(VLOOKUP(D880,'Team Data'!C:AB,5,FALSE),"")</f>
        <v/>
      </c>
      <c r="G880" t="str">
        <f>IFERROR(VLOOKUP('OB Format'!D880,'Team Data'!C:AB,17,FALSE),"")</f>
        <v/>
      </c>
      <c r="H880" t="str">
        <f>IFERROR(VLOOKUP(D880,'Team Data'!C:AB,7,FALSE),"")</f>
        <v/>
      </c>
      <c r="I880" t="str">
        <f>IFERROR(VLOOKUP(D880,'Team Data'!C:AB,14,FALSE),"")</f>
        <v/>
      </c>
      <c r="J880" t="str">
        <f>IFERROR(VLOOKUP(D880,'Team Data'!C:AB,8,FALSE),"")</f>
        <v/>
      </c>
      <c r="K880" t="str">
        <f>IFERROR(VLOOKUP(D880,'Team Data'!C:AB,9,FALSE),"")</f>
        <v/>
      </c>
      <c r="L880" t="str">
        <f>IFERROR(VLOOKUP(D880,'Team Data'!C:AB,10,FALSE),"")</f>
        <v/>
      </c>
      <c r="M880" t="str">
        <f t="shared" si="28"/>
        <v/>
      </c>
      <c r="N880" t="str">
        <f>IFERROR(VLOOKUP(D880,'Team Data'!C:AB,23,FALSE),"")</f>
        <v/>
      </c>
      <c r="O880" t="str">
        <f>IFERROR(VLOOKUP(D880,'Team Data'!C:AB,22,FALSE),"")</f>
        <v/>
      </c>
      <c r="P880" t="str">
        <f t="shared" si="29"/>
        <v/>
      </c>
      <c r="Q880" t="str">
        <f>IFERROR(VLOOKUP(D880,'Team Data'!C:AB,15,FALSE),"")</f>
        <v/>
      </c>
      <c r="R880" t="str">
        <f>IFERROR(VLOOKUP('OB Format'!D880,'Team Data'!C:AB,24,FALSE),"")</f>
        <v/>
      </c>
      <c r="S880" t="str">
        <f>IFERROR(VLOOKUP('OB Format'!D880,'Team Data'!C:AC,25,FALSE),"")</f>
        <v/>
      </c>
    </row>
    <row r="881" spans="5:19" x14ac:dyDescent="0.25">
      <c r="E881" t="str">
        <f>IFERROR(VLOOKUP(D881,'Team Data'!C:AB,4,FALSE),"")</f>
        <v/>
      </c>
      <c r="F881" t="str">
        <f>IFERROR(VLOOKUP(D881,'Team Data'!C:AB,5,FALSE),"")</f>
        <v/>
      </c>
      <c r="G881" t="str">
        <f>IFERROR(VLOOKUP('OB Format'!D881,'Team Data'!C:AB,17,FALSE),"")</f>
        <v/>
      </c>
      <c r="H881" t="str">
        <f>IFERROR(VLOOKUP(D881,'Team Data'!C:AB,7,FALSE),"")</f>
        <v/>
      </c>
      <c r="I881" t="str">
        <f>IFERROR(VLOOKUP(D881,'Team Data'!C:AB,14,FALSE),"")</f>
        <v/>
      </c>
      <c r="J881" t="str">
        <f>IFERROR(VLOOKUP(D881,'Team Data'!C:AB,8,FALSE),"")</f>
        <v/>
      </c>
      <c r="K881" t="str">
        <f>IFERROR(VLOOKUP(D881,'Team Data'!C:AB,9,FALSE),"")</f>
        <v/>
      </c>
      <c r="L881" t="str">
        <f>IFERROR(VLOOKUP(D881,'Team Data'!C:AB,10,FALSE),"")</f>
        <v/>
      </c>
      <c r="M881" t="str">
        <f t="shared" si="28"/>
        <v/>
      </c>
      <c r="N881" t="str">
        <f>IFERROR(VLOOKUP(D881,'Team Data'!C:AB,23,FALSE),"")</f>
        <v/>
      </c>
      <c r="O881" t="str">
        <f>IFERROR(VLOOKUP(D881,'Team Data'!C:AB,22,FALSE),"")</f>
        <v/>
      </c>
      <c r="P881" t="str">
        <f t="shared" si="29"/>
        <v/>
      </c>
      <c r="Q881" t="str">
        <f>IFERROR(VLOOKUP(D881,'Team Data'!C:AB,15,FALSE),"")</f>
        <v/>
      </c>
      <c r="R881" t="str">
        <f>IFERROR(VLOOKUP('OB Format'!D881,'Team Data'!C:AB,24,FALSE),"")</f>
        <v/>
      </c>
      <c r="S881" t="str">
        <f>IFERROR(VLOOKUP('OB Format'!D881,'Team Data'!C:AC,25,FALSE),"")</f>
        <v/>
      </c>
    </row>
    <row r="882" spans="5:19" x14ac:dyDescent="0.25">
      <c r="E882" t="str">
        <f>IFERROR(VLOOKUP(D882,'Team Data'!C:AB,4,FALSE),"")</f>
        <v/>
      </c>
      <c r="F882" t="str">
        <f>IFERROR(VLOOKUP(D882,'Team Data'!C:AB,5,FALSE),"")</f>
        <v/>
      </c>
      <c r="G882" t="str">
        <f>IFERROR(VLOOKUP('OB Format'!D882,'Team Data'!C:AB,17,FALSE),"")</f>
        <v/>
      </c>
      <c r="H882" t="str">
        <f>IFERROR(VLOOKUP(D882,'Team Data'!C:AB,7,FALSE),"")</f>
        <v/>
      </c>
      <c r="I882" t="str">
        <f>IFERROR(VLOOKUP(D882,'Team Data'!C:AB,14,FALSE),"")</f>
        <v/>
      </c>
      <c r="J882" t="str">
        <f>IFERROR(VLOOKUP(D882,'Team Data'!C:AB,8,FALSE),"")</f>
        <v/>
      </c>
      <c r="K882" t="str">
        <f>IFERROR(VLOOKUP(D882,'Team Data'!C:AB,9,FALSE),"")</f>
        <v/>
      </c>
      <c r="L882" t="str">
        <f>IFERROR(VLOOKUP(D882,'Team Data'!C:AB,10,FALSE),"")</f>
        <v/>
      </c>
      <c r="M882" t="str">
        <f t="shared" si="28"/>
        <v/>
      </c>
      <c r="N882" t="str">
        <f>IFERROR(VLOOKUP(D882,'Team Data'!C:AB,23,FALSE),"")</f>
        <v/>
      </c>
      <c r="O882" t="str">
        <f>IFERROR(VLOOKUP(D882,'Team Data'!C:AB,22,FALSE),"")</f>
        <v/>
      </c>
      <c r="P882" t="str">
        <f t="shared" si="29"/>
        <v/>
      </c>
      <c r="Q882" t="str">
        <f>IFERROR(VLOOKUP(D882,'Team Data'!C:AB,15,FALSE),"")</f>
        <v/>
      </c>
      <c r="R882" t="str">
        <f>IFERROR(VLOOKUP('OB Format'!D882,'Team Data'!C:AB,24,FALSE),"")</f>
        <v/>
      </c>
      <c r="S882" t="str">
        <f>IFERROR(VLOOKUP('OB Format'!D882,'Team Data'!C:AC,25,FALSE),"")</f>
        <v/>
      </c>
    </row>
    <row r="883" spans="5:19" x14ac:dyDescent="0.25">
      <c r="E883" t="str">
        <f>IFERROR(VLOOKUP(D883,'Team Data'!C:AB,4,FALSE),"")</f>
        <v/>
      </c>
      <c r="F883" t="str">
        <f>IFERROR(VLOOKUP(D883,'Team Data'!C:AB,5,FALSE),"")</f>
        <v/>
      </c>
      <c r="G883" t="str">
        <f>IFERROR(VLOOKUP('OB Format'!D883,'Team Data'!C:AB,17,FALSE),"")</f>
        <v/>
      </c>
      <c r="H883" t="str">
        <f>IFERROR(VLOOKUP(D883,'Team Data'!C:AB,7,FALSE),"")</f>
        <v/>
      </c>
      <c r="I883" t="str">
        <f>IFERROR(VLOOKUP(D883,'Team Data'!C:AB,14,FALSE),"")</f>
        <v/>
      </c>
      <c r="J883" t="str">
        <f>IFERROR(VLOOKUP(D883,'Team Data'!C:AB,8,FALSE),"")</f>
        <v/>
      </c>
      <c r="K883" t="str">
        <f>IFERROR(VLOOKUP(D883,'Team Data'!C:AB,9,FALSE),"")</f>
        <v/>
      </c>
      <c r="L883" t="str">
        <f>IFERROR(VLOOKUP(D883,'Team Data'!C:AB,10,FALSE),"")</f>
        <v/>
      </c>
      <c r="M883" t="str">
        <f t="shared" si="28"/>
        <v/>
      </c>
      <c r="N883" t="str">
        <f>IFERROR(VLOOKUP(D883,'Team Data'!C:AB,23,FALSE),"")</f>
        <v/>
      </c>
      <c r="O883" t="str">
        <f>IFERROR(VLOOKUP(D883,'Team Data'!C:AB,22,FALSE),"")</f>
        <v/>
      </c>
      <c r="P883" t="str">
        <f t="shared" si="29"/>
        <v/>
      </c>
      <c r="Q883" t="str">
        <f>IFERROR(VLOOKUP(D883,'Team Data'!C:AB,15,FALSE),"")</f>
        <v/>
      </c>
      <c r="R883" t="str">
        <f>IFERROR(VLOOKUP('OB Format'!D883,'Team Data'!C:AB,24,FALSE),"")</f>
        <v/>
      </c>
      <c r="S883" t="str">
        <f>IFERROR(VLOOKUP('OB Format'!D883,'Team Data'!C:AC,25,FALSE),"")</f>
        <v/>
      </c>
    </row>
    <row r="884" spans="5:19" x14ac:dyDescent="0.25">
      <c r="E884" t="str">
        <f>IFERROR(VLOOKUP(D884,'Team Data'!C:AB,4,FALSE),"")</f>
        <v/>
      </c>
      <c r="F884" t="str">
        <f>IFERROR(VLOOKUP(D884,'Team Data'!C:AB,5,FALSE),"")</f>
        <v/>
      </c>
      <c r="G884" t="str">
        <f>IFERROR(VLOOKUP('OB Format'!D884,'Team Data'!C:AB,17,FALSE),"")</f>
        <v/>
      </c>
      <c r="H884" t="str">
        <f>IFERROR(VLOOKUP(D884,'Team Data'!C:AB,7,FALSE),"")</f>
        <v/>
      </c>
      <c r="I884" t="str">
        <f>IFERROR(VLOOKUP(D884,'Team Data'!C:AB,14,FALSE),"")</f>
        <v/>
      </c>
      <c r="J884" t="str">
        <f>IFERROR(VLOOKUP(D884,'Team Data'!C:AB,8,FALSE),"")</f>
        <v/>
      </c>
      <c r="K884" t="str">
        <f>IFERROR(VLOOKUP(D884,'Team Data'!C:AB,9,FALSE),"")</f>
        <v/>
      </c>
      <c r="L884" t="str">
        <f>IFERROR(VLOOKUP(D884,'Team Data'!C:AB,10,FALSE),"")</f>
        <v/>
      </c>
      <c r="M884" t="str">
        <f t="shared" si="28"/>
        <v/>
      </c>
      <c r="N884" t="str">
        <f>IFERROR(VLOOKUP(D884,'Team Data'!C:AB,23,FALSE),"")</f>
        <v/>
      </c>
      <c r="O884" t="str">
        <f>IFERROR(VLOOKUP(D884,'Team Data'!C:AB,22,FALSE),"")</f>
        <v/>
      </c>
      <c r="P884" t="str">
        <f t="shared" si="29"/>
        <v/>
      </c>
      <c r="Q884" t="str">
        <f>IFERROR(VLOOKUP(D884,'Team Data'!C:AB,15,FALSE),"")</f>
        <v/>
      </c>
      <c r="R884" t="str">
        <f>IFERROR(VLOOKUP('OB Format'!D884,'Team Data'!C:AB,24,FALSE),"")</f>
        <v/>
      </c>
      <c r="S884" t="str">
        <f>IFERROR(VLOOKUP('OB Format'!D884,'Team Data'!C:AC,25,FALSE),"")</f>
        <v/>
      </c>
    </row>
    <row r="885" spans="5:19" x14ac:dyDescent="0.25">
      <c r="E885" t="str">
        <f>IFERROR(VLOOKUP(D885,'Team Data'!C:AB,4,FALSE),"")</f>
        <v/>
      </c>
      <c r="F885" t="str">
        <f>IFERROR(VLOOKUP(D885,'Team Data'!C:AB,5,FALSE),"")</f>
        <v/>
      </c>
      <c r="G885" t="str">
        <f>IFERROR(VLOOKUP('OB Format'!D885,'Team Data'!C:AB,17,FALSE),"")</f>
        <v/>
      </c>
      <c r="H885" t="str">
        <f>IFERROR(VLOOKUP(D885,'Team Data'!C:AB,7,FALSE),"")</f>
        <v/>
      </c>
      <c r="I885" t="str">
        <f>IFERROR(VLOOKUP(D885,'Team Data'!C:AB,14,FALSE),"")</f>
        <v/>
      </c>
      <c r="J885" t="str">
        <f>IFERROR(VLOOKUP(D885,'Team Data'!C:AB,8,FALSE),"")</f>
        <v/>
      </c>
      <c r="K885" t="str">
        <f>IFERROR(VLOOKUP(D885,'Team Data'!C:AB,9,FALSE),"")</f>
        <v/>
      </c>
      <c r="L885" t="str">
        <f>IFERROR(VLOOKUP(D885,'Team Data'!C:AB,10,FALSE),"")</f>
        <v/>
      </c>
      <c r="M885" t="str">
        <f t="shared" si="28"/>
        <v/>
      </c>
      <c r="N885" t="str">
        <f>IFERROR(VLOOKUP(D885,'Team Data'!C:AB,23,FALSE),"")</f>
        <v/>
      </c>
      <c r="O885" t="str">
        <f>IFERROR(VLOOKUP(D885,'Team Data'!C:AB,22,FALSE),"")</f>
        <v/>
      </c>
      <c r="P885" t="str">
        <f t="shared" si="29"/>
        <v/>
      </c>
      <c r="Q885" t="str">
        <f>IFERROR(VLOOKUP(D885,'Team Data'!C:AB,15,FALSE),"")</f>
        <v/>
      </c>
      <c r="R885" t="str">
        <f>IFERROR(VLOOKUP('OB Format'!D885,'Team Data'!C:AB,24,FALSE),"")</f>
        <v/>
      </c>
      <c r="S885" t="str">
        <f>IFERROR(VLOOKUP('OB Format'!D885,'Team Data'!C:AC,25,FALSE),"")</f>
        <v/>
      </c>
    </row>
    <row r="886" spans="5:19" x14ac:dyDescent="0.25">
      <c r="E886" t="str">
        <f>IFERROR(VLOOKUP(D886,'Team Data'!C:AB,4,FALSE),"")</f>
        <v/>
      </c>
      <c r="F886" t="str">
        <f>IFERROR(VLOOKUP(D886,'Team Data'!C:AB,5,FALSE),"")</f>
        <v/>
      </c>
      <c r="G886" t="str">
        <f>IFERROR(VLOOKUP('OB Format'!D886,'Team Data'!C:AB,17,FALSE),"")</f>
        <v/>
      </c>
      <c r="H886" t="str">
        <f>IFERROR(VLOOKUP(D886,'Team Data'!C:AB,7,FALSE),"")</f>
        <v/>
      </c>
      <c r="I886" t="str">
        <f>IFERROR(VLOOKUP(D886,'Team Data'!C:AB,14,FALSE),"")</f>
        <v/>
      </c>
      <c r="J886" t="str">
        <f>IFERROR(VLOOKUP(D886,'Team Data'!C:AB,8,FALSE),"")</f>
        <v/>
      </c>
      <c r="K886" t="str">
        <f>IFERROR(VLOOKUP(D886,'Team Data'!C:AB,9,FALSE),"")</f>
        <v/>
      </c>
      <c r="L886" t="str">
        <f>IFERROR(VLOOKUP(D886,'Team Data'!C:AB,10,FALSE),"")</f>
        <v/>
      </c>
      <c r="M886" t="str">
        <f t="shared" si="28"/>
        <v/>
      </c>
      <c r="N886" t="str">
        <f>IFERROR(VLOOKUP(D886,'Team Data'!C:AB,23,FALSE),"")</f>
        <v/>
      </c>
      <c r="O886" t="str">
        <f>IFERROR(VLOOKUP(D886,'Team Data'!C:AB,22,FALSE),"")</f>
        <v/>
      </c>
      <c r="P886" t="str">
        <f t="shared" si="29"/>
        <v/>
      </c>
      <c r="Q886" t="str">
        <f>IFERROR(VLOOKUP(D886,'Team Data'!C:AB,15,FALSE),"")</f>
        <v/>
      </c>
      <c r="R886" t="str">
        <f>IFERROR(VLOOKUP('OB Format'!D886,'Team Data'!C:AB,24,FALSE),"")</f>
        <v/>
      </c>
      <c r="S886" t="str">
        <f>IFERROR(VLOOKUP('OB Format'!D886,'Team Data'!C:AC,25,FALSE),"")</f>
        <v/>
      </c>
    </row>
    <row r="887" spans="5:19" x14ac:dyDescent="0.25">
      <c r="E887" t="str">
        <f>IFERROR(VLOOKUP(D887,'Team Data'!C:AB,4,FALSE),"")</f>
        <v/>
      </c>
      <c r="F887" t="str">
        <f>IFERROR(VLOOKUP(D887,'Team Data'!C:AB,5,FALSE),"")</f>
        <v/>
      </c>
      <c r="G887" t="str">
        <f>IFERROR(VLOOKUP('OB Format'!D887,'Team Data'!C:AB,17,FALSE),"")</f>
        <v/>
      </c>
      <c r="H887" t="str">
        <f>IFERROR(VLOOKUP(D887,'Team Data'!C:AB,7,FALSE),"")</f>
        <v/>
      </c>
      <c r="I887" t="str">
        <f>IFERROR(VLOOKUP(D887,'Team Data'!C:AB,14,FALSE),"")</f>
        <v/>
      </c>
      <c r="J887" t="str">
        <f>IFERROR(VLOOKUP(D887,'Team Data'!C:AB,8,FALSE),"")</f>
        <v/>
      </c>
      <c r="K887" t="str">
        <f>IFERROR(VLOOKUP(D887,'Team Data'!C:AB,9,FALSE),"")</f>
        <v/>
      </c>
      <c r="L887" t="str">
        <f>IFERROR(VLOOKUP(D887,'Team Data'!C:AB,10,FALSE),"")</f>
        <v/>
      </c>
      <c r="M887" t="str">
        <f t="shared" si="28"/>
        <v/>
      </c>
      <c r="N887" t="str">
        <f>IFERROR(VLOOKUP(D887,'Team Data'!C:AB,23,FALSE),"")</f>
        <v/>
      </c>
      <c r="O887" t="str">
        <f>IFERROR(VLOOKUP(D887,'Team Data'!C:AB,22,FALSE),"")</f>
        <v/>
      </c>
      <c r="P887" t="str">
        <f t="shared" si="29"/>
        <v/>
      </c>
      <c r="Q887" t="str">
        <f>IFERROR(VLOOKUP(D887,'Team Data'!C:AB,15,FALSE),"")</f>
        <v/>
      </c>
      <c r="R887" t="str">
        <f>IFERROR(VLOOKUP('OB Format'!D887,'Team Data'!C:AB,24,FALSE),"")</f>
        <v/>
      </c>
      <c r="S887" t="str">
        <f>IFERROR(VLOOKUP('OB Format'!D887,'Team Data'!C:AC,25,FALSE),"")</f>
        <v/>
      </c>
    </row>
    <row r="888" spans="5:19" x14ac:dyDescent="0.25">
      <c r="E888" t="str">
        <f>IFERROR(VLOOKUP(D888,'Team Data'!C:AB,4,FALSE),"")</f>
        <v/>
      </c>
      <c r="F888" t="str">
        <f>IFERROR(VLOOKUP(D888,'Team Data'!C:AB,5,FALSE),"")</f>
        <v/>
      </c>
      <c r="G888" t="str">
        <f>IFERROR(VLOOKUP('OB Format'!D888,'Team Data'!C:AB,17,FALSE),"")</f>
        <v/>
      </c>
      <c r="H888" t="str">
        <f>IFERROR(VLOOKUP(D888,'Team Data'!C:AB,7,FALSE),"")</f>
        <v/>
      </c>
      <c r="I888" t="str">
        <f>IFERROR(VLOOKUP(D888,'Team Data'!C:AB,14,FALSE),"")</f>
        <v/>
      </c>
      <c r="J888" t="str">
        <f>IFERROR(VLOOKUP(D888,'Team Data'!C:AB,8,FALSE),"")</f>
        <v/>
      </c>
      <c r="K888" t="str">
        <f>IFERROR(VLOOKUP(D888,'Team Data'!C:AB,9,FALSE),"")</f>
        <v/>
      </c>
      <c r="L888" t="str">
        <f>IFERROR(VLOOKUP(D888,'Team Data'!C:AB,10,FALSE),"")</f>
        <v/>
      </c>
      <c r="M888" t="str">
        <f t="shared" si="28"/>
        <v/>
      </c>
      <c r="N888" t="str">
        <f>IFERROR(VLOOKUP(D888,'Team Data'!C:AB,23,FALSE),"")</f>
        <v/>
      </c>
      <c r="O888" t="str">
        <f>IFERROR(VLOOKUP(D888,'Team Data'!C:AB,22,FALSE),"")</f>
        <v/>
      </c>
      <c r="P888" t="str">
        <f t="shared" si="29"/>
        <v/>
      </c>
      <c r="Q888" t="str">
        <f>IFERROR(VLOOKUP(D888,'Team Data'!C:AB,15,FALSE),"")</f>
        <v/>
      </c>
      <c r="R888" t="str">
        <f>IFERROR(VLOOKUP('OB Format'!D888,'Team Data'!C:AB,24,FALSE),"")</f>
        <v/>
      </c>
      <c r="S888" t="str">
        <f>IFERROR(VLOOKUP('OB Format'!D888,'Team Data'!C:AC,25,FALSE),"")</f>
        <v/>
      </c>
    </row>
    <row r="889" spans="5:19" x14ac:dyDescent="0.25">
      <c r="E889" t="str">
        <f>IFERROR(VLOOKUP(D889,'Team Data'!C:AB,4,FALSE),"")</f>
        <v/>
      </c>
      <c r="F889" t="str">
        <f>IFERROR(VLOOKUP(D889,'Team Data'!C:AB,5,FALSE),"")</f>
        <v/>
      </c>
      <c r="G889" t="str">
        <f>IFERROR(VLOOKUP('OB Format'!D889,'Team Data'!C:AB,17,FALSE),"")</f>
        <v/>
      </c>
      <c r="H889" t="str">
        <f>IFERROR(VLOOKUP(D889,'Team Data'!C:AB,7,FALSE),"")</f>
        <v/>
      </c>
      <c r="I889" t="str">
        <f>IFERROR(VLOOKUP(D889,'Team Data'!C:AB,14,FALSE),"")</f>
        <v/>
      </c>
      <c r="J889" t="str">
        <f>IFERROR(VLOOKUP(D889,'Team Data'!C:AB,8,FALSE),"")</f>
        <v/>
      </c>
      <c r="K889" t="str">
        <f>IFERROR(VLOOKUP(D889,'Team Data'!C:AB,9,FALSE),"")</f>
        <v/>
      </c>
      <c r="L889" t="str">
        <f>IFERROR(VLOOKUP(D889,'Team Data'!C:AB,10,FALSE),"")</f>
        <v/>
      </c>
      <c r="M889" t="str">
        <f t="shared" si="28"/>
        <v/>
      </c>
      <c r="N889" t="str">
        <f>IFERROR(VLOOKUP(D889,'Team Data'!C:AB,23,FALSE),"")</f>
        <v/>
      </c>
      <c r="O889" t="str">
        <f>IFERROR(VLOOKUP(D889,'Team Data'!C:AB,22,FALSE),"")</f>
        <v/>
      </c>
      <c r="P889" t="str">
        <f t="shared" si="29"/>
        <v/>
      </c>
      <c r="Q889" t="str">
        <f>IFERROR(VLOOKUP(D889,'Team Data'!C:AB,15,FALSE),"")</f>
        <v/>
      </c>
      <c r="R889" t="str">
        <f>IFERROR(VLOOKUP('OB Format'!D889,'Team Data'!C:AB,24,FALSE),"")</f>
        <v/>
      </c>
      <c r="S889" t="str">
        <f>IFERROR(VLOOKUP('OB Format'!D889,'Team Data'!C:AC,25,FALSE),"")</f>
        <v/>
      </c>
    </row>
    <row r="890" spans="5:19" x14ac:dyDescent="0.25">
      <c r="E890" t="str">
        <f>IFERROR(VLOOKUP(D890,'Team Data'!C:AB,4,FALSE),"")</f>
        <v/>
      </c>
      <c r="F890" t="str">
        <f>IFERROR(VLOOKUP(D890,'Team Data'!C:AB,5,FALSE),"")</f>
        <v/>
      </c>
      <c r="G890" t="str">
        <f>IFERROR(VLOOKUP('OB Format'!D890,'Team Data'!C:AB,17,FALSE),"")</f>
        <v/>
      </c>
      <c r="H890" t="str">
        <f>IFERROR(VLOOKUP(D890,'Team Data'!C:AB,7,FALSE),"")</f>
        <v/>
      </c>
      <c r="I890" t="str">
        <f>IFERROR(VLOOKUP(D890,'Team Data'!C:AB,14,FALSE),"")</f>
        <v/>
      </c>
      <c r="J890" t="str">
        <f>IFERROR(VLOOKUP(D890,'Team Data'!C:AB,8,FALSE),"")</f>
        <v/>
      </c>
      <c r="K890" t="str">
        <f>IFERROR(VLOOKUP(D890,'Team Data'!C:AB,9,FALSE),"")</f>
        <v/>
      </c>
      <c r="L890" t="str">
        <f>IFERROR(VLOOKUP(D890,'Team Data'!C:AB,10,FALSE),"")</f>
        <v/>
      </c>
      <c r="M890" t="str">
        <f t="shared" si="28"/>
        <v/>
      </c>
      <c r="N890" t="str">
        <f>IFERROR(VLOOKUP(D890,'Team Data'!C:AB,23,FALSE),"")</f>
        <v/>
      </c>
      <c r="O890" t="str">
        <f>IFERROR(VLOOKUP(D890,'Team Data'!C:AB,22,FALSE),"")</f>
        <v/>
      </c>
      <c r="P890" t="str">
        <f t="shared" si="29"/>
        <v/>
      </c>
      <c r="Q890" t="str">
        <f>IFERROR(VLOOKUP(D890,'Team Data'!C:AB,15,FALSE),"")</f>
        <v/>
      </c>
      <c r="R890" t="str">
        <f>IFERROR(VLOOKUP('OB Format'!D890,'Team Data'!C:AB,24,FALSE),"")</f>
        <v/>
      </c>
      <c r="S890" t="str">
        <f>IFERROR(VLOOKUP('OB Format'!D890,'Team Data'!C:AC,25,FALSE),"")</f>
        <v/>
      </c>
    </row>
    <row r="891" spans="5:19" x14ac:dyDescent="0.25">
      <c r="E891" t="str">
        <f>IFERROR(VLOOKUP(D891,'Team Data'!C:AB,4,FALSE),"")</f>
        <v/>
      </c>
      <c r="F891" t="str">
        <f>IFERROR(VLOOKUP(D891,'Team Data'!C:AB,5,FALSE),"")</f>
        <v/>
      </c>
      <c r="G891" t="str">
        <f>IFERROR(VLOOKUP('OB Format'!D891,'Team Data'!C:AB,17,FALSE),"")</f>
        <v/>
      </c>
      <c r="H891" t="str">
        <f>IFERROR(VLOOKUP(D891,'Team Data'!C:AB,7,FALSE),"")</f>
        <v/>
      </c>
      <c r="I891" t="str">
        <f>IFERROR(VLOOKUP(D891,'Team Data'!C:AB,14,FALSE),"")</f>
        <v/>
      </c>
      <c r="J891" t="str">
        <f>IFERROR(VLOOKUP(D891,'Team Data'!C:AB,8,FALSE),"")</f>
        <v/>
      </c>
      <c r="K891" t="str">
        <f>IFERROR(VLOOKUP(D891,'Team Data'!C:AB,9,FALSE),"")</f>
        <v/>
      </c>
      <c r="L891" t="str">
        <f>IFERROR(VLOOKUP(D891,'Team Data'!C:AB,10,FALSE),"")</f>
        <v/>
      </c>
      <c r="M891" t="str">
        <f t="shared" si="28"/>
        <v/>
      </c>
      <c r="N891" t="str">
        <f>IFERROR(VLOOKUP(D891,'Team Data'!C:AB,23,FALSE),"")</f>
        <v/>
      </c>
      <c r="O891" t="str">
        <f>IFERROR(VLOOKUP(D891,'Team Data'!C:AB,22,FALSE),"")</f>
        <v/>
      </c>
      <c r="P891" t="str">
        <f t="shared" si="29"/>
        <v/>
      </c>
      <c r="Q891" t="str">
        <f>IFERROR(VLOOKUP(D891,'Team Data'!C:AB,15,FALSE),"")</f>
        <v/>
      </c>
      <c r="R891" t="str">
        <f>IFERROR(VLOOKUP('OB Format'!D891,'Team Data'!C:AB,24,FALSE),"")</f>
        <v/>
      </c>
      <c r="S891" t="str">
        <f>IFERROR(VLOOKUP('OB Format'!D891,'Team Data'!C:AC,25,FALSE),"")</f>
        <v/>
      </c>
    </row>
    <row r="892" spans="5:19" x14ac:dyDescent="0.25">
      <c r="E892" t="str">
        <f>IFERROR(VLOOKUP(D892,'Team Data'!C:AB,4,FALSE),"")</f>
        <v/>
      </c>
      <c r="F892" t="str">
        <f>IFERROR(VLOOKUP(D892,'Team Data'!C:AB,5,FALSE),"")</f>
        <v/>
      </c>
      <c r="G892" t="str">
        <f>IFERROR(VLOOKUP('OB Format'!D892,'Team Data'!C:AB,17,FALSE),"")</f>
        <v/>
      </c>
      <c r="H892" t="str">
        <f>IFERROR(VLOOKUP(D892,'Team Data'!C:AB,7,FALSE),"")</f>
        <v/>
      </c>
      <c r="I892" t="str">
        <f>IFERROR(VLOOKUP(D892,'Team Data'!C:AB,14,FALSE),"")</f>
        <v/>
      </c>
      <c r="J892" t="str">
        <f>IFERROR(VLOOKUP(D892,'Team Data'!C:AB,8,FALSE),"")</f>
        <v/>
      </c>
      <c r="K892" t="str">
        <f>IFERROR(VLOOKUP(D892,'Team Data'!C:AB,9,FALSE),"")</f>
        <v/>
      </c>
      <c r="L892" t="str">
        <f>IFERROR(VLOOKUP(D892,'Team Data'!C:AB,10,FALSE),"")</f>
        <v/>
      </c>
      <c r="M892" t="str">
        <f t="shared" si="28"/>
        <v/>
      </c>
      <c r="N892" t="str">
        <f>IFERROR(VLOOKUP(D892,'Team Data'!C:AB,23,FALSE),"")</f>
        <v/>
      </c>
      <c r="O892" t="str">
        <f>IFERROR(VLOOKUP(D892,'Team Data'!C:AB,22,FALSE),"")</f>
        <v/>
      </c>
      <c r="P892" t="str">
        <f t="shared" si="29"/>
        <v/>
      </c>
      <c r="Q892" t="str">
        <f>IFERROR(VLOOKUP(D892,'Team Data'!C:AB,15,FALSE),"")</f>
        <v/>
      </c>
      <c r="R892" t="str">
        <f>IFERROR(VLOOKUP('OB Format'!D892,'Team Data'!C:AB,24,FALSE),"")</f>
        <v/>
      </c>
      <c r="S892" t="str">
        <f>IFERROR(VLOOKUP('OB Format'!D892,'Team Data'!C:AC,25,FALSE),"")</f>
        <v/>
      </c>
    </row>
    <row r="893" spans="5:19" x14ac:dyDescent="0.25">
      <c r="E893" t="str">
        <f>IFERROR(VLOOKUP(D893,'Team Data'!C:AB,4,FALSE),"")</f>
        <v/>
      </c>
      <c r="F893" t="str">
        <f>IFERROR(VLOOKUP(D893,'Team Data'!C:AB,5,FALSE),"")</f>
        <v/>
      </c>
      <c r="G893" t="str">
        <f>IFERROR(VLOOKUP('OB Format'!D893,'Team Data'!C:AB,17,FALSE),"")</f>
        <v/>
      </c>
      <c r="H893" t="str">
        <f>IFERROR(VLOOKUP(D893,'Team Data'!C:AB,7,FALSE),"")</f>
        <v/>
      </c>
      <c r="I893" t="str">
        <f>IFERROR(VLOOKUP(D893,'Team Data'!C:AB,14,FALSE),"")</f>
        <v/>
      </c>
      <c r="J893" t="str">
        <f>IFERROR(VLOOKUP(D893,'Team Data'!C:AB,8,FALSE),"")</f>
        <v/>
      </c>
      <c r="K893" t="str">
        <f>IFERROR(VLOOKUP(D893,'Team Data'!C:AB,9,FALSE),"")</f>
        <v/>
      </c>
      <c r="L893" t="str">
        <f>IFERROR(VLOOKUP(D893,'Team Data'!C:AB,10,FALSE),"")</f>
        <v/>
      </c>
      <c r="M893" t="str">
        <f t="shared" si="28"/>
        <v/>
      </c>
      <c r="N893" t="str">
        <f>IFERROR(VLOOKUP(D893,'Team Data'!C:AB,23,FALSE),"")</f>
        <v/>
      </c>
      <c r="O893" t="str">
        <f>IFERROR(VLOOKUP(D893,'Team Data'!C:AB,22,FALSE),"")</f>
        <v/>
      </c>
      <c r="P893" t="str">
        <f t="shared" si="29"/>
        <v/>
      </c>
      <c r="Q893" t="str">
        <f>IFERROR(VLOOKUP(D893,'Team Data'!C:AB,15,FALSE),"")</f>
        <v/>
      </c>
      <c r="R893" t="str">
        <f>IFERROR(VLOOKUP('OB Format'!D893,'Team Data'!C:AB,24,FALSE),"")</f>
        <v/>
      </c>
      <c r="S893" t="str">
        <f>IFERROR(VLOOKUP('OB Format'!D893,'Team Data'!C:AC,25,FALSE),"")</f>
        <v/>
      </c>
    </row>
    <row r="894" spans="5:19" x14ac:dyDescent="0.25">
      <c r="E894" t="str">
        <f>IFERROR(VLOOKUP(D894,'Team Data'!C:AB,4,FALSE),"")</f>
        <v/>
      </c>
      <c r="F894" t="str">
        <f>IFERROR(VLOOKUP(D894,'Team Data'!C:AB,5,FALSE),"")</f>
        <v/>
      </c>
      <c r="G894" t="str">
        <f>IFERROR(VLOOKUP('OB Format'!D894,'Team Data'!C:AB,17,FALSE),"")</f>
        <v/>
      </c>
      <c r="H894" t="str">
        <f>IFERROR(VLOOKUP(D894,'Team Data'!C:AB,7,FALSE),"")</f>
        <v/>
      </c>
      <c r="I894" t="str">
        <f>IFERROR(VLOOKUP(D894,'Team Data'!C:AB,14,FALSE),"")</f>
        <v/>
      </c>
      <c r="J894" t="str">
        <f>IFERROR(VLOOKUP(D894,'Team Data'!C:AB,8,FALSE),"")</f>
        <v/>
      </c>
      <c r="K894" t="str">
        <f>IFERROR(VLOOKUP(D894,'Team Data'!C:AB,9,FALSE),"")</f>
        <v/>
      </c>
      <c r="L894" t="str">
        <f>IFERROR(VLOOKUP(D894,'Team Data'!C:AB,10,FALSE),"")</f>
        <v/>
      </c>
      <c r="M894" t="str">
        <f t="shared" si="28"/>
        <v/>
      </c>
      <c r="N894" t="str">
        <f>IFERROR(VLOOKUP(D894,'Team Data'!C:AB,23,FALSE),"")</f>
        <v/>
      </c>
      <c r="O894" t="str">
        <f>IFERROR(VLOOKUP(D894,'Team Data'!C:AB,22,FALSE),"")</f>
        <v/>
      </c>
      <c r="P894" t="str">
        <f t="shared" si="29"/>
        <v/>
      </c>
      <c r="Q894" t="str">
        <f>IFERROR(VLOOKUP(D894,'Team Data'!C:AB,15,FALSE),"")</f>
        <v/>
      </c>
      <c r="R894" t="str">
        <f>IFERROR(VLOOKUP('OB Format'!D894,'Team Data'!C:AB,24,FALSE),"")</f>
        <v/>
      </c>
      <c r="S894" t="str">
        <f>IFERROR(VLOOKUP('OB Format'!D894,'Team Data'!C:AC,25,FALSE),"")</f>
        <v/>
      </c>
    </row>
    <row r="895" spans="5:19" x14ac:dyDescent="0.25">
      <c r="E895" t="str">
        <f>IFERROR(VLOOKUP(D895,'Team Data'!C:AB,4,FALSE),"")</f>
        <v/>
      </c>
      <c r="F895" t="str">
        <f>IFERROR(VLOOKUP(D895,'Team Data'!C:AB,5,FALSE),"")</f>
        <v/>
      </c>
      <c r="G895" t="str">
        <f>IFERROR(VLOOKUP('OB Format'!D895,'Team Data'!C:AB,17,FALSE),"")</f>
        <v/>
      </c>
      <c r="H895" t="str">
        <f>IFERROR(VLOOKUP(D895,'Team Data'!C:AB,7,FALSE),"")</f>
        <v/>
      </c>
      <c r="I895" t="str">
        <f>IFERROR(VLOOKUP(D895,'Team Data'!C:AB,14,FALSE),"")</f>
        <v/>
      </c>
      <c r="J895" t="str">
        <f>IFERROR(VLOOKUP(D895,'Team Data'!C:AB,8,FALSE),"")</f>
        <v/>
      </c>
      <c r="K895" t="str">
        <f>IFERROR(VLOOKUP(D895,'Team Data'!C:AB,9,FALSE),"")</f>
        <v/>
      </c>
      <c r="L895" t="str">
        <f>IFERROR(VLOOKUP(D895,'Team Data'!C:AB,10,FALSE),"")</f>
        <v/>
      </c>
      <c r="M895" t="str">
        <f t="shared" si="28"/>
        <v/>
      </c>
      <c r="N895" t="str">
        <f>IFERROR(VLOOKUP(D895,'Team Data'!C:AB,23,FALSE),"")</f>
        <v/>
      </c>
      <c r="O895" t="str">
        <f>IFERROR(VLOOKUP(D895,'Team Data'!C:AB,22,FALSE),"")</f>
        <v/>
      </c>
      <c r="P895" t="str">
        <f t="shared" si="29"/>
        <v/>
      </c>
      <c r="Q895" t="str">
        <f>IFERROR(VLOOKUP(D895,'Team Data'!C:AB,15,FALSE),"")</f>
        <v/>
      </c>
      <c r="R895" t="str">
        <f>IFERROR(VLOOKUP('OB Format'!D895,'Team Data'!C:AB,24,FALSE),"")</f>
        <v/>
      </c>
      <c r="S895" t="str">
        <f>IFERROR(VLOOKUP('OB Format'!D895,'Team Data'!C:AC,25,FALSE),"")</f>
        <v/>
      </c>
    </row>
    <row r="896" spans="5:19" x14ac:dyDescent="0.25">
      <c r="E896" t="str">
        <f>IFERROR(VLOOKUP(D896,'Team Data'!C:AB,4,FALSE),"")</f>
        <v/>
      </c>
      <c r="F896" t="str">
        <f>IFERROR(VLOOKUP(D896,'Team Data'!C:AB,5,FALSE),"")</f>
        <v/>
      </c>
      <c r="G896" t="str">
        <f>IFERROR(VLOOKUP('OB Format'!D896,'Team Data'!C:AB,17,FALSE),"")</f>
        <v/>
      </c>
      <c r="H896" t="str">
        <f>IFERROR(VLOOKUP(D896,'Team Data'!C:AB,7,FALSE),"")</f>
        <v/>
      </c>
      <c r="I896" t="str">
        <f>IFERROR(VLOOKUP(D896,'Team Data'!C:AB,14,FALSE),"")</f>
        <v/>
      </c>
      <c r="J896" t="str">
        <f>IFERROR(VLOOKUP(D896,'Team Data'!C:AB,8,FALSE),"")</f>
        <v/>
      </c>
      <c r="K896" t="str">
        <f>IFERROR(VLOOKUP(D896,'Team Data'!C:AB,9,FALSE),"")</f>
        <v/>
      </c>
      <c r="L896" t="str">
        <f>IFERROR(VLOOKUP(D896,'Team Data'!C:AB,10,FALSE),"")</f>
        <v/>
      </c>
      <c r="M896" t="str">
        <f t="shared" si="28"/>
        <v/>
      </c>
      <c r="N896" t="str">
        <f>IFERROR(VLOOKUP(D896,'Team Data'!C:AB,23,FALSE),"")</f>
        <v/>
      </c>
      <c r="O896" t="str">
        <f>IFERROR(VLOOKUP(D896,'Team Data'!C:AB,22,FALSE),"")</f>
        <v/>
      </c>
      <c r="P896" t="str">
        <f t="shared" si="29"/>
        <v/>
      </c>
      <c r="Q896" t="str">
        <f>IFERROR(VLOOKUP(D896,'Team Data'!C:AB,15,FALSE),"")</f>
        <v/>
      </c>
      <c r="R896" t="str">
        <f>IFERROR(VLOOKUP('OB Format'!D896,'Team Data'!C:AB,24,FALSE),"")</f>
        <v/>
      </c>
      <c r="S896" t="str">
        <f>IFERROR(VLOOKUP('OB Format'!D896,'Team Data'!C:AC,25,FALSE),"")</f>
        <v/>
      </c>
    </row>
    <row r="897" spans="5:19" x14ac:dyDescent="0.25">
      <c r="E897" t="str">
        <f>IFERROR(VLOOKUP(D897,'Team Data'!C:AB,4,FALSE),"")</f>
        <v/>
      </c>
      <c r="F897" t="str">
        <f>IFERROR(VLOOKUP(D897,'Team Data'!C:AB,5,FALSE),"")</f>
        <v/>
      </c>
      <c r="G897" t="str">
        <f>IFERROR(VLOOKUP('OB Format'!D897,'Team Data'!C:AB,17,FALSE),"")</f>
        <v/>
      </c>
      <c r="H897" t="str">
        <f>IFERROR(VLOOKUP(D897,'Team Data'!C:AB,7,FALSE),"")</f>
        <v/>
      </c>
      <c r="I897" t="str">
        <f>IFERROR(VLOOKUP(D897,'Team Data'!C:AB,14,FALSE),"")</f>
        <v/>
      </c>
      <c r="J897" t="str">
        <f>IFERROR(VLOOKUP(D897,'Team Data'!C:AB,8,FALSE),"")</f>
        <v/>
      </c>
      <c r="K897" t="str">
        <f>IFERROR(VLOOKUP(D897,'Team Data'!C:AB,9,FALSE),"")</f>
        <v/>
      </c>
      <c r="L897" t="str">
        <f>IFERROR(VLOOKUP(D897,'Team Data'!C:AB,10,FALSE),"")</f>
        <v/>
      </c>
      <c r="M897" t="str">
        <f t="shared" si="28"/>
        <v/>
      </c>
      <c r="N897" t="str">
        <f>IFERROR(VLOOKUP(D897,'Team Data'!C:AB,23,FALSE),"")</f>
        <v/>
      </c>
      <c r="O897" t="str">
        <f>IFERROR(VLOOKUP(D897,'Team Data'!C:AB,22,FALSE),"")</f>
        <v/>
      </c>
      <c r="P897" t="str">
        <f t="shared" si="29"/>
        <v/>
      </c>
      <c r="Q897" t="str">
        <f>IFERROR(VLOOKUP(D897,'Team Data'!C:AB,15,FALSE),"")</f>
        <v/>
      </c>
      <c r="R897" t="str">
        <f>IFERROR(VLOOKUP('OB Format'!D897,'Team Data'!C:AB,24,FALSE),"")</f>
        <v/>
      </c>
      <c r="S897" t="str">
        <f>IFERROR(VLOOKUP('OB Format'!D897,'Team Data'!C:AC,25,FALSE),"")</f>
        <v/>
      </c>
    </row>
    <row r="898" spans="5:19" x14ac:dyDescent="0.25">
      <c r="E898" t="str">
        <f>IFERROR(VLOOKUP(D898,'Team Data'!C:AB,4,FALSE),"")</f>
        <v/>
      </c>
      <c r="F898" t="str">
        <f>IFERROR(VLOOKUP(D898,'Team Data'!C:AB,5,FALSE),"")</f>
        <v/>
      </c>
      <c r="G898" t="str">
        <f>IFERROR(VLOOKUP('OB Format'!D898,'Team Data'!C:AB,17,FALSE),"")</f>
        <v/>
      </c>
      <c r="H898" t="str">
        <f>IFERROR(VLOOKUP(D898,'Team Data'!C:AB,7,FALSE),"")</f>
        <v/>
      </c>
      <c r="I898" t="str">
        <f>IFERROR(VLOOKUP(D898,'Team Data'!C:AB,14,FALSE),"")</f>
        <v/>
      </c>
      <c r="J898" t="str">
        <f>IFERROR(VLOOKUP(D898,'Team Data'!C:AB,8,FALSE),"")</f>
        <v/>
      </c>
      <c r="K898" t="str">
        <f>IFERROR(VLOOKUP(D898,'Team Data'!C:AB,9,FALSE),"")</f>
        <v/>
      </c>
      <c r="L898" t="str">
        <f>IFERROR(VLOOKUP(D898,'Team Data'!C:AB,10,FALSE),"")</f>
        <v/>
      </c>
      <c r="M898" t="str">
        <f t="shared" si="28"/>
        <v/>
      </c>
      <c r="N898" t="str">
        <f>IFERROR(VLOOKUP(D898,'Team Data'!C:AB,23,FALSE),"")</f>
        <v/>
      </c>
      <c r="O898" t="str">
        <f>IFERROR(VLOOKUP(D898,'Team Data'!C:AB,22,FALSE),"")</f>
        <v/>
      </c>
      <c r="P898" t="str">
        <f t="shared" si="29"/>
        <v/>
      </c>
      <c r="Q898" t="str">
        <f>IFERROR(VLOOKUP(D898,'Team Data'!C:AB,15,FALSE),"")</f>
        <v/>
      </c>
      <c r="R898" t="str">
        <f>IFERROR(VLOOKUP('OB Format'!D898,'Team Data'!C:AB,24,FALSE),"")</f>
        <v/>
      </c>
      <c r="S898" t="str">
        <f>IFERROR(VLOOKUP('OB Format'!D898,'Team Data'!C:AC,25,FALSE),"")</f>
        <v/>
      </c>
    </row>
    <row r="899" spans="5:19" x14ac:dyDescent="0.25">
      <c r="E899" t="str">
        <f>IFERROR(VLOOKUP(D899,'Team Data'!C:AB,4,FALSE),"")</f>
        <v/>
      </c>
      <c r="F899" t="str">
        <f>IFERROR(VLOOKUP(D899,'Team Data'!C:AB,5,FALSE),"")</f>
        <v/>
      </c>
      <c r="G899" t="str">
        <f>IFERROR(VLOOKUP('OB Format'!D899,'Team Data'!C:AB,17,FALSE),"")</f>
        <v/>
      </c>
      <c r="H899" t="str">
        <f>IFERROR(VLOOKUP(D899,'Team Data'!C:AB,7,FALSE),"")</f>
        <v/>
      </c>
      <c r="I899" t="str">
        <f>IFERROR(VLOOKUP(D899,'Team Data'!C:AB,14,FALSE),"")</f>
        <v/>
      </c>
      <c r="J899" t="str">
        <f>IFERROR(VLOOKUP(D899,'Team Data'!C:AB,8,FALSE),"")</f>
        <v/>
      </c>
      <c r="K899" t="str">
        <f>IFERROR(VLOOKUP(D899,'Team Data'!C:AB,9,FALSE),"")</f>
        <v/>
      </c>
      <c r="L899" t="str">
        <f>IFERROR(VLOOKUP(D899,'Team Data'!C:AB,10,FALSE),"")</f>
        <v/>
      </c>
      <c r="M899" t="str">
        <f t="shared" si="28"/>
        <v/>
      </c>
      <c r="N899" t="str">
        <f>IFERROR(VLOOKUP(D899,'Team Data'!C:AB,23,FALSE),"")</f>
        <v/>
      </c>
      <c r="O899" t="str">
        <f>IFERROR(VLOOKUP(D899,'Team Data'!C:AB,22,FALSE),"")</f>
        <v/>
      </c>
      <c r="P899" t="str">
        <f t="shared" si="29"/>
        <v/>
      </c>
      <c r="Q899" t="str">
        <f>IFERROR(VLOOKUP(D899,'Team Data'!C:AB,15,FALSE),"")</f>
        <v/>
      </c>
      <c r="R899" t="str">
        <f>IFERROR(VLOOKUP('OB Format'!D899,'Team Data'!C:AB,24,FALSE),"")</f>
        <v/>
      </c>
      <c r="S899" t="str">
        <f>IFERROR(VLOOKUP('OB Format'!D899,'Team Data'!C:AC,25,FALSE),"")</f>
        <v/>
      </c>
    </row>
    <row r="900" spans="5:19" x14ac:dyDescent="0.25">
      <c r="E900" t="str">
        <f>IFERROR(VLOOKUP(D900,'Team Data'!C:AB,4,FALSE),"")</f>
        <v/>
      </c>
      <c r="F900" t="str">
        <f>IFERROR(VLOOKUP(D900,'Team Data'!C:AB,5,FALSE),"")</f>
        <v/>
      </c>
      <c r="G900" t="str">
        <f>IFERROR(VLOOKUP('OB Format'!D900,'Team Data'!C:AB,17,FALSE),"")</f>
        <v/>
      </c>
      <c r="H900" t="str">
        <f>IFERROR(VLOOKUP(D900,'Team Data'!C:AB,7,FALSE),"")</f>
        <v/>
      </c>
      <c r="I900" t="str">
        <f>IFERROR(VLOOKUP(D900,'Team Data'!C:AB,14,FALSE),"")</f>
        <v/>
      </c>
      <c r="J900" t="str">
        <f>IFERROR(VLOOKUP(D900,'Team Data'!C:AB,8,FALSE),"")</f>
        <v/>
      </c>
      <c r="K900" t="str">
        <f>IFERROR(VLOOKUP(D900,'Team Data'!C:AB,9,FALSE),"")</f>
        <v/>
      </c>
      <c r="L900" t="str">
        <f>IFERROR(VLOOKUP(D900,'Team Data'!C:AB,10,FALSE),"")</f>
        <v/>
      </c>
      <c r="M900" t="str">
        <f t="shared" si="28"/>
        <v/>
      </c>
      <c r="N900" t="str">
        <f>IFERROR(VLOOKUP(D900,'Team Data'!C:AB,23,FALSE),"")</f>
        <v/>
      </c>
      <c r="O900" t="str">
        <f>IFERROR(VLOOKUP(D900,'Team Data'!C:AB,22,FALSE),"")</f>
        <v/>
      </c>
      <c r="P900" t="str">
        <f t="shared" si="29"/>
        <v/>
      </c>
      <c r="Q900" t="str">
        <f>IFERROR(VLOOKUP(D900,'Team Data'!C:AB,15,FALSE),"")</f>
        <v/>
      </c>
      <c r="R900" t="str">
        <f>IFERROR(VLOOKUP('OB Format'!D900,'Team Data'!C:AB,24,FALSE),"")</f>
        <v/>
      </c>
      <c r="S900" t="str">
        <f>IFERROR(VLOOKUP('OB Format'!D900,'Team Data'!C:AC,25,FALSE),"")</f>
        <v/>
      </c>
    </row>
    <row r="901" spans="5:19" x14ac:dyDescent="0.25">
      <c r="E901" t="str">
        <f>IFERROR(VLOOKUP(D901,'Team Data'!C:AB,4,FALSE),"")</f>
        <v/>
      </c>
      <c r="F901" t="str">
        <f>IFERROR(VLOOKUP(D901,'Team Data'!C:AB,5,FALSE),"")</f>
        <v/>
      </c>
      <c r="G901" t="str">
        <f>IFERROR(VLOOKUP('OB Format'!D901,'Team Data'!C:AB,17,FALSE),"")</f>
        <v/>
      </c>
      <c r="H901" t="str">
        <f>IFERROR(VLOOKUP(D901,'Team Data'!C:AB,7,FALSE),"")</f>
        <v/>
      </c>
      <c r="I901" t="str">
        <f>IFERROR(VLOOKUP(D901,'Team Data'!C:AB,14,FALSE),"")</f>
        <v/>
      </c>
      <c r="J901" t="str">
        <f>IFERROR(VLOOKUP(D901,'Team Data'!C:AB,8,FALSE),"")</f>
        <v/>
      </c>
      <c r="K901" t="str">
        <f>IFERROR(VLOOKUP(D901,'Team Data'!C:AB,9,FALSE),"")</f>
        <v/>
      </c>
      <c r="L901" t="str">
        <f>IFERROR(VLOOKUP(D901,'Team Data'!C:AB,10,FALSE),"")</f>
        <v/>
      </c>
      <c r="M901" t="str">
        <f t="shared" si="28"/>
        <v/>
      </c>
      <c r="N901" t="str">
        <f>IFERROR(VLOOKUP(D901,'Team Data'!C:AB,23,FALSE),"")</f>
        <v/>
      </c>
      <c r="O901" t="str">
        <f>IFERROR(VLOOKUP(D901,'Team Data'!C:AB,22,FALSE),"")</f>
        <v/>
      </c>
      <c r="P901" t="str">
        <f t="shared" si="29"/>
        <v/>
      </c>
      <c r="Q901" t="str">
        <f>IFERROR(VLOOKUP(D901,'Team Data'!C:AB,15,FALSE),"")</f>
        <v/>
      </c>
      <c r="R901" t="str">
        <f>IFERROR(VLOOKUP('OB Format'!D901,'Team Data'!C:AB,24,FALSE),"")</f>
        <v/>
      </c>
      <c r="S901" t="str">
        <f>IFERROR(VLOOKUP('OB Format'!D901,'Team Data'!C:AC,25,FALSE),"")</f>
        <v/>
      </c>
    </row>
    <row r="902" spans="5:19" x14ac:dyDescent="0.25">
      <c r="E902" t="str">
        <f>IFERROR(VLOOKUP(D902,'Team Data'!C:AB,4,FALSE),"")</f>
        <v/>
      </c>
      <c r="F902" t="str">
        <f>IFERROR(VLOOKUP(D902,'Team Data'!C:AB,5,FALSE),"")</f>
        <v/>
      </c>
      <c r="G902" t="str">
        <f>IFERROR(VLOOKUP('OB Format'!D902,'Team Data'!C:AB,17,FALSE),"")</f>
        <v/>
      </c>
      <c r="H902" t="str">
        <f>IFERROR(VLOOKUP(D902,'Team Data'!C:AB,7,FALSE),"")</f>
        <v/>
      </c>
      <c r="I902" t="str">
        <f>IFERROR(VLOOKUP(D902,'Team Data'!C:AB,14,FALSE),"")</f>
        <v/>
      </c>
      <c r="J902" t="str">
        <f>IFERROR(VLOOKUP(D902,'Team Data'!C:AB,8,FALSE),"")</f>
        <v/>
      </c>
      <c r="K902" t="str">
        <f>IFERROR(VLOOKUP(D902,'Team Data'!C:AB,9,FALSE),"")</f>
        <v/>
      </c>
      <c r="L902" t="str">
        <f>IFERROR(VLOOKUP(D902,'Team Data'!C:AB,10,FALSE),"")</f>
        <v/>
      </c>
      <c r="M902" t="str">
        <f t="shared" si="28"/>
        <v/>
      </c>
      <c r="N902" t="str">
        <f>IFERROR(VLOOKUP(D902,'Team Data'!C:AB,23,FALSE),"")</f>
        <v/>
      </c>
      <c r="O902" t="str">
        <f>IFERROR(VLOOKUP(D902,'Team Data'!C:AB,22,FALSE),"")</f>
        <v/>
      </c>
      <c r="P902" t="str">
        <f t="shared" si="29"/>
        <v/>
      </c>
      <c r="Q902" t="str">
        <f>IFERROR(VLOOKUP(D902,'Team Data'!C:AB,15,FALSE),"")</f>
        <v/>
      </c>
      <c r="R902" t="str">
        <f>IFERROR(VLOOKUP('OB Format'!D902,'Team Data'!C:AB,24,FALSE),"")</f>
        <v/>
      </c>
      <c r="S902" t="str">
        <f>IFERROR(VLOOKUP('OB Format'!D902,'Team Data'!C:AC,25,FALSE),"")</f>
        <v/>
      </c>
    </row>
    <row r="903" spans="5:19" x14ac:dyDescent="0.25">
      <c r="E903" t="str">
        <f>IFERROR(VLOOKUP(D903,'Team Data'!C:AB,4,FALSE),"")</f>
        <v/>
      </c>
      <c r="F903" t="str">
        <f>IFERROR(VLOOKUP(D903,'Team Data'!C:AB,5,FALSE),"")</f>
        <v/>
      </c>
      <c r="G903" t="str">
        <f>IFERROR(VLOOKUP('OB Format'!D903,'Team Data'!C:AB,17,FALSE),"")</f>
        <v/>
      </c>
      <c r="H903" t="str">
        <f>IFERROR(VLOOKUP(D903,'Team Data'!C:AB,7,FALSE),"")</f>
        <v/>
      </c>
      <c r="I903" t="str">
        <f>IFERROR(VLOOKUP(D903,'Team Data'!C:AB,14,FALSE),"")</f>
        <v/>
      </c>
      <c r="J903" t="str">
        <f>IFERROR(VLOOKUP(D903,'Team Data'!C:AB,8,FALSE),"")</f>
        <v/>
      </c>
      <c r="K903" t="str">
        <f>IFERROR(VLOOKUP(D903,'Team Data'!C:AB,9,FALSE),"")</f>
        <v/>
      </c>
      <c r="L903" t="str">
        <f>IFERROR(VLOOKUP(D903,'Team Data'!C:AB,10,FALSE),"")</f>
        <v/>
      </c>
      <c r="M903" t="str">
        <f t="shared" si="28"/>
        <v/>
      </c>
      <c r="N903" t="str">
        <f>IFERROR(VLOOKUP(D903,'Team Data'!C:AB,23,FALSE),"")</f>
        <v/>
      </c>
      <c r="O903" t="str">
        <f>IFERROR(VLOOKUP(D903,'Team Data'!C:AB,22,FALSE),"")</f>
        <v/>
      </c>
      <c r="P903" t="str">
        <f t="shared" si="29"/>
        <v/>
      </c>
      <c r="Q903" t="str">
        <f>IFERROR(VLOOKUP(D903,'Team Data'!C:AB,15,FALSE),"")</f>
        <v/>
      </c>
      <c r="R903" t="str">
        <f>IFERROR(VLOOKUP('OB Format'!D903,'Team Data'!C:AB,24,FALSE),"")</f>
        <v/>
      </c>
      <c r="S903" t="str">
        <f>IFERROR(VLOOKUP('OB Format'!D903,'Team Data'!C:AC,25,FALSE),"")</f>
        <v/>
      </c>
    </row>
    <row r="904" spans="5:19" x14ac:dyDescent="0.25">
      <c r="E904" t="str">
        <f>IFERROR(VLOOKUP(D904,'Team Data'!C:AB,4,FALSE),"")</f>
        <v/>
      </c>
      <c r="F904" t="str">
        <f>IFERROR(VLOOKUP(D904,'Team Data'!C:AB,5,FALSE),"")</f>
        <v/>
      </c>
      <c r="G904" t="str">
        <f>IFERROR(VLOOKUP('OB Format'!D904,'Team Data'!C:AB,17,FALSE),"")</f>
        <v/>
      </c>
      <c r="H904" t="str">
        <f>IFERROR(VLOOKUP(D904,'Team Data'!C:AB,7,FALSE),"")</f>
        <v/>
      </c>
      <c r="I904" t="str">
        <f>IFERROR(VLOOKUP(D904,'Team Data'!C:AB,14,FALSE),"")</f>
        <v/>
      </c>
      <c r="J904" t="str">
        <f>IFERROR(VLOOKUP(D904,'Team Data'!C:AB,8,FALSE),"")</f>
        <v/>
      </c>
      <c r="K904" t="str">
        <f>IFERROR(VLOOKUP(D904,'Team Data'!C:AB,9,FALSE),"")</f>
        <v/>
      </c>
      <c r="L904" t="str">
        <f>IFERROR(VLOOKUP(D904,'Team Data'!C:AB,10,FALSE),"")</f>
        <v/>
      </c>
      <c r="M904" t="str">
        <f t="shared" si="28"/>
        <v/>
      </c>
      <c r="N904" t="str">
        <f>IFERROR(VLOOKUP(D904,'Team Data'!C:AB,23,FALSE),"")</f>
        <v/>
      </c>
      <c r="O904" t="str">
        <f>IFERROR(VLOOKUP(D904,'Team Data'!C:AB,22,FALSE),"")</f>
        <v/>
      </c>
      <c r="P904" t="str">
        <f t="shared" si="29"/>
        <v/>
      </c>
      <c r="Q904" t="str">
        <f>IFERROR(VLOOKUP(D904,'Team Data'!C:AB,15,FALSE),"")</f>
        <v/>
      </c>
      <c r="R904" t="str">
        <f>IFERROR(VLOOKUP('OB Format'!D904,'Team Data'!C:AB,24,FALSE),"")</f>
        <v/>
      </c>
      <c r="S904" t="str">
        <f>IFERROR(VLOOKUP('OB Format'!D904,'Team Data'!C:AC,25,FALSE),"")</f>
        <v/>
      </c>
    </row>
    <row r="905" spans="5:19" x14ac:dyDescent="0.25">
      <c r="E905" t="str">
        <f>IFERROR(VLOOKUP(D905,'Team Data'!C:AB,4,FALSE),"")</f>
        <v/>
      </c>
      <c r="F905" t="str">
        <f>IFERROR(VLOOKUP(D905,'Team Data'!C:AB,5,FALSE),"")</f>
        <v/>
      </c>
      <c r="G905" t="str">
        <f>IFERROR(VLOOKUP('OB Format'!D905,'Team Data'!C:AB,17,FALSE),"")</f>
        <v/>
      </c>
      <c r="H905" t="str">
        <f>IFERROR(VLOOKUP(D905,'Team Data'!C:AB,7,FALSE),"")</f>
        <v/>
      </c>
      <c r="I905" t="str">
        <f>IFERROR(VLOOKUP(D905,'Team Data'!C:AB,14,FALSE),"")</f>
        <v/>
      </c>
      <c r="J905" t="str">
        <f>IFERROR(VLOOKUP(D905,'Team Data'!C:AB,8,FALSE),"")</f>
        <v/>
      </c>
      <c r="K905" t="str">
        <f>IFERROR(VLOOKUP(D905,'Team Data'!C:AB,9,FALSE),"")</f>
        <v/>
      </c>
      <c r="L905" t="str">
        <f>IFERROR(VLOOKUP(D905,'Team Data'!C:AB,10,FALSE),"")</f>
        <v/>
      </c>
      <c r="M905" t="str">
        <f t="shared" si="28"/>
        <v/>
      </c>
      <c r="N905" t="str">
        <f>IFERROR(VLOOKUP(D905,'Team Data'!C:AB,23,FALSE),"")</f>
        <v/>
      </c>
      <c r="O905" t="str">
        <f>IFERROR(VLOOKUP(D905,'Team Data'!C:AB,22,FALSE),"")</f>
        <v/>
      </c>
      <c r="P905" t="str">
        <f t="shared" si="29"/>
        <v/>
      </c>
      <c r="Q905" t="str">
        <f>IFERROR(VLOOKUP(D905,'Team Data'!C:AB,15,FALSE),"")</f>
        <v/>
      </c>
      <c r="R905" t="str">
        <f>IFERROR(VLOOKUP('OB Format'!D905,'Team Data'!C:AB,24,FALSE),"")</f>
        <v/>
      </c>
      <c r="S905" t="str">
        <f>IFERROR(VLOOKUP('OB Format'!D905,'Team Data'!C:AC,25,FALSE),"")</f>
        <v/>
      </c>
    </row>
    <row r="906" spans="5:19" x14ac:dyDescent="0.25">
      <c r="E906" t="str">
        <f>IFERROR(VLOOKUP(D906,'Team Data'!C:AB,4,FALSE),"")</f>
        <v/>
      </c>
      <c r="F906" t="str">
        <f>IFERROR(VLOOKUP(D906,'Team Data'!C:AB,5,FALSE),"")</f>
        <v/>
      </c>
      <c r="G906" t="str">
        <f>IFERROR(VLOOKUP('OB Format'!D906,'Team Data'!C:AB,17,FALSE),"")</f>
        <v/>
      </c>
      <c r="H906" t="str">
        <f>IFERROR(VLOOKUP(D906,'Team Data'!C:AB,7,FALSE),"")</f>
        <v/>
      </c>
      <c r="I906" t="str">
        <f>IFERROR(VLOOKUP(D906,'Team Data'!C:AB,14,FALSE),"")</f>
        <v/>
      </c>
      <c r="J906" t="str">
        <f>IFERROR(VLOOKUP(D906,'Team Data'!C:AB,8,FALSE),"")</f>
        <v/>
      </c>
      <c r="K906" t="str">
        <f>IFERROR(VLOOKUP(D906,'Team Data'!C:AB,9,FALSE),"")</f>
        <v/>
      </c>
      <c r="L906" t="str">
        <f>IFERROR(VLOOKUP(D906,'Team Data'!C:AB,10,FALSE),"")</f>
        <v/>
      </c>
      <c r="M906" t="str">
        <f t="shared" si="28"/>
        <v/>
      </c>
      <c r="N906" t="str">
        <f>IFERROR(VLOOKUP(D906,'Team Data'!C:AB,23,FALSE),"")</f>
        <v/>
      </c>
      <c r="O906" t="str">
        <f>IFERROR(VLOOKUP(D906,'Team Data'!C:AB,22,FALSE),"")</f>
        <v/>
      </c>
      <c r="P906" t="str">
        <f t="shared" si="29"/>
        <v/>
      </c>
      <c r="Q906" t="str">
        <f>IFERROR(VLOOKUP(D906,'Team Data'!C:AB,15,FALSE),"")</f>
        <v/>
      </c>
      <c r="R906" t="str">
        <f>IFERROR(VLOOKUP('OB Format'!D906,'Team Data'!C:AB,24,FALSE),"")</f>
        <v/>
      </c>
      <c r="S906" t="str">
        <f>IFERROR(VLOOKUP('OB Format'!D906,'Team Data'!C:AC,25,FALSE),"")</f>
        <v/>
      </c>
    </row>
    <row r="907" spans="5:19" x14ac:dyDescent="0.25">
      <c r="E907" t="str">
        <f>IFERROR(VLOOKUP(D907,'Team Data'!C:AB,4,FALSE),"")</f>
        <v/>
      </c>
      <c r="F907" t="str">
        <f>IFERROR(VLOOKUP(D907,'Team Data'!C:AB,5,FALSE),"")</f>
        <v/>
      </c>
      <c r="G907" t="str">
        <f>IFERROR(VLOOKUP('OB Format'!D907,'Team Data'!C:AB,17,FALSE),"")</f>
        <v/>
      </c>
      <c r="H907" t="str">
        <f>IFERROR(VLOOKUP(D907,'Team Data'!C:AB,7,FALSE),"")</f>
        <v/>
      </c>
      <c r="I907" t="str">
        <f>IFERROR(VLOOKUP(D907,'Team Data'!C:AB,14,FALSE),"")</f>
        <v/>
      </c>
      <c r="J907" t="str">
        <f>IFERROR(VLOOKUP(D907,'Team Data'!C:AB,8,FALSE),"")</f>
        <v/>
      </c>
      <c r="K907" t="str">
        <f>IFERROR(VLOOKUP(D907,'Team Data'!C:AB,9,FALSE),"")</f>
        <v/>
      </c>
      <c r="L907" t="str">
        <f>IFERROR(VLOOKUP(D907,'Team Data'!C:AB,10,FALSE),"")</f>
        <v/>
      </c>
      <c r="M907" t="str">
        <f t="shared" si="28"/>
        <v/>
      </c>
      <c r="N907" t="str">
        <f>IFERROR(VLOOKUP(D907,'Team Data'!C:AB,23,FALSE),"")</f>
        <v/>
      </c>
      <c r="O907" t="str">
        <f>IFERROR(VLOOKUP(D907,'Team Data'!C:AB,22,FALSE),"")</f>
        <v/>
      </c>
      <c r="P907" t="str">
        <f t="shared" si="29"/>
        <v/>
      </c>
      <c r="Q907" t="str">
        <f>IFERROR(VLOOKUP(D907,'Team Data'!C:AB,15,FALSE),"")</f>
        <v/>
      </c>
      <c r="R907" t="str">
        <f>IFERROR(VLOOKUP('OB Format'!D907,'Team Data'!C:AB,24,FALSE),"")</f>
        <v/>
      </c>
      <c r="S907" t="str">
        <f>IFERROR(VLOOKUP('OB Format'!D907,'Team Data'!C:AC,25,FALSE),"")</f>
        <v/>
      </c>
    </row>
    <row r="908" spans="5:19" x14ac:dyDescent="0.25">
      <c r="E908" t="str">
        <f>IFERROR(VLOOKUP(D908,'Team Data'!C:AB,4,FALSE),"")</f>
        <v/>
      </c>
      <c r="F908" t="str">
        <f>IFERROR(VLOOKUP(D908,'Team Data'!C:AB,5,FALSE),"")</f>
        <v/>
      </c>
      <c r="G908" t="str">
        <f>IFERROR(VLOOKUP('OB Format'!D908,'Team Data'!C:AB,17,FALSE),"")</f>
        <v/>
      </c>
      <c r="H908" t="str">
        <f>IFERROR(VLOOKUP(D908,'Team Data'!C:AB,7,FALSE),"")</f>
        <v/>
      </c>
      <c r="I908" t="str">
        <f>IFERROR(VLOOKUP(D908,'Team Data'!C:AB,14,FALSE),"")</f>
        <v/>
      </c>
      <c r="J908" t="str">
        <f>IFERROR(VLOOKUP(D908,'Team Data'!C:AB,8,FALSE),"")</f>
        <v/>
      </c>
      <c r="K908" t="str">
        <f>IFERROR(VLOOKUP(D908,'Team Data'!C:AB,9,FALSE),"")</f>
        <v/>
      </c>
      <c r="L908" t="str">
        <f>IFERROR(VLOOKUP(D908,'Team Data'!C:AB,10,FALSE),"")</f>
        <v/>
      </c>
      <c r="M908" t="str">
        <f t="shared" si="28"/>
        <v/>
      </c>
      <c r="N908" t="str">
        <f>IFERROR(VLOOKUP(D908,'Team Data'!C:AB,23,FALSE),"")</f>
        <v/>
      </c>
      <c r="O908" t="str">
        <f>IFERROR(VLOOKUP(D908,'Team Data'!C:AB,22,FALSE),"")</f>
        <v/>
      </c>
      <c r="P908" t="str">
        <f t="shared" si="29"/>
        <v/>
      </c>
      <c r="Q908" t="str">
        <f>IFERROR(VLOOKUP(D908,'Team Data'!C:AB,15,FALSE),"")</f>
        <v/>
      </c>
      <c r="R908" t="str">
        <f>IFERROR(VLOOKUP('OB Format'!D908,'Team Data'!C:AB,24,FALSE),"")</f>
        <v/>
      </c>
      <c r="S908" t="str">
        <f>IFERROR(VLOOKUP('OB Format'!D908,'Team Data'!C:AC,25,FALSE),"")</f>
        <v/>
      </c>
    </row>
    <row r="909" spans="5:19" x14ac:dyDescent="0.25">
      <c r="E909" t="str">
        <f>IFERROR(VLOOKUP(D909,'Team Data'!C:AB,4,FALSE),"")</f>
        <v/>
      </c>
      <c r="F909" t="str">
        <f>IFERROR(VLOOKUP(D909,'Team Data'!C:AB,5,FALSE),"")</f>
        <v/>
      </c>
      <c r="G909" t="str">
        <f>IFERROR(VLOOKUP('OB Format'!D909,'Team Data'!C:AB,17,FALSE),"")</f>
        <v/>
      </c>
      <c r="H909" t="str">
        <f>IFERROR(VLOOKUP(D909,'Team Data'!C:AB,7,FALSE),"")</f>
        <v/>
      </c>
      <c r="I909" t="str">
        <f>IFERROR(VLOOKUP(D909,'Team Data'!C:AB,14,FALSE),"")</f>
        <v/>
      </c>
      <c r="J909" t="str">
        <f>IFERROR(VLOOKUP(D909,'Team Data'!C:AB,8,FALSE),"")</f>
        <v/>
      </c>
      <c r="K909" t="str">
        <f>IFERROR(VLOOKUP(D909,'Team Data'!C:AB,9,FALSE),"")</f>
        <v/>
      </c>
      <c r="L909" t="str">
        <f>IFERROR(VLOOKUP(D909,'Team Data'!C:AB,10,FALSE),"")</f>
        <v/>
      </c>
      <c r="M909" t="str">
        <f t="shared" ref="M909:M972" si="30">IFERROR(H909-(J909+L909+K909),"")</f>
        <v/>
      </c>
      <c r="N909" t="str">
        <f>IFERROR(VLOOKUP(D909,'Team Data'!C:AB,23,FALSE),"")</f>
        <v/>
      </c>
      <c r="O909" t="str">
        <f>IFERROR(VLOOKUP(D909,'Team Data'!C:AB,22,FALSE),"")</f>
        <v/>
      </c>
      <c r="P909" t="str">
        <f t="shared" ref="P909:P972" si="31">IFERROR(E909-(H909+N909+Q909+I909+O909),"")</f>
        <v/>
      </c>
      <c r="Q909" t="str">
        <f>IFERROR(VLOOKUP(D909,'Team Data'!C:AB,15,FALSE),"")</f>
        <v/>
      </c>
      <c r="R909" t="str">
        <f>IFERROR(VLOOKUP('OB Format'!D909,'Team Data'!C:AB,24,FALSE),"")</f>
        <v/>
      </c>
      <c r="S909" t="str">
        <f>IFERROR(VLOOKUP('OB Format'!D909,'Team Data'!C:AC,25,FALSE),"")</f>
        <v/>
      </c>
    </row>
    <row r="910" spans="5:19" x14ac:dyDescent="0.25">
      <c r="E910" t="str">
        <f>IFERROR(VLOOKUP(D910,'Team Data'!C:AB,4,FALSE),"")</f>
        <v/>
      </c>
      <c r="F910" t="str">
        <f>IFERROR(VLOOKUP(D910,'Team Data'!C:AB,5,FALSE),"")</f>
        <v/>
      </c>
      <c r="G910" t="str">
        <f>IFERROR(VLOOKUP('OB Format'!D910,'Team Data'!C:AB,17,FALSE),"")</f>
        <v/>
      </c>
      <c r="H910" t="str">
        <f>IFERROR(VLOOKUP(D910,'Team Data'!C:AB,7,FALSE),"")</f>
        <v/>
      </c>
      <c r="I910" t="str">
        <f>IFERROR(VLOOKUP(D910,'Team Data'!C:AB,14,FALSE),"")</f>
        <v/>
      </c>
      <c r="J910" t="str">
        <f>IFERROR(VLOOKUP(D910,'Team Data'!C:AB,8,FALSE),"")</f>
        <v/>
      </c>
      <c r="K910" t="str">
        <f>IFERROR(VLOOKUP(D910,'Team Data'!C:AB,9,FALSE),"")</f>
        <v/>
      </c>
      <c r="L910" t="str">
        <f>IFERROR(VLOOKUP(D910,'Team Data'!C:AB,10,FALSE),"")</f>
        <v/>
      </c>
      <c r="M910" t="str">
        <f t="shared" si="30"/>
        <v/>
      </c>
      <c r="N910" t="str">
        <f>IFERROR(VLOOKUP(D910,'Team Data'!C:AB,23,FALSE),"")</f>
        <v/>
      </c>
      <c r="O910" t="str">
        <f>IFERROR(VLOOKUP(D910,'Team Data'!C:AB,22,FALSE),"")</f>
        <v/>
      </c>
      <c r="P910" t="str">
        <f t="shared" si="31"/>
        <v/>
      </c>
      <c r="Q910" t="str">
        <f>IFERROR(VLOOKUP(D910,'Team Data'!C:AB,15,FALSE),"")</f>
        <v/>
      </c>
      <c r="R910" t="str">
        <f>IFERROR(VLOOKUP('OB Format'!D910,'Team Data'!C:AB,24,FALSE),"")</f>
        <v/>
      </c>
      <c r="S910" t="str">
        <f>IFERROR(VLOOKUP('OB Format'!D910,'Team Data'!C:AC,25,FALSE),"")</f>
        <v/>
      </c>
    </row>
    <row r="911" spans="5:19" x14ac:dyDescent="0.25">
      <c r="E911" t="str">
        <f>IFERROR(VLOOKUP(D911,'Team Data'!C:AB,4,FALSE),"")</f>
        <v/>
      </c>
      <c r="F911" t="str">
        <f>IFERROR(VLOOKUP(D911,'Team Data'!C:AB,5,FALSE),"")</f>
        <v/>
      </c>
      <c r="G911" t="str">
        <f>IFERROR(VLOOKUP('OB Format'!D911,'Team Data'!C:AB,17,FALSE),"")</f>
        <v/>
      </c>
      <c r="H911" t="str">
        <f>IFERROR(VLOOKUP(D911,'Team Data'!C:AB,7,FALSE),"")</f>
        <v/>
      </c>
      <c r="I911" t="str">
        <f>IFERROR(VLOOKUP(D911,'Team Data'!C:AB,14,FALSE),"")</f>
        <v/>
      </c>
      <c r="J911" t="str">
        <f>IFERROR(VLOOKUP(D911,'Team Data'!C:AB,8,FALSE),"")</f>
        <v/>
      </c>
      <c r="K911" t="str">
        <f>IFERROR(VLOOKUP(D911,'Team Data'!C:AB,9,FALSE),"")</f>
        <v/>
      </c>
      <c r="L911" t="str">
        <f>IFERROR(VLOOKUP(D911,'Team Data'!C:AB,10,FALSE),"")</f>
        <v/>
      </c>
      <c r="M911" t="str">
        <f t="shared" si="30"/>
        <v/>
      </c>
      <c r="N911" t="str">
        <f>IFERROR(VLOOKUP(D911,'Team Data'!C:AB,23,FALSE),"")</f>
        <v/>
      </c>
      <c r="O911" t="str">
        <f>IFERROR(VLOOKUP(D911,'Team Data'!C:AB,22,FALSE),"")</f>
        <v/>
      </c>
      <c r="P911" t="str">
        <f t="shared" si="31"/>
        <v/>
      </c>
      <c r="Q911" t="str">
        <f>IFERROR(VLOOKUP(D911,'Team Data'!C:AB,15,FALSE),"")</f>
        <v/>
      </c>
      <c r="R911" t="str">
        <f>IFERROR(VLOOKUP('OB Format'!D911,'Team Data'!C:AB,24,FALSE),"")</f>
        <v/>
      </c>
      <c r="S911" t="str">
        <f>IFERROR(VLOOKUP('OB Format'!D911,'Team Data'!C:AC,25,FALSE),"")</f>
        <v/>
      </c>
    </row>
    <row r="912" spans="5:19" x14ac:dyDescent="0.25">
      <c r="E912" t="str">
        <f>IFERROR(VLOOKUP(D912,'Team Data'!C:AB,4,FALSE),"")</f>
        <v/>
      </c>
      <c r="F912" t="str">
        <f>IFERROR(VLOOKUP(D912,'Team Data'!C:AB,5,FALSE),"")</f>
        <v/>
      </c>
      <c r="G912" t="str">
        <f>IFERROR(VLOOKUP('OB Format'!D912,'Team Data'!C:AB,17,FALSE),"")</f>
        <v/>
      </c>
      <c r="H912" t="str">
        <f>IFERROR(VLOOKUP(D912,'Team Data'!C:AB,7,FALSE),"")</f>
        <v/>
      </c>
      <c r="I912" t="str">
        <f>IFERROR(VLOOKUP(D912,'Team Data'!C:AB,14,FALSE),"")</f>
        <v/>
      </c>
      <c r="J912" t="str">
        <f>IFERROR(VLOOKUP(D912,'Team Data'!C:AB,8,FALSE),"")</f>
        <v/>
      </c>
      <c r="K912" t="str">
        <f>IFERROR(VLOOKUP(D912,'Team Data'!C:AB,9,FALSE),"")</f>
        <v/>
      </c>
      <c r="L912" t="str">
        <f>IFERROR(VLOOKUP(D912,'Team Data'!C:AB,10,FALSE),"")</f>
        <v/>
      </c>
      <c r="M912" t="str">
        <f t="shared" si="30"/>
        <v/>
      </c>
      <c r="N912" t="str">
        <f>IFERROR(VLOOKUP(D912,'Team Data'!C:AB,23,FALSE),"")</f>
        <v/>
      </c>
      <c r="O912" t="str">
        <f>IFERROR(VLOOKUP(D912,'Team Data'!C:AB,22,FALSE),"")</f>
        <v/>
      </c>
      <c r="P912" t="str">
        <f t="shared" si="31"/>
        <v/>
      </c>
      <c r="Q912" t="str">
        <f>IFERROR(VLOOKUP(D912,'Team Data'!C:AB,15,FALSE),"")</f>
        <v/>
      </c>
      <c r="R912" t="str">
        <f>IFERROR(VLOOKUP('OB Format'!D912,'Team Data'!C:AB,24,FALSE),"")</f>
        <v/>
      </c>
      <c r="S912" t="str">
        <f>IFERROR(VLOOKUP('OB Format'!D912,'Team Data'!C:AC,25,FALSE),"")</f>
        <v/>
      </c>
    </row>
    <row r="913" spans="5:19" x14ac:dyDescent="0.25">
      <c r="E913" t="str">
        <f>IFERROR(VLOOKUP(D913,'Team Data'!C:AB,4,FALSE),"")</f>
        <v/>
      </c>
      <c r="F913" t="str">
        <f>IFERROR(VLOOKUP(D913,'Team Data'!C:AB,5,FALSE),"")</f>
        <v/>
      </c>
      <c r="G913" t="str">
        <f>IFERROR(VLOOKUP('OB Format'!D913,'Team Data'!C:AB,17,FALSE),"")</f>
        <v/>
      </c>
      <c r="H913" t="str">
        <f>IFERROR(VLOOKUP(D913,'Team Data'!C:AB,7,FALSE),"")</f>
        <v/>
      </c>
      <c r="I913" t="str">
        <f>IFERROR(VLOOKUP(D913,'Team Data'!C:AB,14,FALSE),"")</f>
        <v/>
      </c>
      <c r="J913" t="str">
        <f>IFERROR(VLOOKUP(D913,'Team Data'!C:AB,8,FALSE),"")</f>
        <v/>
      </c>
      <c r="K913" t="str">
        <f>IFERROR(VLOOKUP(D913,'Team Data'!C:AB,9,FALSE),"")</f>
        <v/>
      </c>
      <c r="L913" t="str">
        <f>IFERROR(VLOOKUP(D913,'Team Data'!C:AB,10,FALSE),"")</f>
        <v/>
      </c>
      <c r="M913" t="str">
        <f t="shared" si="30"/>
        <v/>
      </c>
      <c r="N913" t="str">
        <f>IFERROR(VLOOKUP(D913,'Team Data'!C:AB,23,FALSE),"")</f>
        <v/>
      </c>
      <c r="O913" t="str">
        <f>IFERROR(VLOOKUP(D913,'Team Data'!C:AB,22,FALSE),"")</f>
        <v/>
      </c>
      <c r="P913" t="str">
        <f t="shared" si="31"/>
        <v/>
      </c>
      <c r="Q913" t="str">
        <f>IFERROR(VLOOKUP(D913,'Team Data'!C:AB,15,FALSE),"")</f>
        <v/>
      </c>
      <c r="R913" t="str">
        <f>IFERROR(VLOOKUP('OB Format'!D913,'Team Data'!C:AB,24,FALSE),"")</f>
        <v/>
      </c>
      <c r="S913" t="str">
        <f>IFERROR(VLOOKUP('OB Format'!D913,'Team Data'!C:AC,25,FALSE),"")</f>
        <v/>
      </c>
    </row>
    <row r="914" spans="5:19" x14ac:dyDescent="0.25">
      <c r="E914" t="str">
        <f>IFERROR(VLOOKUP(D914,'Team Data'!C:AB,4,FALSE),"")</f>
        <v/>
      </c>
      <c r="F914" t="str">
        <f>IFERROR(VLOOKUP(D914,'Team Data'!C:AB,5,FALSE),"")</f>
        <v/>
      </c>
      <c r="G914" t="str">
        <f>IFERROR(VLOOKUP('OB Format'!D914,'Team Data'!C:AB,17,FALSE),"")</f>
        <v/>
      </c>
      <c r="H914" t="str">
        <f>IFERROR(VLOOKUP(D914,'Team Data'!C:AB,7,FALSE),"")</f>
        <v/>
      </c>
      <c r="I914" t="str">
        <f>IFERROR(VLOOKUP(D914,'Team Data'!C:AB,14,FALSE),"")</f>
        <v/>
      </c>
      <c r="J914" t="str">
        <f>IFERROR(VLOOKUP(D914,'Team Data'!C:AB,8,FALSE),"")</f>
        <v/>
      </c>
      <c r="K914" t="str">
        <f>IFERROR(VLOOKUP(D914,'Team Data'!C:AB,9,FALSE),"")</f>
        <v/>
      </c>
      <c r="L914" t="str">
        <f>IFERROR(VLOOKUP(D914,'Team Data'!C:AB,10,FALSE),"")</f>
        <v/>
      </c>
      <c r="M914" t="str">
        <f t="shared" si="30"/>
        <v/>
      </c>
      <c r="N914" t="str">
        <f>IFERROR(VLOOKUP(D914,'Team Data'!C:AB,23,FALSE),"")</f>
        <v/>
      </c>
      <c r="O914" t="str">
        <f>IFERROR(VLOOKUP(D914,'Team Data'!C:AB,22,FALSE),"")</f>
        <v/>
      </c>
      <c r="P914" t="str">
        <f t="shared" si="31"/>
        <v/>
      </c>
      <c r="Q914" t="str">
        <f>IFERROR(VLOOKUP(D914,'Team Data'!C:AB,15,FALSE),"")</f>
        <v/>
      </c>
      <c r="R914" t="str">
        <f>IFERROR(VLOOKUP('OB Format'!D914,'Team Data'!C:AB,24,FALSE),"")</f>
        <v/>
      </c>
      <c r="S914" t="str">
        <f>IFERROR(VLOOKUP('OB Format'!D914,'Team Data'!C:AC,25,FALSE),"")</f>
        <v/>
      </c>
    </row>
    <row r="915" spans="5:19" x14ac:dyDescent="0.25">
      <c r="E915" t="str">
        <f>IFERROR(VLOOKUP(D915,'Team Data'!C:AB,4,FALSE),"")</f>
        <v/>
      </c>
      <c r="F915" t="str">
        <f>IFERROR(VLOOKUP(D915,'Team Data'!C:AB,5,FALSE),"")</f>
        <v/>
      </c>
      <c r="G915" t="str">
        <f>IFERROR(VLOOKUP('OB Format'!D915,'Team Data'!C:AB,17,FALSE),"")</f>
        <v/>
      </c>
      <c r="H915" t="str">
        <f>IFERROR(VLOOKUP(D915,'Team Data'!C:AB,7,FALSE),"")</f>
        <v/>
      </c>
      <c r="I915" t="str">
        <f>IFERROR(VLOOKUP(D915,'Team Data'!C:AB,14,FALSE),"")</f>
        <v/>
      </c>
      <c r="J915" t="str">
        <f>IFERROR(VLOOKUP(D915,'Team Data'!C:AB,8,FALSE),"")</f>
        <v/>
      </c>
      <c r="K915" t="str">
        <f>IFERROR(VLOOKUP(D915,'Team Data'!C:AB,9,FALSE),"")</f>
        <v/>
      </c>
      <c r="L915" t="str">
        <f>IFERROR(VLOOKUP(D915,'Team Data'!C:AB,10,FALSE),"")</f>
        <v/>
      </c>
      <c r="M915" t="str">
        <f t="shared" si="30"/>
        <v/>
      </c>
      <c r="N915" t="str">
        <f>IFERROR(VLOOKUP(D915,'Team Data'!C:AB,23,FALSE),"")</f>
        <v/>
      </c>
      <c r="O915" t="str">
        <f>IFERROR(VLOOKUP(D915,'Team Data'!C:AB,22,FALSE),"")</f>
        <v/>
      </c>
      <c r="P915" t="str">
        <f t="shared" si="31"/>
        <v/>
      </c>
      <c r="Q915" t="str">
        <f>IFERROR(VLOOKUP(D915,'Team Data'!C:AB,15,FALSE),"")</f>
        <v/>
      </c>
      <c r="R915" t="str">
        <f>IFERROR(VLOOKUP('OB Format'!D915,'Team Data'!C:AB,24,FALSE),"")</f>
        <v/>
      </c>
      <c r="S915" t="str">
        <f>IFERROR(VLOOKUP('OB Format'!D915,'Team Data'!C:AC,25,FALSE),"")</f>
        <v/>
      </c>
    </row>
    <row r="916" spans="5:19" x14ac:dyDescent="0.25">
      <c r="E916" t="str">
        <f>IFERROR(VLOOKUP(D916,'Team Data'!C:AB,4,FALSE),"")</f>
        <v/>
      </c>
      <c r="F916" t="str">
        <f>IFERROR(VLOOKUP(D916,'Team Data'!C:AB,5,FALSE),"")</f>
        <v/>
      </c>
      <c r="G916" t="str">
        <f>IFERROR(VLOOKUP('OB Format'!D916,'Team Data'!C:AB,17,FALSE),"")</f>
        <v/>
      </c>
      <c r="H916" t="str">
        <f>IFERROR(VLOOKUP(D916,'Team Data'!C:AB,7,FALSE),"")</f>
        <v/>
      </c>
      <c r="I916" t="str">
        <f>IFERROR(VLOOKUP(D916,'Team Data'!C:AB,14,FALSE),"")</f>
        <v/>
      </c>
      <c r="J916" t="str">
        <f>IFERROR(VLOOKUP(D916,'Team Data'!C:AB,8,FALSE),"")</f>
        <v/>
      </c>
      <c r="K916" t="str">
        <f>IFERROR(VLOOKUP(D916,'Team Data'!C:AB,9,FALSE),"")</f>
        <v/>
      </c>
      <c r="L916" t="str">
        <f>IFERROR(VLOOKUP(D916,'Team Data'!C:AB,10,FALSE),"")</f>
        <v/>
      </c>
      <c r="M916" t="str">
        <f t="shared" si="30"/>
        <v/>
      </c>
      <c r="N916" t="str">
        <f>IFERROR(VLOOKUP(D916,'Team Data'!C:AB,23,FALSE),"")</f>
        <v/>
      </c>
      <c r="O916" t="str">
        <f>IFERROR(VLOOKUP(D916,'Team Data'!C:AB,22,FALSE),"")</f>
        <v/>
      </c>
      <c r="P916" t="str">
        <f t="shared" si="31"/>
        <v/>
      </c>
      <c r="Q916" t="str">
        <f>IFERROR(VLOOKUP(D916,'Team Data'!C:AB,15,FALSE),"")</f>
        <v/>
      </c>
      <c r="R916" t="str">
        <f>IFERROR(VLOOKUP('OB Format'!D916,'Team Data'!C:AB,24,FALSE),"")</f>
        <v/>
      </c>
      <c r="S916" t="str">
        <f>IFERROR(VLOOKUP('OB Format'!D916,'Team Data'!C:AC,25,FALSE),"")</f>
        <v/>
      </c>
    </row>
    <row r="917" spans="5:19" x14ac:dyDescent="0.25">
      <c r="E917" t="str">
        <f>IFERROR(VLOOKUP(D917,'Team Data'!C:AB,4,FALSE),"")</f>
        <v/>
      </c>
      <c r="F917" t="str">
        <f>IFERROR(VLOOKUP(D917,'Team Data'!C:AB,5,FALSE),"")</f>
        <v/>
      </c>
      <c r="G917" t="str">
        <f>IFERROR(VLOOKUP('OB Format'!D917,'Team Data'!C:AB,17,FALSE),"")</f>
        <v/>
      </c>
      <c r="H917" t="str">
        <f>IFERROR(VLOOKUP(D917,'Team Data'!C:AB,7,FALSE),"")</f>
        <v/>
      </c>
      <c r="I917" t="str">
        <f>IFERROR(VLOOKUP(D917,'Team Data'!C:AB,14,FALSE),"")</f>
        <v/>
      </c>
      <c r="J917" t="str">
        <f>IFERROR(VLOOKUP(D917,'Team Data'!C:AB,8,FALSE),"")</f>
        <v/>
      </c>
      <c r="K917" t="str">
        <f>IFERROR(VLOOKUP(D917,'Team Data'!C:AB,9,FALSE),"")</f>
        <v/>
      </c>
      <c r="L917" t="str">
        <f>IFERROR(VLOOKUP(D917,'Team Data'!C:AB,10,FALSE),"")</f>
        <v/>
      </c>
      <c r="M917" t="str">
        <f t="shared" si="30"/>
        <v/>
      </c>
      <c r="N917" t="str">
        <f>IFERROR(VLOOKUP(D917,'Team Data'!C:AB,23,FALSE),"")</f>
        <v/>
      </c>
      <c r="O917" t="str">
        <f>IFERROR(VLOOKUP(D917,'Team Data'!C:AB,22,FALSE),"")</f>
        <v/>
      </c>
      <c r="P917" t="str">
        <f t="shared" si="31"/>
        <v/>
      </c>
      <c r="Q917" t="str">
        <f>IFERROR(VLOOKUP(D917,'Team Data'!C:AB,15,FALSE),"")</f>
        <v/>
      </c>
      <c r="R917" t="str">
        <f>IFERROR(VLOOKUP('OB Format'!D917,'Team Data'!C:AB,24,FALSE),"")</f>
        <v/>
      </c>
      <c r="S917" t="str">
        <f>IFERROR(VLOOKUP('OB Format'!D917,'Team Data'!C:AC,25,FALSE),"")</f>
        <v/>
      </c>
    </row>
    <row r="918" spans="5:19" x14ac:dyDescent="0.25">
      <c r="E918" t="str">
        <f>IFERROR(VLOOKUP(D918,'Team Data'!C:AB,4,FALSE),"")</f>
        <v/>
      </c>
      <c r="F918" t="str">
        <f>IFERROR(VLOOKUP(D918,'Team Data'!C:AB,5,FALSE),"")</f>
        <v/>
      </c>
      <c r="G918" t="str">
        <f>IFERROR(VLOOKUP('OB Format'!D918,'Team Data'!C:AB,17,FALSE),"")</f>
        <v/>
      </c>
      <c r="H918" t="str">
        <f>IFERROR(VLOOKUP(D918,'Team Data'!C:AB,7,FALSE),"")</f>
        <v/>
      </c>
      <c r="I918" t="str">
        <f>IFERROR(VLOOKUP(D918,'Team Data'!C:AB,14,FALSE),"")</f>
        <v/>
      </c>
      <c r="J918" t="str">
        <f>IFERROR(VLOOKUP(D918,'Team Data'!C:AB,8,FALSE),"")</f>
        <v/>
      </c>
      <c r="K918" t="str">
        <f>IFERROR(VLOOKUP(D918,'Team Data'!C:AB,9,FALSE),"")</f>
        <v/>
      </c>
      <c r="L918" t="str">
        <f>IFERROR(VLOOKUP(D918,'Team Data'!C:AB,10,FALSE),"")</f>
        <v/>
      </c>
      <c r="M918" t="str">
        <f t="shared" si="30"/>
        <v/>
      </c>
      <c r="N918" t="str">
        <f>IFERROR(VLOOKUP(D918,'Team Data'!C:AB,23,FALSE),"")</f>
        <v/>
      </c>
      <c r="O918" t="str">
        <f>IFERROR(VLOOKUP(D918,'Team Data'!C:AB,22,FALSE),"")</f>
        <v/>
      </c>
      <c r="P918" t="str">
        <f t="shared" si="31"/>
        <v/>
      </c>
      <c r="Q918" t="str">
        <f>IFERROR(VLOOKUP(D918,'Team Data'!C:AB,15,FALSE),"")</f>
        <v/>
      </c>
      <c r="R918" t="str">
        <f>IFERROR(VLOOKUP('OB Format'!D918,'Team Data'!C:AB,24,FALSE),"")</f>
        <v/>
      </c>
      <c r="S918" t="str">
        <f>IFERROR(VLOOKUP('OB Format'!D918,'Team Data'!C:AC,25,FALSE),"")</f>
        <v/>
      </c>
    </row>
    <row r="919" spans="5:19" x14ac:dyDescent="0.25">
      <c r="E919" t="str">
        <f>IFERROR(VLOOKUP(D919,'Team Data'!C:AB,4,FALSE),"")</f>
        <v/>
      </c>
      <c r="F919" t="str">
        <f>IFERROR(VLOOKUP(D919,'Team Data'!C:AB,5,FALSE),"")</f>
        <v/>
      </c>
      <c r="G919" t="str">
        <f>IFERROR(VLOOKUP('OB Format'!D919,'Team Data'!C:AB,17,FALSE),"")</f>
        <v/>
      </c>
      <c r="H919" t="str">
        <f>IFERROR(VLOOKUP(D919,'Team Data'!C:AB,7,FALSE),"")</f>
        <v/>
      </c>
      <c r="I919" t="str">
        <f>IFERROR(VLOOKUP(D919,'Team Data'!C:AB,14,FALSE),"")</f>
        <v/>
      </c>
      <c r="J919" t="str">
        <f>IFERROR(VLOOKUP(D919,'Team Data'!C:AB,8,FALSE),"")</f>
        <v/>
      </c>
      <c r="K919" t="str">
        <f>IFERROR(VLOOKUP(D919,'Team Data'!C:AB,9,FALSE),"")</f>
        <v/>
      </c>
      <c r="L919" t="str">
        <f>IFERROR(VLOOKUP(D919,'Team Data'!C:AB,10,FALSE),"")</f>
        <v/>
      </c>
      <c r="M919" t="str">
        <f t="shared" si="30"/>
        <v/>
      </c>
      <c r="N919" t="str">
        <f>IFERROR(VLOOKUP(D919,'Team Data'!C:AB,23,FALSE),"")</f>
        <v/>
      </c>
      <c r="O919" t="str">
        <f>IFERROR(VLOOKUP(D919,'Team Data'!C:AB,22,FALSE),"")</f>
        <v/>
      </c>
      <c r="P919" t="str">
        <f t="shared" si="31"/>
        <v/>
      </c>
      <c r="Q919" t="str">
        <f>IFERROR(VLOOKUP(D919,'Team Data'!C:AB,15,FALSE),"")</f>
        <v/>
      </c>
      <c r="R919" t="str">
        <f>IFERROR(VLOOKUP('OB Format'!D919,'Team Data'!C:AB,24,FALSE),"")</f>
        <v/>
      </c>
      <c r="S919" t="str">
        <f>IFERROR(VLOOKUP('OB Format'!D919,'Team Data'!C:AC,25,FALSE),"")</f>
        <v/>
      </c>
    </row>
    <row r="920" spans="5:19" x14ac:dyDescent="0.25">
      <c r="E920" t="str">
        <f>IFERROR(VLOOKUP(D920,'Team Data'!C:AB,4,FALSE),"")</f>
        <v/>
      </c>
      <c r="F920" t="str">
        <f>IFERROR(VLOOKUP(D920,'Team Data'!C:AB,5,FALSE),"")</f>
        <v/>
      </c>
      <c r="G920" t="str">
        <f>IFERROR(VLOOKUP('OB Format'!D920,'Team Data'!C:AB,17,FALSE),"")</f>
        <v/>
      </c>
      <c r="H920" t="str">
        <f>IFERROR(VLOOKUP(D920,'Team Data'!C:AB,7,FALSE),"")</f>
        <v/>
      </c>
      <c r="I920" t="str">
        <f>IFERROR(VLOOKUP(D920,'Team Data'!C:AB,14,FALSE),"")</f>
        <v/>
      </c>
      <c r="J920" t="str">
        <f>IFERROR(VLOOKUP(D920,'Team Data'!C:AB,8,FALSE),"")</f>
        <v/>
      </c>
      <c r="K920" t="str">
        <f>IFERROR(VLOOKUP(D920,'Team Data'!C:AB,9,FALSE),"")</f>
        <v/>
      </c>
      <c r="L920" t="str">
        <f>IFERROR(VLOOKUP(D920,'Team Data'!C:AB,10,FALSE),"")</f>
        <v/>
      </c>
      <c r="M920" t="str">
        <f t="shared" si="30"/>
        <v/>
      </c>
      <c r="N920" t="str">
        <f>IFERROR(VLOOKUP(D920,'Team Data'!C:AB,23,FALSE),"")</f>
        <v/>
      </c>
      <c r="O920" t="str">
        <f>IFERROR(VLOOKUP(D920,'Team Data'!C:AB,22,FALSE),"")</f>
        <v/>
      </c>
      <c r="P920" t="str">
        <f t="shared" si="31"/>
        <v/>
      </c>
      <c r="Q920" t="str">
        <f>IFERROR(VLOOKUP(D920,'Team Data'!C:AB,15,FALSE),"")</f>
        <v/>
      </c>
      <c r="R920" t="str">
        <f>IFERROR(VLOOKUP('OB Format'!D920,'Team Data'!C:AB,24,FALSE),"")</f>
        <v/>
      </c>
      <c r="S920" t="str">
        <f>IFERROR(VLOOKUP('OB Format'!D920,'Team Data'!C:AC,25,FALSE),"")</f>
        <v/>
      </c>
    </row>
    <row r="921" spans="5:19" x14ac:dyDescent="0.25">
      <c r="E921" t="str">
        <f>IFERROR(VLOOKUP(D921,'Team Data'!C:AB,4,FALSE),"")</f>
        <v/>
      </c>
      <c r="F921" t="str">
        <f>IFERROR(VLOOKUP(D921,'Team Data'!C:AB,5,FALSE),"")</f>
        <v/>
      </c>
      <c r="G921" t="str">
        <f>IFERROR(VLOOKUP('OB Format'!D921,'Team Data'!C:AB,17,FALSE),"")</f>
        <v/>
      </c>
      <c r="H921" t="str">
        <f>IFERROR(VLOOKUP(D921,'Team Data'!C:AB,7,FALSE),"")</f>
        <v/>
      </c>
      <c r="I921" t="str">
        <f>IFERROR(VLOOKUP(D921,'Team Data'!C:AB,14,FALSE),"")</f>
        <v/>
      </c>
      <c r="J921" t="str">
        <f>IFERROR(VLOOKUP(D921,'Team Data'!C:AB,8,FALSE),"")</f>
        <v/>
      </c>
      <c r="K921" t="str">
        <f>IFERROR(VLOOKUP(D921,'Team Data'!C:AB,9,FALSE),"")</f>
        <v/>
      </c>
      <c r="L921" t="str">
        <f>IFERROR(VLOOKUP(D921,'Team Data'!C:AB,10,FALSE),"")</f>
        <v/>
      </c>
      <c r="M921" t="str">
        <f t="shared" si="30"/>
        <v/>
      </c>
      <c r="N921" t="str">
        <f>IFERROR(VLOOKUP(D921,'Team Data'!C:AB,23,FALSE),"")</f>
        <v/>
      </c>
      <c r="O921" t="str">
        <f>IFERROR(VLOOKUP(D921,'Team Data'!C:AB,22,FALSE),"")</f>
        <v/>
      </c>
      <c r="P921" t="str">
        <f t="shared" si="31"/>
        <v/>
      </c>
      <c r="Q921" t="str">
        <f>IFERROR(VLOOKUP(D921,'Team Data'!C:AB,15,FALSE),"")</f>
        <v/>
      </c>
      <c r="R921" t="str">
        <f>IFERROR(VLOOKUP('OB Format'!D921,'Team Data'!C:AB,24,FALSE),"")</f>
        <v/>
      </c>
      <c r="S921" t="str">
        <f>IFERROR(VLOOKUP('OB Format'!D921,'Team Data'!C:AC,25,FALSE),"")</f>
        <v/>
      </c>
    </row>
    <row r="922" spans="5:19" x14ac:dyDescent="0.25">
      <c r="E922" t="str">
        <f>IFERROR(VLOOKUP(D922,'Team Data'!C:AB,4,FALSE),"")</f>
        <v/>
      </c>
      <c r="F922" t="str">
        <f>IFERROR(VLOOKUP(D922,'Team Data'!C:AB,5,FALSE),"")</f>
        <v/>
      </c>
      <c r="G922" t="str">
        <f>IFERROR(VLOOKUP('OB Format'!D922,'Team Data'!C:AB,17,FALSE),"")</f>
        <v/>
      </c>
      <c r="H922" t="str">
        <f>IFERROR(VLOOKUP(D922,'Team Data'!C:AB,7,FALSE),"")</f>
        <v/>
      </c>
      <c r="I922" t="str">
        <f>IFERROR(VLOOKUP(D922,'Team Data'!C:AB,14,FALSE),"")</f>
        <v/>
      </c>
      <c r="J922" t="str">
        <f>IFERROR(VLOOKUP(D922,'Team Data'!C:AB,8,FALSE),"")</f>
        <v/>
      </c>
      <c r="K922" t="str">
        <f>IFERROR(VLOOKUP(D922,'Team Data'!C:AB,9,FALSE),"")</f>
        <v/>
      </c>
      <c r="L922" t="str">
        <f>IFERROR(VLOOKUP(D922,'Team Data'!C:AB,10,FALSE),"")</f>
        <v/>
      </c>
      <c r="M922" t="str">
        <f t="shared" si="30"/>
        <v/>
      </c>
      <c r="N922" t="str">
        <f>IFERROR(VLOOKUP(D922,'Team Data'!C:AB,23,FALSE),"")</f>
        <v/>
      </c>
      <c r="O922" t="str">
        <f>IFERROR(VLOOKUP(D922,'Team Data'!C:AB,22,FALSE),"")</f>
        <v/>
      </c>
      <c r="P922" t="str">
        <f t="shared" si="31"/>
        <v/>
      </c>
      <c r="Q922" t="str">
        <f>IFERROR(VLOOKUP(D922,'Team Data'!C:AB,15,FALSE),"")</f>
        <v/>
      </c>
      <c r="R922" t="str">
        <f>IFERROR(VLOOKUP('OB Format'!D922,'Team Data'!C:AB,24,FALSE),"")</f>
        <v/>
      </c>
      <c r="S922" t="str">
        <f>IFERROR(VLOOKUP('OB Format'!D922,'Team Data'!C:AC,25,FALSE),"")</f>
        <v/>
      </c>
    </row>
    <row r="923" spans="5:19" x14ac:dyDescent="0.25">
      <c r="E923" t="str">
        <f>IFERROR(VLOOKUP(D923,'Team Data'!C:AB,4,FALSE),"")</f>
        <v/>
      </c>
      <c r="F923" t="str">
        <f>IFERROR(VLOOKUP(D923,'Team Data'!C:AB,5,FALSE),"")</f>
        <v/>
      </c>
      <c r="G923" t="str">
        <f>IFERROR(VLOOKUP('OB Format'!D923,'Team Data'!C:AB,17,FALSE),"")</f>
        <v/>
      </c>
      <c r="H923" t="str">
        <f>IFERROR(VLOOKUP(D923,'Team Data'!C:AB,7,FALSE),"")</f>
        <v/>
      </c>
      <c r="I923" t="str">
        <f>IFERROR(VLOOKUP(D923,'Team Data'!C:AB,14,FALSE),"")</f>
        <v/>
      </c>
      <c r="J923" t="str">
        <f>IFERROR(VLOOKUP(D923,'Team Data'!C:AB,8,FALSE),"")</f>
        <v/>
      </c>
      <c r="K923" t="str">
        <f>IFERROR(VLOOKUP(D923,'Team Data'!C:AB,9,FALSE),"")</f>
        <v/>
      </c>
      <c r="L923" t="str">
        <f>IFERROR(VLOOKUP(D923,'Team Data'!C:AB,10,FALSE),"")</f>
        <v/>
      </c>
      <c r="M923" t="str">
        <f t="shared" si="30"/>
        <v/>
      </c>
      <c r="N923" t="str">
        <f>IFERROR(VLOOKUP(D923,'Team Data'!C:AB,23,FALSE),"")</f>
        <v/>
      </c>
      <c r="O923" t="str">
        <f>IFERROR(VLOOKUP(D923,'Team Data'!C:AB,22,FALSE),"")</f>
        <v/>
      </c>
      <c r="P923" t="str">
        <f t="shared" si="31"/>
        <v/>
      </c>
      <c r="Q923" t="str">
        <f>IFERROR(VLOOKUP(D923,'Team Data'!C:AB,15,FALSE),"")</f>
        <v/>
      </c>
      <c r="R923" t="str">
        <f>IFERROR(VLOOKUP('OB Format'!D923,'Team Data'!C:AB,24,FALSE),"")</f>
        <v/>
      </c>
      <c r="S923" t="str">
        <f>IFERROR(VLOOKUP('OB Format'!D923,'Team Data'!C:AC,25,FALSE),"")</f>
        <v/>
      </c>
    </row>
    <row r="924" spans="5:19" x14ac:dyDescent="0.25">
      <c r="E924" t="str">
        <f>IFERROR(VLOOKUP(D924,'Team Data'!C:AB,4,FALSE),"")</f>
        <v/>
      </c>
      <c r="F924" t="str">
        <f>IFERROR(VLOOKUP(D924,'Team Data'!C:AB,5,FALSE),"")</f>
        <v/>
      </c>
      <c r="G924" t="str">
        <f>IFERROR(VLOOKUP('OB Format'!D924,'Team Data'!C:AB,17,FALSE),"")</f>
        <v/>
      </c>
      <c r="H924" t="str">
        <f>IFERROR(VLOOKUP(D924,'Team Data'!C:AB,7,FALSE),"")</f>
        <v/>
      </c>
      <c r="I924" t="str">
        <f>IFERROR(VLOOKUP(D924,'Team Data'!C:AB,14,FALSE),"")</f>
        <v/>
      </c>
      <c r="J924" t="str">
        <f>IFERROR(VLOOKUP(D924,'Team Data'!C:AB,8,FALSE),"")</f>
        <v/>
      </c>
      <c r="K924" t="str">
        <f>IFERROR(VLOOKUP(D924,'Team Data'!C:AB,9,FALSE),"")</f>
        <v/>
      </c>
      <c r="L924" t="str">
        <f>IFERROR(VLOOKUP(D924,'Team Data'!C:AB,10,FALSE),"")</f>
        <v/>
      </c>
      <c r="M924" t="str">
        <f t="shared" si="30"/>
        <v/>
      </c>
      <c r="N924" t="str">
        <f>IFERROR(VLOOKUP(D924,'Team Data'!C:AB,23,FALSE),"")</f>
        <v/>
      </c>
      <c r="O924" t="str">
        <f>IFERROR(VLOOKUP(D924,'Team Data'!C:AB,22,FALSE),"")</f>
        <v/>
      </c>
      <c r="P924" t="str">
        <f t="shared" si="31"/>
        <v/>
      </c>
      <c r="Q924" t="str">
        <f>IFERROR(VLOOKUP(D924,'Team Data'!C:AB,15,FALSE),"")</f>
        <v/>
      </c>
      <c r="R924" t="str">
        <f>IFERROR(VLOOKUP('OB Format'!D924,'Team Data'!C:AB,24,FALSE),"")</f>
        <v/>
      </c>
      <c r="S924" t="str">
        <f>IFERROR(VLOOKUP('OB Format'!D924,'Team Data'!C:AC,25,FALSE),"")</f>
        <v/>
      </c>
    </row>
    <row r="925" spans="5:19" x14ac:dyDescent="0.25">
      <c r="E925" t="str">
        <f>IFERROR(VLOOKUP(D925,'Team Data'!C:AB,4,FALSE),"")</f>
        <v/>
      </c>
      <c r="F925" t="str">
        <f>IFERROR(VLOOKUP(D925,'Team Data'!C:AB,5,FALSE),"")</f>
        <v/>
      </c>
      <c r="G925" t="str">
        <f>IFERROR(VLOOKUP('OB Format'!D925,'Team Data'!C:AB,17,FALSE),"")</f>
        <v/>
      </c>
      <c r="H925" t="str">
        <f>IFERROR(VLOOKUP(D925,'Team Data'!C:AB,7,FALSE),"")</f>
        <v/>
      </c>
      <c r="I925" t="str">
        <f>IFERROR(VLOOKUP(D925,'Team Data'!C:AB,14,FALSE),"")</f>
        <v/>
      </c>
      <c r="J925" t="str">
        <f>IFERROR(VLOOKUP(D925,'Team Data'!C:AB,8,FALSE),"")</f>
        <v/>
      </c>
      <c r="K925" t="str">
        <f>IFERROR(VLOOKUP(D925,'Team Data'!C:AB,9,FALSE),"")</f>
        <v/>
      </c>
      <c r="L925" t="str">
        <f>IFERROR(VLOOKUP(D925,'Team Data'!C:AB,10,FALSE),"")</f>
        <v/>
      </c>
      <c r="M925" t="str">
        <f t="shared" si="30"/>
        <v/>
      </c>
      <c r="N925" t="str">
        <f>IFERROR(VLOOKUP(D925,'Team Data'!C:AB,23,FALSE),"")</f>
        <v/>
      </c>
      <c r="O925" t="str">
        <f>IFERROR(VLOOKUP(D925,'Team Data'!C:AB,22,FALSE),"")</f>
        <v/>
      </c>
      <c r="P925" t="str">
        <f t="shared" si="31"/>
        <v/>
      </c>
      <c r="Q925" t="str">
        <f>IFERROR(VLOOKUP(D925,'Team Data'!C:AB,15,FALSE),"")</f>
        <v/>
      </c>
      <c r="R925" t="str">
        <f>IFERROR(VLOOKUP('OB Format'!D925,'Team Data'!C:AB,24,FALSE),"")</f>
        <v/>
      </c>
      <c r="S925" t="str">
        <f>IFERROR(VLOOKUP('OB Format'!D925,'Team Data'!C:AC,25,FALSE),"")</f>
        <v/>
      </c>
    </row>
    <row r="926" spans="5:19" x14ac:dyDescent="0.25">
      <c r="E926" t="str">
        <f>IFERROR(VLOOKUP(D926,'Team Data'!C:AB,4,FALSE),"")</f>
        <v/>
      </c>
      <c r="F926" t="str">
        <f>IFERROR(VLOOKUP(D926,'Team Data'!C:AB,5,FALSE),"")</f>
        <v/>
      </c>
      <c r="G926" t="str">
        <f>IFERROR(VLOOKUP('OB Format'!D926,'Team Data'!C:AB,17,FALSE),"")</f>
        <v/>
      </c>
      <c r="H926" t="str">
        <f>IFERROR(VLOOKUP(D926,'Team Data'!C:AB,7,FALSE),"")</f>
        <v/>
      </c>
      <c r="I926" t="str">
        <f>IFERROR(VLOOKUP(D926,'Team Data'!C:AB,14,FALSE),"")</f>
        <v/>
      </c>
      <c r="J926" t="str">
        <f>IFERROR(VLOOKUP(D926,'Team Data'!C:AB,8,FALSE),"")</f>
        <v/>
      </c>
      <c r="K926" t="str">
        <f>IFERROR(VLOOKUP(D926,'Team Data'!C:AB,9,FALSE),"")</f>
        <v/>
      </c>
      <c r="L926" t="str">
        <f>IFERROR(VLOOKUP(D926,'Team Data'!C:AB,10,FALSE),"")</f>
        <v/>
      </c>
      <c r="M926" t="str">
        <f t="shared" si="30"/>
        <v/>
      </c>
      <c r="N926" t="str">
        <f>IFERROR(VLOOKUP(D926,'Team Data'!C:AB,23,FALSE),"")</f>
        <v/>
      </c>
      <c r="O926" t="str">
        <f>IFERROR(VLOOKUP(D926,'Team Data'!C:AB,22,FALSE),"")</f>
        <v/>
      </c>
      <c r="P926" t="str">
        <f t="shared" si="31"/>
        <v/>
      </c>
      <c r="Q926" t="str">
        <f>IFERROR(VLOOKUP(D926,'Team Data'!C:AB,15,FALSE),"")</f>
        <v/>
      </c>
      <c r="R926" t="str">
        <f>IFERROR(VLOOKUP('OB Format'!D926,'Team Data'!C:AB,24,FALSE),"")</f>
        <v/>
      </c>
      <c r="S926" t="str">
        <f>IFERROR(VLOOKUP('OB Format'!D926,'Team Data'!C:AC,25,FALSE),"")</f>
        <v/>
      </c>
    </row>
    <row r="927" spans="5:19" x14ac:dyDescent="0.25">
      <c r="E927" t="str">
        <f>IFERROR(VLOOKUP(D927,'Team Data'!C:AB,4,FALSE),"")</f>
        <v/>
      </c>
      <c r="F927" t="str">
        <f>IFERROR(VLOOKUP(D927,'Team Data'!C:AB,5,FALSE),"")</f>
        <v/>
      </c>
      <c r="G927" t="str">
        <f>IFERROR(VLOOKUP('OB Format'!D927,'Team Data'!C:AB,17,FALSE),"")</f>
        <v/>
      </c>
      <c r="H927" t="str">
        <f>IFERROR(VLOOKUP(D927,'Team Data'!C:AB,7,FALSE),"")</f>
        <v/>
      </c>
      <c r="I927" t="str">
        <f>IFERROR(VLOOKUP(D927,'Team Data'!C:AB,14,FALSE),"")</f>
        <v/>
      </c>
      <c r="J927" t="str">
        <f>IFERROR(VLOOKUP(D927,'Team Data'!C:AB,8,FALSE),"")</f>
        <v/>
      </c>
      <c r="K927" t="str">
        <f>IFERROR(VLOOKUP(D927,'Team Data'!C:AB,9,FALSE),"")</f>
        <v/>
      </c>
      <c r="L927" t="str">
        <f>IFERROR(VLOOKUP(D927,'Team Data'!C:AB,10,FALSE),"")</f>
        <v/>
      </c>
      <c r="M927" t="str">
        <f t="shared" si="30"/>
        <v/>
      </c>
      <c r="N927" t="str">
        <f>IFERROR(VLOOKUP(D927,'Team Data'!C:AB,23,FALSE),"")</f>
        <v/>
      </c>
      <c r="O927" t="str">
        <f>IFERROR(VLOOKUP(D927,'Team Data'!C:AB,22,FALSE),"")</f>
        <v/>
      </c>
      <c r="P927" t="str">
        <f t="shared" si="31"/>
        <v/>
      </c>
      <c r="Q927" t="str">
        <f>IFERROR(VLOOKUP(D927,'Team Data'!C:AB,15,FALSE),"")</f>
        <v/>
      </c>
      <c r="R927" t="str">
        <f>IFERROR(VLOOKUP('OB Format'!D927,'Team Data'!C:AB,24,FALSE),"")</f>
        <v/>
      </c>
      <c r="S927" t="str">
        <f>IFERROR(VLOOKUP('OB Format'!D927,'Team Data'!C:AC,25,FALSE),"")</f>
        <v/>
      </c>
    </row>
    <row r="928" spans="5:19" x14ac:dyDescent="0.25">
      <c r="E928" t="str">
        <f>IFERROR(VLOOKUP(D928,'Team Data'!C:AB,4,FALSE),"")</f>
        <v/>
      </c>
      <c r="F928" t="str">
        <f>IFERROR(VLOOKUP(D928,'Team Data'!C:AB,5,FALSE),"")</f>
        <v/>
      </c>
      <c r="G928" t="str">
        <f>IFERROR(VLOOKUP('OB Format'!D928,'Team Data'!C:AB,17,FALSE),"")</f>
        <v/>
      </c>
      <c r="H928" t="str">
        <f>IFERROR(VLOOKUP(D928,'Team Data'!C:AB,7,FALSE),"")</f>
        <v/>
      </c>
      <c r="I928" t="str">
        <f>IFERROR(VLOOKUP(D928,'Team Data'!C:AB,14,FALSE),"")</f>
        <v/>
      </c>
      <c r="J928" t="str">
        <f>IFERROR(VLOOKUP(D928,'Team Data'!C:AB,8,FALSE),"")</f>
        <v/>
      </c>
      <c r="K928" t="str">
        <f>IFERROR(VLOOKUP(D928,'Team Data'!C:AB,9,FALSE),"")</f>
        <v/>
      </c>
      <c r="L928" t="str">
        <f>IFERROR(VLOOKUP(D928,'Team Data'!C:AB,10,FALSE),"")</f>
        <v/>
      </c>
      <c r="M928" t="str">
        <f t="shared" si="30"/>
        <v/>
      </c>
      <c r="N928" t="str">
        <f>IFERROR(VLOOKUP(D928,'Team Data'!C:AB,23,FALSE),"")</f>
        <v/>
      </c>
      <c r="O928" t="str">
        <f>IFERROR(VLOOKUP(D928,'Team Data'!C:AB,22,FALSE),"")</f>
        <v/>
      </c>
      <c r="P928" t="str">
        <f t="shared" si="31"/>
        <v/>
      </c>
      <c r="Q928" t="str">
        <f>IFERROR(VLOOKUP(D928,'Team Data'!C:AB,15,FALSE),"")</f>
        <v/>
      </c>
      <c r="R928" t="str">
        <f>IFERROR(VLOOKUP('OB Format'!D928,'Team Data'!C:AB,24,FALSE),"")</f>
        <v/>
      </c>
      <c r="S928" t="str">
        <f>IFERROR(VLOOKUP('OB Format'!D928,'Team Data'!C:AC,25,FALSE),"")</f>
        <v/>
      </c>
    </row>
    <row r="929" spans="5:19" x14ac:dyDescent="0.25">
      <c r="E929" t="str">
        <f>IFERROR(VLOOKUP(D929,'Team Data'!C:AB,4,FALSE),"")</f>
        <v/>
      </c>
      <c r="F929" t="str">
        <f>IFERROR(VLOOKUP(D929,'Team Data'!C:AB,5,FALSE),"")</f>
        <v/>
      </c>
      <c r="G929" t="str">
        <f>IFERROR(VLOOKUP('OB Format'!D929,'Team Data'!C:AB,17,FALSE),"")</f>
        <v/>
      </c>
      <c r="H929" t="str">
        <f>IFERROR(VLOOKUP(D929,'Team Data'!C:AB,7,FALSE),"")</f>
        <v/>
      </c>
      <c r="I929" t="str">
        <f>IFERROR(VLOOKUP(D929,'Team Data'!C:AB,14,FALSE),"")</f>
        <v/>
      </c>
      <c r="J929" t="str">
        <f>IFERROR(VLOOKUP(D929,'Team Data'!C:AB,8,FALSE),"")</f>
        <v/>
      </c>
      <c r="K929" t="str">
        <f>IFERROR(VLOOKUP(D929,'Team Data'!C:AB,9,FALSE),"")</f>
        <v/>
      </c>
      <c r="L929" t="str">
        <f>IFERROR(VLOOKUP(D929,'Team Data'!C:AB,10,FALSE),"")</f>
        <v/>
      </c>
      <c r="M929" t="str">
        <f t="shared" si="30"/>
        <v/>
      </c>
      <c r="N929" t="str">
        <f>IFERROR(VLOOKUP(D929,'Team Data'!C:AB,23,FALSE),"")</f>
        <v/>
      </c>
      <c r="O929" t="str">
        <f>IFERROR(VLOOKUP(D929,'Team Data'!C:AB,22,FALSE),"")</f>
        <v/>
      </c>
      <c r="P929" t="str">
        <f t="shared" si="31"/>
        <v/>
      </c>
      <c r="Q929" t="str">
        <f>IFERROR(VLOOKUP(D929,'Team Data'!C:AB,15,FALSE),"")</f>
        <v/>
      </c>
      <c r="R929" t="str">
        <f>IFERROR(VLOOKUP('OB Format'!D929,'Team Data'!C:AB,24,FALSE),"")</f>
        <v/>
      </c>
      <c r="S929" t="str">
        <f>IFERROR(VLOOKUP('OB Format'!D929,'Team Data'!C:AC,25,FALSE),"")</f>
        <v/>
      </c>
    </row>
    <row r="930" spans="5:19" x14ac:dyDescent="0.25">
      <c r="E930" t="str">
        <f>IFERROR(VLOOKUP(D930,'Team Data'!C:AB,4,FALSE),"")</f>
        <v/>
      </c>
      <c r="F930" t="str">
        <f>IFERROR(VLOOKUP(D930,'Team Data'!C:AB,5,FALSE),"")</f>
        <v/>
      </c>
      <c r="G930" t="str">
        <f>IFERROR(VLOOKUP('OB Format'!D930,'Team Data'!C:AB,17,FALSE),"")</f>
        <v/>
      </c>
      <c r="H930" t="str">
        <f>IFERROR(VLOOKUP(D930,'Team Data'!C:AB,7,FALSE),"")</f>
        <v/>
      </c>
      <c r="I930" t="str">
        <f>IFERROR(VLOOKUP(D930,'Team Data'!C:AB,14,FALSE),"")</f>
        <v/>
      </c>
      <c r="J930" t="str">
        <f>IFERROR(VLOOKUP(D930,'Team Data'!C:AB,8,FALSE),"")</f>
        <v/>
      </c>
      <c r="K930" t="str">
        <f>IFERROR(VLOOKUP(D930,'Team Data'!C:AB,9,FALSE),"")</f>
        <v/>
      </c>
      <c r="L930" t="str">
        <f>IFERROR(VLOOKUP(D930,'Team Data'!C:AB,10,FALSE),"")</f>
        <v/>
      </c>
      <c r="M930" t="str">
        <f t="shared" si="30"/>
        <v/>
      </c>
      <c r="N930" t="str">
        <f>IFERROR(VLOOKUP(D930,'Team Data'!C:AB,23,FALSE),"")</f>
        <v/>
      </c>
      <c r="O930" t="str">
        <f>IFERROR(VLOOKUP(D930,'Team Data'!C:AB,22,FALSE),"")</f>
        <v/>
      </c>
      <c r="P930" t="str">
        <f t="shared" si="31"/>
        <v/>
      </c>
      <c r="Q930" t="str">
        <f>IFERROR(VLOOKUP(D930,'Team Data'!C:AB,15,FALSE),"")</f>
        <v/>
      </c>
      <c r="R930" t="str">
        <f>IFERROR(VLOOKUP('OB Format'!D930,'Team Data'!C:AB,24,FALSE),"")</f>
        <v/>
      </c>
      <c r="S930" t="str">
        <f>IFERROR(VLOOKUP('OB Format'!D930,'Team Data'!C:AC,25,FALSE),"")</f>
        <v/>
      </c>
    </row>
    <row r="931" spans="5:19" x14ac:dyDescent="0.25">
      <c r="E931" t="str">
        <f>IFERROR(VLOOKUP(D931,'Team Data'!C:AB,4,FALSE),"")</f>
        <v/>
      </c>
      <c r="F931" t="str">
        <f>IFERROR(VLOOKUP(D931,'Team Data'!C:AB,5,FALSE),"")</f>
        <v/>
      </c>
      <c r="G931" t="str">
        <f>IFERROR(VLOOKUP('OB Format'!D931,'Team Data'!C:AB,17,FALSE),"")</f>
        <v/>
      </c>
      <c r="H931" t="str">
        <f>IFERROR(VLOOKUP(D931,'Team Data'!C:AB,7,FALSE),"")</f>
        <v/>
      </c>
      <c r="I931" t="str">
        <f>IFERROR(VLOOKUP(D931,'Team Data'!C:AB,14,FALSE),"")</f>
        <v/>
      </c>
      <c r="J931" t="str">
        <f>IFERROR(VLOOKUP(D931,'Team Data'!C:AB,8,FALSE),"")</f>
        <v/>
      </c>
      <c r="K931" t="str">
        <f>IFERROR(VLOOKUP(D931,'Team Data'!C:AB,9,FALSE),"")</f>
        <v/>
      </c>
      <c r="L931" t="str">
        <f>IFERROR(VLOOKUP(D931,'Team Data'!C:AB,10,FALSE),"")</f>
        <v/>
      </c>
      <c r="M931" t="str">
        <f t="shared" si="30"/>
        <v/>
      </c>
      <c r="N931" t="str">
        <f>IFERROR(VLOOKUP(D931,'Team Data'!C:AB,23,FALSE),"")</f>
        <v/>
      </c>
      <c r="O931" t="str">
        <f>IFERROR(VLOOKUP(D931,'Team Data'!C:AB,22,FALSE),"")</f>
        <v/>
      </c>
      <c r="P931" t="str">
        <f t="shared" si="31"/>
        <v/>
      </c>
      <c r="Q931" t="str">
        <f>IFERROR(VLOOKUP(D931,'Team Data'!C:AB,15,FALSE),"")</f>
        <v/>
      </c>
      <c r="R931" t="str">
        <f>IFERROR(VLOOKUP('OB Format'!D931,'Team Data'!C:AB,24,FALSE),"")</f>
        <v/>
      </c>
      <c r="S931" t="str">
        <f>IFERROR(VLOOKUP('OB Format'!D931,'Team Data'!C:AC,25,FALSE),"")</f>
        <v/>
      </c>
    </row>
    <row r="932" spans="5:19" x14ac:dyDescent="0.25">
      <c r="E932" t="str">
        <f>IFERROR(VLOOKUP(D932,'Team Data'!C:AB,4,FALSE),"")</f>
        <v/>
      </c>
      <c r="F932" t="str">
        <f>IFERROR(VLOOKUP(D932,'Team Data'!C:AB,5,FALSE),"")</f>
        <v/>
      </c>
      <c r="G932" t="str">
        <f>IFERROR(VLOOKUP('OB Format'!D932,'Team Data'!C:AB,17,FALSE),"")</f>
        <v/>
      </c>
      <c r="H932" t="str">
        <f>IFERROR(VLOOKUP(D932,'Team Data'!C:AB,7,FALSE),"")</f>
        <v/>
      </c>
      <c r="I932" t="str">
        <f>IFERROR(VLOOKUP(D932,'Team Data'!C:AB,14,FALSE),"")</f>
        <v/>
      </c>
      <c r="J932" t="str">
        <f>IFERROR(VLOOKUP(D932,'Team Data'!C:AB,8,FALSE),"")</f>
        <v/>
      </c>
      <c r="K932" t="str">
        <f>IFERROR(VLOOKUP(D932,'Team Data'!C:AB,9,FALSE),"")</f>
        <v/>
      </c>
      <c r="L932" t="str">
        <f>IFERROR(VLOOKUP(D932,'Team Data'!C:AB,10,FALSE),"")</f>
        <v/>
      </c>
      <c r="M932" t="str">
        <f t="shared" si="30"/>
        <v/>
      </c>
      <c r="N932" t="str">
        <f>IFERROR(VLOOKUP(D932,'Team Data'!C:AB,23,FALSE),"")</f>
        <v/>
      </c>
      <c r="O932" t="str">
        <f>IFERROR(VLOOKUP(D932,'Team Data'!C:AB,22,FALSE),"")</f>
        <v/>
      </c>
      <c r="P932" t="str">
        <f t="shared" si="31"/>
        <v/>
      </c>
      <c r="Q932" t="str">
        <f>IFERROR(VLOOKUP(D932,'Team Data'!C:AB,15,FALSE),"")</f>
        <v/>
      </c>
      <c r="R932" t="str">
        <f>IFERROR(VLOOKUP('OB Format'!D932,'Team Data'!C:AB,24,FALSE),"")</f>
        <v/>
      </c>
      <c r="S932" t="str">
        <f>IFERROR(VLOOKUP('OB Format'!D932,'Team Data'!C:AC,25,FALSE),"")</f>
        <v/>
      </c>
    </row>
    <row r="933" spans="5:19" x14ac:dyDescent="0.25">
      <c r="E933" t="str">
        <f>IFERROR(VLOOKUP(D933,'Team Data'!C:AB,4,FALSE),"")</f>
        <v/>
      </c>
      <c r="F933" t="str">
        <f>IFERROR(VLOOKUP(D933,'Team Data'!C:AB,5,FALSE),"")</f>
        <v/>
      </c>
      <c r="G933" t="str">
        <f>IFERROR(VLOOKUP('OB Format'!D933,'Team Data'!C:AB,17,FALSE),"")</f>
        <v/>
      </c>
      <c r="H933" t="str">
        <f>IFERROR(VLOOKUP(D933,'Team Data'!C:AB,7,FALSE),"")</f>
        <v/>
      </c>
      <c r="I933" t="str">
        <f>IFERROR(VLOOKUP(D933,'Team Data'!C:AB,14,FALSE),"")</f>
        <v/>
      </c>
      <c r="J933" t="str">
        <f>IFERROR(VLOOKUP(D933,'Team Data'!C:AB,8,FALSE),"")</f>
        <v/>
      </c>
      <c r="K933" t="str">
        <f>IFERROR(VLOOKUP(D933,'Team Data'!C:AB,9,FALSE),"")</f>
        <v/>
      </c>
      <c r="L933" t="str">
        <f>IFERROR(VLOOKUP(D933,'Team Data'!C:AB,10,FALSE),"")</f>
        <v/>
      </c>
      <c r="M933" t="str">
        <f t="shared" si="30"/>
        <v/>
      </c>
      <c r="N933" t="str">
        <f>IFERROR(VLOOKUP(D933,'Team Data'!C:AB,23,FALSE),"")</f>
        <v/>
      </c>
      <c r="O933" t="str">
        <f>IFERROR(VLOOKUP(D933,'Team Data'!C:AB,22,FALSE),"")</f>
        <v/>
      </c>
      <c r="P933" t="str">
        <f t="shared" si="31"/>
        <v/>
      </c>
      <c r="Q933" t="str">
        <f>IFERROR(VLOOKUP(D933,'Team Data'!C:AB,15,FALSE),"")</f>
        <v/>
      </c>
      <c r="R933" t="str">
        <f>IFERROR(VLOOKUP('OB Format'!D933,'Team Data'!C:AB,24,FALSE),"")</f>
        <v/>
      </c>
      <c r="S933" t="str">
        <f>IFERROR(VLOOKUP('OB Format'!D933,'Team Data'!C:AC,25,FALSE),"")</f>
        <v/>
      </c>
    </row>
    <row r="934" spans="5:19" x14ac:dyDescent="0.25">
      <c r="E934" t="str">
        <f>IFERROR(VLOOKUP(D934,'Team Data'!C:AB,4,FALSE),"")</f>
        <v/>
      </c>
      <c r="F934" t="str">
        <f>IFERROR(VLOOKUP(D934,'Team Data'!C:AB,5,FALSE),"")</f>
        <v/>
      </c>
      <c r="G934" t="str">
        <f>IFERROR(VLOOKUP('OB Format'!D934,'Team Data'!C:AB,17,FALSE),"")</f>
        <v/>
      </c>
      <c r="H934" t="str">
        <f>IFERROR(VLOOKUP(D934,'Team Data'!C:AB,7,FALSE),"")</f>
        <v/>
      </c>
      <c r="I934" t="str">
        <f>IFERROR(VLOOKUP(D934,'Team Data'!C:AB,14,FALSE),"")</f>
        <v/>
      </c>
      <c r="J934" t="str">
        <f>IFERROR(VLOOKUP(D934,'Team Data'!C:AB,8,FALSE),"")</f>
        <v/>
      </c>
      <c r="K934" t="str">
        <f>IFERROR(VLOOKUP(D934,'Team Data'!C:AB,9,FALSE),"")</f>
        <v/>
      </c>
      <c r="L934" t="str">
        <f>IFERROR(VLOOKUP(D934,'Team Data'!C:AB,10,FALSE),"")</f>
        <v/>
      </c>
      <c r="M934" t="str">
        <f t="shared" si="30"/>
        <v/>
      </c>
      <c r="N934" t="str">
        <f>IFERROR(VLOOKUP(D934,'Team Data'!C:AB,23,FALSE),"")</f>
        <v/>
      </c>
      <c r="O934" t="str">
        <f>IFERROR(VLOOKUP(D934,'Team Data'!C:AB,22,FALSE),"")</f>
        <v/>
      </c>
      <c r="P934" t="str">
        <f t="shared" si="31"/>
        <v/>
      </c>
      <c r="Q934" t="str">
        <f>IFERROR(VLOOKUP(D934,'Team Data'!C:AB,15,FALSE),"")</f>
        <v/>
      </c>
      <c r="R934" t="str">
        <f>IFERROR(VLOOKUP('OB Format'!D934,'Team Data'!C:AB,24,FALSE),"")</f>
        <v/>
      </c>
      <c r="S934" t="str">
        <f>IFERROR(VLOOKUP('OB Format'!D934,'Team Data'!C:AC,25,FALSE),"")</f>
        <v/>
      </c>
    </row>
    <row r="935" spans="5:19" x14ac:dyDescent="0.25">
      <c r="E935" t="str">
        <f>IFERROR(VLOOKUP(D935,'Team Data'!C:AB,4,FALSE),"")</f>
        <v/>
      </c>
      <c r="F935" t="str">
        <f>IFERROR(VLOOKUP(D935,'Team Data'!C:AB,5,FALSE),"")</f>
        <v/>
      </c>
      <c r="G935" t="str">
        <f>IFERROR(VLOOKUP('OB Format'!D935,'Team Data'!C:AB,17,FALSE),"")</f>
        <v/>
      </c>
      <c r="H935" t="str">
        <f>IFERROR(VLOOKUP(D935,'Team Data'!C:AB,7,FALSE),"")</f>
        <v/>
      </c>
      <c r="I935" t="str">
        <f>IFERROR(VLOOKUP(D935,'Team Data'!C:AB,14,FALSE),"")</f>
        <v/>
      </c>
      <c r="J935" t="str">
        <f>IFERROR(VLOOKUP(D935,'Team Data'!C:AB,8,FALSE),"")</f>
        <v/>
      </c>
      <c r="K935" t="str">
        <f>IFERROR(VLOOKUP(D935,'Team Data'!C:AB,9,FALSE),"")</f>
        <v/>
      </c>
      <c r="L935" t="str">
        <f>IFERROR(VLOOKUP(D935,'Team Data'!C:AB,10,FALSE),"")</f>
        <v/>
      </c>
      <c r="M935" t="str">
        <f t="shared" si="30"/>
        <v/>
      </c>
      <c r="N935" t="str">
        <f>IFERROR(VLOOKUP(D935,'Team Data'!C:AB,23,FALSE),"")</f>
        <v/>
      </c>
      <c r="O935" t="str">
        <f>IFERROR(VLOOKUP(D935,'Team Data'!C:AB,22,FALSE),"")</f>
        <v/>
      </c>
      <c r="P935" t="str">
        <f t="shared" si="31"/>
        <v/>
      </c>
      <c r="Q935" t="str">
        <f>IFERROR(VLOOKUP(D935,'Team Data'!C:AB,15,FALSE),"")</f>
        <v/>
      </c>
      <c r="R935" t="str">
        <f>IFERROR(VLOOKUP('OB Format'!D935,'Team Data'!C:AB,24,FALSE),"")</f>
        <v/>
      </c>
      <c r="S935" t="str">
        <f>IFERROR(VLOOKUP('OB Format'!D935,'Team Data'!C:AC,25,FALSE),"")</f>
        <v/>
      </c>
    </row>
    <row r="936" spans="5:19" x14ac:dyDescent="0.25">
      <c r="E936" t="str">
        <f>IFERROR(VLOOKUP(D936,'Team Data'!C:AB,4,FALSE),"")</f>
        <v/>
      </c>
      <c r="F936" t="str">
        <f>IFERROR(VLOOKUP(D936,'Team Data'!C:AB,5,FALSE),"")</f>
        <v/>
      </c>
      <c r="G936" t="str">
        <f>IFERROR(VLOOKUP('OB Format'!D936,'Team Data'!C:AB,17,FALSE),"")</f>
        <v/>
      </c>
      <c r="H936" t="str">
        <f>IFERROR(VLOOKUP(D936,'Team Data'!C:AB,7,FALSE),"")</f>
        <v/>
      </c>
      <c r="I936" t="str">
        <f>IFERROR(VLOOKUP(D936,'Team Data'!C:AB,14,FALSE),"")</f>
        <v/>
      </c>
      <c r="J936" t="str">
        <f>IFERROR(VLOOKUP(D936,'Team Data'!C:AB,8,FALSE),"")</f>
        <v/>
      </c>
      <c r="K936" t="str">
        <f>IFERROR(VLOOKUP(D936,'Team Data'!C:AB,9,FALSE),"")</f>
        <v/>
      </c>
      <c r="L936" t="str">
        <f>IFERROR(VLOOKUP(D936,'Team Data'!C:AB,10,FALSE),"")</f>
        <v/>
      </c>
      <c r="M936" t="str">
        <f t="shared" si="30"/>
        <v/>
      </c>
      <c r="N936" t="str">
        <f>IFERROR(VLOOKUP(D936,'Team Data'!C:AB,23,FALSE),"")</f>
        <v/>
      </c>
      <c r="O936" t="str">
        <f>IFERROR(VLOOKUP(D936,'Team Data'!C:AB,22,FALSE),"")</f>
        <v/>
      </c>
      <c r="P936" t="str">
        <f t="shared" si="31"/>
        <v/>
      </c>
      <c r="Q936" t="str">
        <f>IFERROR(VLOOKUP(D936,'Team Data'!C:AB,15,FALSE),"")</f>
        <v/>
      </c>
      <c r="R936" t="str">
        <f>IFERROR(VLOOKUP('OB Format'!D936,'Team Data'!C:AB,24,FALSE),"")</f>
        <v/>
      </c>
      <c r="S936" t="str">
        <f>IFERROR(VLOOKUP('OB Format'!D936,'Team Data'!C:AC,25,FALSE),"")</f>
        <v/>
      </c>
    </row>
    <row r="937" spans="5:19" x14ac:dyDescent="0.25">
      <c r="E937" t="str">
        <f>IFERROR(VLOOKUP(D937,'Team Data'!C:AB,4,FALSE),"")</f>
        <v/>
      </c>
      <c r="F937" t="str">
        <f>IFERROR(VLOOKUP(D937,'Team Data'!C:AB,5,FALSE),"")</f>
        <v/>
      </c>
      <c r="G937" t="str">
        <f>IFERROR(VLOOKUP('OB Format'!D937,'Team Data'!C:AB,17,FALSE),"")</f>
        <v/>
      </c>
      <c r="H937" t="str">
        <f>IFERROR(VLOOKUP(D937,'Team Data'!C:AB,7,FALSE),"")</f>
        <v/>
      </c>
      <c r="I937" t="str">
        <f>IFERROR(VLOOKUP(D937,'Team Data'!C:AB,14,FALSE),"")</f>
        <v/>
      </c>
      <c r="J937" t="str">
        <f>IFERROR(VLOOKUP(D937,'Team Data'!C:AB,8,FALSE),"")</f>
        <v/>
      </c>
      <c r="K937" t="str">
        <f>IFERROR(VLOOKUP(D937,'Team Data'!C:AB,9,FALSE),"")</f>
        <v/>
      </c>
      <c r="L937" t="str">
        <f>IFERROR(VLOOKUP(D937,'Team Data'!C:AB,10,FALSE),"")</f>
        <v/>
      </c>
      <c r="M937" t="str">
        <f t="shared" si="30"/>
        <v/>
      </c>
      <c r="N937" t="str">
        <f>IFERROR(VLOOKUP(D937,'Team Data'!C:AB,23,FALSE),"")</f>
        <v/>
      </c>
      <c r="O937" t="str">
        <f>IFERROR(VLOOKUP(D937,'Team Data'!C:AB,22,FALSE),"")</f>
        <v/>
      </c>
      <c r="P937" t="str">
        <f t="shared" si="31"/>
        <v/>
      </c>
      <c r="Q937" t="str">
        <f>IFERROR(VLOOKUP(D937,'Team Data'!C:AB,15,FALSE),"")</f>
        <v/>
      </c>
      <c r="R937" t="str">
        <f>IFERROR(VLOOKUP('OB Format'!D937,'Team Data'!C:AB,24,FALSE),"")</f>
        <v/>
      </c>
      <c r="S937" t="str">
        <f>IFERROR(VLOOKUP('OB Format'!D937,'Team Data'!C:AC,25,FALSE),"")</f>
        <v/>
      </c>
    </row>
    <row r="938" spans="5:19" x14ac:dyDescent="0.25">
      <c r="E938" t="str">
        <f>IFERROR(VLOOKUP(D938,'Team Data'!C:AB,4,FALSE),"")</f>
        <v/>
      </c>
      <c r="F938" t="str">
        <f>IFERROR(VLOOKUP(D938,'Team Data'!C:AB,5,FALSE),"")</f>
        <v/>
      </c>
      <c r="G938" t="str">
        <f>IFERROR(VLOOKUP('OB Format'!D938,'Team Data'!C:AB,17,FALSE),"")</f>
        <v/>
      </c>
      <c r="H938" t="str">
        <f>IFERROR(VLOOKUP(D938,'Team Data'!C:AB,7,FALSE),"")</f>
        <v/>
      </c>
      <c r="I938" t="str">
        <f>IFERROR(VLOOKUP(D938,'Team Data'!C:AB,14,FALSE),"")</f>
        <v/>
      </c>
      <c r="J938" t="str">
        <f>IFERROR(VLOOKUP(D938,'Team Data'!C:AB,8,FALSE),"")</f>
        <v/>
      </c>
      <c r="K938" t="str">
        <f>IFERROR(VLOOKUP(D938,'Team Data'!C:AB,9,FALSE),"")</f>
        <v/>
      </c>
      <c r="L938" t="str">
        <f>IFERROR(VLOOKUP(D938,'Team Data'!C:AB,10,FALSE),"")</f>
        <v/>
      </c>
      <c r="M938" t="str">
        <f t="shared" si="30"/>
        <v/>
      </c>
      <c r="N938" t="str">
        <f>IFERROR(VLOOKUP(D938,'Team Data'!C:AB,23,FALSE),"")</f>
        <v/>
      </c>
      <c r="O938" t="str">
        <f>IFERROR(VLOOKUP(D938,'Team Data'!C:AB,22,FALSE),"")</f>
        <v/>
      </c>
      <c r="P938" t="str">
        <f t="shared" si="31"/>
        <v/>
      </c>
      <c r="Q938" t="str">
        <f>IFERROR(VLOOKUP(D938,'Team Data'!C:AB,15,FALSE),"")</f>
        <v/>
      </c>
      <c r="R938" t="str">
        <f>IFERROR(VLOOKUP('OB Format'!D938,'Team Data'!C:AB,24,FALSE),"")</f>
        <v/>
      </c>
      <c r="S938" t="str">
        <f>IFERROR(VLOOKUP('OB Format'!D938,'Team Data'!C:AC,25,FALSE),"")</f>
        <v/>
      </c>
    </row>
    <row r="939" spans="5:19" x14ac:dyDescent="0.25">
      <c r="E939" t="str">
        <f>IFERROR(VLOOKUP(D939,'Team Data'!C:AB,4,FALSE),"")</f>
        <v/>
      </c>
      <c r="F939" t="str">
        <f>IFERROR(VLOOKUP(D939,'Team Data'!C:AB,5,FALSE),"")</f>
        <v/>
      </c>
      <c r="G939" t="str">
        <f>IFERROR(VLOOKUP('OB Format'!D939,'Team Data'!C:AB,17,FALSE),"")</f>
        <v/>
      </c>
      <c r="H939" t="str">
        <f>IFERROR(VLOOKUP(D939,'Team Data'!C:AB,7,FALSE),"")</f>
        <v/>
      </c>
      <c r="I939" t="str">
        <f>IFERROR(VLOOKUP(D939,'Team Data'!C:AB,14,FALSE),"")</f>
        <v/>
      </c>
      <c r="J939" t="str">
        <f>IFERROR(VLOOKUP(D939,'Team Data'!C:AB,8,FALSE),"")</f>
        <v/>
      </c>
      <c r="K939" t="str">
        <f>IFERROR(VLOOKUP(D939,'Team Data'!C:AB,9,FALSE),"")</f>
        <v/>
      </c>
      <c r="L939" t="str">
        <f>IFERROR(VLOOKUP(D939,'Team Data'!C:AB,10,FALSE),"")</f>
        <v/>
      </c>
      <c r="M939" t="str">
        <f t="shared" si="30"/>
        <v/>
      </c>
      <c r="N939" t="str">
        <f>IFERROR(VLOOKUP(D939,'Team Data'!C:AB,23,FALSE),"")</f>
        <v/>
      </c>
      <c r="O939" t="str">
        <f>IFERROR(VLOOKUP(D939,'Team Data'!C:AB,22,FALSE),"")</f>
        <v/>
      </c>
      <c r="P939" t="str">
        <f t="shared" si="31"/>
        <v/>
      </c>
      <c r="Q939" t="str">
        <f>IFERROR(VLOOKUP(D939,'Team Data'!C:AB,15,FALSE),"")</f>
        <v/>
      </c>
      <c r="R939" t="str">
        <f>IFERROR(VLOOKUP('OB Format'!D939,'Team Data'!C:AB,24,FALSE),"")</f>
        <v/>
      </c>
      <c r="S939" t="str">
        <f>IFERROR(VLOOKUP('OB Format'!D939,'Team Data'!C:AC,25,FALSE),"")</f>
        <v/>
      </c>
    </row>
    <row r="940" spans="5:19" x14ac:dyDescent="0.25">
      <c r="E940" t="str">
        <f>IFERROR(VLOOKUP(D940,'Team Data'!C:AB,4,FALSE),"")</f>
        <v/>
      </c>
      <c r="F940" t="str">
        <f>IFERROR(VLOOKUP(D940,'Team Data'!C:AB,5,FALSE),"")</f>
        <v/>
      </c>
      <c r="G940" t="str">
        <f>IFERROR(VLOOKUP('OB Format'!D940,'Team Data'!C:AB,17,FALSE),"")</f>
        <v/>
      </c>
      <c r="H940" t="str">
        <f>IFERROR(VLOOKUP(D940,'Team Data'!C:AB,7,FALSE),"")</f>
        <v/>
      </c>
      <c r="I940" t="str">
        <f>IFERROR(VLOOKUP(D940,'Team Data'!C:AB,14,FALSE),"")</f>
        <v/>
      </c>
      <c r="J940" t="str">
        <f>IFERROR(VLOOKUP(D940,'Team Data'!C:AB,8,FALSE),"")</f>
        <v/>
      </c>
      <c r="K940" t="str">
        <f>IFERROR(VLOOKUP(D940,'Team Data'!C:AB,9,FALSE),"")</f>
        <v/>
      </c>
      <c r="L940" t="str">
        <f>IFERROR(VLOOKUP(D940,'Team Data'!C:AB,10,FALSE),"")</f>
        <v/>
      </c>
      <c r="M940" t="str">
        <f t="shared" si="30"/>
        <v/>
      </c>
      <c r="N940" t="str">
        <f>IFERROR(VLOOKUP(D940,'Team Data'!C:AB,23,FALSE),"")</f>
        <v/>
      </c>
      <c r="O940" t="str">
        <f>IFERROR(VLOOKUP(D940,'Team Data'!C:AB,22,FALSE),"")</f>
        <v/>
      </c>
      <c r="P940" t="str">
        <f t="shared" si="31"/>
        <v/>
      </c>
      <c r="Q940" t="str">
        <f>IFERROR(VLOOKUP(D940,'Team Data'!C:AB,15,FALSE),"")</f>
        <v/>
      </c>
      <c r="R940" t="str">
        <f>IFERROR(VLOOKUP('OB Format'!D940,'Team Data'!C:AB,24,FALSE),"")</f>
        <v/>
      </c>
      <c r="S940" t="str">
        <f>IFERROR(VLOOKUP('OB Format'!D940,'Team Data'!C:AC,25,FALSE),"")</f>
        <v/>
      </c>
    </row>
    <row r="941" spans="5:19" x14ac:dyDescent="0.25">
      <c r="E941" t="str">
        <f>IFERROR(VLOOKUP(D941,'Team Data'!C:AB,4,FALSE),"")</f>
        <v/>
      </c>
      <c r="F941" t="str">
        <f>IFERROR(VLOOKUP(D941,'Team Data'!C:AB,5,FALSE),"")</f>
        <v/>
      </c>
      <c r="G941" t="str">
        <f>IFERROR(VLOOKUP('OB Format'!D941,'Team Data'!C:AB,17,FALSE),"")</f>
        <v/>
      </c>
      <c r="H941" t="str">
        <f>IFERROR(VLOOKUP(D941,'Team Data'!C:AB,7,FALSE),"")</f>
        <v/>
      </c>
      <c r="I941" t="str">
        <f>IFERROR(VLOOKUP(D941,'Team Data'!C:AB,14,FALSE),"")</f>
        <v/>
      </c>
      <c r="J941" t="str">
        <f>IFERROR(VLOOKUP(D941,'Team Data'!C:AB,8,FALSE),"")</f>
        <v/>
      </c>
      <c r="K941" t="str">
        <f>IFERROR(VLOOKUP(D941,'Team Data'!C:AB,9,FALSE),"")</f>
        <v/>
      </c>
      <c r="L941" t="str">
        <f>IFERROR(VLOOKUP(D941,'Team Data'!C:AB,10,FALSE),"")</f>
        <v/>
      </c>
      <c r="M941" t="str">
        <f t="shared" si="30"/>
        <v/>
      </c>
      <c r="N941" t="str">
        <f>IFERROR(VLOOKUP(D941,'Team Data'!C:AB,23,FALSE),"")</f>
        <v/>
      </c>
      <c r="O941" t="str">
        <f>IFERROR(VLOOKUP(D941,'Team Data'!C:AB,22,FALSE),"")</f>
        <v/>
      </c>
      <c r="P941" t="str">
        <f t="shared" si="31"/>
        <v/>
      </c>
      <c r="Q941" t="str">
        <f>IFERROR(VLOOKUP(D941,'Team Data'!C:AB,15,FALSE),"")</f>
        <v/>
      </c>
      <c r="R941" t="str">
        <f>IFERROR(VLOOKUP('OB Format'!D941,'Team Data'!C:AB,24,FALSE),"")</f>
        <v/>
      </c>
      <c r="S941" t="str">
        <f>IFERROR(VLOOKUP('OB Format'!D941,'Team Data'!C:AC,25,FALSE),"")</f>
        <v/>
      </c>
    </row>
    <row r="942" spans="5:19" x14ac:dyDescent="0.25">
      <c r="E942" t="str">
        <f>IFERROR(VLOOKUP(D942,'Team Data'!C:AB,4,FALSE),"")</f>
        <v/>
      </c>
      <c r="F942" t="str">
        <f>IFERROR(VLOOKUP(D942,'Team Data'!C:AB,5,FALSE),"")</f>
        <v/>
      </c>
      <c r="G942" t="str">
        <f>IFERROR(VLOOKUP('OB Format'!D942,'Team Data'!C:AB,17,FALSE),"")</f>
        <v/>
      </c>
      <c r="H942" t="str">
        <f>IFERROR(VLOOKUP(D942,'Team Data'!C:AB,7,FALSE),"")</f>
        <v/>
      </c>
      <c r="I942" t="str">
        <f>IFERROR(VLOOKUP(D942,'Team Data'!C:AB,14,FALSE),"")</f>
        <v/>
      </c>
      <c r="J942" t="str">
        <f>IFERROR(VLOOKUP(D942,'Team Data'!C:AB,8,FALSE),"")</f>
        <v/>
      </c>
      <c r="K942" t="str">
        <f>IFERROR(VLOOKUP(D942,'Team Data'!C:AB,9,FALSE),"")</f>
        <v/>
      </c>
      <c r="L942" t="str">
        <f>IFERROR(VLOOKUP(D942,'Team Data'!C:AB,10,FALSE),"")</f>
        <v/>
      </c>
      <c r="M942" t="str">
        <f t="shared" si="30"/>
        <v/>
      </c>
      <c r="N942" t="str">
        <f>IFERROR(VLOOKUP(D942,'Team Data'!C:AB,23,FALSE),"")</f>
        <v/>
      </c>
      <c r="O942" t="str">
        <f>IFERROR(VLOOKUP(D942,'Team Data'!C:AB,22,FALSE),"")</f>
        <v/>
      </c>
      <c r="P942" t="str">
        <f t="shared" si="31"/>
        <v/>
      </c>
      <c r="Q942" t="str">
        <f>IFERROR(VLOOKUP(D942,'Team Data'!C:AB,15,FALSE),"")</f>
        <v/>
      </c>
      <c r="R942" t="str">
        <f>IFERROR(VLOOKUP('OB Format'!D942,'Team Data'!C:AB,24,FALSE),"")</f>
        <v/>
      </c>
      <c r="S942" t="str">
        <f>IFERROR(VLOOKUP('OB Format'!D942,'Team Data'!C:AC,25,FALSE),"")</f>
        <v/>
      </c>
    </row>
    <row r="943" spans="5:19" x14ac:dyDescent="0.25">
      <c r="E943" t="str">
        <f>IFERROR(VLOOKUP(D943,'Team Data'!C:AB,4,FALSE),"")</f>
        <v/>
      </c>
      <c r="F943" t="str">
        <f>IFERROR(VLOOKUP(D943,'Team Data'!C:AB,5,FALSE),"")</f>
        <v/>
      </c>
      <c r="G943" t="str">
        <f>IFERROR(VLOOKUP('OB Format'!D943,'Team Data'!C:AB,17,FALSE),"")</f>
        <v/>
      </c>
      <c r="H943" t="str">
        <f>IFERROR(VLOOKUP(D943,'Team Data'!C:AB,7,FALSE),"")</f>
        <v/>
      </c>
      <c r="I943" t="str">
        <f>IFERROR(VLOOKUP(D943,'Team Data'!C:AB,14,FALSE),"")</f>
        <v/>
      </c>
      <c r="J943" t="str">
        <f>IFERROR(VLOOKUP(D943,'Team Data'!C:AB,8,FALSE),"")</f>
        <v/>
      </c>
      <c r="K943" t="str">
        <f>IFERROR(VLOOKUP(D943,'Team Data'!C:AB,9,FALSE),"")</f>
        <v/>
      </c>
      <c r="L943" t="str">
        <f>IFERROR(VLOOKUP(D943,'Team Data'!C:AB,10,FALSE),"")</f>
        <v/>
      </c>
      <c r="M943" t="str">
        <f t="shared" si="30"/>
        <v/>
      </c>
      <c r="N943" t="str">
        <f>IFERROR(VLOOKUP(D943,'Team Data'!C:AB,23,FALSE),"")</f>
        <v/>
      </c>
      <c r="O943" t="str">
        <f>IFERROR(VLOOKUP(D943,'Team Data'!C:AB,22,FALSE),"")</f>
        <v/>
      </c>
      <c r="P943" t="str">
        <f t="shared" si="31"/>
        <v/>
      </c>
      <c r="Q943" t="str">
        <f>IFERROR(VLOOKUP(D943,'Team Data'!C:AB,15,FALSE),"")</f>
        <v/>
      </c>
      <c r="R943" t="str">
        <f>IFERROR(VLOOKUP('OB Format'!D943,'Team Data'!C:AB,24,FALSE),"")</f>
        <v/>
      </c>
      <c r="S943" t="str">
        <f>IFERROR(VLOOKUP('OB Format'!D943,'Team Data'!C:AC,25,FALSE),"")</f>
        <v/>
      </c>
    </row>
    <row r="944" spans="5:19" x14ac:dyDescent="0.25">
      <c r="E944" t="str">
        <f>IFERROR(VLOOKUP(D944,'Team Data'!C:AB,4,FALSE),"")</f>
        <v/>
      </c>
      <c r="F944" t="str">
        <f>IFERROR(VLOOKUP(D944,'Team Data'!C:AB,5,FALSE),"")</f>
        <v/>
      </c>
      <c r="G944" t="str">
        <f>IFERROR(VLOOKUP('OB Format'!D944,'Team Data'!C:AB,17,FALSE),"")</f>
        <v/>
      </c>
      <c r="H944" t="str">
        <f>IFERROR(VLOOKUP(D944,'Team Data'!C:AB,7,FALSE),"")</f>
        <v/>
      </c>
      <c r="I944" t="str">
        <f>IFERROR(VLOOKUP(D944,'Team Data'!C:AB,14,FALSE),"")</f>
        <v/>
      </c>
      <c r="J944" t="str">
        <f>IFERROR(VLOOKUP(D944,'Team Data'!C:AB,8,FALSE),"")</f>
        <v/>
      </c>
      <c r="K944" t="str">
        <f>IFERROR(VLOOKUP(D944,'Team Data'!C:AB,9,FALSE),"")</f>
        <v/>
      </c>
      <c r="L944" t="str">
        <f>IFERROR(VLOOKUP(D944,'Team Data'!C:AB,10,FALSE),"")</f>
        <v/>
      </c>
      <c r="M944" t="str">
        <f t="shared" si="30"/>
        <v/>
      </c>
      <c r="N944" t="str">
        <f>IFERROR(VLOOKUP(D944,'Team Data'!C:AB,23,FALSE),"")</f>
        <v/>
      </c>
      <c r="O944" t="str">
        <f>IFERROR(VLOOKUP(D944,'Team Data'!C:AB,22,FALSE),"")</f>
        <v/>
      </c>
      <c r="P944" t="str">
        <f t="shared" si="31"/>
        <v/>
      </c>
      <c r="Q944" t="str">
        <f>IFERROR(VLOOKUP(D944,'Team Data'!C:AB,15,FALSE),"")</f>
        <v/>
      </c>
      <c r="R944" t="str">
        <f>IFERROR(VLOOKUP('OB Format'!D944,'Team Data'!C:AB,24,FALSE),"")</f>
        <v/>
      </c>
      <c r="S944" t="str">
        <f>IFERROR(VLOOKUP('OB Format'!D944,'Team Data'!C:AC,25,FALSE),"")</f>
        <v/>
      </c>
    </row>
    <row r="945" spans="5:19" x14ac:dyDescent="0.25">
      <c r="E945" t="str">
        <f>IFERROR(VLOOKUP(D945,'Team Data'!C:AB,4,FALSE),"")</f>
        <v/>
      </c>
      <c r="F945" t="str">
        <f>IFERROR(VLOOKUP(D945,'Team Data'!C:AB,5,FALSE),"")</f>
        <v/>
      </c>
      <c r="G945" t="str">
        <f>IFERROR(VLOOKUP('OB Format'!D945,'Team Data'!C:AB,17,FALSE),"")</f>
        <v/>
      </c>
      <c r="H945" t="str">
        <f>IFERROR(VLOOKUP(D945,'Team Data'!C:AB,7,FALSE),"")</f>
        <v/>
      </c>
      <c r="I945" t="str">
        <f>IFERROR(VLOOKUP(D945,'Team Data'!C:AB,14,FALSE),"")</f>
        <v/>
      </c>
      <c r="J945" t="str">
        <f>IFERROR(VLOOKUP(D945,'Team Data'!C:AB,8,FALSE),"")</f>
        <v/>
      </c>
      <c r="K945" t="str">
        <f>IFERROR(VLOOKUP(D945,'Team Data'!C:AB,9,FALSE),"")</f>
        <v/>
      </c>
      <c r="L945" t="str">
        <f>IFERROR(VLOOKUP(D945,'Team Data'!C:AB,10,FALSE),"")</f>
        <v/>
      </c>
      <c r="M945" t="str">
        <f t="shared" si="30"/>
        <v/>
      </c>
      <c r="N945" t="str">
        <f>IFERROR(VLOOKUP(D945,'Team Data'!C:AB,23,FALSE),"")</f>
        <v/>
      </c>
      <c r="O945" t="str">
        <f>IFERROR(VLOOKUP(D945,'Team Data'!C:AB,22,FALSE),"")</f>
        <v/>
      </c>
      <c r="P945" t="str">
        <f t="shared" si="31"/>
        <v/>
      </c>
      <c r="Q945" t="str">
        <f>IFERROR(VLOOKUP(D945,'Team Data'!C:AB,15,FALSE),"")</f>
        <v/>
      </c>
      <c r="R945" t="str">
        <f>IFERROR(VLOOKUP('OB Format'!D945,'Team Data'!C:AB,24,FALSE),"")</f>
        <v/>
      </c>
      <c r="S945" t="str">
        <f>IFERROR(VLOOKUP('OB Format'!D945,'Team Data'!C:AC,25,FALSE),"")</f>
        <v/>
      </c>
    </row>
    <row r="946" spans="5:19" x14ac:dyDescent="0.25">
      <c r="E946" t="str">
        <f>IFERROR(VLOOKUP(D946,'Team Data'!C:AB,4,FALSE),"")</f>
        <v/>
      </c>
      <c r="F946" t="str">
        <f>IFERROR(VLOOKUP(D946,'Team Data'!C:AB,5,FALSE),"")</f>
        <v/>
      </c>
      <c r="G946" t="str">
        <f>IFERROR(VLOOKUP('OB Format'!D946,'Team Data'!C:AB,17,FALSE),"")</f>
        <v/>
      </c>
      <c r="H946" t="str">
        <f>IFERROR(VLOOKUP(D946,'Team Data'!C:AB,7,FALSE),"")</f>
        <v/>
      </c>
      <c r="I946" t="str">
        <f>IFERROR(VLOOKUP(D946,'Team Data'!C:AB,14,FALSE),"")</f>
        <v/>
      </c>
      <c r="J946" t="str">
        <f>IFERROR(VLOOKUP(D946,'Team Data'!C:AB,8,FALSE),"")</f>
        <v/>
      </c>
      <c r="K946" t="str">
        <f>IFERROR(VLOOKUP(D946,'Team Data'!C:AB,9,FALSE),"")</f>
        <v/>
      </c>
      <c r="L946" t="str">
        <f>IFERROR(VLOOKUP(D946,'Team Data'!C:AB,10,FALSE),"")</f>
        <v/>
      </c>
      <c r="M946" t="str">
        <f t="shared" si="30"/>
        <v/>
      </c>
      <c r="N946" t="str">
        <f>IFERROR(VLOOKUP(D946,'Team Data'!C:AB,23,FALSE),"")</f>
        <v/>
      </c>
      <c r="O946" t="str">
        <f>IFERROR(VLOOKUP(D946,'Team Data'!C:AB,22,FALSE),"")</f>
        <v/>
      </c>
      <c r="P946" t="str">
        <f t="shared" si="31"/>
        <v/>
      </c>
      <c r="Q946" t="str">
        <f>IFERROR(VLOOKUP(D946,'Team Data'!C:AB,15,FALSE),"")</f>
        <v/>
      </c>
      <c r="R946" t="str">
        <f>IFERROR(VLOOKUP('OB Format'!D946,'Team Data'!C:AB,24,FALSE),"")</f>
        <v/>
      </c>
      <c r="S946" t="str">
        <f>IFERROR(VLOOKUP('OB Format'!D946,'Team Data'!C:AC,25,FALSE),"")</f>
        <v/>
      </c>
    </row>
    <row r="947" spans="5:19" x14ac:dyDescent="0.25">
      <c r="E947" t="str">
        <f>IFERROR(VLOOKUP(D947,'Team Data'!C:AB,4,FALSE),"")</f>
        <v/>
      </c>
      <c r="F947" t="str">
        <f>IFERROR(VLOOKUP(D947,'Team Data'!C:AB,5,FALSE),"")</f>
        <v/>
      </c>
      <c r="G947" t="str">
        <f>IFERROR(VLOOKUP('OB Format'!D947,'Team Data'!C:AB,17,FALSE),"")</f>
        <v/>
      </c>
      <c r="H947" t="str">
        <f>IFERROR(VLOOKUP(D947,'Team Data'!C:AB,7,FALSE),"")</f>
        <v/>
      </c>
      <c r="I947" t="str">
        <f>IFERROR(VLOOKUP(D947,'Team Data'!C:AB,14,FALSE),"")</f>
        <v/>
      </c>
      <c r="J947" t="str">
        <f>IFERROR(VLOOKUP(D947,'Team Data'!C:AB,8,FALSE),"")</f>
        <v/>
      </c>
      <c r="K947" t="str">
        <f>IFERROR(VLOOKUP(D947,'Team Data'!C:AB,9,FALSE),"")</f>
        <v/>
      </c>
      <c r="L947" t="str">
        <f>IFERROR(VLOOKUP(D947,'Team Data'!C:AB,10,FALSE),"")</f>
        <v/>
      </c>
      <c r="M947" t="str">
        <f t="shared" si="30"/>
        <v/>
      </c>
      <c r="N947" t="str">
        <f>IFERROR(VLOOKUP(D947,'Team Data'!C:AB,23,FALSE),"")</f>
        <v/>
      </c>
      <c r="O947" t="str">
        <f>IFERROR(VLOOKUP(D947,'Team Data'!C:AB,22,FALSE),"")</f>
        <v/>
      </c>
      <c r="P947" t="str">
        <f t="shared" si="31"/>
        <v/>
      </c>
      <c r="Q947" t="str">
        <f>IFERROR(VLOOKUP(D947,'Team Data'!C:AB,15,FALSE),"")</f>
        <v/>
      </c>
      <c r="R947" t="str">
        <f>IFERROR(VLOOKUP('OB Format'!D947,'Team Data'!C:AB,24,FALSE),"")</f>
        <v/>
      </c>
      <c r="S947" t="str">
        <f>IFERROR(VLOOKUP('OB Format'!D947,'Team Data'!C:AC,25,FALSE),"")</f>
        <v/>
      </c>
    </row>
    <row r="948" spans="5:19" x14ac:dyDescent="0.25">
      <c r="E948" t="str">
        <f>IFERROR(VLOOKUP(D948,'Team Data'!C:AB,4,FALSE),"")</f>
        <v/>
      </c>
      <c r="F948" t="str">
        <f>IFERROR(VLOOKUP(D948,'Team Data'!C:AB,5,FALSE),"")</f>
        <v/>
      </c>
      <c r="G948" t="str">
        <f>IFERROR(VLOOKUP('OB Format'!D948,'Team Data'!C:AB,17,FALSE),"")</f>
        <v/>
      </c>
      <c r="H948" t="str">
        <f>IFERROR(VLOOKUP(D948,'Team Data'!C:AB,7,FALSE),"")</f>
        <v/>
      </c>
      <c r="I948" t="str">
        <f>IFERROR(VLOOKUP(D948,'Team Data'!C:AB,14,FALSE),"")</f>
        <v/>
      </c>
      <c r="J948" t="str">
        <f>IFERROR(VLOOKUP(D948,'Team Data'!C:AB,8,FALSE),"")</f>
        <v/>
      </c>
      <c r="K948" t="str">
        <f>IFERROR(VLOOKUP(D948,'Team Data'!C:AB,9,FALSE),"")</f>
        <v/>
      </c>
      <c r="L948" t="str">
        <f>IFERROR(VLOOKUP(D948,'Team Data'!C:AB,10,FALSE),"")</f>
        <v/>
      </c>
      <c r="M948" t="str">
        <f t="shared" si="30"/>
        <v/>
      </c>
      <c r="N948" t="str">
        <f>IFERROR(VLOOKUP(D948,'Team Data'!C:AB,23,FALSE),"")</f>
        <v/>
      </c>
      <c r="O948" t="str">
        <f>IFERROR(VLOOKUP(D948,'Team Data'!C:AB,22,FALSE),"")</f>
        <v/>
      </c>
      <c r="P948" t="str">
        <f t="shared" si="31"/>
        <v/>
      </c>
      <c r="Q948" t="str">
        <f>IFERROR(VLOOKUP(D948,'Team Data'!C:AB,15,FALSE),"")</f>
        <v/>
      </c>
      <c r="R948" t="str">
        <f>IFERROR(VLOOKUP('OB Format'!D948,'Team Data'!C:AB,24,FALSE),"")</f>
        <v/>
      </c>
      <c r="S948" t="str">
        <f>IFERROR(VLOOKUP('OB Format'!D948,'Team Data'!C:AC,25,FALSE),"")</f>
        <v/>
      </c>
    </row>
    <row r="949" spans="5:19" x14ac:dyDescent="0.25">
      <c r="E949" t="str">
        <f>IFERROR(VLOOKUP(D949,'Team Data'!C:AB,4,FALSE),"")</f>
        <v/>
      </c>
      <c r="F949" t="str">
        <f>IFERROR(VLOOKUP(D949,'Team Data'!C:AB,5,FALSE),"")</f>
        <v/>
      </c>
      <c r="G949" t="str">
        <f>IFERROR(VLOOKUP('OB Format'!D949,'Team Data'!C:AB,17,FALSE),"")</f>
        <v/>
      </c>
      <c r="H949" t="str">
        <f>IFERROR(VLOOKUP(D949,'Team Data'!C:AB,7,FALSE),"")</f>
        <v/>
      </c>
      <c r="I949" t="str">
        <f>IFERROR(VLOOKUP(D949,'Team Data'!C:AB,14,FALSE),"")</f>
        <v/>
      </c>
      <c r="J949" t="str">
        <f>IFERROR(VLOOKUP(D949,'Team Data'!C:AB,8,FALSE),"")</f>
        <v/>
      </c>
      <c r="K949" t="str">
        <f>IFERROR(VLOOKUP(D949,'Team Data'!C:AB,9,FALSE),"")</f>
        <v/>
      </c>
      <c r="L949" t="str">
        <f>IFERROR(VLOOKUP(D949,'Team Data'!C:AB,10,FALSE),"")</f>
        <v/>
      </c>
      <c r="M949" t="str">
        <f t="shared" si="30"/>
        <v/>
      </c>
      <c r="N949" t="str">
        <f>IFERROR(VLOOKUP(D949,'Team Data'!C:AB,23,FALSE),"")</f>
        <v/>
      </c>
      <c r="O949" t="str">
        <f>IFERROR(VLOOKUP(D949,'Team Data'!C:AB,22,FALSE),"")</f>
        <v/>
      </c>
      <c r="P949" t="str">
        <f t="shared" si="31"/>
        <v/>
      </c>
      <c r="Q949" t="str">
        <f>IFERROR(VLOOKUP(D949,'Team Data'!C:AB,15,FALSE),"")</f>
        <v/>
      </c>
      <c r="R949" t="str">
        <f>IFERROR(VLOOKUP('OB Format'!D949,'Team Data'!C:AB,24,FALSE),"")</f>
        <v/>
      </c>
      <c r="S949" t="str">
        <f>IFERROR(VLOOKUP('OB Format'!D949,'Team Data'!C:AC,25,FALSE),"")</f>
        <v/>
      </c>
    </row>
    <row r="950" spans="5:19" x14ac:dyDescent="0.25">
      <c r="E950" t="str">
        <f>IFERROR(VLOOKUP(D950,'Team Data'!C:AB,4,FALSE),"")</f>
        <v/>
      </c>
      <c r="F950" t="str">
        <f>IFERROR(VLOOKUP(D950,'Team Data'!C:AB,5,FALSE),"")</f>
        <v/>
      </c>
      <c r="G950" t="str">
        <f>IFERROR(VLOOKUP('OB Format'!D950,'Team Data'!C:AB,17,FALSE),"")</f>
        <v/>
      </c>
      <c r="H950" t="str">
        <f>IFERROR(VLOOKUP(D950,'Team Data'!C:AB,7,FALSE),"")</f>
        <v/>
      </c>
      <c r="I950" t="str">
        <f>IFERROR(VLOOKUP(D950,'Team Data'!C:AB,14,FALSE),"")</f>
        <v/>
      </c>
      <c r="J950" t="str">
        <f>IFERROR(VLOOKUP(D950,'Team Data'!C:AB,8,FALSE),"")</f>
        <v/>
      </c>
      <c r="K950" t="str">
        <f>IFERROR(VLOOKUP(D950,'Team Data'!C:AB,9,FALSE),"")</f>
        <v/>
      </c>
      <c r="L950" t="str">
        <f>IFERROR(VLOOKUP(D950,'Team Data'!C:AB,10,FALSE),"")</f>
        <v/>
      </c>
      <c r="M950" t="str">
        <f t="shared" si="30"/>
        <v/>
      </c>
      <c r="N950" t="str">
        <f>IFERROR(VLOOKUP(D950,'Team Data'!C:AB,23,FALSE),"")</f>
        <v/>
      </c>
      <c r="O950" t="str">
        <f>IFERROR(VLOOKUP(D950,'Team Data'!C:AB,22,FALSE),"")</f>
        <v/>
      </c>
      <c r="P950" t="str">
        <f t="shared" si="31"/>
        <v/>
      </c>
      <c r="Q950" t="str">
        <f>IFERROR(VLOOKUP(D950,'Team Data'!C:AB,15,FALSE),"")</f>
        <v/>
      </c>
      <c r="R950" t="str">
        <f>IFERROR(VLOOKUP('OB Format'!D950,'Team Data'!C:AB,24,FALSE),"")</f>
        <v/>
      </c>
      <c r="S950" t="str">
        <f>IFERROR(VLOOKUP('OB Format'!D950,'Team Data'!C:AC,25,FALSE),"")</f>
        <v/>
      </c>
    </row>
    <row r="951" spans="5:19" x14ac:dyDescent="0.25">
      <c r="E951" t="str">
        <f>IFERROR(VLOOKUP(D951,'Team Data'!C:AB,4,FALSE),"")</f>
        <v/>
      </c>
      <c r="F951" t="str">
        <f>IFERROR(VLOOKUP(D951,'Team Data'!C:AB,5,FALSE),"")</f>
        <v/>
      </c>
      <c r="G951" t="str">
        <f>IFERROR(VLOOKUP('OB Format'!D951,'Team Data'!C:AB,17,FALSE),"")</f>
        <v/>
      </c>
      <c r="H951" t="str">
        <f>IFERROR(VLOOKUP(D951,'Team Data'!C:AB,7,FALSE),"")</f>
        <v/>
      </c>
      <c r="I951" t="str">
        <f>IFERROR(VLOOKUP(D951,'Team Data'!C:AB,14,FALSE),"")</f>
        <v/>
      </c>
      <c r="J951" t="str">
        <f>IFERROR(VLOOKUP(D951,'Team Data'!C:AB,8,FALSE),"")</f>
        <v/>
      </c>
      <c r="K951" t="str">
        <f>IFERROR(VLOOKUP(D951,'Team Data'!C:AB,9,FALSE),"")</f>
        <v/>
      </c>
      <c r="L951" t="str">
        <f>IFERROR(VLOOKUP(D951,'Team Data'!C:AB,10,FALSE),"")</f>
        <v/>
      </c>
      <c r="M951" t="str">
        <f t="shared" si="30"/>
        <v/>
      </c>
      <c r="N951" t="str">
        <f>IFERROR(VLOOKUP(D951,'Team Data'!C:AB,23,FALSE),"")</f>
        <v/>
      </c>
      <c r="O951" t="str">
        <f>IFERROR(VLOOKUP(D951,'Team Data'!C:AB,22,FALSE),"")</f>
        <v/>
      </c>
      <c r="P951" t="str">
        <f t="shared" si="31"/>
        <v/>
      </c>
      <c r="Q951" t="str">
        <f>IFERROR(VLOOKUP(D951,'Team Data'!C:AB,15,FALSE),"")</f>
        <v/>
      </c>
      <c r="R951" t="str">
        <f>IFERROR(VLOOKUP('OB Format'!D951,'Team Data'!C:AB,24,FALSE),"")</f>
        <v/>
      </c>
      <c r="S951" t="str">
        <f>IFERROR(VLOOKUP('OB Format'!D951,'Team Data'!C:AC,25,FALSE),"")</f>
        <v/>
      </c>
    </row>
    <row r="952" spans="5:19" x14ac:dyDescent="0.25">
      <c r="E952" t="str">
        <f>IFERROR(VLOOKUP(D952,'Team Data'!C:AB,4,FALSE),"")</f>
        <v/>
      </c>
      <c r="F952" t="str">
        <f>IFERROR(VLOOKUP(D952,'Team Data'!C:AB,5,FALSE),"")</f>
        <v/>
      </c>
      <c r="G952" t="str">
        <f>IFERROR(VLOOKUP('OB Format'!D952,'Team Data'!C:AB,17,FALSE),"")</f>
        <v/>
      </c>
      <c r="H952" t="str">
        <f>IFERROR(VLOOKUP(D952,'Team Data'!C:AB,7,FALSE),"")</f>
        <v/>
      </c>
      <c r="I952" t="str">
        <f>IFERROR(VLOOKUP(D952,'Team Data'!C:AB,14,FALSE),"")</f>
        <v/>
      </c>
      <c r="J952" t="str">
        <f>IFERROR(VLOOKUP(D952,'Team Data'!C:AB,8,FALSE),"")</f>
        <v/>
      </c>
      <c r="K952" t="str">
        <f>IFERROR(VLOOKUP(D952,'Team Data'!C:AB,9,FALSE),"")</f>
        <v/>
      </c>
      <c r="L952" t="str">
        <f>IFERROR(VLOOKUP(D952,'Team Data'!C:AB,10,FALSE),"")</f>
        <v/>
      </c>
      <c r="M952" t="str">
        <f t="shared" si="30"/>
        <v/>
      </c>
      <c r="N952" t="str">
        <f>IFERROR(VLOOKUP(D952,'Team Data'!C:AB,23,FALSE),"")</f>
        <v/>
      </c>
      <c r="O952" t="str">
        <f>IFERROR(VLOOKUP(D952,'Team Data'!C:AB,22,FALSE),"")</f>
        <v/>
      </c>
      <c r="P952" t="str">
        <f t="shared" si="31"/>
        <v/>
      </c>
      <c r="Q952" t="str">
        <f>IFERROR(VLOOKUP(D952,'Team Data'!C:AB,15,FALSE),"")</f>
        <v/>
      </c>
      <c r="R952" t="str">
        <f>IFERROR(VLOOKUP('OB Format'!D952,'Team Data'!C:AB,24,FALSE),"")</f>
        <v/>
      </c>
      <c r="S952" t="str">
        <f>IFERROR(VLOOKUP('OB Format'!D952,'Team Data'!C:AC,25,FALSE),"")</f>
        <v/>
      </c>
    </row>
    <row r="953" spans="5:19" x14ac:dyDescent="0.25">
      <c r="E953" t="str">
        <f>IFERROR(VLOOKUP(D953,'Team Data'!C:AB,4,FALSE),"")</f>
        <v/>
      </c>
      <c r="F953" t="str">
        <f>IFERROR(VLOOKUP(D953,'Team Data'!C:AB,5,FALSE),"")</f>
        <v/>
      </c>
      <c r="G953" t="str">
        <f>IFERROR(VLOOKUP('OB Format'!D953,'Team Data'!C:AB,17,FALSE),"")</f>
        <v/>
      </c>
      <c r="H953" t="str">
        <f>IFERROR(VLOOKUP(D953,'Team Data'!C:AB,7,FALSE),"")</f>
        <v/>
      </c>
      <c r="I953" t="str">
        <f>IFERROR(VLOOKUP(D953,'Team Data'!C:AB,14,FALSE),"")</f>
        <v/>
      </c>
      <c r="J953" t="str">
        <f>IFERROR(VLOOKUP(D953,'Team Data'!C:AB,8,FALSE),"")</f>
        <v/>
      </c>
      <c r="K953" t="str">
        <f>IFERROR(VLOOKUP(D953,'Team Data'!C:AB,9,FALSE),"")</f>
        <v/>
      </c>
      <c r="L953" t="str">
        <f>IFERROR(VLOOKUP(D953,'Team Data'!C:AB,10,FALSE),"")</f>
        <v/>
      </c>
      <c r="M953" t="str">
        <f t="shared" si="30"/>
        <v/>
      </c>
      <c r="N953" t="str">
        <f>IFERROR(VLOOKUP(D953,'Team Data'!C:AB,23,FALSE),"")</f>
        <v/>
      </c>
      <c r="O953" t="str">
        <f>IFERROR(VLOOKUP(D953,'Team Data'!C:AB,22,FALSE),"")</f>
        <v/>
      </c>
      <c r="P953" t="str">
        <f t="shared" si="31"/>
        <v/>
      </c>
      <c r="Q953" t="str">
        <f>IFERROR(VLOOKUP(D953,'Team Data'!C:AB,15,FALSE),"")</f>
        <v/>
      </c>
      <c r="R953" t="str">
        <f>IFERROR(VLOOKUP('OB Format'!D953,'Team Data'!C:AB,24,FALSE),"")</f>
        <v/>
      </c>
      <c r="S953" t="str">
        <f>IFERROR(VLOOKUP('OB Format'!D953,'Team Data'!C:AC,25,FALSE),"")</f>
        <v/>
      </c>
    </row>
    <row r="954" spans="5:19" x14ac:dyDescent="0.25">
      <c r="E954" t="str">
        <f>IFERROR(VLOOKUP(D954,'Team Data'!C:AB,4,FALSE),"")</f>
        <v/>
      </c>
      <c r="F954" t="str">
        <f>IFERROR(VLOOKUP(D954,'Team Data'!C:AB,5,FALSE),"")</f>
        <v/>
      </c>
      <c r="G954" t="str">
        <f>IFERROR(VLOOKUP('OB Format'!D954,'Team Data'!C:AB,17,FALSE),"")</f>
        <v/>
      </c>
      <c r="H954" t="str">
        <f>IFERROR(VLOOKUP(D954,'Team Data'!C:AB,7,FALSE),"")</f>
        <v/>
      </c>
      <c r="I954" t="str">
        <f>IFERROR(VLOOKUP(D954,'Team Data'!C:AB,14,FALSE),"")</f>
        <v/>
      </c>
      <c r="J954" t="str">
        <f>IFERROR(VLOOKUP(D954,'Team Data'!C:AB,8,FALSE),"")</f>
        <v/>
      </c>
      <c r="K954" t="str">
        <f>IFERROR(VLOOKUP(D954,'Team Data'!C:AB,9,FALSE),"")</f>
        <v/>
      </c>
      <c r="L954" t="str">
        <f>IFERROR(VLOOKUP(D954,'Team Data'!C:AB,10,FALSE),"")</f>
        <v/>
      </c>
      <c r="M954" t="str">
        <f t="shared" si="30"/>
        <v/>
      </c>
      <c r="N954" t="str">
        <f>IFERROR(VLOOKUP(D954,'Team Data'!C:AB,23,FALSE),"")</f>
        <v/>
      </c>
      <c r="O954" t="str">
        <f>IFERROR(VLOOKUP(D954,'Team Data'!C:AB,22,FALSE),"")</f>
        <v/>
      </c>
      <c r="P954" t="str">
        <f t="shared" si="31"/>
        <v/>
      </c>
      <c r="Q954" t="str">
        <f>IFERROR(VLOOKUP(D954,'Team Data'!C:AB,15,FALSE),"")</f>
        <v/>
      </c>
      <c r="R954" t="str">
        <f>IFERROR(VLOOKUP('OB Format'!D954,'Team Data'!C:AB,24,FALSE),"")</f>
        <v/>
      </c>
      <c r="S954" t="str">
        <f>IFERROR(VLOOKUP('OB Format'!D954,'Team Data'!C:AC,25,FALSE),"")</f>
        <v/>
      </c>
    </row>
    <row r="955" spans="5:19" x14ac:dyDescent="0.25">
      <c r="E955" t="str">
        <f>IFERROR(VLOOKUP(D955,'Team Data'!C:AB,4,FALSE),"")</f>
        <v/>
      </c>
      <c r="F955" t="str">
        <f>IFERROR(VLOOKUP(D955,'Team Data'!C:AB,5,FALSE),"")</f>
        <v/>
      </c>
      <c r="G955" t="str">
        <f>IFERROR(VLOOKUP('OB Format'!D955,'Team Data'!C:AB,17,FALSE),"")</f>
        <v/>
      </c>
      <c r="H955" t="str">
        <f>IFERROR(VLOOKUP(D955,'Team Data'!C:AB,7,FALSE),"")</f>
        <v/>
      </c>
      <c r="I955" t="str">
        <f>IFERROR(VLOOKUP(D955,'Team Data'!C:AB,14,FALSE),"")</f>
        <v/>
      </c>
      <c r="J955" t="str">
        <f>IFERROR(VLOOKUP(D955,'Team Data'!C:AB,8,FALSE),"")</f>
        <v/>
      </c>
      <c r="K955" t="str">
        <f>IFERROR(VLOOKUP(D955,'Team Data'!C:AB,9,FALSE),"")</f>
        <v/>
      </c>
      <c r="L955" t="str">
        <f>IFERROR(VLOOKUP(D955,'Team Data'!C:AB,10,FALSE),"")</f>
        <v/>
      </c>
      <c r="M955" t="str">
        <f t="shared" si="30"/>
        <v/>
      </c>
      <c r="N955" t="str">
        <f>IFERROR(VLOOKUP(D955,'Team Data'!C:AB,23,FALSE),"")</f>
        <v/>
      </c>
      <c r="O955" t="str">
        <f>IFERROR(VLOOKUP(D955,'Team Data'!C:AB,22,FALSE),"")</f>
        <v/>
      </c>
      <c r="P955" t="str">
        <f t="shared" si="31"/>
        <v/>
      </c>
      <c r="Q955" t="str">
        <f>IFERROR(VLOOKUP(D955,'Team Data'!C:AB,15,FALSE),"")</f>
        <v/>
      </c>
      <c r="R955" t="str">
        <f>IFERROR(VLOOKUP('OB Format'!D955,'Team Data'!C:AB,24,FALSE),"")</f>
        <v/>
      </c>
      <c r="S955" t="str">
        <f>IFERROR(VLOOKUP('OB Format'!D955,'Team Data'!C:AC,25,FALSE),"")</f>
        <v/>
      </c>
    </row>
    <row r="956" spans="5:19" x14ac:dyDescent="0.25">
      <c r="E956" t="str">
        <f>IFERROR(VLOOKUP(D956,'Team Data'!C:AB,4,FALSE),"")</f>
        <v/>
      </c>
      <c r="F956" t="str">
        <f>IFERROR(VLOOKUP(D956,'Team Data'!C:AB,5,FALSE),"")</f>
        <v/>
      </c>
      <c r="G956" t="str">
        <f>IFERROR(VLOOKUP('OB Format'!D956,'Team Data'!C:AB,17,FALSE),"")</f>
        <v/>
      </c>
      <c r="H956" t="str">
        <f>IFERROR(VLOOKUP(D956,'Team Data'!C:AB,7,FALSE),"")</f>
        <v/>
      </c>
      <c r="I956" t="str">
        <f>IFERROR(VLOOKUP(D956,'Team Data'!C:AB,14,FALSE),"")</f>
        <v/>
      </c>
      <c r="J956" t="str">
        <f>IFERROR(VLOOKUP(D956,'Team Data'!C:AB,8,FALSE),"")</f>
        <v/>
      </c>
      <c r="K956" t="str">
        <f>IFERROR(VLOOKUP(D956,'Team Data'!C:AB,9,FALSE),"")</f>
        <v/>
      </c>
      <c r="L956" t="str">
        <f>IFERROR(VLOOKUP(D956,'Team Data'!C:AB,10,FALSE),"")</f>
        <v/>
      </c>
      <c r="M956" t="str">
        <f t="shared" si="30"/>
        <v/>
      </c>
      <c r="N956" t="str">
        <f>IFERROR(VLOOKUP(D956,'Team Data'!C:AB,23,FALSE),"")</f>
        <v/>
      </c>
      <c r="O956" t="str">
        <f>IFERROR(VLOOKUP(D956,'Team Data'!C:AB,22,FALSE),"")</f>
        <v/>
      </c>
      <c r="P956" t="str">
        <f t="shared" si="31"/>
        <v/>
      </c>
      <c r="Q956" t="str">
        <f>IFERROR(VLOOKUP(D956,'Team Data'!C:AB,15,FALSE),"")</f>
        <v/>
      </c>
      <c r="R956" t="str">
        <f>IFERROR(VLOOKUP('OB Format'!D956,'Team Data'!C:AB,24,FALSE),"")</f>
        <v/>
      </c>
      <c r="S956" t="str">
        <f>IFERROR(VLOOKUP('OB Format'!D956,'Team Data'!C:AC,25,FALSE),"")</f>
        <v/>
      </c>
    </row>
    <row r="957" spans="5:19" x14ac:dyDescent="0.25">
      <c r="E957" t="str">
        <f>IFERROR(VLOOKUP(D957,'Team Data'!C:AB,4,FALSE),"")</f>
        <v/>
      </c>
      <c r="F957" t="str">
        <f>IFERROR(VLOOKUP(D957,'Team Data'!C:AB,5,FALSE),"")</f>
        <v/>
      </c>
      <c r="G957" t="str">
        <f>IFERROR(VLOOKUP('OB Format'!D957,'Team Data'!C:AB,17,FALSE),"")</f>
        <v/>
      </c>
      <c r="H957" t="str">
        <f>IFERROR(VLOOKUP(D957,'Team Data'!C:AB,7,FALSE),"")</f>
        <v/>
      </c>
      <c r="I957" t="str">
        <f>IFERROR(VLOOKUP(D957,'Team Data'!C:AB,14,FALSE),"")</f>
        <v/>
      </c>
      <c r="J957" t="str">
        <f>IFERROR(VLOOKUP(D957,'Team Data'!C:AB,8,FALSE),"")</f>
        <v/>
      </c>
      <c r="K957" t="str">
        <f>IFERROR(VLOOKUP(D957,'Team Data'!C:AB,9,FALSE),"")</f>
        <v/>
      </c>
      <c r="L957" t="str">
        <f>IFERROR(VLOOKUP(D957,'Team Data'!C:AB,10,FALSE),"")</f>
        <v/>
      </c>
      <c r="M957" t="str">
        <f t="shared" si="30"/>
        <v/>
      </c>
      <c r="N957" t="str">
        <f>IFERROR(VLOOKUP(D957,'Team Data'!C:AB,23,FALSE),"")</f>
        <v/>
      </c>
      <c r="O957" t="str">
        <f>IFERROR(VLOOKUP(D957,'Team Data'!C:AB,22,FALSE),"")</f>
        <v/>
      </c>
      <c r="P957" t="str">
        <f t="shared" si="31"/>
        <v/>
      </c>
      <c r="Q957" t="str">
        <f>IFERROR(VLOOKUP(D957,'Team Data'!C:AB,15,FALSE),"")</f>
        <v/>
      </c>
      <c r="R957" t="str">
        <f>IFERROR(VLOOKUP('OB Format'!D957,'Team Data'!C:AB,24,FALSE),"")</f>
        <v/>
      </c>
      <c r="S957" t="str">
        <f>IFERROR(VLOOKUP('OB Format'!D957,'Team Data'!C:AC,25,FALSE),"")</f>
        <v/>
      </c>
    </row>
    <row r="958" spans="5:19" x14ac:dyDescent="0.25">
      <c r="E958" t="str">
        <f>IFERROR(VLOOKUP(D958,'Team Data'!C:AB,4,FALSE),"")</f>
        <v/>
      </c>
      <c r="F958" t="str">
        <f>IFERROR(VLOOKUP(D958,'Team Data'!C:AB,5,FALSE),"")</f>
        <v/>
      </c>
      <c r="G958" t="str">
        <f>IFERROR(VLOOKUP('OB Format'!D958,'Team Data'!C:AB,17,FALSE),"")</f>
        <v/>
      </c>
      <c r="H958" t="str">
        <f>IFERROR(VLOOKUP(D958,'Team Data'!C:AB,7,FALSE),"")</f>
        <v/>
      </c>
      <c r="I958" t="str">
        <f>IFERROR(VLOOKUP(D958,'Team Data'!C:AB,14,FALSE),"")</f>
        <v/>
      </c>
      <c r="J958" t="str">
        <f>IFERROR(VLOOKUP(D958,'Team Data'!C:AB,8,FALSE),"")</f>
        <v/>
      </c>
      <c r="K958" t="str">
        <f>IFERROR(VLOOKUP(D958,'Team Data'!C:AB,9,FALSE),"")</f>
        <v/>
      </c>
      <c r="L958" t="str">
        <f>IFERROR(VLOOKUP(D958,'Team Data'!C:AB,10,FALSE),"")</f>
        <v/>
      </c>
      <c r="M958" t="str">
        <f t="shared" si="30"/>
        <v/>
      </c>
      <c r="N958" t="str">
        <f>IFERROR(VLOOKUP(D958,'Team Data'!C:AB,23,FALSE),"")</f>
        <v/>
      </c>
      <c r="O958" t="str">
        <f>IFERROR(VLOOKUP(D958,'Team Data'!C:AB,22,FALSE),"")</f>
        <v/>
      </c>
      <c r="P958" t="str">
        <f t="shared" si="31"/>
        <v/>
      </c>
      <c r="Q958" t="str">
        <f>IFERROR(VLOOKUP(D958,'Team Data'!C:AB,15,FALSE),"")</f>
        <v/>
      </c>
      <c r="R958" t="str">
        <f>IFERROR(VLOOKUP('OB Format'!D958,'Team Data'!C:AB,24,FALSE),"")</f>
        <v/>
      </c>
      <c r="S958" t="str">
        <f>IFERROR(VLOOKUP('OB Format'!D958,'Team Data'!C:AC,25,FALSE),"")</f>
        <v/>
      </c>
    </row>
    <row r="959" spans="5:19" x14ac:dyDescent="0.25">
      <c r="E959" t="str">
        <f>IFERROR(VLOOKUP(D959,'Team Data'!C:AB,4,FALSE),"")</f>
        <v/>
      </c>
      <c r="F959" t="str">
        <f>IFERROR(VLOOKUP(D959,'Team Data'!C:AB,5,FALSE),"")</f>
        <v/>
      </c>
      <c r="G959" t="str">
        <f>IFERROR(VLOOKUP('OB Format'!D959,'Team Data'!C:AB,17,FALSE),"")</f>
        <v/>
      </c>
      <c r="H959" t="str">
        <f>IFERROR(VLOOKUP(D959,'Team Data'!C:AB,7,FALSE),"")</f>
        <v/>
      </c>
      <c r="I959" t="str">
        <f>IFERROR(VLOOKUP(D959,'Team Data'!C:AB,14,FALSE),"")</f>
        <v/>
      </c>
      <c r="J959" t="str">
        <f>IFERROR(VLOOKUP(D959,'Team Data'!C:AB,8,FALSE),"")</f>
        <v/>
      </c>
      <c r="K959" t="str">
        <f>IFERROR(VLOOKUP(D959,'Team Data'!C:AB,9,FALSE),"")</f>
        <v/>
      </c>
      <c r="L959" t="str">
        <f>IFERROR(VLOOKUP(D959,'Team Data'!C:AB,10,FALSE),"")</f>
        <v/>
      </c>
      <c r="M959" t="str">
        <f t="shared" si="30"/>
        <v/>
      </c>
      <c r="N959" t="str">
        <f>IFERROR(VLOOKUP(D959,'Team Data'!C:AB,23,FALSE),"")</f>
        <v/>
      </c>
      <c r="O959" t="str">
        <f>IFERROR(VLOOKUP(D959,'Team Data'!C:AB,22,FALSE),"")</f>
        <v/>
      </c>
      <c r="P959" t="str">
        <f t="shared" si="31"/>
        <v/>
      </c>
      <c r="Q959" t="str">
        <f>IFERROR(VLOOKUP(D959,'Team Data'!C:AB,15,FALSE),"")</f>
        <v/>
      </c>
      <c r="R959" t="str">
        <f>IFERROR(VLOOKUP('OB Format'!D959,'Team Data'!C:AB,24,FALSE),"")</f>
        <v/>
      </c>
      <c r="S959" t="str">
        <f>IFERROR(VLOOKUP('OB Format'!D959,'Team Data'!C:AC,25,FALSE),"")</f>
        <v/>
      </c>
    </row>
    <row r="960" spans="5:19" x14ac:dyDescent="0.25">
      <c r="E960" t="str">
        <f>IFERROR(VLOOKUP(D960,'Team Data'!C:AB,4,FALSE),"")</f>
        <v/>
      </c>
      <c r="F960" t="str">
        <f>IFERROR(VLOOKUP(D960,'Team Data'!C:AB,5,FALSE),"")</f>
        <v/>
      </c>
      <c r="G960" t="str">
        <f>IFERROR(VLOOKUP('OB Format'!D960,'Team Data'!C:AB,17,FALSE),"")</f>
        <v/>
      </c>
      <c r="H960" t="str">
        <f>IFERROR(VLOOKUP(D960,'Team Data'!C:AB,7,FALSE),"")</f>
        <v/>
      </c>
      <c r="I960" t="str">
        <f>IFERROR(VLOOKUP(D960,'Team Data'!C:AB,14,FALSE),"")</f>
        <v/>
      </c>
      <c r="J960" t="str">
        <f>IFERROR(VLOOKUP(D960,'Team Data'!C:AB,8,FALSE),"")</f>
        <v/>
      </c>
      <c r="K960" t="str">
        <f>IFERROR(VLOOKUP(D960,'Team Data'!C:AB,9,FALSE),"")</f>
        <v/>
      </c>
      <c r="L960" t="str">
        <f>IFERROR(VLOOKUP(D960,'Team Data'!C:AB,10,FALSE),"")</f>
        <v/>
      </c>
      <c r="M960" t="str">
        <f t="shared" si="30"/>
        <v/>
      </c>
      <c r="N960" t="str">
        <f>IFERROR(VLOOKUP(D960,'Team Data'!C:AB,23,FALSE),"")</f>
        <v/>
      </c>
      <c r="O960" t="str">
        <f>IFERROR(VLOOKUP(D960,'Team Data'!C:AB,22,FALSE),"")</f>
        <v/>
      </c>
      <c r="P960" t="str">
        <f t="shared" si="31"/>
        <v/>
      </c>
      <c r="Q960" t="str">
        <f>IFERROR(VLOOKUP(D960,'Team Data'!C:AB,15,FALSE),"")</f>
        <v/>
      </c>
      <c r="R960" t="str">
        <f>IFERROR(VLOOKUP('OB Format'!D960,'Team Data'!C:AB,24,FALSE),"")</f>
        <v/>
      </c>
      <c r="S960" t="str">
        <f>IFERROR(VLOOKUP('OB Format'!D960,'Team Data'!C:AC,25,FALSE),"")</f>
        <v/>
      </c>
    </row>
    <row r="961" spans="5:19" x14ac:dyDescent="0.25">
      <c r="E961" t="str">
        <f>IFERROR(VLOOKUP(D961,'Team Data'!C:AB,4,FALSE),"")</f>
        <v/>
      </c>
      <c r="F961" t="str">
        <f>IFERROR(VLOOKUP(D961,'Team Data'!C:AB,5,FALSE),"")</f>
        <v/>
      </c>
      <c r="G961" t="str">
        <f>IFERROR(VLOOKUP('OB Format'!D961,'Team Data'!C:AB,17,FALSE),"")</f>
        <v/>
      </c>
      <c r="H961" t="str">
        <f>IFERROR(VLOOKUP(D961,'Team Data'!C:AB,7,FALSE),"")</f>
        <v/>
      </c>
      <c r="I961" t="str">
        <f>IFERROR(VLOOKUP(D961,'Team Data'!C:AB,14,FALSE),"")</f>
        <v/>
      </c>
      <c r="J961" t="str">
        <f>IFERROR(VLOOKUP(D961,'Team Data'!C:AB,8,FALSE),"")</f>
        <v/>
      </c>
      <c r="K961" t="str">
        <f>IFERROR(VLOOKUP(D961,'Team Data'!C:AB,9,FALSE),"")</f>
        <v/>
      </c>
      <c r="L961" t="str">
        <f>IFERROR(VLOOKUP(D961,'Team Data'!C:AB,10,FALSE),"")</f>
        <v/>
      </c>
      <c r="M961" t="str">
        <f t="shared" si="30"/>
        <v/>
      </c>
      <c r="N961" t="str">
        <f>IFERROR(VLOOKUP(D961,'Team Data'!C:AB,23,FALSE),"")</f>
        <v/>
      </c>
      <c r="O961" t="str">
        <f>IFERROR(VLOOKUP(D961,'Team Data'!C:AB,22,FALSE),"")</f>
        <v/>
      </c>
      <c r="P961" t="str">
        <f t="shared" si="31"/>
        <v/>
      </c>
      <c r="Q961" t="str">
        <f>IFERROR(VLOOKUP(D961,'Team Data'!C:AB,15,FALSE),"")</f>
        <v/>
      </c>
      <c r="R961" t="str">
        <f>IFERROR(VLOOKUP('OB Format'!D961,'Team Data'!C:AB,24,FALSE),"")</f>
        <v/>
      </c>
      <c r="S961" t="str">
        <f>IFERROR(VLOOKUP('OB Format'!D961,'Team Data'!C:AC,25,FALSE),"")</f>
        <v/>
      </c>
    </row>
    <row r="962" spans="5:19" x14ac:dyDescent="0.25">
      <c r="E962" t="str">
        <f>IFERROR(VLOOKUP(D962,'Team Data'!C:AB,4,FALSE),"")</f>
        <v/>
      </c>
      <c r="F962" t="str">
        <f>IFERROR(VLOOKUP(D962,'Team Data'!C:AB,5,FALSE),"")</f>
        <v/>
      </c>
      <c r="G962" t="str">
        <f>IFERROR(VLOOKUP('OB Format'!D962,'Team Data'!C:AB,17,FALSE),"")</f>
        <v/>
      </c>
      <c r="H962" t="str">
        <f>IFERROR(VLOOKUP(D962,'Team Data'!C:AB,7,FALSE),"")</f>
        <v/>
      </c>
      <c r="I962" t="str">
        <f>IFERROR(VLOOKUP(D962,'Team Data'!C:AB,14,FALSE),"")</f>
        <v/>
      </c>
      <c r="J962" t="str">
        <f>IFERROR(VLOOKUP(D962,'Team Data'!C:AB,8,FALSE),"")</f>
        <v/>
      </c>
      <c r="K962" t="str">
        <f>IFERROR(VLOOKUP(D962,'Team Data'!C:AB,9,FALSE),"")</f>
        <v/>
      </c>
      <c r="L962" t="str">
        <f>IFERROR(VLOOKUP(D962,'Team Data'!C:AB,10,FALSE),"")</f>
        <v/>
      </c>
      <c r="M962" t="str">
        <f t="shared" si="30"/>
        <v/>
      </c>
      <c r="N962" t="str">
        <f>IFERROR(VLOOKUP(D962,'Team Data'!C:AB,23,FALSE),"")</f>
        <v/>
      </c>
      <c r="O962" t="str">
        <f>IFERROR(VLOOKUP(D962,'Team Data'!C:AB,22,FALSE),"")</f>
        <v/>
      </c>
      <c r="P962" t="str">
        <f t="shared" si="31"/>
        <v/>
      </c>
      <c r="Q962" t="str">
        <f>IFERROR(VLOOKUP(D962,'Team Data'!C:AB,15,FALSE),"")</f>
        <v/>
      </c>
      <c r="R962" t="str">
        <f>IFERROR(VLOOKUP('OB Format'!D962,'Team Data'!C:AB,24,FALSE),"")</f>
        <v/>
      </c>
      <c r="S962" t="str">
        <f>IFERROR(VLOOKUP('OB Format'!D962,'Team Data'!C:AC,25,FALSE),"")</f>
        <v/>
      </c>
    </row>
    <row r="963" spans="5:19" x14ac:dyDescent="0.25">
      <c r="E963" t="str">
        <f>IFERROR(VLOOKUP(D963,'Team Data'!C:AB,4,FALSE),"")</f>
        <v/>
      </c>
      <c r="F963" t="str">
        <f>IFERROR(VLOOKUP(D963,'Team Data'!C:AB,5,FALSE),"")</f>
        <v/>
      </c>
      <c r="G963" t="str">
        <f>IFERROR(VLOOKUP('OB Format'!D963,'Team Data'!C:AB,17,FALSE),"")</f>
        <v/>
      </c>
      <c r="H963" t="str">
        <f>IFERROR(VLOOKUP(D963,'Team Data'!C:AB,7,FALSE),"")</f>
        <v/>
      </c>
      <c r="I963" t="str">
        <f>IFERROR(VLOOKUP(D963,'Team Data'!C:AB,14,FALSE),"")</f>
        <v/>
      </c>
      <c r="J963" t="str">
        <f>IFERROR(VLOOKUP(D963,'Team Data'!C:AB,8,FALSE),"")</f>
        <v/>
      </c>
      <c r="K963" t="str">
        <f>IFERROR(VLOOKUP(D963,'Team Data'!C:AB,9,FALSE),"")</f>
        <v/>
      </c>
      <c r="L963" t="str">
        <f>IFERROR(VLOOKUP(D963,'Team Data'!C:AB,10,FALSE),"")</f>
        <v/>
      </c>
      <c r="M963" t="str">
        <f t="shared" si="30"/>
        <v/>
      </c>
      <c r="N963" t="str">
        <f>IFERROR(VLOOKUP(D963,'Team Data'!C:AB,23,FALSE),"")</f>
        <v/>
      </c>
      <c r="O963" t="str">
        <f>IFERROR(VLOOKUP(D963,'Team Data'!C:AB,22,FALSE),"")</f>
        <v/>
      </c>
      <c r="P963" t="str">
        <f t="shared" si="31"/>
        <v/>
      </c>
      <c r="Q963" t="str">
        <f>IFERROR(VLOOKUP(D963,'Team Data'!C:AB,15,FALSE),"")</f>
        <v/>
      </c>
      <c r="R963" t="str">
        <f>IFERROR(VLOOKUP('OB Format'!D963,'Team Data'!C:AB,24,FALSE),"")</f>
        <v/>
      </c>
      <c r="S963" t="str">
        <f>IFERROR(VLOOKUP('OB Format'!D963,'Team Data'!C:AC,25,FALSE),"")</f>
        <v/>
      </c>
    </row>
    <row r="964" spans="5:19" x14ac:dyDescent="0.25">
      <c r="E964" t="str">
        <f>IFERROR(VLOOKUP(D964,'Team Data'!C:AB,4,FALSE),"")</f>
        <v/>
      </c>
      <c r="F964" t="str">
        <f>IFERROR(VLOOKUP(D964,'Team Data'!C:AB,5,FALSE),"")</f>
        <v/>
      </c>
      <c r="G964" t="str">
        <f>IFERROR(VLOOKUP('OB Format'!D964,'Team Data'!C:AB,17,FALSE),"")</f>
        <v/>
      </c>
      <c r="H964" t="str">
        <f>IFERROR(VLOOKUP(D964,'Team Data'!C:AB,7,FALSE),"")</f>
        <v/>
      </c>
      <c r="I964" t="str">
        <f>IFERROR(VLOOKUP(D964,'Team Data'!C:AB,14,FALSE),"")</f>
        <v/>
      </c>
      <c r="J964" t="str">
        <f>IFERROR(VLOOKUP(D964,'Team Data'!C:AB,8,FALSE),"")</f>
        <v/>
      </c>
      <c r="K964" t="str">
        <f>IFERROR(VLOOKUP(D964,'Team Data'!C:AB,9,FALSE),"")</f>
        <v/>
      </c>
      <c r="L964" t="str">
        <f>IFERROR(VLOOKUP(D964,'Team Data'!C:AB,10,FALSE),"")</f>
        <v/>
      </c>
      <c r="M964" t="str">
        <f t="shared" si="30"/>
        <v/>
      </c>
      <c r="N964" t="str">
        <f>IFERROR(VLOOKUP(D964,'Team Data'!C:AB,23,FALSE),"")</f>
        <v/>
      </c>
      <c r="O964" t="str">
        <f>IFERROR(VLOOKUP(D964,'Team Data'!C:AB,22,FALSE),"")</f>
        <v/>
      </c>
      <c r="P964" t="str">
        <f t="shared" si="31"/>
        <v/>
      </c>
      <c r="Q964" t="str">
        <f>IFERROR(VLOOKUP(D964,'Team Data'!C:AB,15,FALSE),"")</f>
        <v/>
      </c>
      <c r="R964" t="str">
        <f>IFERROR(VLOOKUP('OB Format'!D964,'Team Data'!C:AB,24,FALSE),"")</f>
        <v/>
      </c>
      <c r="S964" t="str">
        <f>IFERROR(VLOOKUP('OB Format'!D964,'Team Data'!C:AC,25,FALSE),"")</f>
        <v/>
      </c>
    </row>
    <row r="965" spans="5:19" x14ac:dyDescent="0.25">
      <c r="E965" t="str">
        <f>IFERROR(VLOOKUP(D965,'Team Data'!C:AB,4,FALSE),"")</f>
        <v/>
      </c>
      <c r="F965" t="str">
        <f>IFERROR(VLOOKUP(D965,'Team Data'!C:AB,5,FALSE),"")</f>
        <v/>
      </c>
      <c r="G965" t="str">
        <f>IFERROR(VLOOKUP('OB Format'!D965,'Team Data'!C:AB,17,FALSE),"")</f>
        <v/>
      </c>
      <c r="H965" t="str">
        <f>IFERROR(VLOOKUP(D965,'Team Data'!C:AB,7,FALSE),"")</f>
        <v/>
      </c>
      <c r="I965" t="str">
        <f>IFERROR(VLOOKUP(D965,'Team Data'!C:AB,14,FALSE),"")</f>
        <v/>
      </c>
      <c r="J965" t="str">
        <f>IFERROR(VLOOKUP(D965,'Team Data'!C:AB,8,FALSE),"")</f>
        <v/>
      </c>
      <c r="K965" t="str">
        <f>IFERROR(VLOOKUP(D965,'Team Data'!C:AB,9,FALSE),"")</f>
        <v/>
      </c>
      <c r="L965" t="str">
        <f>IFERROR(VLOOKUP(D965,'Team Data'!C:AB,10,FALSE),"")</f>
        <v/>
      </c>
      <c r="M965" t="str">
        <f t="shared" si="30"/>
        <v/>
      </c>
      <c r="N965" t="str">
        <f>IFERROR(VLOOKUP(D965,'Team Data'!C:AB,23,FALSE),"")</f>
        <v/>
      </c>
      <c r="O965" t="str">
        <f>IFERROR(VLOOKUP(D965,'Team Data'!C:AB,22,FALSE),"")</f>
        <v/>
      </c>
      <c r="P965" t="str">
        <f t="shared" si="31"/>
        <v/>
      </c>
      <c r="Q965" t="str">
        <f>IFERROR(VLOOKUP(D965,'Team Data'!C:AB,15,FALSE),"")</f>
        <v/>
      </c>
      <c r="R965" t="str">
        <f>IFERROR(VLOOKUP('OB Format'!D965,'Team Data'!C:AB,24,FALSE),"")</f>
        <v/>
      </c>
      <c r="S965" t="str">
        <f>IFERROR(VLOOKUP('OB Format'!D965,'Team Data'!C:AC,25,FALSE),"")</f>
        <v/>
      </c>
    </row>
    <row r="966" spans="5:19" x14ac:dyDescent="0.25">
      <c r="E966" t="str">
        <f>IFERROR(VLOOKUP(D966,'Team Data'!C:AB,4,FALSE),"")</f>
        <v/>
      </c>
      <c r="F966" t="str">
        <f>IFERROR(VLOOKUP(D966,'Team Data'!C:AB,5,FALSE),"")</f>
        <v/>
      </c>
      <c r="G966" t="str">
        <f>IFERROR(VLOOKUP('OB Format'!D966,'Team Data'!C:AB,17,FALSE),"")</f>
        <v/>
      </c>
      <c r="H966" t="str">
        <f>IFERROR(VLOOKUP(D966,'Team Data'!C:AB,7,FALSE),"")</f>
        <v/>
      </c>
      <c r="I966" t="str">
        <f>IFERROR(VLOOKUP(D966,'Team Data'!C:AB,14,FALSE),"")</f>
        <v/>
      </c>
      <c r="J966" t="str">
        <f>IFERROR(VLOOKUP(D966,'Team Data'!C:AB,8,FALSE),"")</f>
        <v/>
      </c>
      <c r="K966" t="str">
        <f>IFERROR(VLOOKUP(D966,'Team Data'!C:AB,9,FALSE),"")</f>
        <v/>
      </c>
      <c r="L966" t="str">
        <f>IFERROR(VLOOKUP(D966,'Team Data'!C:AB,10,FALSE),"")</f>
        <v/>
      </c>
      <c r="M966" t="str">
        <f t="shared" si="30"/>
        <v/>
      </c>
      <c r="N966" t="str">
        <f>IFERROR(VLOOKUP(D966,'Team Data'!C:AB,23,FALSE),"")</f>
        <v/>
      </c>
      <c r="O966" t="str">
        <f>IFERROR(VLOOKUP(D966,'Team Data'!C:AB,22,FALSE),"")</f>
        <v/>
      </c>
      <c r="P966" t="str">
        <f t="shared" si="31"/>
        <v/>
      </c>
      <c r="Q966" t="str">
        <f>IFERROR(VLOOKUP(D966,'Team Data'!C:AB,15,FALSE),"")</f>
        <v/>
      </c>
      <c r="R966" t="str">
        <f>IFERROR(VLOOKUP('OB Format'!D966,'Team Data'!C:AB,24,FALSE),"")</f>
        <v/>
      </c>
      <c r="S966" t="str">
        <f>IFERROR(VLOOKUP('OB Format'!D966,'Team Data'!C:AC,25,FALSE),"")</f>
        <v/>
      </c>
    </row>
    <row r="967" spans="5:19" x14ac:dyDescent="0.25">
      <c r="E967" t="str">
        <f>IFERROR(VLOOKUP(D967,'Team Data'!C:AB,4,FALSE),"")</f>
        <v/>
      </c>
      <c r="F967" t="str">
        <f>IFERROR(VLOOKUP(D967,'Team Data'!C:AB,5,FALSE),"")</f>
        <v/>
      </c>
      <c r="G967" t="str">
        <f>IFERROR(VLOOKUP('OB Format'!D967,'Team Data'!C:AB,17,FALSE),"")</f>
        <v/>
      </c>
      <c r="H967" t="str">
        <f>IFERROR(VLOOKUP(D967,'Team Data'!C:AB,7,FALSE),"")</f>
        <v/>
      </c>
      <c r="I967" t="str">
        <f>IFERROR(VLOOKUP(D967,'Team Data'!C:AB,14,FALSE),"")</f>
        <v/>
      </c>
      <c r="J967" t="str">
        <f>IFERROR(VLOOKUP(D967,'Team Data'!C:AB,8,FALSE),"")</f>
        <v/>
      </c>
      <c r="K967" t="str">
        <f>IFERROR(VLOOKUP(D967,'Team Data'!C:AB,9,FALSE),"")</f>
        <v/>
      </c>
      <c r="L967" t="str">
        <f>IFERROR(VLOOKUP(D967,'Team Data'!C:AB,10,FALSE),"")</f>
        <v/>
      </c>
      <c r="M967" t="str">
        <f t="shared" si="30"/>
        <v/>
      </c>
      <c r="N967" t="str">
        <f>IFERROR(VLOOKUP(D967,'Team Data'!C:AB,23,FALSE),"")</f>
        <v/>
      </c>
      <c r="O967" t="str">
        <f>IFERROR(VLOOKUP(D967,'Team Data'!C:AB,22,FALSE),"")</f>
        <v/>
      </c>
      <c r="P967" t="str">
        <f t="shared" si="31"/>
        <v/>
      </c>
      <c r="Q967" t="str">
        <f>IFERROR(VLOOKUP(D967,'Team Data'!C:AB,15,FALSE),"")</f>
        <v/>
      </c>
      <c r="R967" t="str">
        <f>IFERROR(VLOOKUP('OB Format'!D967,'Team Data'!C:AB,24,FALSE),"")</f>
        <v/>
      </c>
      <c r="S967" t="str">
        <f>IFERROR(VLOOKUP('OB Format'!D967,'Team Data'!C:AC,25,FALSE),"")</f>
        <v/>
      </c>
    </row>
    <row r="968" spans="5:19" x14ac:dyDescent="0.25">
      <c r="E968" t="str">
        <f>IFERROR(VLOOKUP(D968,'Team Data'!C:AB,4,FALSE),"")</f>
        <v/>
      </c>
      <c r="F968" t="str">
        <f>IFERROR(VLOOKUP(D968,'Team Data'!C:AB,5,FALSE),"")</f>
        <v/>
      </c>
      <c r="G968" t="str">
        <f>IFERROR(VLOOKUP('OB Format'!D968,'Team Data'!C:AB,17,FALSE),"")</f>
        <v/>
      </c>
      <c r="H968" t="str">
        <f>IFERROR(VLOOKUP(D968,'Team Data'!C:AB,7,FALSE),"")</f>
        <v/>
      </c>
      <c r="I968" t="str">
        <f>IFERROR(VLOOKUP(D968,'Team Data'!C:AB,14,FALSE),"")</f>
        <v/>
      </c>
      <c r="J968" t="str">
        <f>IFERROR(VLOOKUP(D968,'Team Data'!C:AB,8,FALSE),"")</f>
        <v/>
      </c>
      <c r="K968" t="str">
        <f>IFERROR(VLOOKUP(D968,'Team Data'!C:AB,9,FALSE),"")</f>
        <v/>
      </c>
      <c r="L968" t="str">
        <f>IFERROR(VLOOKUP(D968,'Team Data'!C:AB,10,FALSE),"")</f>
        <v/>
      </c>
      <c r="M968" t="str">
        <f t="shared" si="30"/>
        <v/>
      </c>
      <c r="N968" t="str">
        <f>IFERROR(VLOOKUP(D968,'Team Data'!C:AB,23,FALSE),"")</f>
        <v/>
      </c>
      <c r="O968" t="str">
        <f>IFERROR(VLOOKUP(D968,'Team Data'!C:AB,22,FALSE),"")</f>
        <v/>
      </c>
      <c r="P968" t="str">
        <f t="shared" si="31"/>
        <v/>
      </c>
      <c r="Q968" t="str">
        <f>IFERROR(VLOOKUP(D968,'Team Data'!C:AB,15,FALSE),"")</f>
        <v/>
      </c>
      <c r="R968" t="str">
        <f>IFERROR(VLOOKUP('OB Format'!D968,'Team Data'!C:AB,24,FALSE),"")</f>
        <v/>
      </c>
      <c r="S968" t="str">
        <f>IFERROR(VLOOKUP('OB Format'!D968,'Team Data'!C:AC,25,FALSE),"")</f>
        <v/>
      </c>
    </row>
    <row r="969" spans="5:19" x14ac:dyDescent="0.25">
      <c r="E969" t="str">
        <f>IFERROR(VLOOKUP(D969,'Team Data'!C:AB,4,FALSE),"")</f>
        <v/>
      </c>
      <c r="F969" t="str">
        <f>IFERROR(VLOOKUP(D969,'Team Data'!C:AB,5,FALSE),"")</f>
        <v/>
      </c>
      <c r="G969" t="str">
        <f>IFERROR(VLOOKUP('OB Format'!D969,'Team Data'!C:AB,17,FALSE),"")</f>
        <v/>
      </c>
      <c r="H969" t="str">
        <f>IFERROR(VLOOKUP(D969,'Team Data'!C:AB,7,FALSE),"")</f>
        <v/>
      </c>
      <c r="I969" t="str">
        <f>IFERROR(VLOOKUP(D969,'Team Data'!C:AB,14,FALSE),"")</f>
        <v/>
      </c>
      <c r="J969" t="str">
        <f>IFERROR(VLOOKUP(D969,'Team Data'!C:AB,8,FALSE),"")</f>
        <v/>
      </c>
      <c r="K969" t="str">
        <f>IFERROR(VLOOKUP(D969,'Team Data'!C:AB,9,FALSE),"")</f>
        <v/>
      </c>
      <c r="L969" t="str">
        <f>IFERROR(VLOOKUP(D969,'Team Data'!C:AB,10,FALSE),"")</f>
        <v/>
      </c>
      <c r="M969" t="str">
        <f t="shared" si="30"/>
        <v/>
      </c>
      <c r="N969" t="str">
        <f>IFERROR(VLOOKUP(D969,'Team Data'!C:AB,23,FALSE),"")</f>
        <v/>
      </c>
      <c r="O969" t="str">
        <f>IFERROR(VLOOKUP(D969,'Team Data'!C:AB,22,FALSE),"")</f>
        <v/>
      </c>
      <c r="P969" t="str">
        <f t="shared" si="31"/>
        <v/>
      </c>
      <c r="Q969" t="str">
        <f>IFERROR(VLOOKUP(D969,'Team Data'!C:AB,15,FALSE),"")</f>
        <v/>
      </c>
      <c r="R969" t="str">
        <f>IFERROR(VLOOKUP('OB Format'!D969,'Team Data'!C:AB,24,FALSE),"")</f>
        <v/>
      </c>
      <c r="S969" t="str">
        <f>IFERROR(VLOOKUP('OB Format'!D969,'Team Data'!C:AC,25,FALSE),"")</f>
        <v/>
      </c>
    </row>
    <row r="970" spans="5:19" x14ac:dyDescent="0.25">
      <c r="E970" t="str">
        <f>IFERROR(VLOOKUP(D970,'Team Data'!C:AB,4,FALSE),"")</f>
        <v/>
      </c>
      <c r="F970" t="str">
        <f>IFERROR(VLOOKUP(D970,'Team Data'!C:AB,5,FALSE),"")</f>
        <v/>
      </c>
      <c r="G970" t="str">
        <f>IFERROR(VLOOKUP('OB Format'!D970,'Team Data'!C:AB,17,FALSE),"")</f>
        <v/>
      </c>
      <c r="H970" t="str">
        <f>IFERROR(VLOOKUP(D970,'Team Data'!C:AB,7,FALSE),"")</f>
        <v/>
      </c>
      <c r="I970" t="str">
        <f>IFERROR(VLOOKUP(D970,'Team Data'!C:AB,14,FALSE),"")</f>
        <v/>
      </c>
      <c r="J970" t="str">
        <f>IFERROR(VLOOKUP(D970,'Team Data'!C:AB,8,FALSE),"")</f>
        <v/>
      </c>
      <c r="K970" t="str">
        <f>IFERROR(VLOOKUP(D970,'Team Data'!C:AB,9,FALSE),"")</f>
        <v/>
      </c>
      <c r="L970" t="str">
        <f>IFERROR(VLOOKUP(D970,'Team Data'!C:AB,10,FALSE),"")</f>
        <v/>
      </c>
      <c r="M970" t="str">
        <f t="shared" si="30"/>
        <v/>
      </c>
      <c r="N970" t="str">
        <f>IFERROR(VLOOKUP(D970,'Team Data'!C:AB,23,FALSE),"")</f>
        <v/>
      </c>
      <c r="O970" t="str">
        <f>IFERROR(VLOOKUP(D970,'Team Data'!C:AB,22,FALSE),"")</f>
        <v/>
      </c>
      <c r="P970" t="str">
        <f t="shared" si="31"/>
        <v/>
      </c>
      <c r="Q970" t="str">
        <f>IFERROR(VLOOKUP(D970,'Team Data'!C:AB,15,FALSE),"")</f>
        <v/>
      </c>
      <c r="R970" t="str">
        <f>IFERROR(VLOOKUP('OB Format'!D970,'Team Data'!C:AB,24,FALSE),"")</f>
        <v/>
      </c>
      <c r="S970" t="str">
        <f>IFERROR(VLOOKUP('OB Format'!D970,'Team Data'!C:AC,25,FALSE),"")</f>
        <v/>
      </c>
    </row>
    <row r="971" spans="5:19" x14ac:dyDescent="0.25">
      <c r="E971" t="str">
        <f>IFERROR(VLOOKUP(D971,'Team Data'!C:AB,4,FALSE),"")</f>
        <v/>
      </c>
      <c r="F971" t="str">
        <f>IFERROR(VLOOKUP(D971,'Team Data'!C:AB,5,FALSE),"")</f>
        <v/>
      </c>
      <c r="G971" t="str">
        <f>IFERROR(VLOOKUP('OB Format'!D971,'Team Data'!C:AB,17,FALSE),"")</f>
        <v/>
      </c>
      <c r="H971" t="str">
        <f>IFERROR(VLOOKUP(D971,'Team Data'!C:AB,7,FALSE),"")</f>
        <v/>
      </c>
      <c r="I971" t="str">
        <f>IFERROR(VLOOKUP(D971,'Team Data'!C:AB,14,FALSE),"")</f>
        <v/>
      </c>
      <c r="J971" t="str">
        <f>IFERROR(VLOOKUP(D971,'Team Data'!C:AB,8,FALSE),"")</f>
        <v/>
      </c>
      <c r="K971" t="str">
        <f>IFERROR(VLOOKUP(D971,'Team Data'!C:AB,9,FALSE),"")</f>
        <v/>
      </c>
      <c r="L971" t="str">
        <f>IFERROR(VLOOKUP(D971,'Team Data'!C:AB,10,FALSE),"")</f>
        <v/>
      </c>
      <c r="M971" t="str">
        <f t="shared" si="30"/>
        <v/>
      </c>
      <c r="N971" t="str">
        <f>IFERROR(VLOOKUP(D971,'Team Data'!C:AB,23,FALSE),"")</f>
        <v/>
      </c>
      <c r="O971" t="str">
        <f>IFERROR(VLOOKUP(D971,'Team Data'!C:AB,22,FALSE),"")</f>
        <v/>
      </c>
      <c r="P971" t="str">
        <f t="shared" si="31"/>
        <v/>
      </c>
      <c r="Q971" t="str">
        <f>IFERROR(VLOOKUP(D971,'Team Data'!C:AB,15,FALSE),"")</f>
        <v/>
      </c>
      <c r="R971" t="str">
        <f>IFERROR(VLOOKUP('OB Format'!D971,'Team Data'!C:AB,24,FALSE),"")</f>
        <v/>
      </c>
      <c r="S971" t="str">
        <f>IFERROR(VLOOKUP('OB Format'!D971,'Team Data'!C:AC,25,FALSE),"")</f>
        <v/>
      </c>
    </row>
    <row r="972" spans="5:19" x14ac:dyDescent="0.25">
      <c r="E972" t="str">
        <f>IFERROR(VLOOKUP(D972,'Team Data'!C:AB,4,FALSE),"")</f>
        <v/>
      </c>
      <c r="F972" t="str">
        <f>IFERROR(VLOOKUP(D972,'Team Data'!C:AB,5,FALSE),"")</f>
        <v/>
      </c>
      <c r="G972" t="str">
        <f>IFERROR(VLOOKUP('OB Format'!D972,'Team Data'!C:AB,17,FALSE),"")</f>
        <v/>
      </c>
      <c r="H972" t="str">
        <f>IFERROR(VLOOKUP(D972,'Team Data'!C:AB,7,FALSE),"")</f>
        <v/>
      </c>
      <c r="I972" t="str">
        <f>IFERROR(VLOOKUP(D972,'Team Data'!C:AB,14,FALSE),"")</f>
        <v/>
      </c>
      <c r="J972" t="str">
        <f>IFERROR(VLOOKUP(D972,'Team Data'!C:AB,8,FALSE),"")</f>
        <v/>
      </c>
      <c r="K972" t="str">
        <f>IFERROR(VLOOKUP(D972,'Team Data'!C:AB,9,FALSE),"")</f>
        <v/>
      </c>
      <c r="L972" t="str">
        <f>IFERROR(VLOOKUP(D972,'Team Data'!C:AB,10,FALSE),"")</f>
        <v/>
      </c>
      <c r="M972" t="str">
        <f t="shared" si="30"/>
        <v/>
      </c>
      <c r="N972" t="str">
        <f>IFERROR(VLOOKUP(D972,'Team Data'!C:AB,23,FALSE),"")</f>
        <v/>
      </c>
      <c r="O972" t="str">
        <f>IFERROR(VLOOKUP(D972,'Team Data'!C:AB,22,FALSE),"")</f>
        <v/>
      </c>
      <c r="P972" t="str">
        <f t="shared" si="31"/>
        <v/>
      </c>
      <c r="Q972" t="str">
        <f>IFERROR(VLOOKUP(D972,'Team Data'!C:AB,15,FALSE),"")</f>
        <v/>
      </c>
      <c r="R972" t="str">
        <f>IFERROR(VLOOKUP('OB Format'!D972,'Team Data'!C:AB,24,FALSE),"")</f>
        <v/>
      </c>
      <c r="S972" t="str">
        <f>IFERROR(VLOOKUP('OB Format'!D972,'Team Data'!C:AC,25,FALSE),"")</f>
        <v/>
      </c>
    </row>
    <row r="973" spans="5:19" x14ac:dyDescent="0.25">
      <c r="E973" t="str">
        <f>IFERROR(VLOOKUP(D973,'Team Data'!C:AB,4,FALSE),"")</f>
        <v/>
      </c>
      <c r="F973" t="str">
        <f>IFERROR(VLOOKUP(D973,'Team Data'!C:AB,5,FALSE),"")</f>
        <v/>
      </c>
      <c r="G973" t="str">
        <f>IFERROR(VLOOKUP('OB Format'!D973,'Team Data'!C:AB,17,FALSE),"")</f>
        <v/>
      </c>
      <c r="H973" t="str">
        <f>IFERROR(VLOOKUP(D973,'Team Data'!C:AB,7,FALSE),"")</f>
        <v/>
      </c>
      <c r="I973" t="str">
        <f>IFERROR(VLOOKUP(D973,'Team Data'!C:AB,14,FALSE),"")</f>
        <v/>
      </c>
      <c r="J973" t="str">
        <f>IFERROR(VLOOKUP(D973,'Team Data'!C:AB,8,FALSE),"")</f>
        <v/>
      </c>
      <c r="K973" t="str">
        <f>IFERROR(VLOOKUP(D973,'Team Data'!C:AB,9,FALSE),"")</f>
        <v/>
      </c>
      <c r="L973" t="str">
        <f>IFERROR(VLOOKUP(D973,'Team Data'!C:AB,10,FALSE),"")</f>
        <v/>
      </c>
      <c r="M973" t="str">
        <f t="shared" ref="M973:M1036" si="32">IFERROR(H973-(J973+L973+K973),"")</f>
        <v/>
      </c>
      <c r="N973" t="str">
        <f>IFERROR(VLOOKUP(D973,'Team Data'!C:AB,23,FALSE),"")</f>
        <v/>
      </c>
      <c r="O973" t="str">
        <f>IFERROR(VLOOKUP(D973,'Team Data'!C:AB,22,FALSE),"")</f>
        <v/>
      </c>
      <c r="P973" t="str">
        <f t="shared" ref="P973:P1036" si="33">IFERROR(E973-(H973+N973+Q973+I973+O973),"")</f>
        <v/>
      </c>
      <c r="Q973" t="str">
        <f>IFERROR(VLOOKUP(D973,'Team Data'!C:AB,15,FALSE),"")</f>
        <v/>
      </c>
      <c r="R973" t="str">
        <f>IFERROR(VLOOKUP('OB Format'!D973,'Team Data'!C:AB,24,FALSE),"")</f>
        <v/>
      </c>
      <c r="S973" t="str">
        <f>IFERROR(VLOOKUP('OB Format'!D973,'Team Data'!C:AC,25,FALSE),"")</f>
        <v/>
      </c>
    </row>
    <row r="974" spans="5:19" x14ac:dyDescent="0.25">
      <c r="E974" t="str">
        <f>IFERROR(VLOOKUP(D974,'Team Data'!C:AB,4,FALSE),"")</f>
        <v/>
      </c>
      <c r="F974" t="str">
        <f>IFERROR(VLOOKUP(D974,'Team Data'!C:AB,5,FALSE),"")</f>
        <v/>
      </c>
      <c r="G974" t="str">
        <f>IFERROR(VLOOKUP('OB Format'!D974,'Team Data'!C:AB,17,FALSE),"")</f>
        <v/>
      </c>
      <c r="H974" t="str">
        <f>IFERROR(VLOOKUP(D974,'Team Data'!C:AB,7,FALSE),"")</f>
        <v/>
      </c>
      <c r="I974" t="str">
        <f>IFERROR(VLOOKUP(D974,'Team Data'!C:AB,14,FALSE),"")</f>
        <v/>
      </c>
      <c r="J974" t="str">
        <f>IFERROR(VLOOKUP(D974,'Team Data'!C:AB,8,FALSE),"")</f>
        <v/>
      </c>
      <c r="K974" t="str">
        <f>IFERROR(VLOOKUP(D974,'Team Data'!C:AB,9,FALSE),"")</f>
        <v/>
      </c>
      <c r="L974" t="str">
        <f>IFERROR(VLOOKUP(D974,'Team Data'!C:AB,10,FALSE),"")</f>
        <v/>
      </c>
      <c r="M974" t="str">
        <f t="shared" si="32"/>
        <v/>
      </c>
      <c r="N974" t="str">
        <f>IFERROR(VLOOKUP(D974,'Team Data'!C:AB,23,FALSE),"")</f>
        <v/>
      </c>
      <c r="O974" t="str">
        <f>IFERROR(VLOOKUP(D974,'Team Data'!C:AB,22,FALSE),"")</f>
        <v/>
      </c>
      <c r="P974" t="str">
        <f t="shared" si="33"/>
        <v/>
      </c>
      <c r="Q974" t="str">
        <f>IFERROR(VLOOKUP(D974,'Team Data'!C:AB,15,FALSE),"")</f>
        <v/>
      </c>
      <c r="R974" t="str">
        <f>IFERROR(VLOOKUP('OB Format'!D974,'Team Data'!C:AB,24,FALSE),"")</f>
        <v/>
      </c>
      <c r="S974" t="str">
        <f>IFERROR(VLOOKUP('OB Format'!D974,'Team Data'!C:AC,25,FALSE),"")</f>
        <v/>
      </c>
    </row>
    <row r="975" spans="5:19" x14ac:dyDescent="0.25">
      <c r="E975" t="str">
        <f>IFERROR(VLOOKUP(D975,'Team Data'!C:AB,4,FALSE),"")</f>
        <v/>
      </c>
      <c r="F975" t="str">
        <f>IFERROR(VLOOKUP(D975,'Team Data'!C:AB,5,FALSE),"")</f>
        <v/>
      </c>
      <c r="G975" t="str">
        <f>IFERROR(VLOOKUP('OB Format'!D975,'Team Data'!C:AB,17,FALSE),"")</f>
        <v/>
      </c>
      <c r="H975" t="str">
        <f>IFERROR(VLOOKUP(D975,'Team Data'!C:AB,7,FALSE),"")</f>
        <v/>
      </c>
      <c r="I975" t="str">
        <f>IFERROR(VLOOKUP(D975,'Team Data'!C:AB,14,FALSE),"")</f>
        <v/>
      </c>
      <c r="J975" t="str">
        <f>IFERROR(VLOOKUP(D975,'Team Data'!C:AB,8,FALSE),"")</f>
        <v/>
      </c>
      <c r="K975" t="str">
        <f>IFERROR(VLOOKUP(D975,'Team Data'!C:AB,9,FALSE),"")</f>
        <v/>
      </c>
      <c r="L975" t="str">
        <f>IFERROR(VLOOKUP(D975,'Team Data'!C:AB,10,FALSE),"")</f>
        <v/>
      </c>
      <c r="M975" t="str">
        <f t="shared" si="32"/>
        <v/>
      </c>
      <c r="N975" t="str">
        <f>IFERROR(VLOOKUP(D975,'Team Data'!C:AB,23,FALSE),"")</f>
        <v/>
      </c>
      <c r="O975" t="str">
        <f>IFERROR(VLOOKUP(D975,'Team Data'!C:AB,22,FALSE),"")</f>
        <v/>
      </c>
      <c r="P975" t="str">
        <f t="shared" si="33"/>
        <v/>
      </c>
      <c r="Q975" t="str">
        <f>IFERROR(VLOOKUP(D975,'Team Data'!C:AB,15,FALSE),"")</f>
        <v/>
      </c>
      <c r="R975" t="str">
        <f>IFERROR(VLOOKUP('OB Format'!D975,'Team Data'!C:AB,24,FALSE),"")</f>
        <v/>
      </c>
      <c r="S975" t="str">
        <f>IFERROR(VLOOKUP('OB Format'!D975,'Team Data'!C:AC,25,FALSE),"")</f>
        <v/>
      </c>
    </row>
    <row r="976" spans="5:19" x14ac:dyDescent="0.25">
      <c r="E976" t="str">
        <f>IFERROR(VLOOKUP(D976,'Team Data'!C:AB,4,FALSE),"")</f>
        <v/>
      </c>
      <c r="F976" t="str">
        <f>IFERROR(VLOOKUP(D976,'Team Data'!C:AB,5,FALSE),"")</f>
        <v/>
      </c>
      <c r="G976" t="str">
        <f>IFERROR(VLOOKUP('OB Format'!D976,'Team Data'!C:AB,17,FALSE),"")</f>
        <v/>
      </c>
      <c r="H976" t="str">
        <f>IFERROR(VLOOKUP(D976,'Team Data'!C:AB,7,FALSE),"")</f>
        <v/>
      </c>
      <c r="I976" t="str">
        <f>IFERROR(VLOOKUP(D976,'Team Data'!C:AB,14,FALSE),"")</f>
        <v/>
      </c>
      <c r="J976" t="str">
        <f>IFERROR(VLOOKUP(D976,'Team Data'!C:AB,8,FALSE),"")</f>
        <v/>
      </c>
      <c r="K976" t="str">
        <f>IFERROR(VLOOKUP(D976,'Team Data'!C:AB,9,FALSE),"")</f>
        <v/>
      </c>
      <c r="L976" t="str">
        <f>IFERROR(VLOOKUP(D976,'Team Data'!C:AB,10,FALSE),"")</f>
        <v/>
      </c>
      <c r="M976" t="str">
        <f t="shared" si="32"/>
        <v/>
      </c>
      <c r="N976" t="str">
        <f>IFERROR(VLOOKUP(D976,'Team Data'!C:AB,23,FALSE),"")</f>
        <v/>
      </c>
      <c r="O976" t="str">
        <f>IFERROR(VLOOKUP(D976,'Team Data'!C:AB,22,FALSE),"")</f>
        <v/>
      </c>
      <c r="P976" t="str">
        <f t="shared" si="33"/>
        <v/>
      </c>
      <c r="Q976" t="str">
        <f>IFERROR(VLOOKUP(D976,'Team Data'!C:AB,15,FALSE),"")</f>
        <v/>
      </c>
      <c r="R976" t="str">
        <f>IFERROR(VLOOKUP('OB Format'!D976,'Team Data'!C:AB,24,FALSE),"")</f>
        <v/>
      </c>
      <c r="S976" t="str">
        <f>IFERROR(VLOOKUP('OB Format'!D976,'Team Data'!C:AC,25,FALSE),"")</f>
        <v/>
      </c>
    </row>
    <row r="977" spans="5:19" x14ac:dyDescent="0.25">
      <c r="E977" t="str">
        <f>IFERROR(VLOOKUP(D977,'Team Data'!C:AB,4,FALSE),"")</f>
        <v/>
      </c>
      <c r="F977" t="str">
        <f>IFERROR(VLOOKUP(D977,'Team Data'!C:AB,5,FALSE),"")</f>
        <v/>
      </c>
      <c r="G977" t="str">
        <f>IFERROR(VLOOKUP('OB Format'!D977,'Team Data'!C:AB,17,FALSE),"")</f>
        <v/>
      </c>
      <c r="H977" t="str">
        <f>IFERROR(VLOOKUP(D977,'Team Data'!C:AB,7,FALSE),"")</f>
        <v/>
      </c>
      <c r="I977" t="str">
        <f>IFERROR(VLOOKUP(D977,'Team Data'!C:AB,14,FALSE),"")</f>
        <v/>
      </c>
      <c r="J977" t="str">
        <f>IFERROR(VLOOKUP(D977,'Team Data'!C:AB,8,FALSE),"")</f>
        <v/>
      </c>
      <c r="K977" t="str">
        <f>IFERROR(VLOOKUP(D977,'Team Data'!C:AB,9,FALSE),"")</f>
        <v/>
      </c>
      <c r="L977" t="str">
        <f>IFERROR(VLOOKUP(D977,'Team Data'!C:AB,10,FALSE),"")</f>
        <v/>
      </c>
      <c r="M977" t="str">
        <f t="shared" si="32"/>
        <v/>
      </c>
      <c r="N977" t="str">
        <f>IFERROR(VLOOKUP(D977,'Team Data'!C:AB,23,FALSE),"")</f>
        <v/>
      </c>
      <c r="O977" t="str">
        <f>IFERROR(VLOOKUP(D977,'Team Data'!C:AB,22,FALSE),"")</f>
        <v/>
      </c>
      <c r="P977" t="str">
        <f t="shared" si="33"/>
        <v/>
      </c>
      <c r="Q977" t="str">
        <f>IFERROR(VLOOKUP(D977,'Team Data'!C:AB,15,FALSE),"")</f>
        <v/>
      </c>
      <c r="R977" t="str">
        <f>IFERROR(VLOOKUP('OB Format'!D977,'Team Data'!C:AB,24,FALSE),"")</f>
        <v/>
      </c>
      <c r="S977" t="str">
        <f>IFERROR(VLOOKUP('OB Format'!D977,'Team Data'!C:AC,25,FALSE),"")</f>
        <v/>
      </c>
    </row>
    <row r="978" spans="5:19" x14ac:dyDescent="0.25">
      <c r="E978" t="str">
        <f>IFERROR(VLOOKUP(D978,'Team Data'!C:AB,4,FALSE),"")</f>
        <v/>
      </c>
      <c r="F978" t="str">
        <f>IFERROR(VLOOKUP(D978,'Team Data'!C:AB,5,FALSE),"")</f>
        <v/>
      </c>
      <c r="G978" t="str">
        <f>IFERROR(VLOOKUP('OB Format'!D978,'Team Data'!C:AB,17,FALSE),"")</f>
        <v/>
      </c>
      <c r="H978" t="str">
        <f>IFERROR(VLOOKUP(D978,'Team Data'!C:AB,7,FALSE),"")</f>
        <v/>
      </c>
      <c r="I978" t="str">
        <f>IFERROR(VLOOKUP(D978,'Team Data'!C:AB,14,FALSE),"")</f>
        <v/>
      </c>
      <c r="J978" t="str">
        <f>IFERROR(VLOOKUP(D978,'Team Data'!C:AB,8,FALSE),"")</f>
        <v/>
      </c>
      <c r="K978" t="str">
        <f>IFERROR(VLOOKUP(D978,'Team Data'!C:AB,9,FALSE),"")</f>
        <v/>
      </c>
      <c r="L978" t="str">
        <f>IFERROR(VLOOKUP(D978,'Team Data'!C:AB,10,FALSE),"")</f>
        <v/>
      </c>
      <c r="M978" t="str">
        <f t="shared" si="32"/>
        <v/>
      </c>
      <c r="N978" t="str">
        <f>IFERROR(VLOOKUP(D978,'Team Data'!C:AB,23,FALSE),"")</f>
        <v/>
      </c>
      <c r="O978" t="str">
        <f>IFERROR(VLOOKUP(D978,'Team Data'!C:AB,22,FALSE),"")</f>
        <v/>
      </c>
      <c r="P978" t="str">
        <f t="shared" si="33"/>
        <v/>
      </c>
      <c r="Q978" t="str">
        <f>IFERROR(VLOOKUP(D978,'Team Data'!C:AB,15,FALSE),"")</f>
        <v/>
      </c>
      <c r="R978" t="str">
        <f>IFERROR(VLOOKUP('OB Format'!D978,'Team Data'!C:AB,24,FALSE),"")</f>
        <v/>
      </c>
      <c r="S978" t="str">
        <f>IFERROR(VLOOKUP('OB Format'!D978,'Team Data'!C:AC,25,FALSE),"")</f>
        <v/>
      </c>
    </row>
    <row r="979" spans="5:19" x14ac:dyDescent="0.25">
      <c r="E979" t="str">
        <f>IFERROR(VLOOKUP(D979,'Team Data'!C:AB,4,FALSE),"")</f>
        <v/>
      </c>
      <c r="F979" t="str">
        <f>IFERROR(VLOOKUP(D979,'Team Data'!C:AB,5,FALSE),"")</f>
        <v/>
      </c>
      <c r="G979" t="str">
        <f>IFERROR(VLOOKUP('OB Format'!D979,'Team Data'!C:AB,17,FALSE),"")</f>
        <v/>
      </c>
      <c r="H979" t="str">
        <f>IFERROR(VLOOKUP(D979,'Team Data'!C:AB,7,FALSE),"")</f>
        <v/>
      </c>
      <c r="I979" t="str">
        <f>IFERROR(VLOOKUP(D979,'Team Data'!C:AB,14,FALSE),"")</f>
        <v/>
      </c>
      <c r="J979" t="str">
        <f>IFERROR(VLOOKUP(D979,'Team Data'!C:AB,8,FALSE),"")</f>
        <v/>
      </c>
      <c r="K979" t="str">
        <f>IFERROR(VLOOKUP(D979,'Team Data'!C:AB,9,FALSE),"")</f>
        <v/>
      </c>
      <c r="L979" t="str">
        <f>IFERROR(VLOOKUP(D979,'Team Data'!C:AB,10,FALSE),"")</f>
        <v/>
      </c>
      <c r="M979" t="str">
        <f t="shared" si="32"/>
        <v/>
      </c>
      <c r="N979" t="str">
        <f>IFERROR(VLOOKUP(D979,'Team Data'!C:AB,23,FALSE),"")</f>
        <v/>
      </c>
      <c r="O979" t="str">
        <f>IFERROR(VLOOKUP(D979,'Team Data'!C:AB,22,FALSE),"")</f>
        <v/>
      </c>
      <c r="P979" t="str">
        <f t="shared" si="33"/>
        <v/>
      </c>
      <c r="Q979" t="str">
        <f>IFERROR(VLOOKUP(D979,'Team Data'!C:AB,15,FALSE),"")</f>
        <v/>
      </c>
      <c r="R979" t="str">
        <f>IFERROR(VLOOKUP('OB Format'!D979,'Team Data'!C:AB,24,FALSE),"")</f>
        <v/>
      </c>
      <c r="S979" t="str">
        <f>IFERROR(VLOOKUP('OB Format'!D979,'Team Data'!C:AC,25,FALSE),"")</f>
        <v/>
      </c>
    </row>
    <row r="980" spans="5:19" x14ac:dyDescent="0.25">
      <c r="E980" t="str">
        <f>IFERROR(VLOOKUP(D980,'Team Data'!C:AB,4,FALSE),"")</f>
        <v/>
      </c>
      <c r="F980" t="str">
        <f>IFERROR(VLOOKUP(D980,'Team Data'!C:AB,5,FALSE),"")</f>
        <v/>
      </c>
      <c r="G980" t="str">
        <f>IFERROR(VLOOKUP('OB Format'!D980,'Team Data'!C:AB,17,FALSE),"")</f>
        <v/>
      </c>
      <c r="H980" t="str">
        <f>IFERROR(VLOOKUP(D980,'Team Data'!C:AB,7,FALSE),"")</f>
        <v/>
      </c>
      <c r="I980" t="str">
        <f>IFERROR(VLOOKUP(D980,'Team Data'!C:AB,14,FALSE),"")</f>
        <v/>
      </c>
      <c r="J980" t="str">
        <f>IFERROR(VLOOKUP(D980,'Team Data'!C:AB,8,FALSE),"")</f>
        <v/>
      </c>
      <c r="K980" t="str">
        <f>IFERROR(VLOOKUP(D980,'Team Data'!C:AB,9,FALSE),"")</f>
        <v/>
      </c>
      <c r="L980" t="str">
        <f>IFERROR(VLOOKUP(D980,'Team Data'!C:AB,10,FALSE),"")</f>
        <v/>
      </c>
      <c r="M980" t="str">
        <f t="shared" si="32"/>
        <v/>
      </c>
      <c r="N980" t="str">
        <f>IFERROR(VLOOKUP(D980,'Team Data'!C:AB,23,FALSE),"")</f>
        <v/>
      </c>
      <c r="O980" t="str">
        <f>IFERROR(VLOOKUP(D980,'Team Data'!C:AB,22,FALSE),"")</f>
        <v/>
      </c>
      <c r="P980" t="str">
        <f t="shared" si="33"/>
        <v/>
      </c>
      <c r="Q980" t="str">
        <f>IFERROR(VLOOKUP(D980,'Team Data'!C:AB,15,FALSE),"")</f>
        <v/>
      </c>
      <c r="R980" t="str">
        <f>IFERROR(VLOOKUP('OB Format'!D980,'Team Data'!C:AB,24,FALSE),"")</f>
        <v/>
      </c>
      <c r="S980" t="str">
        <f>IFERROR(VLOOKUP('OB Format'!D980,'Team Data'!C:AC,25,FALSE),"")</f>
        <v/>
      </c>
    </row>
    <row r="981" spans="5:19" x14ac:dyDescent="0.25">
      <c r="E981" t="str">
        <f>IFERROR(VLOOKUP(D981,'Team Data'!C:AB,4,FALSE),"")</f>
        <v/>
      </c>
      <c r="F981" t="str">
        <f>IFERROR(VLOOKUP(D981,'Team Data'!C:AB,5,FALSE),"")</f>
        <v/>
      </c>
      <c r="G981" t="str">
        <f>IFERROR(VLOOKUP('OB Format'!D981,'Team Data'!C:AB,17,FALSE),"")</f>
        <v/>
      </c>
      <c r="H981" t="str">
        <f>IFERROR(VLOOKUP(D981,'Team Data'!C:AB,7,FALSE),"")</f>
        <v/>
      </c>
      <c r="I981" t="str">
        <f>IFERROR(VLOOKUP(D981,'Team Data'!C:AB,14,FALSE),"")</f>
        <v/>
      </c>
      <c r="J981" t="str">
        <f>IFERROR(VLOOKUP(D981,'Team Data'!C:AB,8,FALSE),"")</f>
        <v/>
      </c>
      <c r="K981" t="str">
        <f>IFERROR(VLOOKUP(D981,'Team Data'!C:AB,9,FALSE),"")</f>
        <v/>
      </c>
      <c r="L981" t="str">
        <f>IFERROR(VLOOKUP(D981,'Team Data'!C:AB,10,FALSE),"")</f>
        <v/>
      </c>
      <c r="M981" t="str">
        <f t="shared" si="32"/>
        <v/>
      </c>
      <c r="N981" t="str">
        <f>IFERROR(VLOOKUP(D981,'Team Data'!C:AB,23,FALSE),"")</f>
        <v/>
      </c>
      <c r="O981" t="str">
        <f>IFERROR(VLOOKUP(D981,'Team Data'!C:AB,22,FALSE),"")</f>
        <v/>
      </c>
      <c r="P981" t="str">
        <f t="shared" si="33"/>
        <v/>
      </c>
      <c r="Q981" t="str">
        <f>IFERROR(VLOOKUP(D981,'Team Data'!C:AB,15,FALSE),"")</f>
        <v/>
      </c>
      <c r="R981" t="str">
        <f>IFERROR(VLOOKUP('OB Format'!D981,'Team Data'!C:AB,24,FALSE),"")</f>
        <v/>
      </c>
      <c r="S981" t="str">
        <f>IFERROR(VLOOKUP('OB Format'!D981,'Team Data'!C:AC,25,FALSE),"")</f>
        <v/>
      </c>
    </row>
    <row r="982" spans="5:19" x14ac:dyDescent="0.25">
      <c r="E982" t="str">
        <f>IFERROR(VLOOKUP(D982,'Team Data'!C:AB,4,FALSE),"")</f>
        <v/>
      </c>
      <c r="F982" t="str">
        <f>IFERROR(VLOOKUP(D982,'Team Data'!C:AB,5,FALSE),"")</f>
        <v/>
      </c>
      <c r="G982" t="str">
        <f>IFERROR(VLOOKUP('OB Format'!D982,'Team Data'!C:AB,17,FALSE),"")</f>
        <v/>
      </c>
      <c r="H982" t="str">
        <f>IFERROR(VLOOKUP(D982,'Team Data'!C:AB,7,FALSE),"")</f>
        <v/>
      </c>
      <c r="I982" t="str">
        <f>IFERROR(VLOOKUP(D982,'Team Data'!C:AB,14,FALSE),"")</f>
        <v/>
      </c>
      <c r="J982" t="str">
        <f>IFERROR(VLOOKUP(D982,'Team Data'!C:AB,8,FALSE),"")</f>
        <v/>
      </c>
      <c r="K982" t="str">
        <f>IFERROR(VLOOKUP(D982,'Team Data'!C:AB,9,FALSE),"")</f>
        <v/>
      </c>
      <c r="L982" t="str">
        <f>IFERROR(VLOOKUP(D982,'Team Data'!C:AB,10,FALSE),"")</f>
        <v/>
      </c>
      <c r="M982" t="str">
        <f t="shared" si="32"/>
        <v/>
      </c>
      <c r="N982" t="str">
        <f>IFERROR(VLOOKUP(D982,'Team Data'!C:AB,23,FALSE),"")</f>
        <v/>
      </c>
      <c r="O982" t="str">
        <f>IFERROR(VLOOKUP(D982,'Team Data'!C:AB,22,FALSE),"")</f>
        <v/>
      </c>
      <c r="P982" t="str">
        <f t="shared" si="33"/>
        <v/>
      </c>
      <c r="Q982" t="str">
        <f>IFERROR(VLOOKUP(D982,'Team Data'!C:AB,15,FALSE),"")</f>
        <v/>
      </c>
      <c r="R982" t="str">
        <f>IFERROR(VLOOKUP('OB Format'!D982,'Team Data'!C:AB,24,FALSE),"")</f>
        <v/>
      </c>
      <c r="S982" t="str">
        <f>IFERROR(VLOOKUP('OB Format'!D982,'Team Data'!C:AC,25,FALSE),"")</f>
        <v/>
      </c>
    </row>
    <row r="983" spans="5:19" x14ac:dyDescent="0.25">
      <c r="E983" t="str">
        <f>IFERROR(VLOOKUP(D983,'Team Data'!C:AB,4,FALSE),"")</f>
        <v/>
      </c>
      <c r="F983" t="str">
        <f>IFERROR(VLOOKUP(D983,'Team Data'!C:AB,5,FALSE),"")</f>
        <v/>
      </c>
      <c r="G983" t="str">
        <f>IFERROR(VLOOKUP('OB Format'!D983,'Team Data'!C:AB,17,FALSE),"")</f>
        <v/>
      </c>
      <c r="H983" t="str">
        <f>IFERROR(VLOOKUP(D983,'Team Data'!C:AB,7,FALSE),"")</f>
        <v/>
      </c>
      <c r="I983" t="str">
        <f>IFERROR(VLOOKUP(D983,'Team Data'!C:AB,14,FALSE),"")</f>
        <v/>
      </c>
      <c r="J983" t="str">
        <f>IFERROR(VLOOKUP(D983,'Team Data'!C:AB,8,FALSE),"")</f>
        <v/>
      </c>
      <c r="K983" t="str">
        <f>IFERROR(VLOOKUP(D983,'Team Data'!C:AB,9,FALSE),"")</f>
        <v/>
      </c>
      <c r="L983" t="str">
        <f>IFERROR(VLOOKUP(D983,'Team Data'!C:AB,10,FALSE),"")</f>
        <v/>
      </c>
      <c r="M983" t="str">
        <f t="shared" si="32"/>
        <v/>
      </c>
      <c r="N983" t="str">
        <f>IFERROR(VLOOKUP(D983,'Team Data'!C:AB,23,FALSE),"")</f>
        <v/>
      </c>
      <c r="O983" t="str">
        <f>IFERROR(VLOOKUP(D983,'Team Data'!C:AB,22,FALSE),"")</f>
        <v/>
      </c>
      <c r="P983" t="str">
        <f t="shared" si="33"/>
        <v/>
      </c>
      <c r="Q983" t="str">
        <f>IFERROR(VLOOKUP(D983,'Team Data'!C:AB,15,FALSE),"")</f>
        <v/>
      </c>
      <c r="R983" t="str">
        <f>IFERROR(VLOOKUP('OB Format'!D983,'Team Data'!C:AB,24,FALSE),"")</f>
        <v/>
      </c>
      <c r="S983" t="str">
        <f>IFERROR(VLOOKUP('OB Format'!D983,'Team Data'!C:AC,25,FALSE),"")</f>
        <v/>
      </c>
    </row>
    <row r="984" spans="5:19" x14ac:dyDescent="0.25">
      <c r="E984" t="str">
        <f>IFERROR(VLOOKUP(D984,'Team Data'!C:AB,4,FALSE),"")</f>
        <v/>
      </c>
      <c r="F984" t="str">
        <f>IFERROR(VLOOKUP(D984,'Team Data'!C:AB,5,FALSE),"")</f>
        <v/>
      </c>
      <c r="G984" t="str">
        <f>IFERROR(VLOOKUP('OB Format'!D984,'Team Data'!C:AB,17,FALSE),"")</f>
        <v/>
      </c>
      <c r="H984" t="str">
        <f>IFERROR(VLOOKUP(D984,'Team Data'!C:AB,7,FALSE),"")</f>
        <v/>
      </c>
      <c r="I984" t="str">
        <f>IFERROR(VLOOKUP(D984,'Team Data'!C:AB,14,FALSE),"")</f>
        <v/>
      </c>
      <c r="J984" t="str">
        <f>IFERROR(VLOOKUP(D984,'Team Data'!C:AB,8,FALSE),"")</f>
        <v/>
      </c>
      <c r="K984" t="str">
        <f>IFERROR(VLOOKUP(D984,'Team Data'!C:AB,9,FALSE),"")</f>
        <v/>
      </c>
      <c r="L984" t="str">
        <f>IFERROR(VLOOKUP(D984,'Team Data'!C:AB,10,FALSE),"")</f>
        <v/>
      </c>
      <c r="M984" t="str">
        <f t="shared" si="32"/>
        <v/>
      </c>
      <c r="N984" t="str">
        <f>IFERROR(VLOOKUP(D984,'Team Data'!C:AB,23,FALSE),"")</f>
        <v/>
      </c>
      <c r="O984" t="str">
        <f>IFERROR(VLOOKUP(D984,'Team Data'!C:AB,22,FALSE),"")</f>
        <v/>
      </c>
      <c r="P984" t="str">
        <f t="shared" si="33"/>
        <v/>
      </c>
      <c r="Q984" t="str">
        <f>IFERROR(VLOOKUP(D984,'Team Data'!C:AB,15,FALSE),"")</f>
        <v/>
      </c>
      <c r="R984" t="str">
        <f>IFERROR(VLOOKUP('OB Format'!D984,'Team Data'!C:AB,24,FALSE),"")</f>
        <v/>
      </c>
      <c r="S984" t="str">
        <f>IFERROR(VLOOKUP('OB Format'!D984,'Team Data'!C:AC,25,FALSE),"")</f>
        <v/>
      </c>
    </row>
    <row r="985" spans="5:19" x14ac:dyDescent="0.25">
      <c r="E985" t="str">
        <f>IFERROR(VLOOKUP(D985,'Team Data'!C:AB,4,FALSE),"")</f>
        <v/>
      </c>
      <c r="F985" t="str">
        <f>IFERROR(VLOOKUP(D985,'Team Data'!C:AB,5,FALSE),"")</f>
        <v/>
      </c>
      <c r="G985" t="str">
        <f>IFERROR(VLOOKUP('OB Format'!D985,'Team Data'!C:AB,17,FALSE),"")</f>
        <v/>
      </c>
      <c r="H985" t="str">
        <f>IFERROR(VLOOKUP(D985,'Team Data'!C:AB,7,FALSE),"")</f>
        <v/>
      </c>
      <c r="I985" t="str">
        <f>IFERROR(VLOOKUP(D985,'Team Data'!C:AB,14,FALSE),"")</f>
        <v/>
      </c>
      <c r="J985" t="str">
        <f>IFERROR(VLOOKUP(D985,'Team Data'!C:AB,8,FALSE),"")</f>
        <v/>
      </c>
      <c r="K985" t="str">
        <f>IFERROR(VLOOKUP(D985,'Team Data'!C:AB,9,FALSE),"")</f>
        <v/>
      </c>
      <c r="L985" t="str">
        <f>IFERROR(VLOOKUP(D985,'Team Data'!C:AB,10,FALSE),"")</f>
        <v/>
      </c>
      <c r="M985" t="str">
        <f t="shared" si="32"/>
        <v/>
      </c>
      <c r="N985" t="str">
        <f>IFERROR(VLOOKUP(D985,'Team Data'!C:AB,23,FALSE),"")</f>
        <v/>
      </c>
      <c r="O985" t="str">
        <f>IFERROR(VLOOKUP(D985,'Team Data'!C:AB,22,FALSE),"")</f>
        <v/>
      </c>
      <c r="P985" t="str">
        <f t="shared" si="33"/>
        <v/>
      </c>
      <c r="Q985" t="str">
        <f>IFERROR(VLOOKUP(D985,'Team Data'!C:AB,15,FALSE),"")</f>
        <v/>
      </c>
      <c r="R985" t="str">
        <f>IFERROR(VLOOKUP('OB Format'!D985,'Team Data'!C:AB,24,FALSE),"")</f>
        <v/>
      </c>
      <c r="S985" t="str">
        <f>IFERROR(VLOOKUP('OB Format'!D985,'Team Data'!C:AC,25,FALSE),"")</f>
        <v/>
      </c>
    </row>
    <row r="986" spans="5:19" x14ac:dyDescent="0.25">
      <c r="E986" t="str">
        <f>IFERROR(VLOOKUP(D986,'Team Data'!C:AB,4,FALSE),"")</f>
        <v/>
      </c>
      <c r="F986" t="str">
        <f>IFERROR(VLOOKUP(D986,'Team Data'!C:AB,5,FALSE),"")</f>
        <v/>
      </c>
      <c r="G986" t="str">
        <f>IFERROR(VLOOKUP('OB Format'!D986,'Team Data'!C:AB,17,FALSE),"")</f>
        <v/>
      </c>
      <c r="H986" t="str">
        <f>IFERROR(VLOOKUP(D986,'Team Data'!C:AB,7,FALSE),"")</f>
        <v/>
      </c>
      <c r="I986" t="str">
        <f>IFERROR(VLOOKUP(D986,'Team Data'!C:AB,14,FALSE),"")</f>
        <v/>
      </c>
      <c r="J986" t="str">
        <f>IFERROR(VLOOKUP(D986,'Team Data'!C:AB,8,FALSE),"")</f>
        <v/>
      </c>
      <c r="K986" t="str">
        <f>IFERROR(VLOOKUP(D986,'Team Data'!C:AB,9,FALSE),"")</f>
        <v/>
      </c>
      <c r="L986" t="str">
        <f>IFERROR(VLOOKUP(D986,'Team Data'!C:AB,10,FALSE),"")</f>
        <v/>
      </c>
      <c r="M986" t="str">
        <f t="shared" si="32"/>
        <v/>
      </c>
      <c r="N986" t="str">
        <f>IFERROR(VLOOKUP(D986,'Team Data'!C:AB,23,FALSE),"")</f>
        <v/>
      </c>
      <c r="O986" t="str">
        <f>IFERROR(VLOOKUP(D986,'Team Data'!C:AB,22,FALSE),"")</f>
        <v/>
      </c>
      <c r="P986" t="str">
        <f t="shared" si="33"/>
        <v/>
      </c>
      <c r="Q986" t="str">
        <f>IFERROR(VLOOKUP(D986,'Team Data'!C:AB,15,FALSE),"")</f>
        <v/>
      </c>
      <c r="R986" t="str">
        <f>IFERROR(VLOOKUP('OB Format'!D986,'Team Data'!C:AB,24,FALSE),"")</f>
        <v/>
      </c>
      <c r="S986" t="str">
        <f>IFERROR(VLOOKUP('OB Format'!D986,'Team Data'!C:AC,25,FALSE),"")</f>
        <v/>
      </c>
    </row>
    <row r="987" spans="5:19" x14ac:dyDescent="0.25">
      <c r="E987" t="str">
        <f>IFERROR(VLOOKUP(D987,'Team Data'!C:AB,4,FALSE),"")</f>
        <v/>
      </c>
      <c r="F987" t="str">
        <f>IFERROR(VLOOKUP(D987,'Team Data'!C:AB,5,FALSE),"")</f>
        <v/>
      </c>
      <c r="G987" t="str">
        <f>IFERROR(VLOOKUP('OB Format'!D987,'Team Data'!C:AB,17,FALSE),"")</f>
        <v/>
      </c>
      <c r="H987" t="str">
        <f>IFERROR(VLOOKUP(D987,'Team Data'!C:AB,7,FALSE),"")</f>
        <v/>
      </c>
      <c r="I987" t="str">
        <f>IFERROR(VLOOKUP(D987,'Team Data'!C:AB,14,FALSE),"")</f>
        <v/>
      </c>
      <c r="J987" t="str">
        <f>IFERROR(VLOOKUP(D987,'Team Data'!C:AB,8,FALSE),"")</f>
        <v/>
      </c>
      <c r="K987" t="str">
        <f>IFERROR(VLOOKUP(D987,'Team Data'!C:AB,9,FALSE),"")</f>
        <v/>
      </c>
      <c r="L987" t="str">
        <f>IFERROR(VLOOKUP(D987,'Team Data'!C:AB,10,FALSE),"")</f>
        <v/>
      </c>
      <c r="M987" t="str">
        <f t="shared" si="32"/>
        <v/>
      </c>
      <c r="N987" t="str">
        <f>IFERROR(VLOOKUP(D987,'Team Data'!C:AB,23,FALSE),"")</f>
        <v/>
      </c>
      <c r="O987" t="str">
        <f>IFERROR(VLOOKUP(D987,'Team Data'!C:AB,22,FALSE),"")</f>
        <v/>
      </c>
      <c r="P987" t="str">
        <f t="shared" si="33"/>
        <v/>
      </c>
      <c r="Q987" t="str">
        <f>IFERROR(VLOOKUP(D987,'Team Data'!C:AB,15,FALSE),"")</f>
        <v/>
      </c>
      <c r="R987" t="str">
        <f>IFERROR(VLOOKUP('OB Format'!D987,'Team Data'!C:AB,24,FALSE),"")</f>
        <v/>
      </c>
      <c r="S987" t="str">
        <f>IFERROR(VLOOKUP('OB Format'!D987,'Team Data'!C:AC,25,FALSE),"")</f>
        <v/>
      </c>
    </row>
    <row r="988" spans="5:19" x14ac:dyDescent="0.25">
      <c r="E988" t="str">
        <f>IFERROR(VLOOKUP(D988,'Team Data'!C:AB,4,FALSE),"")</f>
        <v/>
      </c>
      <c r="F988" t="str">
        <f>IFERROR(VLOOKUP(D988,'Team Data'!C:AB,5,FALSE),"")</f>
        <v/>
      </c>
      <c r="G988" t="str">
        <f>IFERROR(VLOOKUP('OB Format'!D988,'Team Data'!C:AB,17,FALSE),"")</f>
        <v/>
      </c>
      <c r="H988" t="str">
        <f>IFERROR(VLOOKUP(D988,'Team Data'!C:AB,7,FALSE),"")</f>
        <v/>
      </c>
      <c r="I988" t="str">
        <f>IFERROR(VLOOKUP(D988,'Team Data'!C:AB,14,FALSE),"")</f>
        <v/>
      </c>
      <c r="J988" t="str">
        <f>IFERROR(VLOOKUP(D988,'Team Data'!C:AB,8,FALSE),"")</f>
        <v/>
      </c>
      <c r="K988" t="str">
        <f>IFERROR(VLOOKUP(D988,'Team Data'!C:AB,9,FALSE),"")</f>
        <v/>
      </c>
      <c r="L988" t="str">
        <f>IFERROR(VLOOKUP(D988,'Team Data'!C:AB,10,FALSE),"")</f>
        <v/>
      </c>
      <c r="M988" t="str">
        <f t="shared" si="32"/>
        <v/>
      </c>
      <c r="N988" t="str">
        <f>IFERROR(VLOOKUP(D988,'Team Data'!C:AB,23,FALSE),"")</f>
        <v/>
      </c>
      <c r="O988" t="str">
        <f>IFERROR(VLOOKUP(D988,'Team Data'!C:AB,22,FALSE),"")</f>
        <v/>
      </c>
      <c r="P988" t="str">
        <f t="shared" si="33"/>
        <v/>
      </c>
      <c r="Q988" t="str">
        <f>IFERROR(VLOOKUP(D988,'Team Data'!C:AB,15,FALSE),"")</f>
        <v/>
      </c>
      <c r="R988" t="str">
        <f>IFERROR(VLOOKUP('OB Format'!D988,'Team Data'!C:AB,24,FALSE),"")</f>
        <v/>
      </c>
      <c r="S988" t="str">
        <f>IFERROR(VLOOKUP('OB Format'!D988,'Team Data'!C:AC,25,FALSE),"")</f>
        <v/>
      </c>
    </row>
    <row r="989" spans="5:19" x14ac:dyDescent="0.25">
      <c r="E989" t="str">
        <f>IFERROR(VLOOKUP(D989,'Team Data'!C:AB,4,FALSE),"")</f>
        <v/>
      </c>
      <c r="F989" t="str">
        <f>IFERROR(VLOOKUP(D989,'Team Data'!C:AB,5,FALSE),"")</f>
        <v/>
      </c>
      <c r="G989" t="str">
        <f>IFERROR(VLOOKUP('OB Format'!D989,'Team Data'!C:AB,17,FALSE),"")</f>
        <v/>
      </c>
      <c r="H989" t="str">
        <f>IFERROR(VLOOKUP(D989,'Team Data'!C:AB,7,FALSE),"")</f>
        <v/>
      </c>
      <c r="I989" t="str">
        <f>IFERROR(VLOOKUP(D989,'Team Data'!C:AB,14,FALSE),"")</f>
        <v/>
      </c>
      <c r="J989" t="str">
        <f>IFERROR(VLOOKUP(D989,'Team Data'!C:AB,8,FALSE),"")</f>
        <v/>
      </c>
      <c r="K989" t="str">
        <f>IFERROR(VLOOKUP(D989,'Team Data'!C:AB,9,FALSE),"")</f>
        <v/>
      </c>
      <c r="L989" t="str">
        <f>IFERROR(VLOOKUP(D989,'Team Data'!C:AB,10,FALSE),"")</f>
        <v/>
      </c>
      <c r="M989" t="str">
        <f t="shared" si="32"/>
        <v/>
      </c>
      <c r="N989" t="str">
        <f>IFERROR(VLOOKUP(D989,'Team Data'!C:AB,23,FALSE),"")</f>
        <v/>
      </c>
      <c r="O989" t="str">
        <f>IFERROR(VLOOKUP(D989,'Team Data'!C:AB,22,FALSE),"")</f>
        <v/>
      </c>
      <c r="P989" t="str">
        <f t="shared" si="33"/>
        <v/>
      </c>
      <c r="Q989" t="str">
        <f>IFERROR(VLOOKUP(D989,'Team Data'!C:AB,15,FALSE),"")</f>
        <v/>
      </c>
      <c r="R989" t="str">
        <f>IFERROR(VLOOKUP('OB Format'!D989,'Team Data'!C:AB,24,FALSE),"")</f>
        <v/>
      </c>
      <c r="S989" t="str">
        <f>IFERROR(VLOOKUP('OB Format'!D989,'Team Data'!C:AC,25,FALSE),"")</f>
        <v/>
      </c>
    </row>
    <row r="990" spans="5:19" x14ac:dyDescent="0.25">
      <c r="E990" t="str">
        <f>IFERROR(VLOOKUP(D990,'Team Data'!C:AB,4,FALSE),"")</f>
        <v/>
      </c>
      <c r="F990" t="str">
        <f>IFERROR(VLOOKUP(D990,'Team Data'!C:AB,5,FALSE),"")</f>
        <v/>
      </c>
      <c r="G990" t="str">
        <f>IFERROR(VLOOKUP('OB Format'!D990,'Team Data'!C:AB,17,FALSE),"")</f>
        <v/>
      </c>
      <c r="H990" t="str">
        <f>IFERROR(VLOOKUP(D990,'Team Data'!C:AB,7,FALSE),"")</f>
        <v/>
      </c>
      <c r="I990" t="str">
        <f>IFERROR(VLOOKUP(D990,'Team Data'!C:AB,14,FALSE),"")</f>
        <v/>
      </c>
      <c r="J990" t="str">
        <f>IFERROR(VLOOKUP(D990,'Team Data'!C:AB,8,FALSE),"")</f>
        <v/>
      </c>
      <c r="K990" t="str">
        <f>IFERROR(VLOOKUP(D990,'Team Data'!C:AB,9,FALSE),"")</f>
        <v/>
      </c>
      <c r="L990" t="str">
        <f>IFERROR(VLOOKUP(D990,'Team Data'!C:AB,10,FALSE),"")</f>
        <v/>
      </c>
      <c r="M990" t="str">
        <f t="shared" si="32"/>
        <v/>
      </c>
      <c r="N990" t="str">
        <f>IFERROR(VLOOKUP(D990,'Team Data'!C:AB,23,FALSE),"")</f>
        <v/>
      </c>
      <c r="O990" t="str">
        <f>IFERROR(VLOOKUP(D990,'Team Data'!C:AB,22,FALSE),"")</f>
        <v/>
      </c>
      <c r="P990" t="str">
        <f t="shared" si="33"/>
        <v/>
      </c>
      <c r="Q990" t="str">
        <f>IFERROR(VLOOKUP(D990,'Team Data'!C:AB,15,FALSE),"")</f>
        <v/>
      </c>
      <c r="R990" t="str">
        <f>IFERROR(VLOOKUP('OB Format'!D990,'Team Data'!C:AB,24,FALSE),"")</f>
        <v/>
      </c>
      <c r="S990" t="str">
        <f>IFERROR(VLOOKUP('OB Format'!D990,'Team Data'!C:AC,25,FALSE),"")</f>
        <v/>
      </c>
    </row>
    <row r="991" spans="5:19" x14ac:dyDescent="0.25">
      <c r="E991" t="str">
        <f>IFERROR(VLOOKUP(D991,'Team Data'!C:AB,4,FALSE),"")</f>
        <v/>
      </c>
      <c r="F991" t="str">
        <f>IFERROR(VLOOKUP(D991,'Team Data'!C:AB,5,FALSE),"")</f>
        <v/>
      </c>
      <c r="G991" t="str">
        <f>IFERROR(VLOOKUP('OB Format'!D991,'Team Data'!C:AB,17,FALSE),"")</f>
        <v/>
      </c>
      <c r="H991" t="str">
        <f>IFERROR(VLOOKUP(D991,'Team Data'!C:AB,7,FALSE),"")</f>
        <v/>
      </c>
      <c r="I991" t="str">
        <f>IFERROR(VLOOKUP(D991,'Team Data'!C:AB,14,FALSE),"")</f>
        <v/>
      </c>
      <c r="J991" t="str">
        <f>IFERROR(VLOOKUP(D991,'Team Data'!C:AB,8,FALSE),"")</f>
        <v/>
      </c>
      <c r="K991" t="str">
        <f>IFERROR(VLOOKUP(D991,'Team Data'!C:AB,9,FALSE),"")</f>
        <v/>
      </c>
      <c r="L991" t="str">
        <f>IFERROR(VLOOKUP(D991,'Team Data'!C:AB,10,FALSE),"")</f>
        <v/>
      </c>
      <c r="M991" t="str">
        <f t="shared" si="32"/>
        <v/>
      </c>
      <c r="N991" t="str">
        <f>IFERROR(VLOOKUP(D991,'Team Data'!C:AB,23,FALSE),"")</f>
        <v/>
      </c>
      <c r="O991" t="str">
        <f>IFERROR(VLOOKUP(D991,'Team Data'!C:AB,22,FALSE),"")</f>
        <v/>
      </c>
      <c r="P991" t="str">
        <f t="shared" si="33"/>
        <v/>
      </c>
      <c r="Q991" t="str">
        <f>IFERROR(VLOOKUP(D991,'Team Data'!C:AB,15,FALSE),"")</f>
        <v/>
      </c>
      <c r="R991" t="str">
        <f>IFERROR(VLOOKUP('OB Format'!D991,'Team Data'!C:AB,24,FALSE),"")</f>
        <v/>
      </c>
      <c r="S991" t="str">
        <f>IFERROR(VLOOKUP('OB Format'!D991,'Team Data'!C:AC,25,FALSE),"")</f>
        <v/>
      </c>
    </row>
    <row r="992" spans="5:19" x14ac:dyDescent="0.25">
      <c r="E992" t="str">
        <f>IFERROR(VLOOKUP(D992,'Team Data'!C:AB,4,FALSE),"")</f>
        <v/>
      </c>
      <c r="F992" t="str">
        <f>IFERROR(VLOOKUP(D992,'Team Data'!C:AB,5,FALSE),"")</f>
        <v/>
      </c>
      <c r="G992" t="str">
        <f>IFERROR(VLOOKUP('OB Format'!D992,'Team Data'!C:AB,17,FALSE),"")</f>
        <v/>
      </c>
      <c r="H992" t="str">
        <f>IFERROR(VLOOKUP(D992,'Team Data'!C:AB,7,FALSE),"")</f>
        <v/>
      </c>
      <c r="I992" t="str">
        <f>IFERROR(VLOOKUP(D992,'Team Data'!C:AB,14,FALSE),"")</f>
        <v/>
      </c>
      <c r="J992" t="str">
        <f>IFERROR(VLOOKUP(D992,'Team Data'!C:AB,8,FALSE),"")</f>
        <v/>
      </c>
      <c r="K992" t="str">
        <f>IFERROR(VLOOKUP(D992,'Team Data'!C:AB,9,FALSE),"")</f>
        <v/>
      </c>
      <c r="L992" t="str">
        <f>IFERROR(VLOOKUP(D992,'Team Data'!C:AB,10,FALSE),"")</f>
        <v/>
      </c>
      <c r="M992" t="str">
        <f t="shared" si="32"/>
        <v/>
      </c>
      <c r="N992" t="str">
        <f>IFERROR(VLOOKUP(D992,'Team Data'!C:AB,23,FALSE),"")</f>
        <v/>
      </c>
      <c r="O992" t="str">
        <f>IFERROR(VLOOKUP(D992,'Team Data'!C:AB,22,FALSE),"")</f>
        <v/>
      </c>
      <c r="P992" t="str">
        <f t="shared" si="33"/>
        <v/>
      </c>
      <c r="Q992" t="str">
        <f>IFERROR(VLOOKUP(D992,'Team Data'!C:AB,15,FALSE),"")</f>
        <v/>
      </c>
      <c r="R992" t="str">
        <f>IFERROR(VLOOKUP('OB Format'!D992,'Team Data'!C:AB,24,FALSE),"")</f>
        <v/>
      </c>
      <c r="S992" t="str">
        <f>IFERROR(VLOOKUP('OB Format'!D992,'Team Data'!C:AC,25,FALSE),"")</f>
        <v/>
      </c>
    </row>
    <row r="993" spans="5:19" x14ac:dyDescent="0.25">
      <c r="E993" t="str">
        <f>IFERROR(VLOOKUP(D993,'Team Data'!C:AB,4,FALSE),"")</f>
        <v/>
      </c>
      <c r="F993" t="str">
        <f>IFERROR(VLOOKUP(D993,'Team Data'!C:AB,5,FALSE),"")</f>
        <v/>
      </c>
      <c r="G993" t="str">
        <f>IFERROR(VLOOKUP('OB Format'!D993,'Team Data'!C:AB,17,FALSE),"")</f>
        <v/>
      </c>
      <c r="H993" t="str">
        <f>IFERROR(VLOOKUP(D993,'Team Data'!C:AB,7,FALSE),"")</f>
        <v/>
      </c>
      <c r="I993" t="str">
        <f>IFERROR(VLOOKUP(D993,'Team Data'!C:AB,14,FALSE),"")</f>
        <v/>
      </c>
      <c r="J993" t="str">
        <f>IFERROR(VLOOKUP(D993,'Team Data'!C:AB,8,FALSE),"")</f>
        <v/>
      </c>
      <c r="K993" t="str">
        <f>IFERROR(VLOOKUP(D993,'Team Data'!C:AB,9,FALSE),"")</f>
        <v/>
      </c>
      <c r="L993" t="str">
        <f>IFERROR(VLOOKUP(D993,'Team Data'!C:AB,10,FALSE),"")</f>
        <v/>
      </c>
      <c r="M993" t="str">
        <f t="shared" si="32"/>
        <v/>
      </c>
      <c r="N993" t="str">
        <f>IFERROR(VLOOKUP(D993,'Team Data'!C:AB,23,FALSE),"")</f>
        <v/>
      </c>
      <c r="O993" t="str">
        <f>IFERROR(VLOOKUP(D993,'Team Data'!C:AB,22,FALSE),"")</f>
        <v/>
      </c>
      <c r="P993" t="str">
        <f t="shared" si="33"/>
        <v/>
      </c>
      <c r="Q993" t="str">
        <f>IFERROR(VLOOKUP(D993,'Team Data'!C:AB,15,FALSE),"")</f>
        <v/>
      </c>
      <c r="R993" t="str">
        <f>IFERROR(VLOOKUP('OB Format'!D993,'Team Data'!C:AB,24,FALSE),"")</f>
        <v/>
      </c>
      <c r="S993" t="str">
        <f>IFERROR(VLOOKUP('OB Format'!D993,'Team Data'!C:AC,25,FALSE),"")</f>
        <v/>
      </c>
    </row>
    <row r="994" spans="5:19" x14ac:dyDescent="0.25">
      <c r="E994" t="str">
        <f>IFERROR(VLOOKUP(D994,'Team Data'!C:AB,4,FALSE),"")</f>
        <v/>
      </c>
      <c r="F994" t="str">
        <f>IFERROR(VLOOKUP(D994,'Team Data'!C:AB,5,FALSE),"")</f>
        <v/>
      </c>
      <c r="G994" t="str">
        <f>IFERROR(VLOOKUP('OB Format'!D994,'Team Data'!C:AB,17,FALSE),"")</f>
        <v/>
      </c>
      <c r="H994" t="str">
        <f>IFERROR(VLOOKUP(D994,'Team Data'!C:AB,7,FALSE),"")</f>
        <v/>
      </c>
      <c r="I994" t="str">
        <f>IFERROR(VLOOKUP(D994,'Team Data'!C:AB,14,FALSE),"")</f>
        <v/>
      </c>
      <c r="J994" t="str">
        <f>IFERROR(VLOOKUP(D994,'Team Data'!C:AB,8,FALSE),"")</f>
        <v/>
      </c>
      <c r="K994" t="str">
        <f>IFERROR(VLOOKUP(D994,'Team Data'!C:AB,9,FALSE),"")</f>
        <v/>
      </c>
      <c r="L994" t="str">
        <f>IFERROR(VLOOKUP(D994,'Team Data'!C:AB,10,FALSE),"")</f>
        <v/>
      </c>
      <c r="M994" t="str">
        <f t="shared" si="32"/>
        <v/>
      </c>
      <c r="N994" t="str">
        <f>IFERROR(VLOOKUP(D994,'Team Data'!C:AB,23,FALSE),"")</f>
        <v/>
      </c>
      <c r="O994" t="str">
        <f>IFERROR(VLOOKUP(D994,'Team Data'!C:AB,22,FALSE),"")</f>
        <v/>
      </c>
      <c r="P994" t="str">
        <f t="shared" si="33"/>
        <v/>
      </c>
      <c r="Q994" t="str">
        <f>IFERROR(VLOOKUP(D994,'Team Data'!C:AB,15,FALSE),"")</f>
        <v/>
      </c>
      <c r="R994" t="str">
        <f>IFERROR(VLOOKUP('OB Format'!D994,'Team Data'!C:AB,24,FALSE),"")</f>
        <v/>
      </c>
      <c r="S994" t="str">
        <f>IFERROR(VLOOKUP('OB Format'!D994,'Team Data'!C:AC,25,FALSE),"")</f>
        <v/>
      </c>
    </row>
    <row r="995" spans="5:19" x14ac:dyDescent="0.25">
      <c r="E995" t="str">
        <f>IFERROR(VLOOKUP(D995,'Team Data'!C:AB,4,FALSE),"")</f>
        <v/>
      </c>
      <c r="F995" t="str">
        <f>IFERROR(VLOOKUP(D995,'Team Data'!C:AB,5,FALSE),"")</f>
        <v/>
      </c>
      <c r="G995" t="str">
        <f>IFERROR(VLOOKUP('OB Format'!D995,'Team Data'!C:AB,17,FALSE),"")</f>
        <v/>
      </c>
      <c r="H995" t="str">
        <f>IFERROR(VLOOKUP(D995,'Team Data'!C:AB,7,FALSE),"")</f>
        <v/>
      </c>
      <c r="I995" t="str">
        <f>IFERROR(VLOOKUP(D995,'Team Data'!C:AB,14,FALSE),"")</f>
        <v/>
      </c>
      <c r="J995" t="str">
        <f>IFERROR(VLOOKUP(D995,'Team Data'!C:AB,8,FALSE),"")</f>
        <v/>
      </c>
      <c r="K995" t="str">
        <f>IFERROR(VLOOKUP(D995,'Team Data'!C:AB,9,FALSE),"")</f>
        <v/>
      </c>
      <c r="L995" t="str">
        <f>IFERROR(VLOOKUP(D995,'Team Data'!C:AB,10,FALSE),"")</f>
        <v/>
      </c>
      <c r="M995" t="str">
        <f t="shared" si="32"/>
        <v/>
      </c>
      <c r="N995" t="str">
        <f>IFERROR(VLOOKUP(D995,'Team Data'!C:AB,23,FALSE),"")</f>
        <v/>
      </c>
      <c r="O995" t="str">
        <f>IFERROR(VLOOKUP(D995,'Team Data'!C:AB,22,FALSE),"")</f>
        <v/>
      </c>
      <c r="P995" t="str">
        <f t="shared" si="33"/>
        <v/>
      </c>
      <c r="Q995" t="str">
        <f>IFERROR(VLOOKUP(D995,'Team Data'!C:AB,15,FALSE),"")</f>
        <v/>
      </c>
      <c r="R995" t="str">
        <f>IFERROR(VLOOKUP('OB Format'!D995,'Team Data'!C:AB,24,FALSE),"")</f>
        <v/>
      </c>
      <c r="S995" t="str">
        <f>IFERROR(VLOOKUP('OB Format'!D995,'Team Data'!C:AC,25,FALSE),"")</f>
        <v/>
      </c>
    </row>
    <row r="996" spans="5:19" x14ac:dyDescent="0.25">
      <c r="E996" t="str">
        <f>IFERROR(VLOOKUP(D996,'Team Data'!C:AB,4,FALSE),"")</f>
        <v/>
      </c>
      <c r="F996" t="str">
        <f>IFERROR(VLOOKUP(D996,'Team Data'!C:AB,5,FALSE),"")</f>
        <v/>
      </c>
      <c r="G996" t="str">
        <f>IFERROR(VLOOKUP('OB Format'!D996,'Team Data'!C:AB,17,FALSE),"")</f>
        <v/>
      </c>
      <c r="H996" t="str">
        <f>IFERROR(VLOOKUP(D996,'Team Data'!C:AB,7,FALSE),"")</f>
        <v/>
      </c>
      <c r="I996" t="str">
        <f>IFERROR(VLOOKUP(D996,'Team Data'!C:AB,14,FALSE),"")</f>
        <v/>
      </c>
      <c r="J996" t="str">
        <f>IFERROR(VLOOKUP(D996,'Team Data'!C:AB,8,FALSE),"")</f>
        <v/>
      </c>
      <c r="K996" t="str">
        <f>IFERROR(VLOOKUP(D996,'Team Data'!C:AB,9,FALSE),"")</f>
        <v/>
      </c>
      <c r="L996" t="str">
        <f>IFERROR(VLOOKUP(D996,'Team Data'!C:AB,10,FALSE),"")</f>
        <v/>
      </c>
      <c r="M996" t="str">
        <f t="shared" si="32"/>
        <v/>
      </c>
      <c r="N996" t="str">
        <f>IFERROR(VLOOKUP(D996,'Team Data'!C:AB,23,FALSE),"")</f>
        <v/>
      </c>
      <c r="O996" t="str">
        <f>IFERROR(VLOOKUP(D996,'Team Data'!C:AB,22,FALSE),"")</f>
        <v/>
      </c>
      <c r="P996" t="str">
        <f t="shared" si="33"/>
        <v/>
      </c>
      <c r="Q996" t="str">
        <f>IFERROR(VLOOKUP(D996,'Team Data'!C:AB,15,FALSE),"")</f>
        <v/>
      </c>
      <c r="R996" t="str">
        <f>IFERROR(VLOOKUP('OB Format'!D996,'Team Data'!C:AB,24,FALSE),"")</f>
        <v/>
      </c>
      <c r="S996" t="str">
        <f>IFERROR(VLOOKUP('OB Format'!D996,'Team Data'!C:AC,25,FALSE),"")</f>
        <v/>
      </c>
    </row>
    <row r="997" spans="5:19" x14ac:dyDescent="0.25">
      <c r="E997" t="str">
        <f>IFERROR(VLOOKUP(D997,'Team Data'!C:AB,4,FALSE),"")</f>
        <v/>
      </c>
      <c r="F997" t="str">
        <f>IFERROR(VLOOKUP(D997,'Team Data'!C:AB,5,FALSE),"")</f>
        <v/>
      </c>
      <c r="G997" t="str">
        <f>IFERROR(VLOOKUP('OB Format'!D997,'Team Data'!C:AB,17,FALSE),"")</f>
        <v/>
      </c>
      <c r="H997" t="str">
        <f>IFERROR(VLOOKUP(D997,'Team Data'!C:AB,7,FALSE),"")</f>
        <v/>
      </c>
      <c r="I997" t="str">
        <f>IFERROR(VLOOKUP(D997,'Team Data'!C:AB,14,FALSE),"")</f>
        <v/>
      </c>
      <c r="J997" t="str">
        <f>IFERROR(VLOOKUP(D997,'Team Data'!C:AB,8,FALSE),"")</f>
        <v/>
      </c>
      <c r="K997" t="str">
        <f>IFERROR(VLOOKUP(D997,'Team Data'!C:AB,9,FALSE),"")</f>
        <v/>
      </c>
      <c r="L997" t="str">
        <f>IFERROR(VLOOKUP(D997,'Team Data'!C:AB,10,FALSE),"")</f>
        <v/>
      </c>
      <c r="M997" t="str">
        <f t="shared" si="32"/>
        <v/>
      </c>
      <c r="N997" t="str">
        <f>IFERROR(VLOOKUP(D997,'Team Data'!C:AB,23,FALSE),"")</f>
        <v/>
      </c>
      <c r="O997" t="str">
        <f>IFERROR(VLOOKUP(D997,'Team Data'!C:AB,22,FALSE),"")</f>
        <v/>
      </c>
      <c r="P997" t="str">
        <f t="shared" si="33"/>
        <v/>
      </c>
      <c r="Q997" t="str">
        <f>IFERROR(VLOOKUP(D997,'Team Data'!C:AB,15,FALSE),"")</f>
        <v/>
      </c>
      <c r="R997" t="str">
        <f>IFERROR(VLOOKUP('OB Format'!D997,'Team Data'!C:AB,24,FALSE),"")</f>
        <v/>
      </c>
      <c r="S997" t="str">
        <f>IFERROR(VLOOKUP('OB Format'!D997,'Team Data'!C:AC,25,FALSE),"")</f>
        <v/>
      </c>
    </row>
    <row r="998" spans="5:19" x14ac:dyDescent="0.25">
      <c r="E998" t="str">
        <f>IFERROR(VLOOKUP(D998,'Team Data'!C:AB,4,FALSE),"")</f>
        <v/>
      </c>
      <c r="F998" t="str">
        <f>IFERROR(VLOOKUP(D998,'Team Data'!C:AB,5,FALSE),"")</f>
        <v/>
      </c>
      <c r="G998" t="str">
        <f>IFERROR(VLOOKUP('OB Format'!D998,'Team Data'!C:AB,17,FALSE),"")</f>
        <v/>
      </c>
      <c r="H998" t="str">
        <f>IFERROR(VLOOKUP(D998,'Team Data'!C:AB,7,FALSE),"")</f>
        <v/>
      </c>
      <c r="I998" t="str">
        <f>IFERROR(VLOOKUP(D998,'Team Data'!C:AB,14,FALSE),"")</f>
        <v/>
      </c>
      <c r="J998" t="str">
        <f>IFERROR(VLOOKUP(D998,'Team Data'!C:AB,8,FALSE),"")</f>
        <v/>
      </c>
      <c r="K998" t="str">
        <f>IFERROR(VLOOKUP(D998,'Team Data'!C:AB,9,FALSE),"")</f>
        <v/>
      </c>
      <c r="L998" t="str">
        <f>IFERROR(VLOOKUP(D998,'Team Data'!C:AB,10,FALSE),"")</f>
        <v/>
      </c>
      <c r="M998" t="str">
        <f t="shared" si="32"/>
        <v/>
      </c>
      <c r="N998" t="str">
        <f>IFERROR(VLOOKUP(D998,'Team Data'!C:AB,23,FALSE),"")</f>
        <v/>
      </c>
      <c r="O998" t="str">
        <f>IFERROR(VLOOKUP(D998,'Team Data'!C:AB,22,FALSE),"")</f>
        <v/>
      </c>
      <c r="P998" t="str">
        <f t="shared" si="33"/>
        <v/>
      </c>
      <c r="Q998" t="str">
        <f>IFERROR(VLOOKUP(D998,'Team Data'!C:AB,15,FALSE),"")</f>
        <v/>
      </c>
      <c r="R998" t="str">
        <f>IFERROR(VLOOKUP('OB Format'!D998,'Team Data'!C:AB,24,FALSE),"")</f>
        <v/>
      </c>
      <c r="S998" t="str">
        <f>IFERROR(VLOOKUP('OB Format'!D998,'Team Data'!C:AC,25,FALSE),"")</f>
        <v/>
      </c>
    </row>
    <row r="999" spans="5:19" x14ac:dyDescent="0.25">
      <c r="E999" t="str">
        <f>IFERROR(VLOOKUP(D999,'Team Data'!C:AB,4,FALSE),"")</f>
        <v/>
      </c>
      <c r="F999" t="str">
        <f>IFERROR(VLOOKUP(D999,'Team Data'!C:AB,5,FALSE),"")</f>
        <v/>
      </c>
      <c r="G999" t="str">
        <f>IFERROR(VLOOKUP('OB Format'!D999,'Team Data'!C:AB,17,FALSE),"")</f>
        <v/>
      </c>
      <c r="H999" t="str">
        <f>IFERROR(VLOOKUP(D999,'Team Data'!C:AB,7,FALSE),"")</f>
        <v/>
      </c>
      <c r="I999" t="str">
        <f>IFERROR(VLOOKUP(D999,'Team Data'!C:AB,14,FALSE),"")</f>
        <v/>
      </c>
      <c r="J999" t="str">
        <f>IFERROR(VLOOKUP(D999,'Team Data'!C:AB,8,FALSE),"")</f>
        <v/>
      </c>
      <c r="K999" t="str">
        <f>IFERROR(VLOOKUP(D999,'Team Data'!C:AB,9,FALSE),"")</f>
        <v/>
      </c>
      <c r="L999" t="str">
        <f>IFERROR(VLOOKUP(D999,'Team Data'!C:AB,10,FALSE),"")</f>
        <v/>
      </c>
      <c r="M999" t="str">
        <f t="shared" si="32"/>
        <v/>
      </c>
      <c r="N999" t="str">
        <f>IFERROR(VLOOKUP(D999,'Team Data'!C:AB,23,FALSE),"")</f>
        <v/>
      </c>
      <c r="O999" t="str">
        <f>IFERROR(VLOOKUP(D999,'Team Data'!C:AB,22,FALSE),"")</f>
        <v/>
      </c>
      <c r="P999" t="str">
        <f t="shared" si="33"/>
        <v/>
      </c>
      <c r="Q999" t="str">
        <f>IFERROR(VLOOKUP(D999,'Team Data'!C:AB,15,FALSE),"")</f>
        <v/>
      </c>
      <c r="R999" t="str">
        <f>IFERROR(VLOOKUP('OB Format'!D999,'Team Data'!C:AB,24,FALSE),"")</f>
        <v/>
      </c>
      <c r="S999" t="str">
        <f>IFERROR(VLOOKUP('OB Format'!D999,'Team Data'!C:AC,25,FALSE),"")</f>
        <v/>
      </c>
    </row>
    <row r="1000" spans="5:19" x14ac:dyDescent="0.25">
      <c r="E1000" t="str">
        <f>IFERROR(VLOOKUP(D1000,'Team Data'!C:AB,4,FALSE),"")</f>
        <v/>
      </c>
      <c r="F1000" t="str">
        <f>IFERROR(VLOOKUP(D1000,'Team Data'!C:AB,5,FALSE),"")</f>
        <v/>
      </c>
      <c r="G1000" t="str">
        <f>IFERROR(VLOOKUP('OB Format'!D1000,'Team Data'!C:AB,17,FALSE),"")</f>
        <v/>
      </c>
      <c r="H1000" t="str">
        <f>IFERROR(VLOOKUP(D1000,'Team Data'!C:AB,7,FALSE),"")</f>
        <v/>
      </c>
      <c r="I1000" t="str">
        <f>IFERROR(VLOOKUP(D1000,'Team Data'!C:AB,14,FALSE),"")</f>
        <v/>
      </c>
      <c r="J1000" t="str">
        <f>IFERROR(VLOOKUP(D1000,'Team Data'!C:AB,8,FALSE),"")</f>
        <v/>
      </c>
      <c r="K1000" t="str">
        <f>IFERROR(VLOOKUP(D1000,'Team Data'!C:AB,9,FALSE),"")</f>
        <v/>
      </c>
      <c r="L1000" t="str">
        <f>IFERROR(VLOOKUP(D1000,'Team Data'!C:AB,10,FALSE),"")</f>
        <v/>
      </c>
      <c r="M1000" t="str">
        <f t="shared" si="32"/>
        <v/>
      </c>
      <c r="N1000" t="str">
        <f>IFERROR(VLOOKUP(D1000,'Team Data'!C:AB,23,FALSE),"")</f>
        <v/>
      </c>
      <c r="O1000" t="str">
        <f>IFERROR(VLOOKUP(D1000,'Team Data'!C:AB,22,FALSE),"")</f>
        <v/>
      </c>
      <c r="P1000" t="str">
        <f t="shared" si="33"/>
        <v/>
      </c>
      <c r="Q1000" t="str">
        <f>IFERROR(VLOOKUP(D1000,'Team Data'!C:AB,15,FALSE),"")</f>
        <v/>
      </c>
      <c r="R1000" t="str">
        <f>IFERROR(VLOOKUP('OB Format'!D1000,'Team Data'!C:AB,24,FALSE),"")</f>
        <v/>
      </c>
      <c r="S1000" t="str">
        <f>IFERROR(VLOOKUP('OB Format'!D1000,'Team Data'!C:AC,25,FALSE),"")</f>
        <v/>
      </c>
    </row>
    <row r="1001" spans="5:19" x14ac:dyDescent="0.25">
      <c r="E1001" t="str">
        <f>IFERROR(VLOOKUP(D1001,'Team Data'!C:AB,4,FALSE),"")</f>
        <v/>
      </c>
      <c r="F1001" t="str">
        <f>IFERROR(VLOOKUP(D1001,'Team Data'!C:AB,5,FALSE),"")</f>
        <v/>
      </c>
      <c r="G1001" t="str">
        <f>IFERROR(VLOOKUP('OB Format'!D1001,'Team Data'!C:AB,17,FALSE),"")</f>
        <v/>
      </c>
      <c r="H1001" t="str">
        <f>IFERROR(VLOOKUP(D1001,'Team Data'!C:AB,7,FALSE),"")</f>
        <v/>
      </c>
      <c r="I1001" t="str">
        <f>IFERROR(VLOOKUP(D1001,'Team Data'!C:AB,14,FALSE),"")</f>
        <v/>
      </c>
      <c r="J1001" t="str">
        <f>IFERROR(VLOOKUP(D1001,'Team Data'!C:AB,8,FALSE),"")</f>
        <v/>
      </c>
      <c r="K1001" t="str">
        <f>IFERROR(VLOOKUP(D1001,'Team Data'!C:AB,9,FALSE),"")</f>
        <v/>
      </c>
      <c r="L1001" t="str">
        <f>IFERROR(VLOOKUP(D1001,'Team Data'!C:AB,10,FALSE),"")</f>
        <v/>
      </c>
      <c r="M1001" t="str">
        <f t="shared" si="32"/>
        <v/>
      </c>
      <c r="N1001" t="str">
        <f>IFERROR(VLOOKUP(D1001,'Team Data'!C:AB,23,FALSE),"")</f>
        <v/>
      </c>
      <c r="O1001" t="str">
        <f>IFERROR(VLOOKUP(D1001,'Team Data'!C:AB,22,FALSE),"")</f>
        <v/>
      </c>
      <c r="P1001" t="str">
        <f t="shared" si="33"/>
        <v/>
      </c>
      <c r="Q1001" t="str">
        <f>IFERROR(VLOOKUP(D1001,'Team Data'!C:AB,15,FALSE),"")</f>
        <v/>
      </c>
      <c r="R1001" t="str">
        <f>IFERROR(VLOOKUP('OB Format'!D1001,'Team Data'!C:AB,24,FALSE),"")</f>
        <v/>
      </c>
      <c r="S1001" t="str">
        <f>IFERROR(VLOOKUP('OB Format'!D1001,'Team Data'!C:AC,25,FALSE),"")</f>
        <v/>
      </c>
    </row>
    <row r="1002" spans="5:19" x14ac:dyDescent="0.25">
      <c r="E1002" t="str">
        <f>IFERROR(VLOOKUP(D1002,'Team Data'!C:AB,4,FALSE),"")</f>
        <v/>
      </c>
      <c r="F1002" t="str">
        <f>IFERROR(VLOOKUP(D1002,'Team Data'!C:AB,5,FALSE),"")</f>
        <v/>
      </c>
      <c r="G1002" t="str">
        <f>IFERROR(VLOOKUP('OB Format'!D1002,'Team Data'!C:AB,17,FALSE),"")</f>
        <v/>
      </c>
      <c r="H1002" t="str">
        <f>IFERROR(VLOOKUP(D1002,'Team Data'!C:AB,7,FALSE),"")</f>
        <v/>
      </c>
      <c r="I1002" t="str">
        <f>IFERROR(VLOOKUP(D1002,'Team Data'!C:AB,14,FALSE),"")</f>
        <v/>
      </c>
      <c r="J1002" t="str">
        <f>IFERROR(VLOOKUP(D1002,'Team Data'!C:AB,8,FALSE),"")</f>
        <v/>
      </c>
      <c r="K1002" t="str">
        <f>IFERROR(VLOOKUP(D1002,'Team Data'!C:AB,9,FALSE),"")</f>
        <v/>
      </c>
      <c r="L1002" t="str">
        <f>IFERROR(VLOOKUP(D1002,'Team Data'!C:AB,10,FALSE),"")</f>
        <v/>
      </c>
      <c r="M1002" t="str">
        <f t="shared" si="32"/>
        <v/>
      </c>
      <c r="N1002" t="str">
        <f>IFERROR(VLOOKUP(D1002,'Team Data'!C:AB,23,FALSE),"")</f>
        <v/>
      </c>
      <c r="O1002" t="str">
        <f>IFERROR(VLOOKUP(D1002,'Team Data'!C:AB,22,FALSE),"")</f>
        <v/>
      </c>
      <c r="P1002" t="str">
        <f t="shared" si="33"/>
        <v/>
      </c>
      <c r="Q1002" t="str">
        <f>IFERROR(VLOOKUP(D1002,'Team Data'!C:AB,15,FALSE),"")</f>
        <v/>
      </c>
      <c r="R1002" t="str">
        <f>IFERROR(VLOOKUP('OB Format'!D1002,'Team Data'!C:AB,24,FALSE),"")</f>
        <v/>
      </c>
      <c r="S1002" t="str">
        <f>IFERROR(VLOOKUP('OB Format'!D1002,'Team Data'!C:AC,25,FALSE),"")</f>
        <v/>
      </c>
    </row>
    <row r="1003" spans="5:19" x14ac:dyDescent="0.25">
      <c r="E1003" t="str">
        <f>IFERROR(VLOOKUP(D1003,'Team Data'!C:AB,4,FALSE),"")</f>
        <v/>
      </c>
      <c r="F1003" t="str">
        <f>IFERROR(VLOOKUP(D1003,'Team Data'!C:AB,5,FALSE),"")</f>
        <v/>
      </c>
      <c r="G1003" t="str">
        <f>IFERROR(VLOOKUP('OB Format'!D1003,'Team Data'!C:AB,17,FALSE),"")</f>
        <v/>
      </c>
      <c r="H1003" t="str">
        <f>IFERROR(VLOOKUP(D1003,'Team Data'!C:AB,7,FALSE),"")</f>
        <v/>
      </c>
      <c r="I1003" t="str">
        <f>IFERROR(VLOOKUP(D1003,'Team Data'!C:AB,14,FALSE),"")</f>
        <v/>
      </c>
      <c r="J1003" t="str">
        <f>IFERROR(VLOOKUP(D1003,'Team Data'!C:AB,8,FALSE),"")</f>
        <v/>
      </c>
      <c r="K1003" t="str">
        <f>IFERROR(VLOOKUP(D1003,'Team Data'!C:AB,9,FALSE),"")</f>
        <v/>
      </c>
      <c r="L1003" t="str">
        <f>IFERROR(VLOOKUP(D1003,'Team Data'!C:AB,10,FALSE),"")</f>
        <v/>
      </c>
      <c r="M1003" t="str">
        <f t="shared" si="32"/>
        <v/>
      </c>
      <c r="N1003" t="str">
        <f>IFERROR(VLOOKUP(D1003,'Team Data'!C:AB,23,FALSE),"")</f>
        <v/>
      </c>
      <c r="O1003" t="str">
        <f>IFERROR(VLOOKUP(D1003,'Team Data'!C:AB,22,FALSE),"")</f>
        <v/>
      </c>
      <c r="P1003" t="str">
        <f t="shared" si="33"/>
        <v/>
      </c>
      <c r="Q1003" t="str">
        <f>IFERROR(VLOOKUP(D1003,'Team Data'!C:AB,15,FALSE),"")</f>
        <v/>
      </c>
      <c r="R1003" t="str">
        <f>IFERROR(VLOOKUP('OB Format'!D1003,'Team Data'!C:AB,24,FALSE),"")</f>
        <v/>
      </c>
      <c r="S1003" t="str">
        <f>IFERROR(VLOOKUP('OB Format'!D1003,'Team Data'!C:AC,25,FALSE),"")</f>
        <v/>
      </c>
    </row>
    <row r="1004" spans="5:19" x14ac:dyDescent="0.25">
      <c r="E1004" t="str">
        <f>IFERROR(VLOOKUP(D1004,'Team Data'!C:AB,4,FALSE),"")</f>
        <v/>
      </c>
      <c r="F1004" t="str">
        <f>IFERROR(VLOOKUP(D1004,'Team Data'!C:AB,5,FALSE),"")</f>
        <v/>
      </c>
      <c r="G1004" t="str">
        <f>IFERROR(VLOOKUP('OB Format'!D1004,'Team Data'!C:AB,17,FALSE),"")</f>
        <v/>
      </c>
      <c r="H1004" t="str">
        <f>IFERROR(VLOOKUP(D1004,'Team Data'!C:AB,7,FALSE),"")</f>
        <v/>
      </c>
      <c r="I1004" t="str">
        <f>IFERROR(VLOOKUP(D1004,'Team Data'!C:AB,14,FALSE),"")</f>
        <v/>
      </c>
      <c r="J1004" t="str">
        <f>IFERROR(VLOOKUP(D1004,'Team Data'!C:AB,8,FALSE),"")</f>
        <v/>
      </c>
      <c r="K1004" t="str">
        <f>IFERROR(VLOOKUP(D1004,'Team Data'!C:AB,9,FALSE),"")</f>
        <v/>
      </c>
      <c r="L1004" t="str">
        <f>IFERROR(VLOOKUP(D1004,'Team Data'!C:AB,10,FALSE),"")</f>
        <v/>
      </c>
      <c r="M1004" t="str">
        <f t="shared" si="32"/>
        <v/>
      </c>
      <c r="N1004" t="str">
        <f>IFERROR(VLOOKUP(D1004,'Team Data'!C:AB,23,FALSE),"")</f>
        <v/>
      </c>
      <c r="O1004" t="str">
        <f>IFERROR(VLOOKUP(D1004,'Team Data'!C:AB,22,FALSE),"")</f>
        <v/>
      </c>
      <c r="P1004" t="str">
        <f t="shared" si="33"/>
        <v/>
      </c>
      <c r="Q1004" t="str">
        <f>IFERROR(VLOOKUP(D1004,'Team Data'!C:AB,15,FALSE),"")</f>
        <v/>
      </c>
      <c r="R1004" t="str">
        <f>IFERROR(VLOOKUP('OB Format'!D1004,'Team Data'!C:AB,24,FALSE),"")</f>
        <v/>
      </c>
      <c r="S1004" t="str">
        <f>IFERROR(VLOOKUP('OB Format'!D1004,'Team Data'!C:AC,25,FALSE),"")</f>
        <v/>
      </c>
    </row>
    <row r="1005" spans="5:19" x14ac:dyDescent="0.25">
      <c r="E1005" t="str">
        <f>IFERROR(VLOOKUP(D1005,'Team Data'!C:AB,4,FALSE),"")</f>
        <v/>
      </c>
      <c r="F1005" t="str">
        <f>IFERROR(VLOOKUP(D1005,'Team Data'!C:AB,5,FALSE),"")</f>
        <v/>
      </c>
      <c r="G1005" t="str">
        <f>IFERROR(VLOOKUP('OB Format'!D1005,'Team Data'!C:AB,17,FALSE),"")</f>
        <v/>
      </c>
      <c r="H1005" t="str">
        <f>IFERROR(VLOOKUP(D1005,'Team Data'!C:AB,7,FALSE),"")</f>
        <v/>
      </c>
      <c r="I1005" t="str">
        <f>IFERROR(VLOOKUP(D1005,'Team Data'!C:AB,14,FALSE),"")</f>
        <v/>
      </c>
      <c r="J1005" t="str">
        <f>IFERROR(VLOOKUP(D1005,'Team Data'!C:AB,8,FALSE),"")</f>
        <v/>
      </c>
      <c r="K1005" t="str">
        <f>IFERROR(VLOOKUP(D1005,'Team Data'!C:AB,9,FALSE),"")</f>
        <v/>
      </c>
      <c r="L1005" t="str">
        <f>IFERROR(VLOOKUP(D1005,'Team Data'!C:AB,10,FALSE),"")</f>
        <v/>
      </c>
      <c r="M1005" t="str">
        <f t="shared" si="32"/>
        <v/>
      </c>
      <c r="N1005" t="str">
        <f>IFERROR(VLOOKUP(D1005,'Team Data'!C:AB,23,FALSE),"")</f>
        <v/>
      </c>
      <c r="O1005" t="str">
        <f>IFERROR(VLOOKUP(D1005,'Team Data'!C:AB,22,FALSE),"")</f>
        <v/>
      </c>
      <c r="P1005" t="str">
        <f t="shared" si="33"/>
        <v/>
      </c>
      <c r="Q1005" t="str">
        <f>IFERROR(VLOOKUP(D1005,'Team Data'!C:AB,15,FALSE),"")</f>
        <v/>
      </c>
      <c r="R1005" t="str">
        <f>IFERROR(VLOOKUP('OB Format'!D1005,'Team Data'!C:AB,24,FALSE),"")</f>
        <v/>
      </c>
      <c r="S1005" t="str">
        <f>IFERROR(VLOOKUP('OB Format'!D1005,'Team Data'!C:AC,25,FALSE),"")</f>
        <v/>
      </c>
    </row>
    <row r="1006" spans="5:19" x14ac:dyDescent="0.25">
      <c r="E1006" t="str">
        <f>IFERROR(VLOOKUP(D1006,'Team Data'!C:AB,4,FALSE),"")</f>
        <v/>
      </c>
      <c r="F1006" t="str">
        <f>IFERROR(VLOOKUP(D1006,'Team Data'!C:AB,5,FALSE),"")</f>
        <v/>
      </c>
      <c r="G1006" t="str">
        <f>IFERROR(VLOOKUP('OB Format'!D1006,'Team Data'!C:AB,17,FALSE),"")</f>
        <v/>
      </c>
      <c r="H1006" t="str">
        <f>IFERROR(VLOOKUP(D1006,'Team Data'!C:AB,7,FALSE),"")</f>
        <v/>
      </c>
      <c r="I1006" t="str">
        <f>IFERROR(VLOOKUP(D1006,'Team Data'!C:AB,14,FALSE),"")</f>
        <v/>
      </c>
      <c r="J1006" t="str">
        <f>IFERROR(VLOOKUP(D1006,'Team Data'!C:AB,8,FALSE),"")</f>
        <v/>
      </c>
      <c r="K1006" t="str">
        <f>IFERROR(VLOOKUP(D1006,'Team Data'!C:AB,9,FALSE),"")</f>
        <v/>
      </c>
      <c r="L1006" t="str">
        <f>IFERROR(VLOOKUP(D1006,'Team Data'!C:AB,10,FALSE),"")</f>
        <v/>
      </c>
      <c r="M1006" t="str">
        <f t="shared" si="32"/>
        <v/>
      </c>
      <c r="N1006" t="str">
        <f>IFERROR(VLOOKUP(D1006,'Team Data'!C:AB,23,FALSE),"")</f>
        <v/>
      </c>
      <c r="O1006" t="str">
        <f>IFERROR(VLOOKUP(D1006,'Team Data'!C:AB,22,FALSE),"")</f>
        <v/>
      </c>
      <c r="P1006" t="str">
        <f t="shared" si="33"/>
        <v/>
      </c>
      <c r="Q1006" t="str">
        <f>IFERROR(VLOOKUP(D1006,'Team Data'!C:AB,15,FALSE),"")</f>
        <v/>
      </c>
      <c r="R1006" t="str">
        <f>IFERROR(VLOOKUP('OB Format'!D1006,'Team Data'!C:AB,24,FALSE),"")</f>
        <v/>
      </c>
      <c r="S1006" t="str">
        <f>IFERROR(VLOOKUP('OB Format'!D1006,'Team Data'!C:AC,25,FALSE),"")</f>
        <v/>
      </c>
    </row>
    <row r="1007" spans="5:19" x14ac:dyDescent="0.25">
      <c r="E1007" t="str">
        <f>IFERROR(VLOOKUP(D1007,'Team Data'!C:AB,4,FALSE),"")</f>
        <v/>
      </c>
      <c r="F1007" t="str">
        <f>IFERROR(VLOOKUP(D1007,'Team Data'!C:AB,5,FALSE),"")</f>
        <v/>
      </c>
      <c r="G1007" t="str">
        <f>IFERROR(VLOOKUP('OB Format'!D1007,'Team Data'!C:AB,17,FALSE),"")</f>
        <v/>
      </c>
      <c r="H1007" t="str">
        <f>IFERROR(VLOOKUP(D1007,'Team Data'!C:AB,7,FALSE),"")</f>
        <v/>
      </c>
      <c r="I1007" t="str">
        <f>IFERROR(VLOOKUP(D1007,'Team Data'!C:AB,14,FALSE),"")</f>
        <v/>
      </c>
      <c r="J1007" t="str">
        <f>IFERROR(VLOOKUP(D1007,'Team Data'!C:AB,8,FALSE),"")</f>
        <v/>
      </c>
      <c r="K1007" t="str">
        <f>IFERROR(VLOOKUP(D1007,'Team Data'!C:AB,9,FALSE),"")</f>
        <v/>
      </c>
      <c r="L1007" t="str">
        <f>IFERROR(VLOOKUP(D1007,'Team Data'!C:AB,10,FALSE),"")</f>
        <v/>
      </c>
      <c r="M1007" t="str">
        <f t="shared" si="32"/>
        <v/>
      </c>
      <c r="N1007" t="str">
        <f>IFERROR(VLOOKUP(D1007,'Team Data'!C:AB,23,FALSE),"")</f>
        <v/>
      </c>
      <c r="O1007" t="str">
        <f>IFERROR(VLOOKUP(D1007,'Team Data'!C:AB,22,FALSE),"")</f>
        <v/>
      </c>
      <c r="P1007" t="str">
        <f t="shared" si="33"/>
        <v/>
      </c>
      <c r="Q1007" t="str">
        <f>IFERROR(VLOOKUP(D1007,'Team Data'!C:AB,15,FALSE),"")</f>
        <v/>
      </c>
      <c r="R1007" t="str">
        <f>IFERROR(VLOOKUP('OB Format'!D1007,'Team Data'!C:AB,24,FALSE),"")</f>
        <v/>
      </c>
      <c r="S1007" t="str">
        <f>IFERROR(VLOOKUP('OB Format'!D1007,'Team Data'!C:AC,25,FALSE),"")</f>
        <v/>
      </c>
    </row>
    <row r="1008" spans="5:19" x14ac:dyDescent="0.25">
      <c r="E1008" t="str">
        <f>IFERROR(VLOOKUP(D1008,'Team Data'!C:AB,4,FALSE),"")</f>
        <v/>
      </c>
      <c r="F1008" t="str">
        <f>IFERROR(VLOOKUP(D1008,'Team Data'!C:AB,5,FALSE),"")</f>
        <v/>
      </c>
      <c r="G1008" t="str">
        <f>IFERROR(VLOOKUP('OB Format'!D1008,'Team Data'!C:AB,17,FALSE),"")</f>
        <v/>
      </c>
      <c r="H1008" t="str">
        <f>IFERROR(VLOOKUP(D1008,'Team Data'!C:AB,7,FALSE),"")</f>
        <v/>
      </c>
      <c r="I1008" t="str">
        <f>IFERROR(VLOOKUP(D1008,'Team Data'!C:AB,14,FALSE),"")</f>
        <v/>
      </c>
      <c r="J1008" t="str">
        <f>IFERROR(VLOOKUP(D1008,'Team Data'!C:AB,8,FALSE),"")</f>
        <v/>
      </c>
      <c r="K1008" t="str">
        <f>IFERROR(VLOOKUP(D1008,'Team Data'!C:AB,9,FALSE),"")</f>
        <v/>
      </c>
      <c r="L1008" t="str">
        <f>IFERROR(VLOOKUP(D1008,'Team Data'!C:AB,10,FALSE),"")</f>
        <v/>
      </c>
      <c r="M1008" t="str">
        <f t="shared" si="32"/>
        <v/>
      </c>
      <c r="N1008" t="str">
        <f>IFERROR(VLOOKUP(D1008,'Team Data'!C:AB,23,FALSE),"")</f>
        <v/>
      </c>
      <c r="O1008" t="str">
        <f>IFERROR(VLOOKUP(D1008,'Team Data'!C:AB,22,FALSE),"")</f>
        <v/>
      </c>
      <c r="P1008" t="str">
        <f t="shared" si="33"/>
        <v/>
      </c>
      <c r="Q1008" t="str">
        <f>IFERROR(VLOOKUP(D1008,'Team Data'!C:AB,15,FALSE),"")</f>
        <v/>
      </c>
      <c r="R1008" t="str">
        <f>IFERROR(VLOOKUP('OB Format'!D1008,'Team Data'!C:AB,24,FALSE),"")</f>
        <v/>
      </c>
      <c r="S1008" t="str">
        <f>IFERROR(VLOOKUP('OB Format'!D1008,'Team Data'!C:AC,25,FALSE),"")</f>
        <v/>
      </c>
    </row>
    <row r="1009" spans="5:19" x14ac:dyDescent="0.25">
      <c r="E1009" t="str">
        <f>IFERROR(VLOOKUP(D1009,'Team Data'!C:AB,4,FALSE),"")</f>
        <v/>
      </c>
      <c r="F1009" t="str">
        <f>IFERROR(VLOOKUP(D1009,'Team Data'!C:AB,5,FALSE),"")</f>
        <v/>
      </c>
      <c r="G1009" t="str">
        <f>IFERROR(VLOOKUP('OB Format'!D1009,'Team Data'!C:AB,17,FALSE),"")</f>
        <v/>
      </c>
      <c r="H1009" t="str">
        <f>IFERROR(VLOOKUP(D1009,'Team Data'!C:AB,7,FALSE),"")</f>
        <v/>
      </c>
      <c r="I1009" t="str">
        <f>IFERROR(VLOOKUP(D1009,'Team Data'!C:AB,14,FALSE),"")</f>
        <v/>
      </c>
      <c r="J1009" t="str">
        <f>IFERROR(VLOOKUP(D1009,'Team Data'!C:AB,8,FALSE),"")</f>
        <v/>
      </c>
      <c r="K1009" t="str">
        <f>IFERROR(VLOOKUP(D1009,'Team Data'!C:AB,9,FALSE),"")</f>
        <v/>
      </c>
      <c r="L1009" t="str">
        <f>IFERROR(VLOOKUP(D1009,'Team Data'!C:AB,10,FALSE),"")</f>
        <v/>
      </c>
      <c r="M1009" t="str">
        <f t="shared" si="32"/>
        <v/>
      </c>
      <c r="N1009" t="str">
        <f>IFERROR(VLOOKUP(D1009,'Team Data'!C:AB,23,FALSE),"")</f>
        <v/>
      </c>
      <c r="O1009" t="str">
        <f>IFERROR(VLOOKUP(D1009,'Team Data'!C:AB,22,FALSE),"")</f>
        <v/>
      </c>
      <c r="P1009" t="str">
        <f t="shared" si="33"/>
        <v/>
      </c>
      <c r="Q1009" t="str">
        <f>IFERROR(VLOOKUP(D1009,'Team Data'!C:AB,15,FALSE),"")</f>
        <v/>
      </c>
      <c r="R1009" t="str">
        <f>IFERROR(VLOOKUP('OB Format'!D1009,'Team Data'!C:AB,24,FALSE),"")</f>
        <v/>
      </c>
      <c r="S1009" t="str">
        <f>IFERROR(VLOOKUP('OB Format'!D1009,'Team Data'!C:AC,25,FALSE),"")</f>
        <v/>
      </c>
    </row>
    <row r="1010" spans="5:19" x14ac:dyDescent="0.25">
      <c r="E1010" t="str">
        <f>IFERROR(VLOOKUP(D1010,'Team Data'!C:AB,4,FALSE),"")</f>
        <v/>
      </c>
      <c r="F1010" t="str">
        <f>IFERROR(VLOOKUP(D1010,'Team Data'!C:AB,5,FALSE),"")</f>
        <v/>
      </c>
      <c r="G1010" t="str">
        <f>IFERROR(VLOOKUP('OB Format'!D1010,'Team Data'!C:AB,17,FALSE),"")</f>
        <v/>
      </c>
      <c r="H1010" t="str">
        <f>IFERROR(VLOOKUP(D1010,'Team Data'!C:AB,7,FALSE),"")</f>
        <v/>
      </c>
      <c r="I1010" t="str">
        <f>IFERROR(VLOOKUP(D1010,'Team Data'!C:AB,14,FALSE),"")</f>
        <v/>
      </c>
      <c r="J1010" t="str">
        <f>IFERROR(VLOOKUP(D1010,'Team Data'!C:AB,8,FALSE),"")</f>
        <v/>
      </c>
      <c r="K1010" t="str">
        <f>IFERROR(VLOOKUP(D1010,'Team Data'!C:AB,9,FALSE),"")</f>
        <v/>
      </c>
      <c r="L1010" t="str">
        <f>IFERROR(VLOOKUP(D1010,'Team Data'!C:AB,10,FALSE),"")</f>
        <v/>
      </c>
      <c r="M1010" t="str">
        <f t="shared" si="32"/>
        <v/>
      </c>
      <c r="N1010" t="str">
        <f>IFERROR(VLOOKUP(D1010,'Team Data'!C:AB,23,FALSE),"")</f>
        <v/>
      </c>
      <c r="O1010" t="str">
        <f>IFERROR(VLOOKUP(D1010,'Team Data'!C:AB,22,FALSE),"")</f>
        <v/>
      </c>
      <c r="P1010" t="str">
        <f t="shared" si="33"/>
        <v/>
      </c>
      <c r="Q1010" t="str">
        <f>IFERROR(VLOOKUP(D1010,'Team Data'!C:AB,15,FALSE),"")</f>
        <v/>
      </c>
      <c r="R1010" t="str">
        <f>IFERROR(VLOOKUP('OB Format'!D1010,'Team Data'!C:AB,24,FALSE),"")</f>
        <v/>
      </c>
      <c r="S1010" t="str">
        <f>IFERROR(VLOOKUP('OB Format'!D1010,'Team Data'!C:AC,25,FALSE),"")</f>
        <v/>
      </c>
    </row>
    <row r="1011" spans="5:19" x14ac:dyDescent="0.25">
      <c r="E1011" t="str">
        <f>IFERROR(VLOOKUP(D1011,'Team Data'!C:AB,4,FALSE),"")</f>
        <v/>
      </c>
      <c r="F1011" t="str">
        <f>IFERROR(VLOOKUP(D1011,'Team Data'!C:AB,5,FALSE),"")</f>
        <v/>
      </c>
      <c r="G1011" t="str">
        <f>IFERROR(VLOOKUP('OB Format'!D1011,'Team Data'!C:AB,17,FALSE),"")</f>
        <v/>
      </c>
      <c r="H1011" t="str">
        <f>IFERROR(VLOOKUP(D1011,'Team Data'!C:AB,7,FALSE),"")</f>
        <v/>
      </c>
      <c r="I1011" t="str">
        <f>IFERROR(VLOOKUP(D1011,'Team Data'!C:AB,14,FALSE),"")</f>
        <v/>
      </c>
      <c r="J1011" t="str">
        <f>IFERROR(VLOOKUP(D1011,'Team Data'!C:AB,8,FALSE),"")</f>
        <v/>
      </c>
      <c r="K1011" t="str">
        <f>IFERROR(VLOOKUP(D1011,'Team Data'!C:AB,9,FALSE),"")</f>
        <v/>
      </c>
      <c r="L1011" t="str">
        <f>IFERROR(VLOOKUP(D1011,'Team Data'!C:AB,10,FALSE),"")</f>
        <v/>
      </c>
      <c r="M1011" t="str">
        <f t="shared" si="32"/>
        <v/>
      </c>
      <c r="N1011" t="str">
        <f>IFERROR(VLOOKUP(D1011,'Team Data'!C:AB,23,FALSE),"")</f>
        <v/>
      </c>
      <c r="O1011" t="str">
        <f>IFERROR(VLOOKUP(D1011,'Team Data'!C:AB,22,FALSE),"")</f>
        <v/>
      </c>
      <c r="P1011" t="str">
        <f t="shared" si="33"/>
        <v/>
      </c>
      <c r="Q1011" t="str">
        <f>IFERROR(VLOOKUP(D1011,'Team Data'!C:AB,15,FALSE),"")</f>
        <v/>
      </c>
      <c r="R1011" t="str">
        <f>IFERROR(VLOOKUP('OB Format'!D1011,'Team Data'!C:AB,24,FALSE),"")</f>
        <v/>
      </c>
      <c r="S1011" t="str">
        <f>IFERROR(VLOOKUP('OB Format'!D1011,'Team Data'!C:AC,25,FALSE),"")</f>
        <v/>
      </c>
    </row>
    <row r="1012" spans="5:19" x14ac:dyDescent="0.25">
      <c r="E1012" t="str">
        <f>IFERROR(VLOOKUP(D1012,'Team Data'!C:AB,4,FALSE),"")</f>
        <v/>
      </c>
      <c r="F1012" t="str">
        <f>IFERROR(VLOOKUP(D1012,'Team Data'!C:AB,5,FALSE),"")</f>
        <v/>
      </c>
      <c r="G1012" t="str">
        <f>IFERROR(VLOOKUP('OB Format'!D1012,'Team Data'!C:AB,17,FALSE),"")</f>
        <v/>
      </c>
      <c r="H1012" t="str">
        <f>IFERROR(VLOOKUP(D1012,'Team Data'!C:AB,7,FALSE),"")</f>
        <v/>
      </c>
      <c r="I1012" t="str">
        <f>IFERROR(VLOOKUP(D1012,'Team Data'!C:AB,14,FALSE),"")</f>
        <v/>
      </c>
      <c r="J1012" t="str">
        <f>IFERROR(VLOOKUP(D1012,'Team Data'!C:AB,8,FALSE),"")</f>
        <v/>
      </c>
      <c r="K1012" t="str">
        <f>IFERROR(VLOOKUP(D1012,'Team Data'!C:AB,9,FALSE),"")</f>
        <v/>
      </c>
      <c r="L1012" t="str">
        <f>IFERROR(VLOOKUP(D1012,'Team Data'!C:AB,10,FALSE),"")</f>
        <v/>
      </c>
      <c r="M1012" t="str">
        <f t="shared" si="32"/>
        <v/>
      </c>
      <c r="N1012" t="str">
        <f>IFERROR(VLOOKUP(D1012,'Team Data'!C:AB,23,FALSE),"")</f>
        <v/>
      </c>
      <c r="O1012" t="str">
        <f>IFERROR(VLOOKUP(D1012,'Team Data'!C:AB,22,FALSE),"")</f>
        <v/>
      </c>
      <c r="P1012" t="str">
        <f t="shared" si="33"/>
        <v/>
      </c>
      <c r="Q1012" t="str">
        <f>IFERROR(VLOOKUP(D1012,'Team Data'!C:AB,15,FALSE),"")</f>
        <v/>
      </c>
      <c r="R1012" t="str">
        <f>IFERROR(VLOOKUP('OB Format'!D1012,'Team Data'!C:AB,24,FALSE),"")</f>
        <v/>
      </c>
      <c r="S1012" t="str">
        <f>IFERROR(VLOOKUP('OB Format'!D1012,'Team Data'!C:AC,25,FALSE),"")</f>
        <v/>
      </c>
    </row>
    <row r="1013" spans="5:19" x14ac:dyDescent="0.25">
      <c r="E1013" t="str">
        <f>IFERROR(VLOOKUP(D1013,'Team Data'!C:AB,4,FALSE),"")</f>
        <v/>
      </c>
      <c r="F1013" t="str">
        <f>IFERROR(VLOOKUP(D1013,'Team Data'!C:AB,5,FALSE),"")</f>
        <v/>
      </c>
      <c r="G1013" t="str">
        <f>IFERROR(VLOOKUP('OB Format'!D1013,'Team Data'!C:AB,17,FALSE),"")</f>
        <v/>
      </c>
      <c r="H1013" t="str">
        <f>IFERROR(VLOOKUP(D1013,'Team Data'!C:AB,7,FALSE),"")</f>
        <v/>
      </c>
      <c r="I1013" t="str">
        <f>IFERROR(VLOOKUP(D1013,'Team Data'!C:AB,14,FALSE),"")</f>
        <v/>
      </c>
      <c r="J1013" t="str">
        <f>IFERROR(VLOOKUP(D1013,'Team Data'!C:AB,8,FALSE),"")</f>
        <v/>
      </c>
      <c r="K1013" t="str">
        <f>IFERROR(VLOOKUP(D1013,'Team Data'!C:AB,9,FALSE),"")</f>
        <v/>
      </c>
      <c r="L1013" t="str">
        <f>IFERROR(VLOOKUP(D1013,'Team Data'!C:AB,10,FALSE),"")</f>
        <v/>
      </c>
      <c r="M1013" t="str">
        <f t="shared" si="32"/>
        <v/>
      </c>
      <c r="N1013" t="str">
        <f>IFERROR(VLOOKUP(D1013,'Team Data'!C:AB,23,FALSE),"")</f>
        <v/>
      </c>
      <c r="O1013" t="str">
        <f>IFERROR(VLOOKUP(D1013,'Team Data'!C:AB,22,FALSE),"")</f>
        <v/>
      </c>
      <c r="P1013" t="str">
        <f t="shared" si="33"/>
        <v/>
      </c>
      <c r="Q1013" t="str">
        <f>IFERROR(VLOOKUP(D1013,'Team Data'!C:AB,15,FALSE),"")</f>
        <v/>
      </c>
      <c r="R1013" t="str">
        <f>IFERROR(VLOOKUP('OB Format'!D1013,'Team Data'!C:AB,24,FALSE),"")</f>
        <v/>
      </c>
      <c r="S1013" t="str">
        <f>IFERROR(VLOOKUP('OB Format'!D1013,'Team Data'!C:AC,25,FALSE),"")</f>
        <v/>
      </c>
    </row>
    <row r="1014" spans="5:19" x14ac:dyDescent="0.25">
      <c r="E1014" t="str">
        <f>IFERROR(VLOOKUP(D1014,'Team Data'!C:AB,4,FALSE),"")</f>
        <v/>
      </c>
      <c r="F1014" t="str">
        <f>IFERROR(VLOOKUP(D1014,'Team Data'!C:AB,5,FALSE),"")</f>
        <v/>
      </c>
      <c r="G1014" t="str">
        <f>IFERROR(VLOOKUP('OB Format'!D1014,'Team Data'!C:AB,17,FALSE),"")</f>
        <v/>
      </c>
      <c r="H1014" t="str">
        <f>IFERROR(VLOOKUP(D1014,'Team Data'!C:AB,7,FALSE),"")</f>
        <v/>
      </c>
      <c r="I1014" t="str">
        <f>IFERROR(VLOOKUP(D1014,'Team Data'!C:AB,14,FALSE),"")</f>
        <v/>
      </c>
      <c r="J1014" t="str">
        <f>IFERROR(VLOOKUP(D1014,'Team Data'!C:AB,8,FALSE),"")</f>
        <v/>
      </c>
      <c r="K1014" t="str">
        <f>IFERROR(VLOOKUP(D1014,'Team Data'!C:AB,9,FALSE),"")</f>
        <v/>
      </c>
      <c r="L1014" t="str">
        <f>IFERROR(VLOOKUP(D1014,'Team Data'!C:AB,10,FALSE),"")</f>
        <v/>
      </c>
      <c r="M1014" t="str">
        <f t="shared" si="32"/>
        <v/>
      </c>
      <c r="N1014" t="str">
        <f>IFERROR(VLOOKUP(D1014,'Team Data'!C:AB,23,FALSE),"")</f>
        <v/>
      </c>
      <c r="O1014" t="str">
        <f>IFERROR(VLOOKUP(D1014,'Team Data'!C:AB,22,FALSE),"")</f>
        <v/>
      </c>
      <c r="P1014" t="str">
        <f t="shared" si="33"/>
        <v/>
      </c>
      <c r="Q1014" t="str">
        <f>IFERROR(VLOOKUP(D1014,'Team Data'!C:AB,15,FALSE),"")</f>
        <v/>
      </c>
      <c r="R1014" t="str">
        <f>IFERROR(VLOOKUP('OB Format'!D1014,'Team Data'!C:AB,24,FALSE),"")</f>
        <v/>
      </c>
      <c r="S1014" t="str">
        <f>IFERROR(VLOOKUP('OB Format'!D1014,'Team Data'!C:AC,25,FALSE),"")</f>
        <v/>
      </c>
    </row>
    <row r="1015" spans="5:19" x14ac:dyDescent="0.25">
      <c r="E1015" t="str">
        <f>IFERROR(VLOOKUP(D1015,'Team Data'!C:AB,4,FALSE),"")</f>
        <v/>
      </c>
      <c r="F1015" t="str">
        <f>IFERROR(VLOOKUP(D1015,'Team Data'!C:AB,5,FALSE),"")</f>
        <v/>
      </c>
      <c r="G1015" t="str">
        <f>IFERROR(VLOOKUP('OB Format'!D1015,'Team Data'!C:AB,17,FALSE),"")</f>
        <v/>
      </c>
      <c r="H1015" t="str">
        <f>IFERROR(VLOOKUP(D1015,'Team Data'!C:AB,7,FALSE),"")</f>
        <v/>
      </c>
      <c r="I1015" t="str">
        <f>IFERROR(VLOOKUP(D1015,'Team Data'!C:AB,14,FALSE),"")</f>
        <v/>
      </c>
      <c r="J1015" t="str">
        <f>IFERROR(VLOOKUP(D1015,'Team Data'!C:AB,8,FALSE),"")</f>
        <v/>
      </c>
      <c r="K1015" t="str">
        <f>IFERROR(VLOOKUP(D1015,'Team Data'!C:AB,9,FALSE),"")</f>
        <v/>
      </c>
      <c r="L1015" t="str">
        <f>IFERROR(VLOOKUP(D1015,'Team Data'!C:AB,10,FALSE),"")</f>
        <v/>
      </c>
      <c r="M1015" t="str">
        <f t="shared" si="32"/>
        <v/>
      </c>
      <c r="N1015" t="str">
        <f>IFERROR(VLOOKUP(D1015,'Team Data'!C:AB,23,FALSE),"")</f>
        <v/>
      </c>
      <c r="O1015" t="str">
        <f>IFERROR(VLOOKUP(D1015,'Team Data'!C:AB,22,FALSE),"")</f>
        <v/>
      </c>
      <c r="P1015" t="str">
        <f t="shared" si="33"/>
        <v/>
      </c>
      <c r="Q1015" t="str">
        <f>IFERROR(VLOOKUP(D1015,'Team Data'!C:AB,15,FALSE),"")</f>
        <v/>
      </c>
      <c r="R1015" t="str">
        <f>IFERROR(VLOOKUP('OB Format'!D1015,'Team Data'!C:AB,24,FALSE),"")</f>
        <v/>
      </c>
      <c r="S1015" t="str">
        <f>IFERROR(VLOOKUP('OB Format'!D1015,'Team Data'!C:AC,25,FALSE),"")</f>
        <v/>
      </c>
    </row>
    <row r="1016" spans="5:19" x14ac:dyDescent="0.25">
      <c r="E1016" t="str">
        <f>IFERROR(VLOOKUP(D1016,'Team Data'!C:AB,4,FALSE),"")</f>
        <v/>
      </c>
      <c r="F1016" t="str">
        <f>IFERROR(VLOOKUP(D1016,'Team Data'!C:AB,5,FALSE),"")</f>
        <v/>
      </c>
      <c r="G1016" t="str">
        <f>IFERROR(VLOOKUP('OB Format'!D1016,'Team Data'!C:AB,17,FALSE),"")</f>
        <v/>
      </c>
      <c r="H1016" t="str">
        <f>IFERROR(VLOOKUP(D1016,'Team Data'!C:AB,7,FALSE),"")</f>
        <v/>
      </c>
      <c r="I1016" t="str">
        <f>IFERROR(VLOOKUP(D1016,'Team Data'!C:AB,14,FALSE),"")</f>
        <v/>
      </c>
      <c r="J1016" t="str">
        <f>IFERROR(VLOOKUP(D1016,'Team Data'!C:AB,8,FALSE),"")</f>
        <v/>
      </c>
      <c r="K1016" t="str">
        <f>IFERROR(VLOOKUP(D1016,'Team Data'!C:AB,9,FALSE),"")</f>
        <v/>
      </c>
      <c r="L1016" t="str">
        <f>IFERROR(VLOOKUP(D1016,'Team Data'!C:AB,10,FALSE),"")</f>
        <v/>
      </c>
      <c r="M1016" t="str">
        <f t="shared" si="32"/>
        <v/>
      </c>
      <c r="N1016" t="str">
        <f>IFERROR(VLOOKUP(D1016,'Team Data'!C:AB,23,FALSE),"")</f>
        <v/>
      </c>
      <c r="O1016" t="str">
        <f>IFERROR(VLOOKUP(D1016,'Team Data'!C:AB,22,FALSE),"")</f>
        <v/>
      </c>
      <c r="P1016" t="str">
        <f t="shared" si="33"/>
        <v/>
      </c>
      <c r="Q1016" t="str">
        <f>IFERROR(VLOOKUP(D1016,'Team Data'!C:AB,15,FALSE),"")</f>
        <v/>
      </c>
      <c r="R1016" t="str">
        <f>IFERROR(VLOOKUP('OB Format'!D1016,'Team Data'!C:AB,24,FALSE),"")</f>
        <v/>
      </c>
      <c r="S1016" t="str">
        <f>IFERROR(VLOOKUP('OB Format'!D1016,'Team Data'!C:AC,25,FALSE),"")</f>
        <v/>
      </c>
    </row>
    <row r="1017" spans="5:19" x14ac:dyDescent="0.25">
      <c r="E1017" t="str">
        <f>IFERROR(VLOOKUP(D1017,'Team Data'!C:AB,4,FALSE),"")</f>
        <v/>
      </c>
      <c r="F1017" t="str">
        <f>IFERROR(VLOOKUP(D1017,'Team Data'!C:AB,5,FALSE),"")</f>
        <v/>
      </c>
      <c r="G1017" t="str">
        <f>IFERROR(VLOOKUP('OB Format'!D1017,'Team Data'!C:AB,17,FALSE),"")</f>
        <v/>
      </c>
      <c r="H1017" t="str">
        <f>IFERROR(VLOOKUP(D1017,'Team Data'!C:AB,7,FALSE),"")</f>
        <v/>
      </c>
      <c r="I1017" t="str">
        <f>IFERROR(VLOOKUP(D1017,'Team Data'!C:AB,14,FALSE),"")</f>
        <v/>
      </c>
      <c r="J1017" t="str">
        <f>IFERROR(VLOOKUP(D1017,'Team Data'!C:AB,8,FALSE),"")</f>
        <v/>
      </c>
      <c r="K1017" t="str">
        <f>IFERROR(VLOOKUP(D1017,'Team Data'!C:AB,9,FALSE),"")</f>
        <v/>
      </c>
      <c r="L1017" t="str">
        <f>IFERROR(VLOOKUP(D1017,'Team Data'!C:AB,10,FALSE),"")</f>
        <v/>
      </c>
      <c r="M1017" t="str">
        <f t="shared" si="32"/>
        <v/>
      </c>
      <c r="N1017" t="str">
        <f>IFERROR(VLOOKUP(D1017,'Team Data'!C:AB,23,FALSE),"")</f>
        <v/>
      </c>
      <c r="O1017" t="str">
        <f>IFERROR(VLOOKUP(D1017,'Team Data'!C:AB,22,FALSE),"")</f>
        <v/>
      </c>
      <c r="P1017" t="str">
        <f t="shared" si="33"/>
        <v/>
      </c>
      <c r="Q1017" t="str">
        <f>IFERROR(VLOOKUP(D1017,'Team Data'!C:AB,15,FALSE),"")</f>
        <v/>
      </c>
      <c r="R1017" t="str">
        <f>IFERROR(VLOOKUP('OB Format'!D1017,'Team Data'!C:AB,24,FALSE),"")</f>
        <v/>
      </c>
      <c r="S1017" t="str">
        <f>IFERROR(VLOOKUP('OB Format'!D1017,'Team Data'!C:AC,25,FALSE),"")</f>
        <v/>
      </c>
    </row>
    <row r="1018" spans="5:19" x14ac:dyDescent="0.25">
      <c r="E1018" t="str">
        <f>IFERROR(VLOOKUP(D1018,'Team Data'!C:AB,4,FALSE),"")</f>
        <v/>
      </c>
      <c r="F1018" t="str">
        <f>IFERROR(VLOOKUP(D1018,'Team Data'!C:AB,5,FALSE),"")</f>
        <v/>
      </c>
      <c r="G1018" t="str">
        <f>IFERROR(VLOOKUP('OB Format'!D1018,'Team Data'!C:AB,17,FALSE),"")</f>
        <v/>
      </c>
      <c r="H1018" t="str">
        <f>IFERROR(VLOOKUP(D1018,'Team Data'!C:AB,7,FALSE),"")</f>
        <v/>
      </c>
      <c r="I1018" t="str">
        <f>IFERROR(VLOOKUP(D1018,'Team Data'!C:AB,14,FALSE),"")</f>
        <v/>
      </c>
      <c r="J1018" t="str">
        <f>IFERROR(VLOOKUP(D1018,'Team Data'!C:AB,8,FALSE),"")</f>
        <v/>
      </c>
      <c r="K1018" t="str">
        <f>IFERROR(VLOOKUP(D1018,'Team Data'!C:AB,9,FALSE),"")</f>
        <v/>
      </c>
      <c r="L1018" t="str">
        <f>IFERROR(VLOOKUP(D1018,'Team Data'!C:AB,10,FALSE),"")</f>
        <v/>
      </c>
      <c r="M1018" t="str">
        <f t="shared" si="32"/>
        <v/>
      </c>
      <c r="N1018" t="str">
        <f>IFERROR(VLOOKUP(D1018,'Team Data'!C:AB,23,FALSE),"")</f>
        <v/>
      </c>
      <c r="O1018" t="str">
        <f>IFERROR(VLOOKUP(D1018,'Team Data'!C:AB,22,FALSE),"")</f>
        <v/>
      </c>
      <c r="P1018" t="str">
        <f t="shared" si="33"/>
        <v/>
      </c>
      <c r="Q1018" t="str">
        <f>IFERROR(VLOOKUP(D1018,'Team Data'!C:AB,15,FALSE),"")</f>
        <v/>
      </c>
      <c r="R1018" t="str">
        <f>IFERROR(VLOOKUP('OB Format'!D1018,'Team Data'!C:AB,24,FALSE),"")</f>
        <v/>
      </c>
      <c r="S1018" t="str">
        <f>IFERROR(VLOOKUP('OB Format'!D1018,'Team Data'!C:AC,25,FALSE),"")</f>
        <v/>
      </c>
    </row>
    <row r="1019" spans="5:19" x14ac:dyDescent="0.25">
      <c r="E1019" t="str">
        <f>IFERROR(VLOOKUP(D1019,'Team Data'!C:AB,4,FALSE),"")</f>
        <v/>
      </c>
      <c r="F1019" t="str">
        <f>IFERROR(VLOOKUP(D1019,'Team Data'!C:AB,5,FALSE),"")</f>
        <v/>
      </c>
      <c r="G1019" t="str">
        <f>IFERROR(VLOOKUP('OB Format'!D1019,'Team Data'!C:AB,17,FALSE),"")</f>
        <v/>
      </c>
      <c r="H1019" t="str">
        <f>IFERROR(VLOOKUP(D1019,'Team Data'!C:AB,7,FALSE),"")</f>
        <v/>
      </c>
      <c r="I1019" t="str">
        <f>IFERROR(VLOOKUP(D1019,'Team Data'!C:AB,14,FALSE),"")</f>
        <v/>
      </c>
      <c r="J1019" t="str">
        <f>IFERROR(VLOOKUP(D1019,'Team Data'!C:AB,8,FALSE),"")</f>
        <v/>
      </c>
      <c r="K1019" t="str">
        <f>IFERROR(VLOOKUP(D1019,'Team Data'!C:AB,9,FALSE),"")</f>
        <v/>
      </c>
      <c r="L1019" t="str">
        <f>IFERROR(VLOOKUP(D1019,'Team Data'!C:AB,10,FALSE),"")</f>
        <v/>
      </c>
      <c r="M1019" t="str">
        <f t="shared" si="32"/>
        <v/>
      </c>
      <c r="N1019" t="str">
        <f>IFERROR(VLOOKUP(D1019,'Team Data'!C:AB,23,FALSE),"")</f>
        <v/>
      </c>
      <c r="O1019" t="str">
        <f>IFERROR(VLOOKUP(D1019,'Team Data'!C:AB,22,FALSE),"")</f>
        <v/>
      </c>
      <c r="P1019" t="str">
        <f t="shared" si="33"/>
        <v/>
      </c>
      <c r="Q1019" t="str">
        <f>IFERROR(VLOOKUP(D1019,'Team Data'!C:AB,15,FALSE),"")</f>
        <v/>
      </c>
      <c r="R1019" t="str">
        <f>IFERROR(VLOOKUP('OB Format'!D1019,'Team Data'!C:AB,24,FALSE),"")</f>
        <v/>
      </c>
      <c r="S1019" t="str">
        <f>IFERROR(VLOOKUP('OB Format'!D1019,'Team Data'!C:AC,25,FALSE),"")</f>
        <v/>
      </c>
    </row>
    <row r="1020" spans="5:19" x14ac:dyDescent="0.25">
      <c r="E1020" t="str">
        <f>IFERROR(VLOOKUP(D1020,'Team Data'!C:AB,4,FALSE),"")</f>
        <v/>
      </c>
      <c r="F1020" t="str">
        <f>IFERROR(VLOOKUP(D1020,'Team Data'!C:AB,5,FALSE),"")</f>
        <v/>
      </c>
      <c r="G1020" t="str">
        <f>IFERROR(VLOOKUP('OB Format'!D1020,'Team Data'!C:AB,17,FALSE),"")</f>
        <v/>
      </c>
      <c r="H1020" t="str">
        <f>IFERROR(VLOOKUP(D1020,'Team Data'!C:AB,7,FALSE),"")</f>
        <v/>
      </c>
      <c r="I1020" t="str">
        <f>IFERROR(VLOOKUP(D1020,'Team Data'!C:AB,14,FALSE),"")</f>
        <v/>
      </c>
      <c r="J1020" t="str">
        <f>IFERROR(VLOOKUP(D1020,'Team Data'!C:AB,8,FALSE),"")</f>
        <v/>
      </c>
      <c r="K1020" t="str">
        <f>IFERROR(VLOOKUP(D1020,'Team Data'!C:AB,9,FALSE),"")</f>
        <v/>
      </c>
      <c r="L1020" t="str">
        <f>IFERROR(VLOOKUP(D1020,'Team Data'!C:AB,10,FALSE),"")</f>
        <v/>
      </c>
      <c r="M1020" t="str">
        <f t="shared" si="32"/>
        <v/>
      </c>
      <c r="N1020" t="str">
        <f>IFERROR(VLOOKUP(D1020,'Team Data'!C:AB,23,FALSE),"")</f>
        <v/>
      </c>
      <c r="O1020" t="str">
        <f>IFERROR(VLOOKUP(D1020,'Team Data'!C:AB,22,FALSE),"")</f>
        <v/>
      </c>
      <c r="P1020" t="str">
        <f t="shared" si="33"/>
        <v/>
      </c>
      <c r="Q1020" t="str">
        <f>IFERROR(VLOOKUP(D1020,'Team Data'!C:AB,15,FALSE),"")</f>
        <v/>
      </c>
      <c r="R1020" t="str">
        <f>IFERROR(VLOOKUP('OB Format'!D1020,'Team Data'!C:AB,24,FALSE),"")</f>
        <v/>
      </c>
      <c r="S1020" t="str">
        <f>IFERROR(VLOOKUP('OB Format'!D1020,'Team Data'!C:AC,25,FALSE),"")</f>
        <v/>
      </c>
    </row>
    <row r="1021" spans="5:19" x14ac:dyDescent="0.25">
      <c r="E1021" t="str">
        <f>IFERROR(VLOOKUP(D1021,'Team Data'!C:AB,4,FALSE),"")</f>
        <v/>
      </c>
      <c r="F1021" t="str">
        <f>IFERROR(VLOOKUP(D1021,'Team Data'!C:AB,5,FALSE),"")</f>
        <v/>
      </c>
      <c r="G1021" t="str">
        <f>IFERROR(VLOOKUP('OB Format'!D1021,'Team Data'!C:AB,17,FALSE),"")</f>
        <v/>
      </c>
      <c r="H1021" t="str">
        <f>IFERROR(VLOOKUP(D1021,'Team Data'!C:AB,7,FALSE),"")</f>
        <v/>
      </c>
      <c r="I1021" t="str">
        <f>IFERROR(VLOOKUP(D1021,'Team Data'!C:AB,14,FALSE),"")</f>
        <v/>
      </c>
      <c r="J1021" t="str">
        <f>IFERROR(VLOOKUP(D1021,'Team Data'!C:AB,8,FALSE),"")</f>
        <v/>
      </c>
      <c r="K1021" t="str">
        <f>IFERROR(VLOOKUP(D1021,'Team Data'!C:AB,9,FALSE),"")</f>
        <v/>
      </c>
      <c r="L1021" t="str">
        <f>IFERROR(VLOOKUP(D1021,'Team Data'!C:AB,10,FALSE),"")</f>
        <v/>
      </c>
      <c r="M1021" t="str">
        <f t="shared" si="32"/>
        <v/>
      </c>
      <c r="N1021" t="str">
        <f>IFERROR(VLOOKUP(D1021,'Team Data'!C:AB,23,FALSE),"")</f>
        <v/>
      </c>
      <c r="O1021" t="str">
        <f>IFERROR(VLOOKUP(D1021,'Team Data'!C:AB,22,FALSE),"")</f>
        <v/>
      </c>
      <c r="P1021" t="str">
        <f t="shared" si="33"/>
        <v/>
      </c>
      <c r="Q1021" t="str">
        <f>IFERROR(VLOOKUP(D1021,'Team Data'!C:AB,15,FALSE),"")</f>
        <v/>
      </c>
      <c r="R1021" t="str">
        <f>IFERROR(VLOOKUP('OB Format'!D1021,'Team Data'!C:AB,24,FALSE),"")</f>
        <v/>
      </c>
      <c r="S1021" t="str">
        <f>IFERROR(VLOOKUP('OB Format'!D1021,'Team Data'!C:AC,25,FALSE),"")</f>
        <v/>
      </c>
    </row>
    <row r="1022" spans="5:19" x14ac:dyDescent="0.25">
      <c r="E1022" t="str">
        <f>IFERROR(VLOOKUP(D1022,'Team Data'!C:AB,4,FALSE),"")</f>
        <v/>
      </c>
      <c r="F1022" t="str">
        <f>IFERROR(VLOOKUP(D1022,'Team Data'!C:AB,5,FALSE),"")</f>
        <v/>
      </c>
      <c r="G1022" t="str">
        <f>IFERROR(VLOOKUP('OB Format'!D1022,'Team Data'!C:AB,17,FALSE),"")</f>
        <v/>
      </c>
      <c r="H1022" t="str">
        <f>IFERROR(VLOOKUP(D1022,'Team Data'!C:AB,7,FALSE),"")</f>
        <v/>
      </c>
      <c r="I1022" t="str">
        <f>IFERROR(VLOOKUP(D1022,'Team Data'!C:AB,14,FALSE),"")</f>
        <v/>
      </c>
      <c r="J1022" t="str">
        <f>IFERROR(VLOOKUP(D1022,'Team Data'!C:AB,8,FALSE),"")</f>
        <v/>
      </c>
      <c r="K1022" t="str">
        <f>IFERROR(VLOOKUP(D1022,'Team Data'!C:AB,9,FALSE),"")</f>
        <v/>
      </c>
      <c r="L1022" t="str">
        <f>IFERROR(VLOOKUP(D1022,'Team Data'!C:AB,10,FALSE),"")</f>
        <v/>
      </c>
      <c r="M1022" t="str">
        <f t="shared" si="32"/>
        <v/>
      </c>
      <c r="N1022" t="str">
        <f>IFERROR(VLOOKUP(D1022,'Team Data'!C:AB,23,FALSE),"")</f>
        <v/>
      </c>
      <c r="O1022" t="str">
        <f>IFERROR(VLOOKUP(D1022,'Team Data'!C:AB,22,FALSE),"")</f>
        <v/>
      </c>
      <c r="P1022" t="str">
        <f t="shared" si="33"/>
        <v/>
      </c>
      <c r="Q1022" t="str">
        <f>IFERROR(VLOOKUP(D1022,'Team Data'!C:AB,15,FALSE),"")</f>
        <v/>
      </c>
      <c r="R1022" t="str">
        <f>IFERROR(VLOOKUP('OB Format'!D1022,'Team Data'!C:AB,24,FALSE),"")</f>
        <v/>
      </c>
      <c r="S1022" t="str">
        <f>IFERROR(VLOOKUP('OB Format'!D1022,'Team Data'!C:AC,25,FALSE),"")</f>
        <v/>
      </c>
    </row>
    <row r="1023" spans="5:19" x14ac:dyDescent="0.25">
      <c r="E1023" t="str">
        <f>IFERROR(VLOOKUP(D1023,'Team Data'!C:AB,4,FALSE),"")</f>
        <v/>
      </c>
      <c r="F1023" t="str">
        <f>IFERROR(VLOOKUP(D1023,'Team Data'!C:AB,5,FALSE),"")</f>
        <v/>
      </c>
      <c r="G1023" t="str">
        <f>IFERROR(VLOOKUP('OB Format'!D1023,'Team Data'!C:AB,17,FALSE),"")</f>
        <v/>
      </c>
      <c r="H1023" t="str">
        <f>IFERROR(VLOOKUP(D1023,'Team Data'!C:AB,7,FALSE),"")</f>
        <v/>
      </c>
      <c r="I1023" t="str">
        <f>IFERROR(VLOOKUP(D1023,'Team Data'!C:AB,14,FALSE),"")</f>
        <v/>
      </c>
      <c r="J1023" t="str">
        <f>IFERROR(VLOOKUP(D1023,'Team Data'!C:AB,8,FALSE),"")</f>
        <v/>
      </c>
      <c r="K1023" t="str">
        <f>IFERROR(VLOOKUP(D1023,'Team Data'!C:AB,9,FALSE),"")</f>
        <v/>
      </c>
      <c r="L1023" t="str">
        <f>IFERROR(VLOOKUP(D1023,'Team Data'!C:AB,10,FALSE),"")</f>
        <v/>
      </c>
      <c r="M1023" t="str">
        <f t="shared" si="32"/>
        <v/>
      </c>
      <c r="N1023" t="str">
        <f>IFERROR(VLOOKUP(D1023,'Team Data'!C:AB,23,FALSE),"")</f>
        <v/>
      </c>
      <c r="O1023" t="str">
        <f>IFERROR(VLOOKUP(D1023,'Team Data'!C:AB,22,FALSE),"")</f>
        <v/>
      </c>
      <c r="P1023" t="str">
        <f t="shared" si="33"/>
        <v/>
      </c>
      <c r="Q1023" t="str">
        <f>IFERROR(VLOOKUP(D1023,'Team Data'!C:AB,15,FALSE),"")</f>
        <v/>
      </c>
      <c r="R1023" t="str">
        <f>IFERROR(VLOOKUP('OB Format'!D1023,'Team Data'!C:AB,24,FALSE),"")</f>
        <v/>
      </c>
      <c r="S1023" t="str">
        <f>IFERROR(VLOOKUP('OB Format'!D1023,'Team Data'!C:AC,25,FALSE),"")</f>
        <v/>
      </c>
    </row>
    <row r="1024" spans="5:19" x14ac:dyDescent="0.25">
      <c r="E1024" t="str">
        <f>IFERROR(VLOOKUP(D1024,'Team Data'!C:AB,4,FALSE),"")</f>
        <v/>
      </c>
      <c r="F1024" t="str">
        <f>IFERROR(VLOOKUP(D1024,'Team Data'!C:AB,5,FALSE),"")</f>
        <v/>
      </c>
      <c r="G1024" t="str">
        <f>IFERROR(VLOOKUP('OB Format'!D1024,'Team Data'!C:AB,17,FALSE),"")</f>
        <v/>
      </c>
      <c r="H1024" t="str">
        <f>IFERROR(VLOOKUP(D1024,'Team Data'!C:AB,7,FALSE),"")</f>
        <v/>
      </c>
      <c r="I1024" t="str">
        <f>IFERROR(VLOOKUP(D1024,'Team Data'!C:AB,14,FALSE),"")</f>
        <v/>
      </c>
      <c r="J1024" t="str">
        <f>IFERROR(VLOOKUP(D1024,'Team Data'!C:AB,8,FALSE),"")</f>
        <v/>
      </c>
      <c r="K1024" t="str">
        <f>IFERROR(VLOOKUP(D1024,'Team Data'!C:AB,9,FALSE),"")</f>
        <v/>
      </c>
      <c r="L1024" t="str">
        <f>IFERROR(VLOOKUP(D1024,'Team Data'!C:AB,10,FALSE),"")</f>
        <v/>
      </c>
      <c r="M1024" t="str">
        <f t="shared" si="32"/>
        <v/>
      </c>
      <c r="N1024" t="str">
        <f>IFERROR(VLOOKUP(D1024,'Team Data'!C:AB,23,FALSE),"")</f>
        <v/>
      </c>
      <c r="O1024" t="str">
        <f>IFERROR(VLOOKUP(D1024,'Team Data'!C:AB,22,FALSE),"")</f>
        <v/>
      </c>
      <c r="P1024" t="str">
        <f t="shared" si="33"/>
        <v/>
      </c>
      <c r="Q1024" t="str">
        <f>IFERROR(VLOOKUP(D1024,'Team Data'!C:AB,15,FALSE),"")</f>
        <v/>
      </c>
      <c r="R1024" t="str">
        <f>IFERROR(VLOOKUP('OB Format'!D1024,'Team Data'!C:AB,24,FALSE),"")</f>
        <v/>
      </c>
      <c r="S1024" t="str">
        <f>IFERROR(VLOOKUP('OB Format'!D1024,'Team Data'!C:AC,25,FALSE),"")</f>
        <v/>
      </c>
    </row>
    <row r="1025" spans="5:19" x14ac:dyDescent="0.25">
      <c r="E1025" t="str">
        <f>IFERROR(VLOOKUP(D1025,'Team Data'!C:AB,4,FALSE),"")</f>
        <v/>
      </c>
      <c r="F1025" t="str">
        <f>IFERROR(VLOOKUP(D1025,'Team Data'!C:AB,5,FALSE),"")</f>
        <v/>
      </c>
      <c r="G1025" t="str">
        <f>IFERROR(VLOOKUP('OB Format'!D1025,'Team Data'!C:AB,17,FALSE),"")</f>
        <v/>
      </c>
      <c r="H1025" t="str">
        <f>IFERROR(VLOOKUP(D1025,'Team Data'!C:AB,7,FALSE),"")</f>
        <v/>
      </c>
      <c r="I1025" t="str">
        <f>IFERROR(VLOOKUP(D1025,'Team Data'!C:AB,14,FALSE),"")</f>
        <v/>
      </c>
      <c r="J1025" t="str">
        <f>IFERROR(VLOOKUP(D1025,'Team Data'!C:AB,8,FALSE),"")</f>
        <v/>
      </c>
      <c r="K1025" t="str">
        <f>IFERROR(VLOOKUP(D1025,'Team Data'!C:AB,9,FALSE),"")</f>
        <v/>
      </c>
      <c r="L1025" t="str">
        <f>IFERROR(VLOOKUP(D1025,'Team Data'!C:AB,10,FALSE),"")</f>
        <v/>
      </c>
      <c r="M1025" t="str">
        <f t="shared" si="32"/>
        <v/>
      </c>
      <c r="N1025" t="str">
        <f>IFERROR(VLOOKUP(D1025,'Team Data'!C:AB,23,FALSE),"")</f>
        <v/>
      </c>
      <c r="O1025" t="str">
        <f>IFERROR(VLOOKUP(D1025,'Team Data'!C:AB,22,FALSE),"")</f>
        <v/>
      </c>
      <c r="P1025" t="str">
        <f t="shared" si="33"/>
        <v/>
      </c>
      <c r="Q1025" t="str">
        <f>IFERROR(VLOOKUP(D1025,'Team Data'!C:AB,15,FALSE),"")</f>
        <v/>
      </c>
      <c r="R1025" t="str">
        <f>IFERROR(VLOOKUP('OB Format'!D1025,'Team Data'!C:AB,24,FALSE),"")</f>
        <v/>
      </c>
      <c r="S1025" t="str">
        <f>IFERROR(VLOOKUP('OB Format'!D1025,'Team Data'!C:AC,25,FALSE),"")</f>
        <v/>
      </c>
    </row>
    <row r="1026" spans="5:19" x14ac:dyDescent="0.25">
      <c r="E1026" t="str">
        <f>IFERROR(VLOOKUP(D1026,'Team Data'!C:AB,4,FALSE),"")</f>
        <v/>
      </c>
      <c r="F1026" t="str">
        <f>IFERROR(VLOOKUP(D1026,'Team Data'!C:AB,5,FALSE),"")</f>
        <v/>
      </c>
      <c r="G1026" t="str">
        <f>IFERROR(VLOOKUP('OB Format'!D1026,'Team Data'!C:AB,17,FALSE),"")</f>
        <v/>
      </c>
      <c r="H1026" t="str">
        <f>IFERROR(VLOOKUP(D1026,'Team Data'!C:AB,7,FALSE),"")</f>
        <v/>
      </c>
      <c r="I1026" t="str">
        <f>IFERROR(VLOOKUP(D1026,'Team Data'!C:AB,14,FALSE),"")</f>
        <v/>
      </c>
      <c r="J1026" t="str">
        <f>IFERROR(VLOOKUP(D1026,'Team Data'!C:AB,8,FALSE),"")</f>
        <v/>
      </c>
      <c r="K1026" t="str">
        <f>IFERROR(VLOOKUP(D1026,'Team Data'!C:AB,9,FALSE),"")</f>
        <v/>
      </c>
      <c r="L1026" t="str">
        <f>IFERROR(VLOOKUP(D1026,'Team Data'!C:AB,10,FALSE),"")</f>
        <v/>
      </c>
      <c r="M1026" t="str">
        <f t="shared" si="32"/>
        <v/>
      </c>
      <c r="N1026" t="str">
        <f>IFERROR(VLOOKUP(D1026,'Team Data'!C:AB,23,FALSE),"")</f>
        <v/>
      </c>
      <c r="O1026" t="str">
        <f>IFERROR(VLOOKUP(D1026,'Team Data'!C:AB,22,FALSE),"")</f>
        <v/>
      </c>
      <c r="P1026" t="str">
        <f t="shared" si="33"/>
        <v/>
      </c>
      <c r="Q1026" t="str">
        <f>IFERROR(VLOOKUP(D1026,'Team Data'!C:AB,15,FALSE),"")</f>
        <v/>
      </c>
      <c r="R1026" t="str">
        <f>IFERROR(VLOOKUP('OB Format'!D1026,'Team Data'!C:AB,24,FALSE),"")</f>
        <v/>
      </c>
      <c r="S1026" t="str">
        <f>IFERROR(VLOOKUP('OB Format'!D1026,'Team Data'!C:AC,25,FALSE),"")</f>
        <v/>
      </c>
    </row>
    <row r="1027" spans="5:19" x14ac:dyDescent="0.25">
      <c r="E1027" t="str">
        <f>IFERROR(VLOOKUP(D1027,'Team Data'!C:AB,4,FALSE),"")</f>
        <v/>
      </c>
      <c r="F1027" t="str">
        <f>IFERROR(VLOOKUP(D1027,'Team Data'!C:AB,5,FALSE),"")</f>
        <v/>
      </c>
      <c r="G1027" t="str">
        <f>IFERROR(VLOOKUP('OB Format'!D1027,'Team Data'!C:AB,17,FALSE),"")</f>
        <v/>
      </c>
      <c r="H1027" t="str">
        <f>IFERROR(VLOOKUP(D1027,'Team Data'!C:AB,7,FALSE),"")</f>
        <v/>
      </c>
      <c r="I1027" t="str">
        <f>IFERROR(VLOOKUP(D1027,'Team Data'!C:AB,14,FALSE),"")</f>
        <v/>
      </c>
      <c r="J1027" t="str">
        <f>IFERROR(VLOOKUP(D1027,'Team Data'!C:AB,8,FALSE),"")</f>
        <v/>
      </c>
      <c r="K1027" t="str">
        <f>IFERROR(VLOOKUP(D1027,'Team Data'!C:AB,9,FALSE),"")</f>
        <v/>
      </c>
      <c r="L1027" t="str">
        <f>IFERROR(VLOOKUP(D1027,'Team Data'!C:AB,10,FALSE),"")</f>
        <v/>
      </c>
      <c r="M1027" t="str">
        <f t="shared" si="32"/>
        <v/>
      </c>
      <c r="N1027" t="str">
        <f>IFERROR(VLOOKUP(D1027,'Team Data'!C:AB,23,FALSE),"")</f>
        <v/>
      </c>
      <c r="O1027" t="str">
        <f>IFERROR(VLOOKUP(D1027,'Team Data'!C:AB,22,FALSE),"")</f>
        <v/>
      </c>
      <c r="P1027" t="str">
        <f t="shared" si="33"/>
        <v/>
      </c>
      <c r="Q1027" t="str">
        <f>IFERROR(VLOOKUP(D1027,'Team Data'!C:AB,15,FALSE),"")</f>
        <v/>
      </c>
      <c r="R1027" t="str">
        <f>IFERROR(VLOOKUP('OB Format'!D1027,'Team Data'!C:AB,24,FALSE),"")</f>
        <v/>
      </c>
      <c r="S1027" t="str">
        <f>IFERROR(VLOOKUP('OB Format'!D1027,'Team Data'!C:AC,25,FALSE),"")</f>
        <v/>
      </c>
    </row>
    <row r="1028" spans="5:19" x14ac:dyDescent="0.25">
      <c r="E1028" t="str">
        <f>IFERROR(VLOOKUP(D1028,'Team Data'!C:AB,4,FALSE),"")</f>
        <v/>
      </c>
      <c r="F1028" t="str">
        <f>IFERROR(VLOOKUP(D1028,'Team Data'!C:AB,5,FALSE),"")</f>
        <v/>
      </c>
      <c r="G1028" t="str">
        <f>IFERROR(VLOOKUP('OB Format'!D1028,'Team Data'!C:AB,17,FALSE),"")</f>
        <v/>
      </c>
      <c r="H1028" t="str">
        <f>IFERROR(VLOOKUP(D1028,'Team Data'!C:AB,7,FALSE),"")</f>
        <v/>
      </c>
      <c r="I1028" t="str">
        <f>IFERROR(VLOOKUP(D1028,'Team Data'!C:AB,14,FALSE),"")</f>
        <v/>
      </c>
      <c r="J1028" t="str">
        <f>IFERROR(VLOOKUP(D1028,'Team Data'!C:AB,8,FALSE),"")</f>
        <v/>
      </c>
      <c r="K1028" t="str">
        <f>IFERROR(VLOOKUP(D1028,'Team Data'!C:AB,9,FALSE),"")</f>
        <v/>
      </c>
      <c r="L1028" t="str">
        <f>IFERROR(VLOOKUP(D1028,'Team Data'!C:AB,10,FALSE),"")</f>
        <v/>
      </c>
      <c r="M1028" t="str">
        <f t="shared" si="32"/>
        <v/>
      </c>
      <c r="N1028" t="str">
        <f>IFERROR(VLOOKUP(D1028,'Team Data'!C:AB,23,FALSE),"")</f>
        <v/>
      </c>
      <c r="O1028" t="str">
        <f>IFERROR(VLOOKUP(D1028,'Team Data'!C:AB,22,FALSE),"")</f>
        <v/>
      </c>
      <c r="P1028" t="str">
        <f t="shared" si="33"/>
        <v/>
      </c>
      <c r="Q1028" t="str">
        <f>IFERROR(VLOOKUP(D1028,'Team Data'!C:AB,15,FALSE),"")</f>
        <v/>
      </c>
      <c r="R1028" t="str">
        <f>IFERROR(VLOOKUP('OB Format'!D1028,'Team Data'!C:AB,24,FALSE),"")</f>
        <v/>
      </c>
      <c r="S1028" t="str">
        <f>IFERROR(VLOOKUP('OB Format'!D1028,'Team Data'!C:AC,25,FALSE),"")</f>
        <v/>
      </c>
    </row>
    <row r="1029" spans="5:19" x14ac:dyDescent="0.25">
      <c r="E1029" t="str">
        <f>IFERROR(VLOOKUP(D1029,'Team Data'!C:AB,4,FALSE),"")</f>
        <v/>
      </c>
      <c r="F1029" t="str">
        <f>IFERROR(VLOOKUP(D1029,'Team Data'!C:AB,5,FALSE),"")</f>
        <v/>
      </c>
      <c r="G1029" t="str">
        <f>IFERROR(VLOOKUP('OB Format'!D1029,'Team Data'!C:AB,17,FALSE),"")</f>
        <v/>
      </c>
      <c r="H1029" t="str">
        <f>IFERROR(VLOOKUP(D1029,'Team Data'!C:AB,7,FALSE),"")</f>
        <v/>
      </c>
      <c r="I1029" t="str">
        <f>IFERROR(VLOOKUP(D1029,'Team Data'!C:AB,14,FALSE),"")</f>
        <v/>
      </c>
      <c r="J1029" t="str">
        <f>IFERROR(VLOOKUP(D1029,'Team Data'!C:AB,8,FALSE),"")</f>
        <v/>
      </c>
      <c r="K1029" t="str">
        <f>IFERROR(VLOOKUP(D1029,'Team Data'!C:AB,9,FALSE),"")</f>
        <v/>
      </c>
      <c r="L1029" t="str">
        <f>IFERROR(VLOOKUP(D1029,'Team Data'!C:AB,10,FALSE),"")</f>
        <v/>
      </c>
      <c r="M1029" t="str">
        <f t="shared" si="32"/>
        <v/>
      </c>
      <c r="N1029" t="str">
        <f>IFERROR(VLOOKUP(D1029,'Team Data'!C:AB,23,FALSE),"")</f>
        <v/>
      </c>
      <c r="O1029" t="str">
        <f>IFERROR(VLOOKUP(D1029,'Team Data'!C:AB,22,FALSE),"")</f>
        <v/>
      </c>
      <c r="P1029" t="str">
        <f t="shared" si="33"/>
        <v/>
      </c>
      <c r="Q1029" t="str">
        <f>IFERROR(VLOOKUP(D1029,'Team Data'!C:AB,15,FALSE),"")</f>
        <v/>
      </c>
      <c r="R1029" t="str">
        <f>IFERROR(VLOOKUP('OB Format'!D1029,'Team Data'!C:AB,24,FALSE),"")</f>
        <v/>
      </c>
      <c r="S1029" t="str">
        <f>IFERROR(VLOOKUP('OB Format'!D1029,'Team Data'!C:AC,25,FALSE),"")</f>
        <v/>
      </c>
    </row>
    <row r="1030" spans="5:19" x14ac:dyDescent="0.25">
      <c r="E1030" t="str">
        <f>IFERROR(VLOOKUP(D1030,'Team Data'!C:AB,4,FALSE),"")</f>
        <v/>
      </c>
      <c r="F1030" t="str">
        <f>IFERROR(VLOOKUP(D1030,'Team Data'!C:AB,5,FALSE),"")</f>
        <v/>
      </c>
      <c r="G1030" t="str">
        <f>IFERROR(VLOOKUP('OB Format'!D1030,'Team Data'!C:AB,17,FALSE),"")</f>
        <v/>
      </c>
      <c r="H1030" t="str">
        <f>IFERROR(VLOOKUP(D1030,'Team Data'!C:AB,7,FALSE),"")</f>
        <v/>
      </c>
      <c r="I1030" t="str">
        <f>IFERROR(VLOOKUP(D1030,'Team Data'!C:AB,14,FALSE),"")</f>
        <v/>
      </c>
      <c r="J1030" t="str">
        <f>IFERROR(VLOOKUP(D1030,'Team Data'!C:AB,8,FALSE),"")</f>
        <v/>
      </c>
      <c r="K1030" t="str">
        <f>IFERROR(VLOOKUP(D1030,'Team Data'!C:AB,9,FALSE),"")</f>
        <v/>
      </c>
      <c r="L1030" t="str">
        <f>IFERROR(VLOOKUP(D1030,'Team Data'!C:AB,10,FALSE),"")</f>
        <v/>
      </c>
      <c r="M1030" t="str">
        <f t="shared" si="32"/>
        <v/>
      </c>
      <c r="N1030" t="str">
        <f>IFERROR(VLOOKUP(D1030,'Team Data'!C:AB,23,FALSE),"")</f>
        <v/>
      </c>
      <c r="O1030" t="str">
        <f>IFERROR(VLOOKUP(D1030,'Team Data'!C:AB,22,FALSE),"")</f>
        <v/>
      </c>
      <c r="P1030" t="str">
        <f t="shared" si="33"/>
        <v/>
      </c>
      <c r="Q1030" t="str">
        <f>IFERROR(VLOOKUP(D1030,'Team Data'!C:AB,15,FALSE),"")</f>
        <v/>
      </c>
      <c r="R1030" t="str">
        <f>IFERROR(VLOOKUP('OB Format'!D1030,'Team Data'!C:AB,24,FALSE),"")</f>
        <v/>
      </c>
      <c r="S1030" t="str">
        <f>IFERROR(VLOOKUP('OB Format'!D1030,'Team Data'!C:AC,25,FALSE),"")</f>
        <v/>
      </c>
    </row>
    <row r="1031" spans="5:19" x14ac:dyDescent="0.25">
      <c r="E1031" t="str">
        <f>IFERROR(VLOOKUP(D1031,'Team Data'!C:AB,4,FALSE),"")</f>
        <v/>
      </c>
      <c r="F1031" t="str">
        <f>IFERROR(VLOOKUP(D1031,'Team Data'!C:AB,5,FALSE),"")</f>
        <v/>
      </c>
      <c r="G1031" t="str">
        <f>IFERROR(VLOOKUP('OB Format'!D1031,'Team Data'!C:AB,17,FALSE),"")</f>
        <v/>
      </c>
      <c r="H1031" t="str">
        <f>IFERROR(VLOOKUP(D1031,'Team Data'!C:AB,7,FALSE),"")</f>
        <v/>
      </c>
      <c r="I1031" t="str">
        <f>IFERROR(VLOOKUP(D1031,'Team Data'!C:AB,14,FALSE),"")</f>
        <v/>
      </c>
      <c r="J1031" t="str">
        <f>IFERROR(VLOOKUP(D1031,'Team Data'!C:AB,8,FALSE),"")</f>
        <v/>
      </c>
      <c r="K1031" t="str">
        <f>IFERROR(VLOOKUP(D1031,'Team Data'!C:AB,9,FALSE),"")</f>
        <v/>
      </c>
      <c r="L1031" t="str">
        <f>IFERROR(VLOOKUP(D1031,'Team Data'!C:AB,10,FALSE),"")</f>
        <v/>
      </c>
      <c r="M1031" t="str">
        <f t="shared" si="32"/>
        <v/>
      </c>
      <c r="N1031" t="str">
        <f>IFERROR(VLOOKUP(D1031,'Team Data'!C:AB,23,FALSE),"")</f>
        <v/>
      </c>
      <c r="O1031" t="str">
        <f>IFERROR(VLOOKUP(D1031,'Team Data'!C:AB,22,FALSE),"")</f>
        <v/>
      </c>
      <c r="P1031" t="str">
        <f t="shared" si="33"/>
        <v/>
      </c>
      <c r="Q1031" t="str">
        <f>IFERROR(VLOOKUP(D1031,'Team Data'!C:AB,15,FALSE),"")</f>
        <v/>
      </c>
      <c r="R1031" t="str">
        <f>IFERROR(VLOOKUP('OB Format'!D1031,'Team Data'!C:AB,24,FALSE),"")</f>
        <v/>
      </c>
      <c r="S1031" t="str">
        <f>IFERROR(VLOOKUP('OB Format'!D1031,'Team Data'!C:AC,25,FALSE),"")</f>
        <v/>
      </c>
    </row>
    <row r="1032" spans="5:19" x14ac:dyDescent="0.25">
      <c r="E1032" t="str">
        <f>IFERROR(VLOOKUP(D1032,'Team Data'!C:AB,4,FALSE),"")</f>
        <v/>
      </c>
      <c r="F1032" t="str">
        <f>IFERROR(VLOOKUP(D1032,'Team Data'!C:AB,5,FALSE),"")</f>
        <v/>
      </c>
      <c r="G1032" t="str">
        <f>IFERROR(VLOOKUP('OB Format'!D1032,'Team Data'!C:AB,17,FALSE),"")</f>
        <v/>
      </c>
      <c r="H1032" t="str">
        <f>IFERROR(VLOOKUP(D1032,'Team Data'!C:AB,7,FALSE),"")</f>
        <v/>
      </c>
      <c r="I1032" t="str">
        <f>IFERROR(VLOOKUP(D1032,'Team Data'!C:AB,14,FALSE),"")</f>
        <v/>
      </c>
      <c r="J1032" t="str">
        <f>IFERROR(VLOOKUP(D1032,'Team Data'!C:AB,8,FALSE),"")</f>
        <v/>
      </c>
      <c r="K1032" t="str">
        <f>IFERROR(VLOOKUP(D1032,'Team Data'!C:AB,9,FALSE),"")</f>
        <v/>
      </c>
      <c r="L1032" t="str">
        <f>IFERROR(VLOOKUP(D1032,'Team Data'!C:AB,10,FALSE),"")</f>
        <v/>
      </c>
      <c r="M1032" t="str">
        <f t="shared" si="32"/>
        <v/>
      </c>
      <c r="N1032" t="str">
        <f>IFERROR(VLOOKUP(D1032,'Team Data'!C:AB,23,FALSE),"")</f>
        <v/>
      </c>
      <c r="O1032" t="str">
        <f>IFERROR(VLOOKUP(D1032,'Team Data'!C:AB,22,FALSE),"")</f>
        <v/>
      </c>
      <c r="P1032" t="str">
        <f t="shared" si="33"/>
        <v/>
      </c>
      <c r="Q1032" t="str">
        <f>IFERROR(VLOOKUP(D1032,'Team Data'!C:AB,15,FALSE),"")</f>
        <v/>
      </c>
      <c r="R1032" t="str">
        <f>IFERROR(VLOOKUP('OB Format'!D1032,'Team Data'!C:AB,24,FALSE),"")</f>
        <v/>
      </c>
      <c r="S1032" t="str">
        <f>IFERROR(VLOOKUP('OB Format'!D1032,'Team Data'!C:AC,25,FALSE),"")</f>
        <v/>
      </c>
    </row>
    <row r="1033" spans="5:19" x14ac:dyDescent="0.25">
      <c r="E1033" t="str">
        <f>IFERROR(VLOOKUP(D1033,'Team Data'!C:AB,4,FALSE),"")</f>
        <v/>
      </c>
      <c r="F1033" t="str">
        <f>IFERROR(VLOOKUP(D1033,'Team Data'!C:AB,5,FALSE),"")</f>
        <v/>
      </c>
      <c r="G1033" t="str">
        <f>IFERROR(VLOOKUP('OB Format'!D1033,'Team Data'!C:AB,17,FALSE),"")</f>
        <v/>
      </c>
      <c r="H1033" t="str">
        <f>IFERROR(VLOOKUP(D1033,'Team Data'!C:AB,7,FALSE),"")</f>
        <v/>
      </c>
      <c r="I1033" t="str">
        <f>IFERROR(VLOOKUP(D1033,'Team Data'!C:AB,14,FALSE),"")</f>
        <v/>
      </c>
      <c r="J1033" t="str">
        <f>IFERROR(VLOOKUP(D1033,'Team Data'!C:AB,8,FALSE),"")</f>
        <v/>
      </c>
      <c r="K1033" t="str">
        <f>IFERROR(VLOOKUP(D1033,'Team Data'!C:AB,9,FALSE),"")</f>
        <v/>
      </c>
      <c r="L1033" t="str">
        <f>IFERROR(VLOOKUP(D1033,'Team Data'!C:AB,10,FALSE),"")</f>
        <v/>
      </c>
      <c r="M1033" t="str">
        <f t="shared" si="32"/>
        <v/>
      </c>
      <c r="N1033" t="str">
        <f>IFERROR(VLOOKUP(D1033,'Team Data'!C:AB,23,FALSE),"")</f>
        <v/>
      </c>
      <c r="O1033" t="str">
        <f>IFERROR(VLOOKUP(D1033,'Team Data'!C:AB,22,FALSE),"")</f>
        <v/>
      </c>
      <c r="P1033" t="str">
        <f t="shared" si="33"/>
        <v/>
      </c>
      <c r="Q1033" t="str">
        <f>IFERROR(VLOOKUP(D1033,'Team Data'!C:AB,15,FALSE),"")</f>
        <v/>
      </c>
      <c r="R1033" t="str">
        <f>IFERROR(VLOOKUP('OB Format'!D1033,'Team Data'!C:AB,24,FALSE),"")</f>
        <v/>
      </c>
      <c r="S1033" t="str">
        <f>IFERROR(VLOOKUP('OB Format'!D1033,'Team Data'!C:AC,25,FALSE),"")</f>
        <v/>
      </c>
    </row>
    <row r="1034" spans="5:19" x14ac:dyDescent="0.25">
      <c r="E1034" t="str">
        <f>IFERROR(VLOOKUP(D1034,'Team Data'!C:AB,4,FALSE),"")</f>
        <v/>
      </c>
      <c r="F1034" t="str">
        <f>IFERROR(VLOOKUP(D1034,'Team Data'!C:AB,5,FALSE),"")</f>
        <v/>
      </c>
      <c r="G1034" t="str">
        <f>IFERROR(VLOOKUP('OB Format'!D1034,'Team Data'!C:AB,17,FALSE),"")</f>
        <v/>
      </c>
      <c r="H1034" t="str">
        <f>IFERROR(VLOOKUP(D1034,'Team Data'!C:AB,7,FALSE),"")</f>
        <v/>
      </c>
      <c r="I1034" t="str">
        <f>IFERROR(VLOOKUP(D1034,'Team Data'!C:AB,14,FALSE),"")</f>
        <v/>
      </c>
      <c r="J1034" t="str">
        <f>IFERROR(VLOOKUP(D1034,'Team Data'!C:AB,8,FALSE),"")</f>
        <v/>
      </c>
      <c r="K1034" t="str">
        <f>IFERROR(VLOOKUP(D1034,'Team Data'!C:AB,9,FALSE),"")</f>
        <v/>
      </c>
      <c r="L1034" t="str">
        <f>IFERROR(VLOOKUP(D1034,'Team Data'!C:AB,10,FALSE),"")</f>
        <v/>
      </c>
      <c r="M1034" t="str">
        <f t="shared" si="32"/>
        <v/>
      </c>
      <c r="N1034" t="str">
        <f>IFERROR(VLOOKUP(D1034,'Team Data'!C:AB,23,FALSE),"")</f>
        <v/>
      </c>
      <c r="O1034" t="str">
        <f>IFERROR(VLOOKUP(D1034,'Team Data'!C:AB,22,FALSE),"")</f>
        <v/>
      </c>
      <c r="P1034" t="str">
        <f t="shared" si="33"/>
        <v/>
      </c>
      <c r="Q1034" t="str">
        <f>IFERROR(VLOOKUP(D1034,'Team Data'!C:AB,15,FALSE),"")</f>
        <v/>
      </c>
      <c r="R1034" t="str">
        <f>IFERROR(VLOOKUP('OB Format'!D1034,'Team Data'!C:AB,24,FALSE),"")</f>
        <v/>
      </c>
      <c r="S1034" t="str">
        <f>IFERROR(VLOOKUP('OB Format'!D1034,'Team Data'!C:AC,25,FALSE),"")</f>
        <v/>
      </c>
    </row>
    <row r="1035" spans="5:19" x14ac:dyDescent="0.25">
      <c r="E1035" t="str">
        <f>IFERROR(VLOOKUP(D1035,'Team Data'!C:AB,4,FALSE),"")</f>
        <v/>
      </c>
      <c r="F1035" t="str">
        <f>IFERROR(VLOOKUP(D1035,'Team Data'!C:AB,5,FALSE),"")</f>
        <v/>
      </c>
      <c r="G1035" t="str">
        <f>IFERROR(VLOOKUP('OB Format'!D1035,'Team Data'!C:AB,17,FALSE),"")</f>
        <v/>
      </c>
      <c r="H1035" t="str">
        <f>IFERROR(VLOOKUP(D1035,'Team Data'!C:AB,7,FALSE),"")</f>
        <v/>
      </c>
      <c r="I1035" t="str">
        <f>IFERROR(VLOOKUP(D1035,'Team Data'!C:AB,14,FALSE),"")</f>
        <v/>
      </c>
      <c r="J1035" t="str">
        <f>IFERROR(VLOOKUP(D1035,'Team Data'!C:AB,8,FALSE),"")</f>
        <v/>
      </c>
      <c r="K1035" t="str">
        <f>IFERROR(VLOOKUP(D1035,'Team Data'!C:AB,9,FALSE),"")</f>
        <v/>
      </c>
      <c r="L1035" t="str">
        <f>IFERROR(VLOOKUP(D1035,'Team Data'!C:AB,10,FALSE),"")</f>
        <v/>
      </c>
      <c r="M1035" t="str">
        <f t="shared" si="32"/>
        <v/>
      </c>
      <c r="N1035" t="str">
        <f>IFERROR(VLOOKUP(D1035,'Team Data'!C:AB,23,FALSE),"")</f>
        <v/>
      </c>
      <c r="O1035" t="str">
        <f>IFERROR(VLOOKUP(D1035,'Team Data'!C:AB,22,FALSE),"")</f>
        <v/>
      </c>
      <c r="P1035" t="str">
        <f t="shared" si="33"/>
        <v/>
      </c>
      <c r="Q1035" t="str">
        <f>IFERROR(VLOOKUP(D1035,'Team Data'!C:AB,15,FALSE),"")</f>
        <v/>
      </c>
      <c r="R1035" t="str">
        <f>IFERROR(VLOOKUP('OB Format'!D1035,'Team Data'!C:AB,24,FALSE),"")</f>
        <v/>
      </c>
      <c r="S1035" t="str">
        <f>IFERROR(VLOOKUP('OB Format'!D1035,'Team Data'!C:AC,25,FALSE),"")</f>
        <v/>
      </c>
    </row>
    <row r="1036" spans="5:19" x14ac:dyDescent="0.25">
      <c r="E1036" t="str">
        <f>IFERROR(VLOOKUP(D1036,'Team Data'!C:AB,4,FALSE),"")</f>
        <v/>
      </c>
      <c r="F1036" t="str">
        <f>IFERROR(VLOOKUP(D1036,'Team Data'!C:AB,5,FALSE),"")</f>
        <v/>
      </c>
      <c r="G1036" t="str">
        <f>IFERROR(VLOOKUP('OB Format'!D1036,'Team Data'!C:AB,17,FALSE),"")</f>
        <v/>
      </c>
      <c r="H1036" t="str">
        <f>IFERROR(VLOOKUP(D1036,'Team Data'!C:AB,7,FALSE),"")</f>
        <v/>
      </c>
      <c r="I1036" t="str">
        <f>IFERROR(VLOOKUP(D1036,'Team Data'!C:AB,14,FALSE),"")</f>
        <v/>
      </c>
      <c r="J1036" t="str">
        <f>IFERROR(VLOOKUP(D1036,'Team Data'!C:AB,8,FALSE),"")</f>
        <v/>
      </c>
      <c r="K1036" t="str">
        <f>IFERROR(VLOOKUP(D1036,'Team Data'!C:AB,9,FALSE),"")</f>
        <v/>
      </c>
      <c r="L1036" t="str">
        <f>IFERROR(VLOOKUP(D1036,'Team Data'!C:AB,10,FALSE),"")</f>
        <v/>
      </c>
      <c r="M1036" t="str">
        <f t="shared" si="32"/>
        <v/>
      </c>
      <c r="N1036" t="str">
        <f>IFERROR(VLOOKUP(D1036,'Team Data'!C:AB,23,FALSE),"")</f>
        <v/>
      </c>
      <c r="O1036" t="str">
        <f>IFERROR(VLOOKUP(D1036,'Team Data'!C:AB,22,FALSE),"")</f>
        <v/>
      </c>
      <c r="P1036" t="str">
        <f t="shared" si="33"/>
        <v/>
      </c>
      <c r="Q1036" t="str">
        <f>IFERROR(VLOOKUP(D1036,'Team Data'!C:AB,15,FALSE),"")</f>
        <v/>
      </c>
      <c r="R1036" t="str">
        <f>IFERROR(VLOOKUP('OB Format'!D1036,'Team Data'!C:AB,24,FALSE),"")</f>
        <v/>
      </c>
      <c r="S1036" t="str">
        <f>IFERROR(VLOOKUP('OB Format'!D1036,'Team Data'!C:AC,25,FALSE),"")</f>
        <v/>
      </c>
    </row>
    <row r="1037" spans="5:19" x14ac:dyDescent="0.25">
      <c r="E1037" t="str">
        <f>IFERROR(VLOOKUP(D1037,'Team Data'!C:AB,4,FALSE),"")</f>
        <v/>
      </c>
      <c r="F1037" t="str">
        <f>IFERROR(VLOOKUP(D1037,'Team Data'!C:AB,5,FALSE),"")</f>
        <v/>
      </c>
      <c r="G1037" t="str">
        <f>IFERROR(VLOOKUP('OB Format'!D1037,'Team Data'!C:AB,17,FALSE),"")</f>
        <v/>
      </c>
      <c r="H1037" t="str">
        <f>IFERROR(VLOOKUP(D1037,'Team Data'!C:AB,7,FALSE),"")</f>
        <v/>
      </c>
      <c r="I1037" t="str">
        <f>IFERROR(VLOOKUP(D1037,'Team Data'!C:AB,14,FALSE),"")</f>
        <v/>
      </c>
      <c r="J1037" t="str">
        <f>IFERROR(VLOOKUP(D1037,'Team Data'!C:AB,8,FALSE),"")</f>
        <v/>
      </c>
      <c r="K1037" t="str">
        <f>IFERROR(VLOOKUP(D1037,'Team Data'!C:AB,9,FALSE),"")</f>
        <v/>
      </c>
      <c r="L1037" t="str">
        <f>IFERROR(VLOOKUP(D1037,'Team Data'!C:AB,10,FALSE),"")</f>
        <v/>
      </c>
      <c r="M1037" t="str">
        <f t="shared" ref="M1037:M1100" si="34">IFERROR(H1037-(J1037+L1037+K1037),"")</f>
        <v/>
      </c>
      <c r="N1037" t="str">
        <f>IFERROR(VLOOKUP(D1037,'Team Data'!C:AB,23,FALSE),"")</f>
        <v/>
      </c>
      <c r="O1037" t="str">
        <f>IFERROR(VLOOKUP(D1037,'Team Data'!C:AB,22,FALSE),"")</f>
        <v/>
      </c>
      <c r="P1037" t="str">
        <f t="shared" ref="P1037:P1100" si="35">IFERROR(E1037-(H1037+N1037+Q1037+I1037+O1037),"")</f>
        <v/>
      </c>
      <c r="Q1037" t="str">
        <f>IFERROR(VLOOKUP(D1037,'Team Data'!C:AB,15,FALSE),"")</f>
        <v/>
      </c>
      <c r="R1037" t="str">
        <f>IFERROR(VLOOKUP('OB Format'!D1037,'Team Data'!C:AB,24,FALSE),"")</f>
        <v/>
      </c>
      <c r="S1037" t="str">
        <f>IFERROR(VLOOKUP('OB Format'!D1037,'Team Data'!C:AC,25,FALSE),"")</f>
        <v/>
      </c>
    </row>
    <row r="1038" spans="5:19" x14ac:dyDescent="0.25">
      <c r="E1038" t="str">
        <f>IFERROR(VLOOKUP(D1038,'Team Data'!C:AB,4,FALSE),"")</f>
        <v/>
      </c>
      <c r="F1038" t="str">
        <f>IFERROR(VLOOKUP(D1038,'Team Data'!C:AB,5,FALSE),"")</f>
        <v/>
      </c>
      <c r="G1038" t="str">
        <f>IFERROR(VLOOKUP('OB Format'!D1038,'Team Data'!C:AB,17,FALSE),"")</f>
        <v/>
      </c>
      <c r="H1038" t="str">
        <f>IFERROR(VLOOKUP(D1038,'Team Data'!C:AB,7,FALSE),"")</f>
        <v/>
      </c>
      <c r="I1038" t="str">
        <f>IFERROR(VLOOKUP(D1038,'Team Data'!C:AB,14,FALSE),"")</f>
        <v/>
      </c>
      <c r="J1038" t="str">
        <f>IFERROR(VLOOKUP(D1038,'Team Data'!C:AB,8,FALSE),"")</f>
        <v/>
      </c>
      <c r="K1038" t="str">
        <f>IFERROR(VLOOKUP(D1038,'Team Data'!C:AB,9,FALSE),"")</f>
        <v/>
      </c>
      <c r="L1038" t="str">
        <f>IFERROR(VLOOKUP(D1038,'Team Data'!C:AB,10,FALSE),"")</f>
        <v/>
      </c>
      <c r="M1038" t="str">
        <f t="shared" si="34"/>
        <v/>
      </c>
      <c r="N1038" t="str">
        <f>IFERROR(VLOOKUP(D1038,'Team Data'!C:AB,23,FALSE),"")</f>
        <v/>
      </c>
      <c r="O1038" t="str">
        <f>IFERROR(VLOOKUP(D1038,'Team Data'!C:AB,22,FALSE),"")</f>
        <v/>
      </c>
      <c r="P1038" t="str">
        <f t="shared" si="35"/>
        <v/>
      </c>
      <c r="Q1038" t="str">
        <f>IFERROR(VLOOKUP(D1038,'Team Data'!C:AB,15,FALSE),"")</f>
        <v/>
      </c>
      <c r="R1038" t="str">
        <f>IFERROR(VLOOKUP('OB Format'!D1038,'Team Data'!C:AB,24,FALSE),"")</f>
        <v/>
      </c>
      <c r="S1038" t="str">
        <f>IFERROR(VLOOKUP('OB Format'!D1038,'Team Data'!C:AC,25,FALSE),"")</f>
        <v/>
      </c>
    </row>
    <row r="1039" spans="5:19" x14ac:dyDescent="0.25">
      <c r="E1039" t="str">
        <f>IFERROR(VLOOKUP(D1039,'Team Data'!C:AB,4,FALSE),"")</f>
        <v/>
      </c>
      <c r="F1039" t="str">
        <f>IFERROR(VLOOKUP(D1039,'Team Data'!C:AB,5,FALSE),"")</f>
        <v/>
      </c>
      <c r="G1039" t="str">
        <f>IFERROR(VLOOKUP('OB Format'!D1039,'Team Data'!C:AB,17,FALSE),"")</f>
        <v/>
      </c>
      <c r="H1039" t="str">
        <f>IFERROR(VLOOKUP(D1039,'Team Data'!C:AB,7,FALSE),"")</f>
        <v/>
      </c>
      <c r="I1039" t="str">
        <f>IFERROR(VLOOKUP(D1039,'Team Data'!C:AB,14,FALSE),"")</f>
        <v/>
      </c>
      <c r="J1039" t="str">
        <f>IFERROR(VLOOKUP(D1039,'Team Data'!C:AB,8,FALSE),"")</f>
        <v/>
      </c>
      <c r="K1039" t="str">
        <f>IFERROR(VLOOKUP(D1039,'Team Data'!C:AB,9,FALSE),"")</f>
        <v/>
      </c>
      <c r="L1039" t="str">
        <f>IFERROR(VLOOKUP(D1039,'Team Data'!C:AB,10,FALSE),"")</f>
        <v/>
      </c>
      <c r="M1039" t="str">
        <f t="shared" si="34"/>
        <v/>
      </c>
      <c r="N1039" t="str">
        <f>IFERROR(VLOOKUP(D1039,'Team Data'!C:AB,23,FALSE),"")</f>
        <v/>
      </c>
      <c r="O1039" t="str">
        <f>IFERROR(VLOOKUP(D1039,'Team Data'!C:AB,22,FALSE),"")</f>
        <v/>
      </c>
      <c r="P1039" t="str">
        <f t="shared" si="35"/>
        <v/>
      </c>
      <c r="Q1039" t="str">
        <f>IFERROR(VLOOKUP(D1039,'Team Data'!C:AB,15,FALSE),"")</f>
        <v/>
      </c>
      <c r="R1039" t="str">
        <f>IFERROR(VLOOKUP('OB Format'!D1039,'Team Data'!C:AB,24,FALSE),"")</f>
        <v/>
      </c>
      <c r="S1039" t="str">
        <f>IFERROR(VLOOKUP('OB Format'!D1039,'Team Data'!C:AC,25,FALSE),"")</f>
        <v/>
      </c>
    </row>
    <row r="1040" spans="5:19" x14ac:dyDescent="0.25">
      <c r="E1040" t="str">
        <f>IFERROR(VLOOKUP(D1040,'Team Data'!C:AB,4,FALSE),"")</f>
        <v/>
      </c>
      <c r="F1040" t="str">
        <f>IFERROR(VLOOKUP(D1040,'Team Data'!C:AB,5,FALSE),"")</f>
        <v/>
      </c>
      <c r="G1040" t="str">
        <f>IFERROR(VLOOKUP('OB Format'!D1040,'Team Data'!C:AB,17,FALSE),"")</f>
        <v/>
      </c>
      <c r="H1040" t="str">
        <f>IFERROR(VLOOKUP(D1040,'Team Data'!C:AB,7,FALSE),"")</f>
        <v/>
      </c>
      <c r="I1040" t="str">
        <f>IFERROR(VLOOKUP(D1040,'Team Data'!C:AB,14,FALSE),"")</f>
        <v/>
      </c>
      <c r="J1040" t="str">
        <f>IFERROR(VLOOKUP(D1040,'Team Data'!C:AB,8,FALSE),"")</f>
        <v/>
      </c>
      <c r="K1040" t="str">
        <f>IFERROR(VLOOKUP(D1040,'Team Data'!C:AB,9,FALSE),"")</f>
        <v/>
      </c>
      <c r="L1040" t="str">
        <f>IFERROR(VLOOKUP(D1040,'Team Data'!C:AB,10,FALSE),"")</f>
        <v/>
      </c>
      <c r="M1040" t="str">
        <f t="shared" si="34"/>
        <v/>
      </c>
      <c r="N1040" t="str">
        <f>IFERROR(VLOOKUP(D1040,'Team Data'!C:AB,23,FALSE),"")</f>
        <v/>
      </c>
      <c r="O1040" t="str">
        <f>IFERROR(VLOOKUP(D1040,'Team Data'!C:AB,22,FALSE),"")</f>
        <v/>
      </c>
      <c r="P1040" t="str">
        <f t="shared" si="35"/>
        <v/>
      </c>
      <c r="Q1040" t="str">
        <f>IFERROR(VLOOKUP(D1040,'Team Data'!C:AB,15,FALSE),"")</f>
        <v/>
      </c>
      <c r="R1040" t="str">
        <f>IFERROR(VLOOKUP('OB Format'!D1040,'Team Data'!C:AB,24,FALSE),"")</f>
        <v/>
      </c>
      <c r="S1040" t="str">
        <f>IFERROR(VLOOKUP('OB Format'!D1040,'Team Data'!C:AC,25,FALSE),"")</f>
        <v/>
      </c>
    </row>
    <row r="1041" spans="5:19" x14ac:dyDescent="0.25">
      <c r="E1041" t="str">
        <f>IFERROR(VLOOKUP(D1041,'Team Data'!C:AB,4,FALSE),"")</f>
        <v/>
      </c>
      <c r="F1041" t="str">
        <f>IFERROR(VLOOKUP(D1041,'Team Data'!C:AB,5,FALSE),"")</f>
        <v/>
      </c>
      <c r="G1041" t="str">
        <f>IFERROR(VLOOKUP('OB Format'!D1041,'Team Data'!C:AB,17,FALSE),"")</f>
        <v/>
      </c>
      <c r="H1041" t="str">
        <f>IFERROR(VLOOKUP(D1041,'Team Data'!C:AB,7,FALSE),"")</f>
        <v/>
      </c>
      <c r="I1041" t="str">
        <f>IFERROR(VLOOKUP(D1041,'Team Data'!C:AB,14,FALSE),"")</f>
        <v/>
      </c>
      <c r="J1041" t="str">
        <f>IFERROR(VLOOKUP(D1041,'Team Data'!C:AB,8,FALSE),"")</f>
        <v/>
      </c>
      <c r="K1041" t="str">
        <f>IFERROR(VLOOKUP(D1041,'Team Data'!C:AB,9,FALSE),"")</f>
        <v/>
      </c>
      <c r="L1041" t="str">
        <f>IFERROR(VLOOKUP(D1041,'Team Data'!C:AB,10,FALSE),"")</f>
        <v/>
      </c>
      <c r="M1041" t="str">
        <f t="shared" si="34"/>
        <v/>
      </c>
      <c r="N1041" t="str">
        <f>IFERROR(VLOOKUP(D1041,'Team Data'!C:AB,23,FALSE),"")</f>
        <v/>
      </c>
      <c r="O1041" t="str">
        <f>IFERROR(VLOOKUP(D1041,'Team Data'!C:AB,22,FALSE),"")</f>
        <v/>
      </c>
      <c r="P1041" t="str">
        <f t="shared" si="35"/>
        <v/>
      </c>
      <c r="Q1041" t="str">
        <f>IFERROR(VLOOKUP(D1041,'Team Data'!C:AB,15,FALSE),"")</f>
        <v/>
      </c>
      <c r="R1041" t="str">
        <f>IFERROR(VLOOKUP('OB Format'!D1041,'Team Data'!C:AB,24,FALSE),"")</f>
        <v/>
      </c>
      <c r="S1041" t="str">
        <f>IFERROR(VLOOKUP('OB Format'!D1041,'Team Data'!C:AC,25,FALSE),"")</f>
        <v/>
      </c>
    </row>
    <row r="1042" spans="5:19" x14ac:dyDescent="0.25">
      <c r="E1042" t="str">
        <f>IFERROR(VLOOKUP(D1042,'Team Data'!C:AB,4,FALSE),"")</f>
        <v/>
      </c>
      <c r="F1042" t="str">
        <f>IFERROR(VLOOKUP(D1042,'Team Data'!C:AB,5,FALSE),"")</f>
        <v/>
      </c>
      <c r="G1042" t="str">
        <f>IFERROR(VLOOKUP('OB Format'!D1042,'Team Data'!C:AB,17,FALSE),"")</f>
        <v/>
      </c>
      <c r="H1042" t="str">
        <f>IFERROR(VLOOKUP(D1042,'Team Data'!C:AB,7,FALSE),"")</f>
        <v/>
      </c>
      <c r="I1042" t="str">
        <f>IFERROR(VLOOKUP(D1042,'Team Data'!C:AB,14,FALSE),"")</f>
        <v/>
      </c>
      <c r="J1042" t="str">
        <f>IFERROR(VLOOKUP(D1042,'Team Data'!C:AB,8,FALSE),"")</f>
        <v/>
      </c>
      <c r="K1042" t="str">
        <f>IFERROR(VLOOKUP(D1042,'Team Data'!C:AB,9,FALSE),"")</f>
        <v/>
      </c>
      <c r="L1042" t="str">
        <f>IFERROR(VLOOKUP(D1042,'Team Data'!C:AB,10,FALSE),"")</f>
        <v/>
      </c>
      <c r="M1042" t="str">
        <f t="shared" si="34"/>
        <v/>
      </c>
      <c r="N1042" t="str">
        <f>IFERROR(VLOOKUP(D1042,'Team Data'!C:AB,23,FALSE),"")</f>
        <v/>
      </c>
      <c r="O1042" t="str">
        <f>IFERROR(VLOOKUP(D1042,'Team Data'!C:AB,22,FALSE),"")</f>
        <v/>
      </c>
      <c r="P1042" t="str">
        <f t="shared" si="35"/>
        <v/>
      </c>
      <c r="Q1042" t="str">
        <f>IFERROR(VLOOKUP(D1042,'Team Data'!C:AB,15,FALSE),"")</f>
        <v/>
      </c>
      <c r="R1042" t="str">
        <f>IFERROR(VLOOKUP('OB Format'!D1042,'Team Data'!C:AB,24,FALSE),"")</f>
        <v/>
      </c>
      <c r="S1042" t="str">
        <f>IFERROR(VLOOKUP('OB Format'!D1042,'Team Data'!C:AC,25,FALSE),"")</f>
        <v/>
      </c>
    </row>
    <row r="1043" spans="5:19" x14ac:dyDescent="0.25">
      <c r="E1043" t="str">
        <f>IFERROR(VLOOKUP(D1043,'Team Data'!C:AB,4,FALSE),"")</f>
        <v/>
      </c>
      <c r="F1043" t="str">
        <f>IFERROR(VLOOKUP(D1043,'Team Data'!C:AB,5,FALSE),"")</f>
        <v/>
      </c>
      <c r="G1043" t="str">
        <f>IFERROR(VLOOKUP('OB Format'!D1043,'Team Data'!C:AB,17,FALSE),"")</f>
        <v/>
      </c>
      <c r="H1043" t="str">
        <f>IFERROR(VLOOKUP(D1043,'Team Data'!C:AB,7,FALSE),"")</f>
        <v/>
      </c>
      <c r="I1043" t="str">
        <f>IFERROR(VLOOKUP(D1043,'Team Data'!C:AB,14,FALSE),"")</f>
        <v/>
      </c>
      <c r="J1043" t="str">
        <f>IFERROR(VLOOKUP(D1043,'Team Data'!C:AB,8,FALSE),"")</f>
        <v/>
      </c>
      <c r="K1043" t="str">
        <f>IFERROR(VLOOKUP(D1043,'Team Data'!C:AB,9,FALSE),"")</f>
        <v/>
      </c>
      <c r="L1043" t="str">
        <f>IFERROR(VLOOKUP(D1043,'Team Data'!C:AB,10,FALSE),"")</f>
        <v/>
      </c>
      <c r="M1043" t="str">
        <f t="shared" si="34"/>
        <v/>
      </c>
      <c r="N1043" t="str">
        <f>IFERROR(VLOOKUP(D1043,'Team Data'!C:AB,23,FALSE),"")</f>
        <v/>
      </c>
      <c r="O1043" t="str">
        <f>IFERROR(VLOOKUP(D1043,'Team Data'!C:AB,22,FALSE),"")</f>
        <v/>
      </c>
      <c r="P1043" t="str">
        <f t="shared" si="35"/>
        <v/>
      </c>
      <c r="Q1043" t="str">
        <f>IFERROR(VLOOKUP(D1043,'Team Data'!C:AB,15,FALSE),"")</f>
        <v/>
      </c>
      <c r="R1043" t="str">
        <f>IFERROR(VLOOKUP('OB Format'!D1043,'Team Data'!C:AB,24,FALSE),"")</f>
        <v/>
      </c>
      <c r="S1043" t="str">
        <f>IFERROR(VLOOKUP('OB Format'!D1043,'Team Data'!C:AC,25,FALSE),"")</f>
        <v/>
      </c>
    </row>
    <row r="1044" spans="5:19" x14ac:dyDescent="0.25">
      <c r="E1044" t="str">
        <f>IFERROR(VLOOKUP(D1044,'Team Data'!C:AB,4,FALSE),"")</f>
        <v/>
      </c>
      <c r="F1044" t="str">
        <f>IFERROR(VLOOKUP(D1044,'Team Data'!C:AB,5,FALSE),"")</f>
        <v/>
      </c>
      <c r="G1044" t="str">
        <f>IFERROR(VLOOKUP('OB Format'!D1044,'Team Data'!C:AB,17,FALSE),"")</f>
        <v/>
      </c>
      <c r="H1044" t="str">
        <f>IFERROR(VLOOKUP(D1044,'Team Data'!C:AB,7,FALSE),"")</f>
        <v/>
      </c>
      <c r="I1044" t="str">
        <f>IFERROR(VLOOKUP(D1044,'Team Data'!C:AB,14,FALSE),"")</f>
        <v/>
      </c>
      <c r="J1044" t="str">
        <f>IFERROR(VLOOKUP(D1044,'Team Data'!C:AB,8,FALSE),"")</f>
        <v/>
      </c>
      <c r="K1044" t="str">
        <f>IFERROR(VLOOKUP(D1044,'Team Data'!C:AB,9,FALSE),"")</f>
        <v/>
      </c>
      <c r="L1044" t="str">
        <f>IFERROR(VLOOKUP(D1044,'Team Data'!C:AB,10,FALSE),"")</f>
        <v/>
      </c>
      <c r="M1044" t="str">
        <f t="shared" si="34"/>
        <v/>
      </c>
      <c r="N1044" t="str">
        <f>IFERROR(VLOOKUP(D1044,'Team Data'!C:AB,23,FALSE),"")</f>
        <v/>
      </c>
      <c r="O1044" t="str">
        <f>IFERROR(VLOOKUP(D1044,'Team Data'!C:AB,22,FALSE),"")</f>
        <v/>
      </c>
      <c r="P1044" t="str">
        <f t="shared" si="35"/>
        <v/>
      </c>
      <c r="Q1044" t="str">
        <f>IFERROR(VLOOKUP(D1044,'Team Data'!C:AB,15,FALSE),"")</f>
        <v/>
      </c>
      <c r="R1044" t="str">
        <f>IFERROR(VLOOKUP('OB Format'!D1044,'Team Data'!C:AB,24,FALSE),"")</f>
        <v/>
      </c>
      <c r="S1044" t="str">
        <f>IFERROR(VLOOKUP('OB Format'!D1044,'Team Data'!C:AC,25,FALSE),"")</f>
        <v/>
      </c>
    </row>
    <row r="1045" spans="5:19" x14ac:dyDescent="0.25">
      <c r="E1045" t="str">
        <f>IFERROR(VLOOKUP(D1045,'Team Data'!C:AB,4,FALSE),"")</f>
        <v/>
      </c>
      <c r="F1045" t="str">
        <f>IFERROR(VLOOKUP(D1045,'Team Data'!C:AB,5,FALSE),"")</f>
        <v/>
      </c>
      <c r="G1045" t="str">
        <f>IFERROR(VLOOKUP('OB Format'!D1045,'Team Data'!C:AB,17,FALSE),"")</f>
        <v/>
      </c>
      <c r="H1045" t="str">
        <f>IFERROR(VLOOKUP(D1045,'Team Data'!C:AB,7,FALSE),"")</f>
        <v/>
      </c>
      <c r="I1045" t="str">
        <f>IFERROR(VLOOKUP(D1045,'Team Data'!C:AB,14,FALSE),"")</f>
        <v/>
      </c>
      <c r="J1045" t="str">
        <f>IFERROR(VLOOKUP(D1045,'Team Data'!C:AB,8,FALSE),"")</f>
        <v/>
      </c>
      <c r="K1045" t="str">
        <f>IFERROR(VLOOKUP(D1045,'Team Data'!C:AB,9,FALSE),"")</f>
        <v/>
      </c>
      <c r="L1045" t="str">
        <f>IFERROR(VLOOKUP(D1045,'Team Data'!C:AB,10,FALSE),"")</f>
        <v/>
      </c>
      <c r="M1045" t="str">
        <f t="shared" si="34"/>
        <v/>
      </c>
      <c r="N1045" t="str">
        <f>IFERROR(VLOOKUP(D1045,'Team Data'!C:AB,23,FALSE),"")</f>
        <v/>
      </c>
      <c r="O1045" t="str">
        <f>IFERROR(VLOOKUP(D1045,'Team Data'!C:AB,22,FALSE),"")</f>
        <v/>
      </c>
      <c r="P1045" t="str">
        <f t="shared" si="35"/>
        <v/>
      </c>
      <c r="Q1045" t="str">
        <f>IFERROR(VLOOKUP(D1045,'Team Data'!C:AB,15,FALSE),"")</f>
        <v/>
      </c>
      <c r="R1045" t="str">
        <f>IFERROR(VLOOKUP('OB Format'!D1045,'Team Data'!C:AB,24,FALSE),"")</f>
        <v/>
      </c>
      <c r="S1045" t="str">
        <f>IFERROR(VLOOKUP('OB Format'!D1045,'Team Data'!C:AC,25,FALSE),"")</f>
        <v/>
      </c>
    </row>
    <row r="1046" spans="5:19" x14ac:dyDescent="0.25">
      <c r="E1046" t="str">
        <f>IFERROR(VLOOKUP(D1046,'Team Data'!C:AB,4,FALSE),"")</f>
        <v/>
      </c>
      <c r="F1046" t="str">
        <f>IFERROR(VLOOKUP(D1046,'Team Data'!C:AB,5,FALSE),"")</f>
        <v/>
      </c>
      <c r="G1046" t="str">
        <f>IFERROR(VLOOKUP('OB Format'!D1046,'Team Data'!C:AB,17,FALSE),"")</f>
        <v/>
      </c>
      <c r="H1046" t="str">
        <f>IFERROR(VLOOKUP(D1046,'Team Data'!C:AB,7,FALSE),"")</f>
        <v/>
      </c>
      <c r="I1046" t="str">
        <f>IFERROR(VLOOKUP(D1046,'Team Data'!C:AB,14,FALSE),"")</f>
        <v/>
      </c>
      <c r="J1046" t="str">
        <f>IFERROR(VLOOKUP(D1046,'Team Data'!C:AB,8,FALSE),"")</f>
        <v/>
      </c>
      <c r="K1046" t="str">
        <f>IFERROR(VLOOKUP(D1046,'Team Data'!C:AB,9,FALSE),"")</f>
        <v/>
      </c>
      <c r="L1046" t="str">
        <f>IFERROR(VLOOKUP(D1046,'Team Data'!C:AB,10,FALSE),"")</f>
        <v/>
      </c>
      <c r="M1046" t="str">
        <f t="shared" si="34"/>
        <v/>
      </c>
      <c r="N1046" t="str">
        <f>IFERROR(VLOOKUP(D1046,'Team Data'!C:AB,23,FALSE),"")</f>
        <v/>
      </c>
      <c r="O1046" t="str">
        <f>IFERROR(VLOOKUP(D1046,'Team Data'!C:AB,22,FALSE),"")</f>
        <v/>
      </c>
      <c r="P1046" t="str">
        <f t="shared" si="35"/>
        <v/>
      </c>
      <c r="Q1046" t="str">
        <f>IFERROR(VLOOKUP(D1046,'Team Data'!C:AB,15,FALSE),"")</f>
        <v/>
      </c>
      <c r="R1046" t="str">
        <f>IFERROR(VLOOKUP('OB Format'!D1046,'Team Data'!C:AB,24,FALSE),"")</f>
        <v/>
      </c>
      <c r="S1046" t="str">
        <f>IFERROR(VLOOKUP('OB Format'!D1046,'Team Data'!C:AC,25,FALSE),"")</f>
        <v/>
      </c>
    </row>
    <row r="1047" spans="5:19" x14ac:dyDescent="0.25">
      <c r="E1047" t="str">
        <f>IFERROR(VLOOKUP(D1047,'Team Data'!C:AB,4,FALSE),"")</f>
        <v/>
      </c>
      <c r="F1047" t="str">
        <f>IFERROR(VLOOKUP(D1047,'Team Data'!C:AB,5,FALSE),"")</f>
        <v/>
      </c>
      <c r="G1047" t="str">
        <f>IFERROR(VLOOKUP('OB Format'!D1047,'Team Data'!C:AB,17,FALSE),"")</f>
        <v/>
      </c>
      <c r="H1047" t="str">
        <f>IFERROR(VLOOKUP(D1047,'Team Data'!C:AB,7,FALSE),"")</f>
        <v/>
      </c>
      <c r="I1047" t="str">
        <f>IFERROR(VLOOKUP(D1047,'Team Data'!C:AB,14,FALSE),"")</f>
        <v/>
      </c>
      <c r="J1047" t="str">
        <f>IFERROR(VLOOKUP(D1047,'Team Data'!C:AB,8,FALSE),"")</f>
        <v/>
      </c>
      <c r="K1047" t="str">
        <f>IFERROR(VLOOKUP(D1047,'Team Data'!C:AB,9,FALSE),"")</f>
        <v/>
      </c>
      <c r="L1047" t="str">
        <f>IFERROR(VLOOKUP(D1047,'Team Data'!C:AB,10,FALSE),"")</f>
        <v/>
      </c>
      <c r="M1047" t="str">
        <f t="shared" si="34"/>
        <v/>
      </c>
      <c r="N1047" t="str">
        <f>IFERROR(VLOOKUP(D1047,'Team Data'!C:AB,23,FALSE),"")</f>
        <v/>
      </c>
      <c r="O1047" t="str">
        <f>IFERROR(VLOOKUP(D1047,'Team Data'!C:AB,22,FALSE),"")</f>
        <v/>
      </c>
      <c r="P1047" t="str">
        <f t="shared" si="35"/>
        <v/>
      </c>
      <c r="Q1047" t="str">
        <f>IFERROR(VLOOKUP(D1047,'Team Data'!C:AB,15,FALSE),"")</f>
        <v/>
      </c>
      <c r="R1047" t="str">
        <f>IFERROR(VLOOKUP('OB Format'!D1047,'Team Data'!C:AB,24,FALSE),"")</f>
        <v/>
      </c>
      <c r="S1047" t="str">
        <f>IFERROR(VLOOKUP('OB Format'!D1047,'Team Data'!C:AC,25,FALSE),"")</f>
        <v/>
      </c>
    </row>
    <row r="1048" spans="5:19" x14ac:dyDescent="0.25">
      <c r="E1048" t="str">
        <f>IFERROR(VLOOKUP(D1048,'Team Data'!C:AB,4,FALSE),"")</f>
        <v/>
      </c>
      <c r="F1048" t="str">
        <f>IFERROR(VLOOKUP(D1048,'Team Data'!C:AB,5,FALSE),"")</f>
        <v/>
      </c>
      <c r="G1048" t="str">
        <f>IFERROR(VLOOKUP('OB Format'!D1048,'Team Data'!C:AB,17,FALSE),"")</f>
        <v/>
      </c>
      <c r="H1048" t="str">
        <f>IFERROR(VLOOKUP(D1048,'Team Data'!C:AB,7,FALSE),"")</f>
        <v/>
      </c>
      <c r="I1048" t="str">
        <f>IFERROR(VLOOKUP(D1048,'Team Data'!C:AB,14,FALSE),"")</f>
        <v/>
      </c>
      <c r="J1048" t="str">
        <f>IFERROR(VLOOKUP(D1048,'Team Data'!C:AB,8,FALSE),"")</f>
        <v/>
      </c>
      <c r="K1048" t="str">
        <f>IFERROR(VLOOKUP(D1048,'Team Data'!C:AB,9,FALSE),"")</f>
        <v/>
      </c>
      <c r="L1048" t="str">
        <f>IFERROR(VLOOKUP(D1048,'Team Data'!C:AB,10,FALSE),"")</f>
        <v/>
      </c>
      <c r="M1048" t="str">
        <f t="shared" si="34"/>
        <v/>
      </c>
      <c r="N1048" t="str">
        <f>IFERROR(VLOOKUP(D1048,'Team Data'!C:AB,23,FALSE),"")</f>
        <v/>
      </c>
      <c r="O1048" t="str">
        <f>IFERROR(VLOOKUP(D1048,'Team Data'!C:AB,22,FALSE),"")</f>
        <v/>
      </c>
      <c r="P1048" t="str">
        <f t="shared" si="35"/>
        <v/>
      </c>
      <c r="Q1048" t="str">
        <f>IFERROR(VLOOKUP(D1048,'Team Data'!C:AB,15,FALSE),"")</f>
        <v/>
      </c>
      <c r="R1048" t="str">
        <f>IFERROR(VLOOKUP('OB Format'!D1048,'Team Data'!C:AB,24,FALSE),"")</f>
        <v/>
      </c>
      <c r="S1048" t="str">
        <f>IFERROR(VLOOKUP('OB Format'!D1048,'Team Data'!C:AC,25,FALSE),"")</f>
        <v/>
      </c>
    </row>
    <row r="1049" spans="5:19" x14ac:dyDescent="0.25">
      <c r="E1049" t="str">
        <f>IFERROR(VLOOKUP(D1049,'Team Data'!C:AB,4,FALSE),"")</f>
        <v/>
      </c>
      <c r="F1049" t="str">
        <f>IFERROR(VLOOKUP(D1049,'Team Data'!C:AB,5,FALSE),"")</f>
        <v/>
      </c>
      <c r="G1049" t="str">
        <f>IFERROR(VLOOKUP('OB Format'!D1049,'Team Data'!C:AB,17,FALSE),"")</f>
        <v/>
      </c>
      <c r="H1049" t="str">
        <f>IFERROR(VLOOKUP(D1049,'Team Data'!C:AB,7,FALSE),"")</f>
        <v/>
      </c>
      <c r="I1049" t="str">
        <f>IFERROR(VLOOKUP(D1049,'Team Data'!C:AB,14,FALSE),"")</f>
        <v/>
      </c>
      <c r="J1049" t="str">
        <f>IFERROR(VLOOKUP(D1049,'Team Data'!C:AB,8,FALSE),"")</f>
        <v/>
      </c>
      <c r="K1049" t="str">
        <f>IFERROR(VLOOKUP(D1049,'Team Data'!C:AB,9,FALSE),"")</f>
        <v/>
      </c>
      <c r="L1049" t="str">
        <f>IFERROR(VLOOKUP(D1049,'Team Data'!C:AB,10,FALSE),"")</f>
        <v/>
      </c>
      <c r="M1049" t="str">
        <f t="shared" si="34"/>
        <v/>
      </c>
      <c r="N1049" t="str">
        <f>IFERROR(VLOOKUP(D1049,'Team Data'!C:AB,23,FALSE),"")</f>
        <v/>
      </c>
      <c r="O1049" t="str">
        <f>IFERROR(VLOOKUP(D1049,'Team Data'!C:AB,22,FALSE),"")</f>
        <v/>
      </c>
      <c r="P1049" t="str">
        <f t="shared" si="35"/>
        <v/>
      </c>
      <c r="Q1049" t="str">
        <f>IFERROR(VLOOKUP(D1049,'Team Data'!C:AB,15,FALSE),"")</f>
        <v/>
      </c>
      <c r="R1049" t="str">
        <f>IFERROR(VLOOKUP('OB Format'!D1049,'Team Data'!C:AB,24,FALSE),"")</f>
        <v/>
      </c>
      <c r="S1049" t="str">
        <f>IFERROR(VLOOKUP('OB Format'!D1049,'Team Data'!C:AC,25,FALSE),"")</f>
        <v/>
      </c>
    </row>
    <row r="1050" spans="5:19" x14ac:dyDescent="0.25">
      <c r="E1050" t="str">
        <f>IFERROR(VLOOKUP(D1050,'Team Data'!C:AB,4,FALSE),"")</f>
        <v/>
      </c>
      <c r="F1050" t="str">
        <f>IFERROR(VLOOKUP(D1050,'Team Data'!C:AB,5,FALSE),"")</f>
        <v/>
      </c>
      <c r="G1050" t="str">
        <f>IFERROR(VLOOKUP('OB Format'!D1050,'Team Data'!C:AB,17,FALSE),"")</f>
        <v/>
      </c>
      <c r="H1050" t="str">
        <f>IFERROR(VLOOKUP(D1050,'Team Data'!C:AB,7,FALSE),"")</f>
        <v/>
      </c>
      <c r="I1050" t="str">
        <f>IFERROR(VLOOKUP(D1050,'Team Data'!C:AB,14,FALSE),"")</f>
        <v/>
      </c>
      <c r="J1050" t="str">
        <f>IFERROR(VLOOKUP(D1050,'Team Data'!C:AB,8,FALSE),"")</f>
        <v/>
      </c>
      <c r="K1050" t="str">
        <f>IFERROR(VLOOKUP(D1050,'Team Data'!C:AB,9,FALSE),"")</f>
        <v/>
      </c>
      <c r="L1050" t="str">
        <f>IFERROR(VLOOKUP(D1050,'Team Data'!C:AB,10,FALSE),"")</f>
        <v/>
      </c>
      <c r="M1050" t="str">
        <f t="shared" si="34"/>
        <v/>
      </c>
      <c r="N1050" t="str">
        <f>IFERROR(VLOOKUP(D1050,'Team Data'!C:AB,23,FALSE),"")</f>
        <v/>
      </c>
      <c r="O1050" t="str">
        <f>IFERROR(VLOOKUP(D1050,'Team Data'!C:AB,22,FALSE),"")</f>
        <v/>
      </c>
      <c r="P1050" t="str">
        <f t="shared" si="35"/>
        <v/>
      </c>
      <c r="Q1050" t="str">
        <f>IFERROR(VLOOKUP(D1050,'Team Data'!C:AB,15,FALSE),"")</f>
        <v/>
      </c>
      <c r="R1050" t="str">
        <f>IFERROR(VLOOKUP('OB Format'!D1050,'Team Data'!C:AB,24,FALSE),"")</f>
        <v/>
      </c>
      <c r="S1050" t="str">
        <f>IFERROR(VLOOKUP('OB Format'!D1050,'Team Data'!C:AC,25,FALSE),"")</f>
        <v/>
      </c>
    </row>
    <row r="1051" spans="5:19" x14ac:dyDescent="0.25">
      <c r="E1051" t="str">
        <f>IFERROR(VLOOKUP(D1051,'Team Data'!C:AB,4,FALSE),"")</f>
        <v/>
      </c>
      <c r="F1051" t="str">
        <f>IFERROR(VLOOKUP(D1051,'Team Data'!C:AB,5,FALSE),"")</f>
        <v/>
      </c>
      <c r="G1051" t="str">
        <f>IFERROR(VLOOKUP('OB Format'!D1051,'Team Data'!C:AB,17,FALSE),"")</f>
        <v/>
      </c>
      <c r="H1051" t="str">
        <f>IFERROR(VLOOKUP(D1051,'Team Data'!C:AB,7,FALSE),"")</f>
        <v/>
      </c>
      <c r="I1051" t="str">
        <f>IFERROR(VLOOKUP(D1051,'Team Data'!C:AB,14,FALSE),"")</f>
        <v/>
      </c>
      <c r="J1051" t="str">
        <f>IFERROR(VLOOKUP(D1051,'Team Data'!C:AB,8,FALSE),"")</f>
        <v/>
      </c>
      <c r="K1051" t="str">
        <f>IFERROR(VLOOKUP(D1051,'Team Data'!C:AB,9,FALSE),"")</f>
        <v/>
      </c>
      <c r="L1051" t="str">
        <f>IFERROR(VLOOKUP(D1051,'Team Data'!C:AB,10,FALSE),"")</f>
        <v/>
      </c>
      <c r="M1051" t="str">
        <f t="shared" si="34"/>
        <v/>
      </c>
      <c r="N1051" t="str">
        <f>IFERROR(VLOOKUP(D1051,'Team Data'!C:AB,23,FALSE),"")</f>
        <v/>
      </c>
      <c r="O1051" t="str">
        <f>IFERROR(VLOOKUP(D1051,'Team Data'!C:AB,22,FALSE),"")</f>
        <v/>
      </c>
      <c r="P1051" t="str">
        <f t="shared" si="35"/>
        <v/>
      </c>
      <c r="Q1051" t="str">
        <f>IFERROR(VLOOKUP(D1051,'Team Data'!C:AB,15,FALSE),"")</f>
        <v/>
      </c>
      <c r="R1051" t="str">
        <f>IFERROR(VLOOKUP('OB Format'!D1051,'Team Data'!C:AB,24,FALSE),"")</f>
        <v/>
      </c>
      <c r="S1051" t="str">
        <f>IFERROR(VLOOKUP('OB Format'!D1051,'Team Data'!C:AC,25,FALSE),"")</f>
        <v/>
      </c>
    </row>
    <row r="1052" spans="5:19" x14ac:dyDescent="0.25">
      <c r="E1052" t="str">
        <f>IFERROR(VLOOKUP(D1052,'Team Data'!C:AB,4,FALSE),"")</f>
        <v/>
      </c>
      <c r="F1052" t="str">
        <f>IFERROR(VLOOKUP(D1052,'Team Data'!C:AB,5,FALSE),"")</f>
        <v/>
      </c>
      <c r="G1052" t="str">
        <f>IFERROR(VLOOKUP('OB Format'!D1052,'Team Data'!C:AB,17,FALSE),"")</f>
        <v/>
      </c>
      <c r="H1052" t="str">
        <f>IFERROR(VLOOKUP(D1052,'Team Data'!C:AB,7,FALSE),"")</f>
        <v/>
      </c>
      <c r="I1052" t="str">
        <f>IFERROR(VLOOKUP(D1052,'Team Data'!C:AB,14,FALSE),"")</f>
        <v/>
      </c>
      <c r="J1052" t="str">
        <f>IFERROR(VLOOKUP(D1052,'Team Data'!C:AB,8,FALSE),"")</f>
        <v/>
      </c>
      <c r="K1052" t="str">
        <f>IFERROR(VLOOKUP(D1052,'Team Data'!C:AB,9,FALSE),"")</f>
        <v/>
      </c>
      <c r="L1052" t="str">
        <f>IFERROR(VLOOKUP(D1052,'Team Data'!C:AB,10,FALSE),"")</f>
        <v/>
      </c>
      <c r="M1052" t="str">
        <f t="shared" si="34"/>
        <v/>
      </c>
      <c r="N1052" t="str">
        <f>IFERROR(VLOOKUP(D1052,'Team Data'!C:AB,23,FALSE),"")</f>
        <v/>
      </c>
      <c r="O1052" t="str">
        <f>IFERROR(VLOOKUP(D1052,'Team Data'!C:AB,22,FALSE),"")</f>
        <v/>
      </c>
      <c r="P1052" t="str">
        <f t="shared" si="35"/>
        <v/>
      </c>
      <c r="Q1052" t="str">
        <f>IFERROR(VLOOKUP(D1052,'Team Data'!C:AB,15,FALSE),"")</f>
        <v/>
      </c>
      <c r="R1052" t="str">
        <f>IFERROR(VLOOKUP('OB Format'!D1052,'Team Data'!C:AB,24,FALSE),"")</f>
        <v/>
      </c>
      <c r="S1052" t="str">
        <f>IFERROR(VLOOKUP('OB Format'!D1052,'Team Data'!C:AC,25,FALSE),"")</f>
        <v/>
      </c>
    </row>
    <row r="1053" spans="5:19" x14ac:dyDescent="0.25">
      <c r="E1053" t="str">
        <f>IFERROR(VLOOKUP(D1053,'Team Data'!C:AB,4,FALSE),"")</f>
        <v/>
      </c>
      <c r="F1053" t="str">
        <f>IFERROR(VLOOKUP(D1053,'Team Data'!C:AB,5,FALSE),"")</f>
        <v/>
      </c>
      <c r="G1053" t="str">
        <f>IFERROR(VLOOKUP('OB Format'!D1053,'Team Data'!C:AB,17,FALSE),"")</f>
        <v/>
      </c>
      <c r="H1053" t="str">
        <f>IFERROR(VLOOKUP(D1053,'Team Data'!C:AB,7,FALSE),"")</f>
        <v/>
      </c>
      <c r="I1053" t="str">
        <f>IFERROR(VLOOKUP(D1053,'Team Data'!C:AB,14,FALSE),"")</f>
        <v/>
      </c>
      <c r="J1053" t="str">
        <f>IFERROR(VLOOKUP(D1053,'Team Data'!C:AB,8,FALSE),"")</f>
        <v/>
      </c>
      <c r="K1053" t="str">
        <f>IFERROR(VLOOKUP(D1053,'Team Data'!C:AB,9,FALSE),"")</f>
        <v/>
      </c>
      <c r="L1053" t="str">
        <f>IFERROR(VLOOKUP(D1053,'Team Data'!C:AB,10,FALSE),"")</f>
        <v/>
      </c>
      <c r="M1053" t="str">
        <f t="shared" si="34"/>
        <v/>
      </c>
      <c r="N1053" t="str">
        <f>IFERROR(VLOOKUP(D1053,'Team Data'!C:AB,23,FALSE),"")</f>
        <v/>
      </c>
      <c r="O1053" t="str">
        <f>IFERROR(VLOOKUP(D1053,'Team Data'!C:AB,22,FALSE),"")</f>
        <v/>
      </c>
      <c r="P1053" t="str">
        <f t="shared" si="35"/>
        <v/>
      </c>
      <c r="Q1053" t="str">
        <f>IFERROR(VLOOKUP(D1053,'Team Data'!C:AB,15,FALSE),"")</f>
        <v/>
      </c>
      <c r="R1053" t="str">
        <f>IFERROR(VLOOKUP('OB Format'!D1053,'Team Data'!C:AB,24,FALSE),"")</f>
        <v/>
      </c>
      <c r="S1053" t="str">
        <f>IFERROR(VLOOKUP('OB Format'!D1053,'Team Data'!C:AC,25,FALSE),"")</f>
        <v/>
      </c>
    </row>
    <row r="1054" spans="5:19" x14ac:dyDescent="0.25">
      <c r="E1054" t="str">
        <f>IFERROR(VLOOKUP(D1054,'Team Data'!C:AB,4,FALSE),"")</f>
        <v/>
      </c>
      <c r="F1054" t="str">
        <f>IFERROR(VLOOKUP(D1054,'Team Data'!C:AB,5,FALSE),"")</f>
        <v/>
      </c>
      <c r="G1054" t="str">
        <f>IFERROR(VLOOKUP('OB Format'!D1054,'Team Data'!C:AB,17,FALSE),"")</f>
        <v/>
      </c>
      <c r="H1054" t="str">
        <f>IFERROR(VLOOKUP(D1054,'Team Data'!C:AB,7,FALSE),"")</f>
        <v/>
      </c>
      <c r="I1054" t="str">
        <f>IFERROR(VLOOKUP(D1054,'Team Data'!C:AB,14,FALSE),"")</f>
        <v/>
      </c>
      <c r="J1054" t="str">
        <f>IFERROR(VLOOKUP(D1054,'Team Data'!C:AB,8,FALSE),"")</f>
        <v/>
      </c>
      <c r="K1054" t="str">
        <f>IFERROR(VLOOKUP(D1054,'Team Data'!C:AB,9,FALSE),"")</f>
        <v/>
      </c>
      <c r="L1054" t="str">
        <f>IFERROR(VLOOKUP(D1054,'Team Data'!C:AB,10,FALSE),"")</f>
        <v/>
      </c>
      <c r="M1054" t="str">
        <f t="shared" si="34"/>
        <v/>
      </c>
      <c r="N1054" t="str">
        <f>IFERROR(VLOOKUP(D1054,'Team Data'!C:AB,23,FALSE),"")</f>
        <v/>
      </c>
      <c r="O1054" t="str">
        <f>IFERROR(VLOOKUP(D1054,'Team Data'!C:AB,22,FALSE),"")</f>
        <v/>
      </c>
      <c r="P1054" t="str">
        <f t="shared" si="35"/>
        <v/>
      </c>
      <c r="Q1054" t="str">
        <f>IFERROR(VLOOKUP(D1054,'Team Data'!C:AB,15,FALSE),"")</f>
        <v/>
      </c>
      <c r="R1054" t="str">
        <f>IFERROR(VLOOKUP('OB Format'!D1054,'Team Data'!C:AB,24,FALSE),"")</f>
        <v/>
      </c>
      <c r="S1054" t="str">
        <f>IFERROR(VLOOKUP('OB Format'!D1054,'Team Data'!C:AC,25,FALSE),"")</f>
        <v/>
      </c>
    </row>
    <row r="1055" spans="5:19" x14ac:dyDescent="0.25">
      <c r="E1055" t="str">
        <f>IFERROR(VLOOKUP(D1055,'Team Data'!C:AB,4,FALSE),"")</f>
        <v/>
      </c>
      <c r="F1055" t="str">
        <f>IFERROR(VLOOKUP(D1055,'Team Data'!C:AB,5,FALSE),"")</f>
        <v/>
      </c>
      <c r="G1055" t="str">
        <f>IFERROR(VLOOKUP('OB Format'!D1055,'Team Data'!C:AB,17,FALSE),"")</f>
        <v/>
      </c>
      <c r="H1055" t="str">
        <f>IFERROR(VLOOKUP(D1055,'Team Data'!C:AB,7,FALSE),"")</f>
        <v/>
      </c>
      <c r="I1055" t="str">
        <f>IFERROR(VLOOKUP(D1055,'Team Data'!C:AB,14,FALSE),"")</f>
        <v/>
      </c>
      <c r="J1055" t="str">
        <f>IFERROR(VLOOKUP(D1055,'Team Data'!C:AB,8,FALSE),"")</f>
        <v/>
      </c>
      <c r="K1055" t="str">
        <f>IFERROR(VLOOKUP(D1055,'Team Data'!C:AB,9,FALSE),"")</f>
        <v/>
      </c>
      <c r="L1055" t="str">
        <f>IFERROR(VLOOKUP(D1055,'Team Data'!C:AB,10,FALSE),"")</f>
        <v/>
      </c>
      <c r="M1055" t="str">
        <f t="shared" si="34"/>
        <v/>
      </c>
      <c r="N1055" t="str">
        <f>IFERROR(VLOOKUP(D1055,'Team Data'!C:AB,23,FALSE),"")</f>
        <v/>
      </c>
      <c r="O1055" t="str">
        <f>IFERROR(VLOOKUP(D1055,'Team Data'!C:AB,22,FALSE),"")</f>
        <v/>
      </c>
      <c r="P1055" t="str">
        <f t="shared" si="35"/>
        <v/>
      </c>
      <c r="Q1055" t="str">
        <f>IFERROR(VLOOKUP(D1055,'Team Data'!C:AB,15,FALSE),"")</f>
        <v/>
      </c>
      <c r="R1055" t="str">
        <f>IFERROR(VLOOKUP('OB Format'!D1055,'Team Data'!C:AB,24,FALSE),"")</f>
        <v/>
      </c>
      <c r="S1055" t="str">
        <f>IFERROR(VLOOKUP('OB Format'!D1055,'Team Data'!C:AC,25,FALSE),"")</f>
        <v/>
      </c>
    </row>
    <row r="1056" spans="5:19" x14ac:dyDescent="0.25">
      <c r="E1056" t="str">
        <f>IFERROR(VLOOKUP(D1056,'Team Data'!C:AB,4,FALSE),"")</f>
        <v/>
      </c>
      <c r="F1056" t="str">
        <f>IFERROR(VLOOKUP(D1056,'Team Data'!C:AB,5,FALSE),"")</f>
        <v/>
      </c>
      <c r="G1056" t="str">
        <f>IFERROR(VLOOKUP('OB Format'!D1056,'Team Data'!C:AB,17,FALSE),"")</f>
        <v/>
      </c>
      <c r="H1056" t="str">
        <f>IFERROR(VLOOKUP(D1056,'Team Data'!C:AB,7,FALSE),"")</f>
        <v/>
      </c>
      <c r="I1056" t="str">
        <f>IFERROR(VLOOKUP(D1056,'Team Data'!C:AB,14,FALSE),"")</f>
        <v/>
      </c>
      <c r="J1056" t="str">
        <f>IFERROR(VLOOKUP(D1056,'Team Data'!C:AB,8,FALSE),"")</f>
        <v/>
      </c>
      <c r="K1056" t="str">
        <f>IFERROR(VLOOKUP(D1056,'Team Data'!C:AB,9,FALSE),"")</f>
        <v/>
      </c>
      <c r="L1056" t="str">
        <f>IFERROR(VLOOKUP(D1056,'Team Data'!C:AB,10,FALSE),"")</f>
        <v/>
      </c>
      <c r="M1056" t="str">
        <f t="shared" si="34"/>
        <v/>
      </c>
      <c r="N1056" t="str">
        <f>IFERROR(VLOOKUP(D1056,'Team Data'!C:AB,23,FALSE),"")</f>
        <v/>
      </c>
      <c r="O1056" t="str">
        <f>IFERROR(VLOOKUP(D1056,'Team Data'!C:AB,22,FALSE),"")</f>
        <v/>
      </c>
      <c r="P1056" t="str">
        <f t="shared" si="35"/>
        <v/>
      </c>
      <c r="Q1056" t="str">
        <f>IFERROR(VLOOKUP(D1056,'Team Data'!C:AB,15,FALSE),"")</f>
        <v/>
      </c>
      <c r="R1056" t="str">
        <f>IFERROR(VLOOKUP('OB Format'!D1056,'Team Data'!C:AB,24,FALSE),"")</f>
        <v/>
      </c>
      <c r="S1056" t="str">
        <f>IFERROR(VLOOKUP('OB Format'!D1056,'Team Data'!C:AC,25,FALSE),"")</f>
        <v/>
      </c>
    </row>
    <row r="1057" spans="5:19" x14ac:dyDescent="0.25">
      <c r="E1057" t="str">
        <f>IFERROR(VLOOKUP(D1057,'Team Data'!C:AB,4,FALSE),"")</f>
        <v/>
      </c>
      <c r="F1057" t="str">
        <f>IFERROR(VLOOKUP(D1057,'Team Data'!C:AB,5,FALSE),"")</f>
        <v/>
      </c>
      <c r="G1057" t="str">
        <f>IFERROR(VLOOKUP('OB Format'!D1057,'Team Data'!C:AB,17,FALSE),"")</f>
        <v/>
      </c>
      <c r="H1057" t="str">
        <f>IFERROR(VLOOKUP(D1057,'Team Data'!C:AB,7,FALSE),"")</f>
        <v/>
      </c>
      <c r="I1057" t="str">
        <f>IFERROR(VLOOKUP(D1057,'Team Data'!C:AB,14,FALSE),"")</f>
        <v/>
      </c>
      <c r="J1057" t="str">
        <f>IFERROR(VLOOKUP(D1057,'Team Data'!C:AB,8,FALSE),"")</f>
        <v/>
      </c>
      <c r="K1057" t="str">
        <f>IFERROR(VLOOKUP(D1057,'Team Data'!C:AB,9,FALSE),"")</f>
        <v/>
      </c>
      <c r="L1057" t="str">
        <f>IFERROR(VLOOKUP(D1057,'Team Data'!C:AB,10,FALSE),"")</f>
        <v/>
      </c>
      <c r="M1057" t="str">
        <f t="shared" si="34"/>
        <v/>
      </c>
      <c r="N1057" t="str">
        <f>IFERROR(VLOOKUP(D1057,'Team Data'!C:AB,23,FALSE),"")</f>
        <v/>
      </c>
      <c r="O1057" t="str">
        <f>IFERROR(VLOOKUP(D1057,'Team Data'!C:AB,22,FALSE),"")</f>
        <v/>
      </c>
      <c r="P1057" t="str">
        <f t="shared" si="35"/>
        <v/>
      </c>
      <c r="Q1057" t="str">
        <f>IFERROR(VLOOKUP(D1057,'Team Data'!C:AB,15,FALSE),"")</f>
        <v/>
      </c>
      <c r="R1057" t="str">
        <f>IFERROR(VLOOKUP('OB Format'!D1057,'Team Data'!C:AB,24,FALSE),"")</f>
        <v/>
      </c>
      <c r="S1057" t="str">
        <f>IFERROR(VLOOKUP('OB Format'!D1057,'Team Data'!C:AC,25,FALSE),"")</f>
        <v/>
      </c>
    </row>
    <row r="1058" spans="5:19" x14ac:dyDescent="0.25">
      <c r="E1058" t="str">
        <f>IFERROR(VLOOKUP(D1058,'Team Data'!C:AB,4,FALSE),"")</f>
        <v/>
      </c>
      <c r="F1058" t="str">
        <f>IFERROR(VLOOKUP(D1058,'Team Data'!C:AB,5,FALSE),"")</f>
        <v/>
      </c>
      <c r="G1058" t="str">
        <f>IFERROR(VLOOKUP('OB Format'!D1058,'Team Data'!C:AB,17,FALSE),"")</f>
        <v/>
      </c>
      <c r="H1058" t="str">
        <f>IFERROR(VLOOKUP(D1058,'Team Data'!C:AB,7,FALSE),"")</f>
        <v/>
      </c>
      <c r="I1058" t="str">
        <f>IFERROR(VLOOKUP(D1058,'Team Data'!C:AB,14,FALSE),"")</f>
        <v/>
      </c>
      <c r="J1058" t="str">
        <f>IFERROR(VLOOKUP(D1058,'Team Data'!C:AB,8,FALSE),"")</f>
        <v/>
      </c>
      <c r="K1058" t="str">
        <f>IFERROR(VLOOKUP(D1058,'Team Data'!C:AB,9,FALSE),"")</f>
        <v/>
      </c>
      <c r="L1058" t="str">
        <f>IFERROR(VLOOKUP(D1058,'Team Data'!C:AB,10,FALSE),"")</f>
        <v/>
      </c>
      <c r="M1058" t="str">
        <f t="shared" si="34"/>
        <v/>
      </c>
      <c r="N1058" t="str">
        <f>IFERROR(VLOOKUP(D1058,'Team Data'!C:AB,23,FALSE),"")</f>
        <v/>
      </c>
      <c r="O1058" t="str">
        <f>IFERROR(VLOOKUP(D1058,'Team Data'!C:AB,22,FALSE),"")</f>
        <v/>
      </c>
      <c r="P1058" t="str">
        <f t="shared" si="35"/>
        <v/>
      </c>
      <c r="Q1058" t="str">
        <f>IFERROR(VLOOKUP(D1058,'Team Data'!C:AB,15,FALSE),"")</f>
        <v/>
      </c>
      <c r="R1058" t="str">
        <f>IFERROR(VLOOKUP('OB Format'!D1058,'Team Data'!C:AB,24,FALSE),"")</f>
        <v/>
      </c>
      <c r="S1058" t="str">
        <f>IFERROR(VLOOKUP('OB Format'!D1058,'Team Data'!C:AC,25,FALSE),"")</f>
        <v/>
      </c>
    </row>
    <row r="1059" spans="5:19" x14ac:dyDescent="0.25">
      <c r="E1059" t="str">
        <f>IFERROR(VLOOKUP(D1059,'Team Data'!C:AB,4,FALSE),"")</f>
        <v/>
      </c>
      <c r="F1059" t="str">
        <f>IFERROR(VLOOKUP(D1059,'Team Data'!C:AB,5,FALSE),"")</f>
        <v/>
      </c>
      <c r="G1059" t="str">
        <f>IFERROR(VLOOKUP('OB Format'!D1059,'Team Data'!C:AB,17,FALSE),"")</f>
        <v/>
      </c>
      <c r="H1059" t="str">
        <f>IFERROR(VLOOKUP(D1059,'Team Data'!C:AB,7,FALSE),"")</f>
        <v/>
      </c>
      <c r="I1059" t="str">
        <f>IFERROR(VLOOKUP(D1059,'Team Data'!C:AB,14,FALSE),"")</f>
        <v/>
      </c>
      <c r="J1059" t="str">
        <f>IFERROR(VLOOKUP(D1059,'Team Data'!C:AB,8,FALSE),"")</f>
        <v/>
      </c>
      <c r="K1059" t="str">
        <f>IFERROR(VLOOKUP(D1059,'Team Data'!C:AB,9,FALSE),"")</f>
        <v/>
      </c>
      <c r="L1059" t="str">
        <f>IFERROR(VLOOKUP(D1059,'Team Data'!C:AB,10,FALSE),"")</f>
        <v/>
      </c>
      <c r="M1059" t="str">
        <f t="shared" si="34"/>
        <v/>
      </c>
      <c r="N1059" t="str">
        <f>IFERROR(VLOOKUP(D1059,'Team Data'!C:AB,23,FALSE),"")</f>
        <v/>
      </c>
      <c r="O1059" t="str">
        <f>IFERROR(VLOOKUP(D1059,'Team Data'!C:AB,22,FALSE),"")</f>
        <v/>
      </c>
      <c r="P1059" t="str">
        <f t="shared" si="35"/>
        <v/>
      </c>
      <c r="Q1059" t="str">
        <f>IFERROR(VLOOKUP(D1059,'Team Data'!C:AB,15,FALSE),"")</f>
        <v/>
      </c>
      <c r="R1059" t="str">
        <f>IFERROR(VLOOKUP('OB Format'!D1059,'Team Data'!C:AB,24,FALSE),"")</f>
        <v/>
      </c>
      <c r="S1059" t="str">
        <f>IFERROR(VLOOKUP('OB Format'!D1059,'Team Data'!C:AC,25,FALSE),"")</f>
        <v/>
      </c>
    </row>
    <row r="1060" spans="5:19" x14ac:dyDescent="0.25">
      <c r="E1060" t="str">
        <f>IFERROR(VLOOKUP(D1060,'Team Data'!C:AB,4,FALSE),"")</f>
        <v/>
      </c>
      <c r="F1060" t="str">
        <f>IFERROR(VLOOKUP(D1060,'Team Data'!C:AB,5,FALSE),"")</f>
        <v/>
      </c>
      <c r="G1060" t="str">
        <f>IFERROR(VLOOKUP('OB Format'!D1060,'Team Data'!C:AB,17,FALSE),"")</f>
        <v/>
      </c>
      <c r="H1060" t="str">
        <f>IFERROR(VLOOKUP(D1060,'Team Data'!C:AB,7,FALSE),"")</f>
        <v/>
      </c>
      <c r="I1060" t="str">
        <f>IFERROR(VLOOKUP(D1060,'Team Data'!C:AB,14,FALSE),"")</f>
        <v/>
      </c>
      <c r="J1060" t="str">
        <f>IFERROR(VLOOKUP(D1060,'Team Data'!C:AB,8,FALSE),"")</f>
        <v/>
      </c>
      <c r="K1060" t="str">
        <f>IFERROR(VLOOKUP(D1060,'Team Data'!C:AB,9,FALSE),"")</f>
        <v/>
      </c>
      <c r="L1060" t="str">
        <f>IFERROR(VLOOKUP(D1060,'Team Data'!C:AB,10,FALSE),"")</f>
        <v/>
      </c>
      <c r="M1060" t="str">
        <f t="shared" si="34"/>
        <v/>
      </c>
      <c r="N1060" t="str">
        <f>IFERROR(VLOOKUP(D1060,'Team Data'!C:AB,23,FALSE),"")</f>
        <v/>
      </c>
      <c r="O1060" t="str">
        <f>IFERROR(VLOOKUP(D1060,'Team Data'!C:AB,22,FALSE),"")</f>
        <v/>
      </c>
      <c r="P1060" t="str">
        <f t="shared" si="35"/>
        <v/>
      </c>
      <c r="Q1060" t="str">
        <f>IFERROR(VLOOKUP(D1060,'Team Data'!C:AB,15,FALSE),"")</f>
        <v/>
      </c>
      <c r="R1060" t="str">
        <f>IFERROR(VLOOKUP('OB Format'!D1060,'Team Data'!C:AB,24,FALSE),"")</f>
        <v/>
      </c>
      <c r="S1060" t="str">
        <f>IFERROR(VLOOKUP('OB Format'!D1060,'Team Data'!C:AC,25,FALSE),"")</f>
        <v/>
      </c>
    </row>
    <row r="1061" spans="5:19" x14ac:dyDescent="0.25">
      <c r="E1061" t="str">
        <f>IFERROR(VLOOKUP(D1061,'Team Data'!C:AB,4,FALSE),"")</f>
        <v/>
      </c>
      <c r="F1061" t="str">
        <f>IFERROR(VLOOKUP(D1061,'Team Data'!C:AB,5,FALSE),"")</f>
        <v/>
      </c>
      <c r="G1061" t="str">
        <f>IFERROR(VLOOKUP('OB Format'!D1061,'Team Data'!C:AB,17,FALSE),"")</f>
        <v/>
      </c>
      <c r="H1061" t="str">
        <f>IFERROR(VLOOKUP(D1061,'Team Data'!C:AB,7,FALSE),"")</f>
        <v/>
      </c>
      <c r="I1061" t="str">
        <f>IFERROR(VLOOKUP(D1061,'Team Data'!C:AB,14,FALSE),"")</f>
        <v/>
      </c>
      <c r="J1061" t="str">
        <f>IFERROR(VLOOKUP(D1061,'Team Data'!C:AB,8,FALSE),"")</f>
        <v/>
      </c>
      <c r="K1061" t="str">
        <f>IFERROR(VLOOKUP(D1061,'Team Data'!C:AB,9,FALSE),"")</f>
        <v/>
      </c>
      <c r="L1061" t="str">
        <f>IFERROR(VLOOKUP(D1061,'Team Data'!C:AB,10,FALSE),"")</f>
        <v/>
      </c>
      <c r="M1061" t="str">
        <f t="shared" si="34"/>
        <v/>
      </c>
      <c r="N1061" t="str">
        <f>IFERROR(VLOOKUP(D1061,'Team Data'!C:AB,23,FALSE),"")</f>
        <v/>
      </c>
      <c r="O1061" t="str">
        <f>IFERROR(VLOOKUP(D1061,'Team Data'!C:AB,22,FALSE),"")</f>
        <v/>
      </c>
      <c r="P1061" t="str">
        <f t="shared" si="35"/>
        <v/>
      </c>
      <c r="Q1061" t="str">
        <f>IFERROR(VLOOKUP(D1061,'Team Data'!C:AB,15,FALSE),"")</f>
        <v/>
      </c>
      <c r="R1061" t="str">
        <f>IFERROR(VLOOKUP('OB Format'!D1061,'Team Data'!C:AB,24,FALSE),"")</f>
        <v/>
      </c>
      <c r="S1061" t="str">
        <f>IFERROR(VLOOKUP('OB Format'!D1061,'Team Data'!C:AC,25,FALSE),"")</f>
        <v/>
      </c>
    </row>
    <row r="1062" spans="5:19" x14ac:dyDescent="0.25">
      <c r="E1062" t="str">
        <f>IFERROR(VLOOKUP(D1062,'Team Data'!C:AB,4,FALSE),"")</f>
        <v/>
      </c>
      <c r="F1062" t="str">
        <f>IFERROR(VLOOKUP(D1062,'Team Data'!C:AB,5,FALSE),"")</f>
        <v/>
      </c>
      <c r="G1062" t="str">
        <f>IFERROR(VLOOKUP('OB Format'!D1062,'Team Data'!C:AB,17,FALSE),"")</f>
        <v/>
      </c>
      <c r="H1062" t="str">
        <f>IFERROR(VLOOKUP(D1062,'Team Data'!C:AB,7,FALSE),"")</f>
        <v/>
      </c>
      <c r="I1062" t="str">
        <f>IFERROR(VLOOKUP(D1062,'Team Data'!C:AB,14,FALSE),"")</f>
        <v/>
      </c>
      <c r="J1062" t="str">
        <f>IFERROR(VLOOKUP(D1062,'Team Data'!C:AB,8,FALSE),"")</f>
        <v/>
      </c>
      <c r="K1062" t="str">
        <f>IFERROR(VLOOKUP(D1062,'Team Data'!C:AB,9,FALSE),"")</f>
        <v/>
      </c>
      <c r="L1062" t="str">
        <f>IFERROR(VLOOKUP(D1062,'Team Data'!C:AB,10,FALSE),"")</f>
        <v/>
      </c>
      <c r="M1062" t="str">
        <f t="shared" si="34"/>
        <v/>
      </c>
      <c r="N1062" t="str">
        <f>IFERROR(VLOOKUP(D1062,'Team Data'!C:AB,23,FALSE),"")</f>
        <v/>
      </c>
      <c r="O1062" t="str">
        <f>IFERROR(VLOOKUP(D1062,'Team Data'!C:AB,22,FALSE),"")</f>
        <v/>
      </c>
      <c r="P1062" t="str">
        <f t="shared" si="35"/>
        <v/>
      </c>
      <c r="Q1062" t="str">
        <f>IFERROR(VLOOKUP(D1062,'Team Data'!C:AB,15,FALSE),"")</f>
        <v/>
      </c>
      <c r="R1062" t="str">
        <f>IFERROR(VLOOKUP('OB Format'!D1062,'Team Data'!C:AB,24,FALSE),"")</f>
        <v/>
      </c>
      <c r="S1062" t="str">
        <f>IFERROR(VLOOKUP('OB Format'!D1062,'Team Data'!C:AC,25,FALSE),"")</f>
        <v/>
      </c>
    </row>
    <row r="1063" spans="5:19" x14ac:dyDescent="0.25">
      <c r="E1063" t="str">
        <f>IFERROR(VLOOKUP(D1063,'Team Data'!C:AB,4,FALSE),"")</f>
        <v/>
      </c>
      <c r="F1063" t="str">
        <f>IFERROR(VLOOKUP(D1063,'Team Data'!C:AB,5,FALSE),"")</f>
        <v/>
      </c>
      <c r="G1063" t="str">
        <f>IFERROR(VLOOKUP('OB Format'!D1063,'Team Data'!C:AB,17,FALSE),"")</f>
        <v/>
      </c>
      <c r="H1063" t="str">
        <f>IFERROR(VLOOKUP(D1063,'Team Data'!C:AB,7,FALSE),"")</f>
        <v/>
      </c>
      <c r="I1063" t="str">
        <f>IFERROR(VLOOKUP(D1063,'Team Data'!C:AB,14,FALSE),"")</f>
        <v/>
      </c>
      <c r="J1063" t="str">
        <f>IFERROR(VLOOKUP(D1063,'Team Data'!C:AB,8,FALSE),"")</f>
        <v/>
      </c>
      <c r="K1063" t="str">
        <f>IFERROR(VLOOKUP(D1063,'Team Data'!C:AB,9,FALSE),"")</f>
        <v/>
      </c>
      <c r="L1063" t="str">
        <f>IFERROR(VLOOKUP(D1063,'Team Data'!C:AB,10,FALSE),"")</f>
        <v/>
      </c>
      <c r="M1063" t="str">
        <f t="shared" si="34"/>
        <v/>
      </c>
      <c r="N1063" t="str">
        <f>IFERROR(VLOOKUP(D1063,'Team Data'!C:AB,23,FALSE),"")</f>
        <v/>
      </c>
      <c r="O1063" t="str">
        <f>IFERROR(VLOOKUP(D1063,'Team Data'!C:AB,22,FALSE),"")</f>
        <v/>
      </c>
      <c r="P1063" t="str">
        <f t="shared" si="35"/>
        <v/>
      </c>
      <c r="Q1063" t="str">
        <f>IFERROR(VLOOKUP(D1063,'Team Data'!C:AB,15,FALSE),"")</f>
        <v/>
      </c>
      <c r="R1063" t="str">
        <f>IFERROR(VLOOKUP('OB Format'!D1063,'Team Data'!C:AB,24,FALSE),"")</f>
        <v/>
      </c>
      <c r="S1063" t="str">
        <f>IFERROR(VLOOKUP('OB Format'!D1063,'Team Data'!C:AC,25,FALSE),"")</f>
        <v/>
      </c>
    </row>
    <row r="1064" spans="5:19" x14ac:dyDescent="0.25">
      <c r="E1064" t="str">
        <f>IFERROR(VLOOKUP(D1064,'Team Data'!C:AB,4,FALSE),"")</f>
        <v/>
      </c>
      <c r="F1064" t="str">
        <f>IFERROR(VLOOKUP(D1064,'Team Data'!C:AB,5,FALSE),"")</f>
        <v/>
      </c>
      <c r="G1064" t="str">
        <f>IFERROR(VLOOKUP('OB Format'!D1064,'Team Data'!C:AB,17,FALSE),"")</f>
        <v/>
      </c>
      <c r="H1064" t="str">
        <f>IFERROR(VLOOKUP(D1064,'Team Data'!C:AB,7,FALSE),"")</f>
        <v/>
      </c>
      <c r="I1064" t="str">
        <f>IFERROR(VLOOKUP(D1064,'Team Data'!C:AB,14,FALSE),"")</f>
        <v/>
      </c>
      <c r="J1064" t="str">
        <f>IFERROR(VLOOKUP(D1064,'Team Data'!C:AB,8,FALSE),"")</f>
        <v/>
      </c>
      <c r="K1064" t="str">
        <f>IFERROR(VLOOKUP(D1064,'Team Data'!C:AB,9,FALSE),"")</f>
        <v/>
      </c>
      <c r="L1064" t="str">
        <f>IFERROR(VLOOKUP(D1064,'Team Data'!C:AB,10,FALSE),"")</f>
        <v/>
      </c>
      <c r="M1064" t="str">
        <f t="shared" si="34"/>
        <v/>
      </c>
      <c r="N1064" t="str">
        <f>IFERROR(VLOOKUP(D1064,'Team Data'!C:AB,23,FALSE),"")</f>
        <v/>
      </c>
      <c r="O1064" t="str">
        <f>IFERROR(VLOOKUP(D1064,'Team Data'!C:AB,22,FALSE),"")</f>
        <v/>
      </c>
      <c r="P1064" t="str">
        <f t="shared" si="35"/>
        <v/>
      </c>
      <c r="Q1064" t="str">
        <f>IFERROR(VLOOKUP(D1064,'Team Data'!C:AB,15,FALSE),"")</f>
        <v/>
      </c>
      <c r="R1064" t="str">
        <f>IFERROR(VLOOKUP('OB Format'!D1064,'Team Data'!C:AB,24,FALSE),"")</f>
        <v/>
      </c>
      <c r="S1064" t="str">
        <f>IFERROR(VLOOKUP('OB Format'!D1064,'Team Data'!C:AC,25,FALSE),"")</f>
        <v/>
      </c>
    </row>
    <row r="1065" spans="5:19" x14ac:dyDescent="0.25">
      <c r="E1065" t="str">
        <f>IFERROR(VLOOKUP(D1065,'Team Data'!C:AB,4,FALSE),"")</f>
        <v/>
      </c>
      <c r="F1065" t="str">
        <f>IFERROR(VLOOKUP(D1065,'Team Data'!C:AB,5,FALSE),"")</f>
        <v/>
      </c>
      <c r="G1065" t="str">
        <f>IFERROR(VLOOKUP('OB Format'!D1065,'Team Data'!C:AB,17,FALSE),"")</f>
        <v/>
      </c>
      <c r="H1065" t="str">
        <f>IFERROR(VLOOKUP(D1065,'Team Data'!C:AB,7,FALSE),"")</f>
        <v/>
      </c>
      <c r="I1065" t="str">
        <f>IFERROR(VLOOKUP(D1065,'Team Data'!C:AB,14,FALSE),"")</f>
        <v/>
      </c>
      <c r="J1065" t="str">
        <f>IFERROR(VLOOKUP(D1065,'Team Data'!C:AB,8,FALSE),"")</f>
        <v/>
      </c>
      <c r="K1065" t="str">
        <f>IFERROR(VLOOKUP(D1065,'Team Data'!C:AB,9,FALSE),"")</f>
        <v/>
      </c>
      <c r="L1065" t="str">
        <f>IFERROR(VLOOKUP(D1065,'Team Data'!C:AB,10,FALSE),"")</f>
        <v/>
      </c>
      <c r="M1065" t="str">
        <f t="shared" si="34"/>
        <v/>
      </c>
      <c r="N1065" t="str">
        <f>IFERROR(VLOOKUP(D1065,'Team Data'!C:AB,23,FALSE),"")</f>
        <v/>
      </c>
      <c r="O1065" t="str">
        <f>IFERROR(VLOOKUP(D1065,'Team Data'!C:AB,22,FALSE),"")</f>
        <v/>
      </c>
      <c r="P1065" t="str">
        <f t="shared" si="35"/>
        <v/>
      </c>
      <c r="Q1065" t="str">
        <f>IFERROR(VLOOKUP(D1065,'Team Data'!C:AB,15,FALSE),"")</f>
        <v/>
      </c>
      <c r="R1065" t="str">
        <f>IFERROR(VLOOKUP('OB Format'!D1065,'Team Data'!C:AB,24,FALSE),"")</f>
        <v/>
      </c>
      <c r="S1065" t="str">
        <f>IFERROR(VLOOKUP('OB Format'!D1065,'Team Data'!C:AC,25,FALSE),"")</f>
        <v/>
      </c>
    </row>
    <row r="1066" spans="5:19" x14ac:dyDescent="0.25">
      <c r="E1066" t="str">
        <f>IFERROR(VLOOKUP(D1066,'Team Data'!C:AB,4,FALSE),"")</f>
        <v/>
      </c>
      <c r="F1066" t="str">
        <f>IFERROR(VLOOKUP(D1066,'Team Data'!C:AB,5,FALSE),"")</f>
        <v/>
      </c>
      <c r="G1066" t="str">
        <f>IFERROR(VLOOKUP('OB Format'!D1066,'Team Data'!C:AB,17,FALSE),"")</f>
        <v/>
      </c>
      <c r="H1066" t="str">
        <f>IFERROR(VLOOKUP(D1066,'Team Data'!C:AB,7,FALSE),"")</f>
        <v/>
      </c>
      <c r="I1066" t="str">
        <f>IFERROR(VLOOKUP(D1066,'Team Data'!C:AB,14,FALSE),"")</f>
        <v/>
      </c>
      <c r="J1066" t="str">
        <f>IFERROR(VLOOKUP(D1066,'Team Data'!C:AB,8,FALSE),"")</f>
        <v/>
      </c>
      <c r="K1066" t="str">
        <f>IFERROR(VLOOKUP(D1066,'Team Data'!C:AB,9,FALSE),"")</f>
        <v/>
      </c>
      <c r="L1066" t="str">
        <f>IFERROR(VLOOKUP(D1066,'Team Data'!C:AB,10,FALSE),"")</f>
        <v/>
      </c>
      <c r="M1066" t="str">
        <f t="shared" si="34"/>
        <v/>
      </c>
      <c r="N1066" t="str">
        <f>IFERROR(VLOOKUP(D1066,'Team Data'!C:AB,23,FALSE),"")</f>
        <v/>
      </c>
      <c r="O1066" t="str">
        <f>IFERROR(VLOOKUP(D1066,'Team Data'!C:AB,22,FALSE),"")</f>
        <v/>
      </c>
      <c r="P1066" t="str">
        <f t="shared" si="35"/>
        <v/>
      </c>
      <c r="Q1066" t="str">
        <f>IFERROR(VLOOKUP(D1066,'Team Data'!C:AB,15,FALSE),"")</f>
        <v/>
      </c>
      <c r="R1066" t="str">
        <f>IFERROR(VLOOKUP('OB Format'!D1066,'Team Data'!C:AB,24,FALSE),"")</f>
        <v/>
      </c>
      <c r="S1066" t="str">
        <f>IFERROR(VLOOKUP('OB Format'!D1066,'Team Data'!C:AC,25,FALSE),"")</f>
        <v/>
      </c>
    </row>
    <row r="1067" spans="5:19" x14ac:dyDescent="0.25">
      <c r="E1067" t="str">
        <f>IFERROR(VLOOKUP(D1067,'Team Data'!C:AB,4,FALSE),"")</f>
        <v/>
      </c>
      <c r="F1067" t="str">
        <f>IFERROR(VLOOKUP(D1067,'Team Data'!C:AB,5,FALSE),"")</f>
        <v/>
      </c>
      <c r="G1067" t="str">
        <f>IFERROR(VLOOKUP('OB Format'!D1067,'Team Data'!C:AB,17,FALSE),"")</f>
        <v/>
      </c>
      <c r="H1067" t="str">
        <f>IFERROR(VLOOKUP(D1067,'Team Data'!C:AB,7,FALSE),"")</f>
        <v/>
      </c>
      <c r="I1067" t="str">
        <f>IFERROR(VLOOKUP(D1067,'Team Data'!C:AB,14,FALSE),"")</f>
        <v/>
      </c>
      <c r="J1067" t="str">
        <f>IFERROR(VLOOKUP(D1067,'Team Data'!C:AB,8,FALSE),"")</f>
        <v/>
      </c>
      <c r="K1067" t="str">
        <f>IFERROR(VLOOKUP(D1067,'Team Data'!C:AB,9,FALSE),"")</f>
        <v/>
      </c>
      <c r="L1067" t="str">
        <f>IFERROR(VLOOKUP(D1067,'Team Data'!C:AB,10,FALSE),"")</f>
        <v/>
      </c>
      <c r="M1067" t="str">
        <f t="shared" si="34"/>
        <v/>
      </c>
      <c r="N1067" t="str">
        <f>IFERROR(VLOOKUP(D1067,'Team Data'!C:AB,23,FALSE),"")</f>
        <v/>
      </c>
      <c r="O1067" t="str">
        <f>IFERROR(VLOOKUP(D1067,'Team Data'!C:AB,22,FALSE),"")</f>
        <v/>
      </c>
      <c r="P1067" t="str">
        <f t="shared" si="35"/>
        <v/>
      </c>
      <c r="Q1067" t="str">
        <f>IFERROR(VLOOKUP(D1067,'Team Data'!C:AB,15,FALSE),"")</f>
        <v/>
      </c>
      <c r="R1067" t="str">
        <f>IFERROR(VLOOKUP('OB Format'!D1067,'Team Data'!C:AB,24,FALSE),"")</f>
        <v/>
      </c>
      <c r="S1067" t="str">
        <f>IFERROR(VLOOKUP('OB Format'!D1067,'Team Data'!C:AC,25,FALSE),"")</f>
        <v/>
      </c>
    </row>
    <row r="1068" spans="5:19" x14ac:dyDescent="0.25">
      <c r="E1068" t="str">
        <f>IFERROR(VLOOKUP(D1068,'Team Data'!C:AB,4,FALSE),"")</f>
        <v/>
      </c>
      <c r="F1068" t="str">
        <f>IFERROR(VLOOKUP(D1068,'Team Data'!C:AB,5,FALSE),"")</f>
        <v/>
      </c>
      <c r="G1068" t="str">
        <f>IFERROR(VLOOKUP('OB Format'!D1068,'Team Data'!C:AB,17,FALSE),"")</f>
        <v/>
      </c>
      <c r="H1068" t="str">
        <f>IFERROR(VLOOKUP(D1068,'Team Data'!C:AB,7,FALSE),"")</f>
        <v/>
      </c>
      <c r="I1068" t="str">
        <f>IFERROR(VLOOKUP(D1068,'Team Data'!C:AB,14,FALSE),"")</f>
        <v/>
      </c>
      <c r="J1068" t="str">
        <f>IFERROR(VLOOKUP(D1068,'Team Data'!C:AB,8,FALSE),"")</f>
        <v/>
      </c>
      <c r="K1068" t="str">
        <f>IFERROR(VLOOKUP(D1068,'Team Data'!C:AB,9,FALSE),"")</f>
        <v/>
      </c>
      <c r="L1068" t="str">
        <f>IFERROR(VLOOKUP(D1068,'Team Data'!C:AB,10,FALSE),"")</f>
        <v/>
      </c>
      <c r="M1068" t="str">
        <f t="shared" si="34"/>
        <v/>
      </c>
      <c r="N1068" t="str">
        <f>IFERROR(VLOOKUP(D1068,'Team Data'!C:AB,23,FALSE),"")</f>
        <v/>
      </c>
      <c r="O1068" t="str">
        <f>IFERROR(VLOOKUP(D1068,'Team Data'!C:AB,22,FALSE),"")</f>
        <v/>
      </c>
      <c r="P1068" t="str">
        <f t="shared" si="35"/>
        <v/>
      </c>
      <c r="Q1068" t="str">
        <f>IFERROR(VLOOKUP(D1068,'Team Data'!C:AB,15,FALSE),"")</f>
        <v/>
      </c>
      <c r="R1068" t="str">
        <f>IFERROR(VLOOKUP('OB Format'!D1068,'Team Data'!C:AB,24,FALSE),"")</f>
        <v/>
      </c>
      <c r="S1068" t="str">
        <f>IFERROR(VLOOKUP('OB Format'!D1068,'Team Data'!C:AC,25,FALSE),"")</f>
        <v/>
      </c>
    </row>
    <row r="1069" spans="5:19" x14ac:dyDescent="0.25">
      <c r="E1069" t="str">
        <f>IFERROR(VLOOKUP(D1069,'Team Data'!C:AB,4,FALSE),"")</f>
        <v/>
      </c>
      <c r="F1069" t="str">
        <f>IFERROR(VLOOKUP(D1069,'Team Data'!C:AB,5,FALSE),"")</f>
        <v/>
      </c>
      <c r="G1069" t="str">
        <f>IFERROR(VLOOKUP('OB Format'!D1069,'Team Data'!C:AB,17,FALSE),"")</f>
        <v/>
      </c>
      <c r="H1069" t="str">
        <f>IFERROR(VLOOKUP(D1069,'Team Data'!C:AB,7,FALSE),"")</f>
        <v/>
      </c>
      <c r="I1069" t="str">
        <f>IFERROR(VLOOKUP(D1069,'Team Data'!C:AB,14,FALSE),"")</f>
        <v/>
      </c>
      <c r="J1069" t="str">
        <f>IFERROR(VLOOKUP(D1069,'Team Data'!C:AB,8,FALSE),"")</f>
        <v/>
      </c>
      <c r="K1069" t="str">
        <f>IFERROR(VLOOKUP(D1069,'Team Data'!C:AB,9,FALSE),"")</f>
        <v/>
      </c>
      <c r="L1069" t="str">
        <f>IFERROR(VLOOKUP(D1069,'Team Data'!C:AB,10,FALSE),"")</f>
        <v/>
      </c>
      <c r="M1069" t="str">
        <f t="shared" si="34"/>
        <v/>
      </c>
      <c r="N1069" t="str">
        <f>IFERROR(VLOOKUP(D1069,'Team Data'!C:AB,23,FALSE),"")</f>
        <v/>
      </c>
      <c r="O1069" t="str">
        <f>IFERROR(VLOOKUP(D1069,'Team Data'!C:AB,22,FALSE),"")</f>
        <v/>
      </c>
      <c r="P1069" t="str">
        <f t="shared" si="35"/>
        <v/>
      </c>
      <c r="Q1069" t="str">
        <f>IFERROR(VLOOKUP(D1069,'Team Data'!C:AB,15,FALSE),"")</f>
        <v/>
      </c>
      <c r="R1069" t="str">
        <f>IFERROR(VLOOKUP('OB Format'!D1069,'Team Data'!C:AB,24,FALSE),"")</f>
        <v/>
      </c>
      <c r="S1069" t="str">
        <f>IFERROR(VLOOKUP('OB Format'!D1069,'Team Data'!C:AC,25,FALSE),"")</f>
        <v/>
      </c>
    </row>
    <row r="1070" spans="5:19" x14ac:dyDescent="0.25">
      <c r="E1070" t="str">
        <f>IFERROR(VLOOKUP(D1070,'Team Data'!C:AB,4,FALSE),"")</f>
        <v/>
      </c>
      <c r="F1070" t="str">
        <f>IFERROR(VLOOKUP(D1070,'Team Data'!C:AB,5,FALSE),"")</f>
        <v/>
      </c>
      <c r="G1070" t="str">
        <f>IFERROR(VLOOKUP('OB Format'!D1070,'Team Data'!C:AB,17,FALSE),"")</f>
        <v/>
      </c>
      <c r="H1070" t="str">
        <f>IFERROR(VLOOKUP(D1070,'Team Data'!C:AB,7,FALSE),"")</f>
        <v/>
      </c>
      <c r="I1070" t="str">
        <f>IFERROR(VLOOKUP(D1070,'Team Data'!C:AB,14,FALSE),"")</f>
        <v/>
      </c>
      <c r="J1070" t="str">
        <f>IFERROR(VLOOKUP(D1070,'Team Data'!C:AB,8,FALSE),"")</f>
        <v/>
      </c>
      <c r="K1070" t="str">
        <f>IFERROR(VLOOKUP(D1070,'Team Data'!C:AB,9,FALSE),"")</f>
        <v/>
      </c>
      <c r="L1070" t="str">
        <f>IFERROR(VLOOKUP(D1070,'Team Data'!C:AB,10,FALSE),"")</f>
        <v/>
      </c>
      <c r="M1070" t="str">
        <f t="shared" si="34"/>
        <v/>
      </c>
      <c r="N1070" t="str">
        <f>IFERROR(VLOOKUP(D1070,'Team Data'!C:AB,23,FALSE),"")</f>
        <v/>
      </c>
      <c r="O1070" t="str">
        <f>IFERROR(VLOOKUP(D1070,'Team Data'!C:AB,22,FALSE),"")</f>
        <v/>
      </c>
      <c r="P1070" t="str">
        <f t="shared" si="35"/>
        <v/>
      </c>
      <c r="Q1070" t="str">
        <f>IFERROR(VLOOKUP(D1070,'Team Data'!C:AB,15,FALSE),"")</f>
        <v/>
      </c>
      <c r="R1070" t="str">
        <f>IFERROR(VLOOKUP('OB Format'!D1070,'Team Data'!C:AB,24,FALSE),"")</f>
        <v/>
      </c>
      <c r="S1070" t="str">
        <f>IFERROR(VLOOKUP('OB Format'!D1070,'Team Data'!C:AC,25,FALSE),"")</f>
        <v/>
      </c>
    </row>
    <row r="1071" spans="5:19" x14ac:dyDescent="0.25">
      <c r="E1071" t="str">
        <f>IFERROR(VLOOKUP(D1071,'Team Data'!C:AB,4,FALSE),"")</f>
        <v/>
      </c>
      <c r="F1071" t="str">
        <f>IFERROR(VLOOKUP(D1071,'Team Data'!C:AB,5,FALSE),"")</f>
        <v/>
      </c>
      <c r="G1071" t="str">
        <f>IFERROR(VLOOKUP('OB Format'!D1071,'Team Data'!C:AB,17,FALSE),"")</f>
        <v/>
      </c>
      <c r="H1071" t="str">
        <f>IFERROR(VLOOKUP(D1071,'Team Data'!C:AB,7,FALSE),"")</f>
        <v/>
      </c>
      <c r="I1071" t="str">
        <f>IFERROR(VLOOKUP(D1071,'Team Data'!C:AB,14,FALSE),"")</f>
        <v/>
      </c>
      <c r="J1071" t="str">
        <f>IFERROR(VLOOKUP(D1071,'Team Data'!C:AB,8,FALSE),"")</f>
        <v/>
      </c>
      <c r="K1071" t="str">
        <f>IFERROR(VLOOKUP(D1071,'Team Data'!C:AB,9,FALSE),"")</f>
        <v/>
      </c>
      <c r="L1071" t="str">
        <f>IFERROR(VLOOKUP(D1071,'Team Data'!C:AB,10,FALSE),"")</f>
        <v/>
      </c>
      <c r="M1071" t="str">
        <f t="shared" si="34"/>
        <v/>
      </c>
      <c r="N1071" t="str">
        <f>IFERROR(VLOOKUP(D1071,'Team Data'!C:AB,23,FALSE),"")</f>
        <v/>
      </c>
      <c r="O1071" t="str">
        <f>IFERROR(VLOOKUP(D1071,'Team Data'!C:AB,22,FALSE),"")</f>
        <v/>
      </c>
      <c r="P1071" t="str">
        <f t="shared" si="35"/>
        <v/>
      </c>
      <c r="Q1071" t="str">
        <f>IFERROR(VLOOKUP(D1071,'Team Data'!C:AB,15,FALSE),"")</f>
        <v/>
      </c>
      <c r="R1071" t="str">
        <f>IFERROR(VLOOKUP('OB Format'!D1071,'Team Data'!C:AB,24,FALSE),"")</f>
        <v/>
      </c>
      <c r="S1071" t="str">
        <f>IFERROR(VLOOKUP('OB Format'!D1071,'Team Data'!C:AC,25,FALSE),"")</f>
        <v/>
      </c>
    </row>
    <row r="1072" spans="5:19" x14ac:dyDescent="0.25">
      <c r="E1072" t="str">
        <f>IFERROR(VLOOKUP(D1072,'Team Data'!C:AB,4,FALSE),"")</f>
        <v/>
      </c>
      <c r="F1072" t="str">
        <f>IFERROR(VLOOKUP(D1072,'Team Data'!C:AB,5,FALSE),"")</f>
        <v/>
      </c>
      <c r="G1072" t="str">
        <f>IFERROR(VLOOKUP('OB Format'!D1072,'Team Data'!C:AB,17,FALSE),"")</f>
        <v/>
      </c>
      <c r="H1072" t="str">
        <f>IFERROR(VLOOKUP(D1072,'Team Data'!C:AB,7,FALSE),"")</f>
        <v/>
      </c>
      <c r="I1072" t="str">
        <f>IFERROR(VLOOKUP(D1072,'Team Data'!C:AB,14,FALSE),"")</f>
        <v/>
      </c>
      <c r="J1072" t="str">
        <f>IFERROR(VLOOKUP(D1072,'Team Data'!C:AB,8,FALSE),"")</f>
        <v/>
      </c>
      <c r="K1072" t="str">
        <f>IFERROR(VLOOKUP(D1072,'Team Data'!C:AB,9,FALSE),"")</f>
        <v/>
      </c>
      <c r="L1072" t="str">
        <f>IFERROR(VLOOKUP(D1072,'Team Data'!C:AB,10,FALSE),"")</f>
        <v/>
      </c>
      <c r="M1072" t="str">
        <f t="shared" si="34"/>
        <v/>
      </c>
      <c r="N1072" t="str">
        <f>IFERROR(VLOOKUP(D1072,'Team Data'!C:AB,23,FALSE),"")</f>
        <v/>
      </c>
      <c r="O1072" t="str">
        <f>IFERROR(VLOOKUP(D1072,'Team Data'!C:AB,22,FALSE),"")</f>
        <v/>
      </c>
      <c r="P1072" t="str">
        <f t="shared" si="35"/>
        <v/>
      </c>
      <c r="Q1072" t="str">
        <f>IFERROR(VLOOKUP(D1072,'Team Data'!C:AB,15,FALSE),"")</f>
        <v/>
      </c>
      <c r="R1072" t="str">
        <f>IFERROR(VLOOKUP('OB Format'!D1072,'Team Data'!C:AB,24,FALSE),"")</f>
        <v/>
      </c>
      <c r="S1072" t="str">
        <f>IFERROR(VLOOKUP('OB Format'!D1072,'Team Data'!C:AC,25,FALSE),"")</f>
        <v/>
      </c>
    </row>
    <row r="1073" spans="5:19" x14ac:dyDescent="0.25">
      <c r="E1073" t="str">
        <f>IFERROR(VLOOKUP(D1073,'Team Data'!C:AB,4,FALSE),"")</f>
        <v/>
      </c>
      <c r="F1073" t="str">
        <f>IFERROR(VLOOKUP(D1073,'Team Data'!C:AB,5,FALSE),"")</f>
        <v/>
      </c>
      <c r="G1073" t="str">
        <f>IFERROR(VLOOKUP('OB Format'!D1073,'Team Data'!C:AB,17,FALSE),"")</f>
        <v/>
      </c>
      <c r="H1073" t="str">
        <f>IFERROR(VLOOKUP(D1073,'Team Data'!C:AB,7,FALSE),"")</f>
        <v/>
      </c>
      <c r="I1073" t="str">
        <f>IFERROR(VLOOKUP(D1073,'Team Data'!C:AB,14,FALSE),"")</f>
        <v/>
      </c>
      <c r="J1073" t="str">
        <f>IFERROR(VLOOKUP(D1073,'Team Data'!C:AB,8,FALSE),"")</f>
        <v/>
      </c>
      <c r="K1073" t="str">
        <f>IFERROR(VLOOKUP(D1073,'Team Data'!C:AB,9,FALSE),"")</f>
        <v/>
      </c>
      <c r="L1073" t="str">
        <f>IFERROR(VLOOKUP(D1073,'Team Data'!C:AB,10,FALSE),"")</f>
        <v/>
      </c>
      <c r="M1073" t="str">
        <f t="shared" si="34"/>
        <v/>
      </c>
      <c r="N1073" t="str">
        <f>IFERROR(VLOOKUP(D1073,'Team Data'!C:AB,23,FALSE),"")</f>
        <v/>
      </c>
      <c r="O1073" t="str">
        <f>IFERROR(VLOOKUP(D1073,'Team Data'!C:AB,22,FALSE),"")</f>
        <v/>
      </c>
      <c r="P1073" t="str">
        <f t="shared" si="35"/>
        <v/>
      </c>
      <c r="Q1073" t="str">
        <f>IFERROR(VLOOKUP(D1073,'Team Data'!C:AB,15,FALSE),"")</f>
        <v/>
      </c>
      <c r="R1073" t="str">
        <f>IFERROR(VLOOKUP('OB Format'!D1073,'Team Data'!C:AB,24,FALSE),"")</f>
        <v/>
      </c>
      <c r="S1073" t="str">
        <f>IFERROR(VLOOKUP('OB Format'!D1073,'Team Data'!C:AC,25,FALSE),"")</f>
        <v/>
      </c>
    </row>
    <row r="1074" spans="5:19" x14ac:dyDescent="0.25">
      <c r="E1074" t="str">
        <f>IFERROR(VLOOKUP(D1074,'Team Data'!C:AB,4,FALSE),"")</f>
        <v/>
      </c>
      <c r="F1074" t="str">
        <f>IFERROR(VLOOKUP(D1074,'Team Data'!C:AB,5,FALSE),"")</f>
        <v/>
      </c>
      <c r="G1074" t="str">
        <f>IFERROR(VLOOKUP('OB Format'!D1074,'Team Data'!C:AB,17,FALSE),"")</f>
        <v/>
      </c>
      <c r="H1074" t="str">
        <f>IFERROR(VLOOKUP(D1074,'Team Data'!C:AB,7,FALSE),"")</f>
        <v/>
      </c>
      <c r="I1074" t="str">
        <f>IFERROR(VLOOKUP(D1074,'Team Data'!C:AB,14,FALSE),"")</f>
        <v/>
      </c>
      <c r="J1074" t="str">
        <f>IFERROR(VLOOKUP(D1074,'Team Data'!C:AB,8,FALSE),"")</f>
        <v/>
      </c>
      <c r="K1074" t="str">
        <f>IFERROR(VLOOKUP(D1074,'Team Data'!C:AB,9,FALSE),"")</f>
        <v/>
      </c>
      <c r="L1074" t="str">
        <f>IFERROR(VLOOKUP(D1074,'Team Data'!C:AB,10,FALSE),"")</f>
        <v/>
      </c>
      <c r="M1074" t="str">
        <f t="shared" si="34"/>
        <v/>
      </c>
      <c r="N1074" t="str">
        <f>IFERROR(VLOOKUP(D1074,'Team Data'!C:AB,23,FALSE),"")</f>
        <v/>
      </c>
      <c r="O1074" t="str">
        <f>IFERROR(VLOOKUP(D1074,'Team Data'!C:AB,22,FALSE),"")</f>
        <v/>
      </c>
      <c r="P1074" t="str">
        <f t="shared" si="35"/>
        <v/>
      </c>
      <c r="Q1074" t="str">
        <f>IFERROR(VLOOKUP(D1074,'Team Data'!C:AB,15,FALSE),"")</f>
        <v/>
      </c>
      <c r="R1074" t="str">
        <f>IFERROR(VLOOKUP('OB Format'!D1074,'Team Data'!C:AB,24,FALSE),"")</f>
        <v/>
      </c>
      <c r="S1074" t="str">
        <f>IFERROR(VLOOKUP('OB Format'!D1074,'Team Data'!C:AC,25,FALSE),"")</f>
        <v/>
      </c>
    </row>
    <row r="1075" spans="5:19" x14ac:dyDescent="0.25">
      <c r="E1075" t="str">
        <f>IFERROR(VLOOKUP(D1075,'Team Data'!C:AB,4,FALSE),"")</f>
        <v/>
      </c>
      <c r="F1075" t="str">
        <f>IFERROR(VLOOKUP(D1075,'Team Data'!C:AB,5,FALSE),"")</f>
        <v/>
      </c>
      <c r="G1075" t="str">
        <f>IFERROR(VLOOKUP('OB Format'!D1075,'Team Data'!C:AB,17,FALSE),"")</f>
        <v/>
      </c>
      <c r="H1075" t="str">
        <f>IFERROR(VLOOKUP(D1075,'Team Data'!C:AB,7,FALSE),"")</f>
        <v/>
      </c>
      <c r="I1075" t="str">
        <f>IFERROR(VLOOKUP(D1075,'Team Data'!C:AB,14,FALSE),"")</f>
        <v/>
      </c>
      <c r="J1075" t="str">
        <f>IFERROR(VLOOKUP(D1075,'Team Data'!C:AB,8,FALSE),"")</f>
        <v/>
      </c>
      <c r="K1075" t="str">
        <f>IFERROR(VLOOKUP(D1075,'Team Data'!C:AB,9,FALSE),"")</f>
        <v/>
      </c>
      <c r="L1075" t="str">
        <f>IFERROR(VLOOKUP(D1075,'Team Data'!C:AB,10,FALSE),"")</f>
        <v/>
      </c>
      <c r="M1075" t="str">
        <f t="shared" si="34"/>
        <v/>
      </c>
      <c r="N1075" t="str">
        <f>IFERROR(VLOOKUP(D1075,'Team Data'!C:AB,23,FALSE),"")</f>
        <v/>
      </c>
      <c r="O1075" t="str">
        <f>IFERROR(VLOOKUP(D1075,'Team Data'!C:AB,22,FALSE),"")</f>
        <v/>
      </c>
      <c r="P1075" t="str">
        <f t="shared" si="35"/>
        <v/>
      </c>
      <c r="Q1075" t="str">
        <f>IFERROR(VLOOKUP(D1075,'Team Data'!C:AB,15,FALSE),"")</f>
        <v/>
      </c>
      <c r="R1075" t="str">
        <f>IFERROR(VLOOKUP('OB Format'!D1075,'Team Data'!C:AB,24,FALSE),"")</f>
        <v/>
      </c>
      <c r="S1075" t="str">
        <f>IFERROR(VLOOKUP('OB Format'!D1075,'Team Data'!C:AC,25,FALSE),"")</f>
        <v/>
      </c>
    </row>
    <row r="1076" spans="5:19" x14ac:dyDescent="0.25">
      <c r="E1076" t="str">
        <f>IFERROR(VLOOKUP(D1076,'Team Data'!C:AB,4,FALSE),"")</f>
        <v/>
      </c>
      <c r="F1076" t="str">
        <f>IFERROR(VLOOKUP(D1076,'Team Data'!C:AB,5,FALSE),"")</f>
        <v/>
      </c>
      <c r="G1076" t="str">
        <f>IFERROR(VLOOKUP('OB Format'!D1076,'Team Data'!C:AB,17,FALSE),"")</f>
        <v/>
      </c>
      <c r="H1076" t="str">
        <f>IFERROR(VLOOKUP(D1076,'Team Data'!C:AB,7,FALSE),"")</f>
        <v/>
      </c>
      <c r="I1076" t="str">
        <f>IFERROR(VLOOKUP(D1076,'Team Data'!C:AB,14,FALSE),"")</f>
        <v/>
      </c>
      <c r="J1076" t="str">
        <f>IFERROR(VLOOKUP(D1076,'Team Data'!C:AB,8,FALSE),"")</f>
        <v/>
      </c>
      <c r="K1076" t="str">
        <f>IFERROR(VLOOKUP(D1076,'Team Data'!C:AB,9,FALSE),"")</f>
        <v/>
      </c>
      <c r="L1076" t="str">
        <f>IFERROR(VLOOKUP(D1076,'Team Data'!C:AB,10,FALSE),"")</f>
        <v/>
      </c>
      <c r="M1076" t="str">
        <f t="shared" si="34"/>
        <v/>
      </c>
      <c r="N1076" t="str">
        <f>IFERROR(VLOOKUP(D1076,'Team Data'!C:AB,23,FALSE),"")</f>
        <v/>
      </c>
      <c r="O1076" t="str">
        <f>IFERROR(VLOOKUP(D1076,'Team Data'!C:AB,22,FALSE),"")</f>
        <v/>
      </c>
      <c r="P1076" t="str">
        <f t="shared" si="35"/>
        <v/>
      </c>
      <c r="Q1076" t="str">
        <f>IFERROR(VLOOKUP(D1076,'Team Data'!C:AB,15,FALSE),"")</f>
        <v/>
      </c>
      <c r="R1076" t="str">
        <f>IFERROR(VLOOKUP('OB Format'!D1076,'Team Data'!C:AB,24,FALSE),"")</f>
        <v/>
      </c>
      <c r="S1076" t="str">
        <f>IFERROR(VLOOKUP('OB Format'!D1076,'Team Data'!C:AC,25,FALSE),"")</f>
        <v/>
      </c>
    </row>
    <row r="1077" spans="5:19" x14ac:dyDescent="0.25">
      <c r="E1077" t="str">
        <f>IFERROR(VLOOKUP(D1077,'Team Data'!C:AB,4,FALSE),"")</f>
        <v/>
      </c>
      <c r="F1077" t="str">
        <f>IFERROR(VLOOKUP(D1077,'Team Data'!C:AB,5,FALSE),"")</f>
        <v/>
      </c>
      <c r="G1077" t="str">
        <f>IFERROR(VLOOKUP('OB Format'!D1077,'Team Data'!C:AB,17,FALSE),"")</f>
        <v/>
      </c>
      <c r="H1077" t="str">
        <f>IFERROR(VLOOKUP(D1077,'Team Data'!C:AB,7,FALSE),"")</f>
        <v/>
      </c>
      <c r="I1077" t="str">
        <f>IFERROR(VLOOKUP(D1077,'Team Data'!C:AB,14,FALSE),"")</f>
        <v/>
      </c>
      <c r="J1077" t="str">
        <f>IFERROR(VLOOKUP(D1077,'Team Data'!C:AB,8,FALSE),"")</f>
        <v/>
      </c>
      <c r="K1077" t="str">
        <f>IFERROR(VLOOKUP(D1077,'Team Data'!C:AB,9,FALSE),"")</f>
        <v/>
      </c>
      <c r="L1077" t="str">
        <f>IFERROR(VLOOKUP(D1077,'Team Data'!C:AB,10,FALSE),"")</f>
        <v/>
      </c>
      <c r="M1077" t="str">
        <f t="shared" si="34"/>
        <v/>
      </c>
      <c r="N1077" t="str">
        <f>IFERROR(VLOOKUP(D1077,'Team Data'!C:AB,23,FALSE),"")</f>
        <v/>
      </c>
      <c r="O1077" t="str">
        <f>IFERROR(VLOOKUP(D1077,'Team Data'!C:AB,22,FALSE),"")</f>
        <v/>
      </c>
      <c r="P1077" t="str">
        <f t="shared" si="35"/>
        <v/>
      </c>
      <c r="Q1077" t="str">
        <f>IFERROR(VLOOKUP(D1077,'Team Data'!C:AB,15,FALSE),"")</f>
        <v/>
      </c>
      <c r="R1077" t="str">
        <f>IFERROR(VLOOKUP('OB Format'!D1077,'Team Data'!C:AB,24,FALSE),"")</f>
        <v/>
      </c>
      <c r="S1077" t="str">
        <f>IFERROR(VLOOKUP('OB Format'!D1077,'Team Data'!C:AC,25,FALSE),"")</f>
        <v/>
      </c>
    </row>
    <row r="1078" spans="5:19" x14ac:dyDescent="0.25">
      <c r="E1078" t="str">
        <f>IFERROR(VLOOKUP(D1078,'Team Data'!C:AB,4,FALSE),"")</f>
        <v/>
      </c>
      <c r="F1078" t="str">
        <f>IFERROR(VLOOKUP(D1078,'Team Data'!C:AB,5,FALSE),"")</f>
        <v/>
      </c>
      <c r="G1078" t="str">
        <f>IFERROR(VLOOKUP('OB Format'!D1078,'Team Data'!C:AB,17,FALSE),"")</f>
        <v/>
      </c>
      <c r="H1078" t="str">
        <f>IFERROR(VLOOKUP(D1078,'Team Data'!C:AB,7,FALSE),"")</f>
        <v/>
      </c>
      <c r="I1078" t="str">
        <f>IFERROR(VLOOKUP(D1078,'Team Data'!C:AB,14,FALSE),"")</f>
        <v/>
      </c>
      <c r="J1078" t="str">
        <f>IFERROR(VLOOKUP(D1078,'Team Data'!C:AB,8,FALSE),"")</f>
        <v/>
      </c>
      <c r="K1078" t="str">
        <f>IFERROR(VLOOKUP(D1078,'Team Data'!C:AB,9,FALSE),"")</f>
        <v/>
      </c>
      <c r="L1078" t="str">
        <f>IFERROR(VLOOKUP(D1078,'Team Data'!C:AB,10,FALSE),"")</f>
        <v/>
      </c>
      <c r="M1078" t="str">
        <f t="shared" si="34"/>
        <v/>
      </c>
      <c r="N1078" t="str">
        <f>IFERROR(VLOOKUP(D1078,'Team Data'!C:AB,23,FALSE),"")</f>
        <v/>
      </c>
      <c r="O1078" t="str">
        <f>IFERROR(VLOOKUP(D1078,'Team Data'!C:AB,22,FALSE),"")</f>
        <v/>
      </c>
      <c r="P1078" t="str">
        <f t="shared" si="35"/>
        <v/>
      </c>
      <c r="Q1078" t="str">
        <f>IFERROR(VLOOKUP(D1078,'Team Data'!C:AB,15,FALSE),"")</f>
        <v/>
      </c>
      <c r="R1078" t="str">
        <f>IFERROR(VLOOKUP('OB Format'!D1078,'Team Data'!C:AB,24,FALSE),"")</f>
        <v/>
      </c>
      <c r="S1078" t="str">
        <f>IFERROR(VLOOKUP('OB Format'!D1078,'Team Data'!C:AC,25,FALSE),"")</f>
        <v/>
      </c>
    </row>
    <row r="1079" spans="5:19" x14ac:dyDescent="0.25">
      <c r="E1079" t="str">
        <f>IFERROR(VLOOKUP(D1079,'Team Data'!C:AB,4,FALSE),"")</f>
        <v/>
      </c>
      <c r="F1079" t="str">
        <f>IFERROR(VLOOKUP(D1079,'Team Data'!C:AB,5,FALSE),"")</f>
        <v/>
      </c>
      <c r="G1079" t="str">
        <f>IFERROR(VLOOKUP('OB Format'!D1079,'Team Data'!C:AB,17,FALSE),"")</f>
        <v/>
      </c>
      <c r="H1079" t="str">
        <f>IFERROR(VLOOKUP(D1079,'Team Data'!C:AB,7,FALSE),"")</f>
        <v/>
      </c>
      <c r="I1079" t="str">
        <f>IFERROR(VLOOKUP(D1079,'Team Data'!C:AB,14,FALSE),"")</f>
        <v/>
      </c>
      <c r="J1079" t="str">
        <f>IFERROR(VLOOKUP(D1079,'Team Data'!C:AB,8,FALSE),"")</f>
        <v/>
      </c>
      <c r="K1079" t="str">
        <f>IFERROR(VLOOKUP(D1079,'Team Data'!C:AB,9,FALSE),"")</f>
        <v/>
      </c>
      <c r="L1079" t="str">
        <f>IFERROR(VLOOKUP(D1079,'Team Data'!C:AB,10,FALSE),"")</f>
        <v/>
      </c>
      <c r="M1079" t="str">
        <f t="shared" si="34"/>
        <v/>
      </c>
      <c r="N1079" t="str">
        <f>IFERROR(VLOOKUP(D1079,'Team Data'!C:AB,23,FALSE),"")</f>
        <v/>
      </c>
      <c r="O1079" t="str">
        <f>IFERROR(VLOOKUP(D1079,'Team Data'!C:AB,22,FALSE),"")</f>
        <v/>
      </c>
      <c r="P1079" t="str">
        <f t="shared" si="35"/>
        <v/>
      </c>
      <c r="Q1079" t="str">
        <f>IFERROR(VLOOKUP(D1079,'Team Data'!C:AB,15,FALSE),"")</f>
        <v/>
      </c>
      <c r="R1079" t="str">
        <f>IFERROR(VLOOKUP('OB Format'!D1079,'Team Data'!C:AB,24,FALSE),"")</f>
        <v/>
      </c>
      <c r="S1079" t="str">
        <f>IFERROR(VLOOKUP('OB Format'!D1079,'Team Data'!C:AC,25,FALSE),"")</f>
        <v/>
      </c>
    </row>
    <row r="1080" spans="5:19" x14ac:dyDescent="0.25">
      <c r="E1080" t="str">
        <f>IFERROR(VLOOKUP(D1080,'Team Data'!C:AB,4,FALSE),"")</f>
        <v/>
      </c>
      <c r="F1080" t="str">
        <f>IFERROR(VLOOKUP(D1080,'Team Data'!C:AB,5,FALSE),"")</f>
        <v/>
      </c>
      <c r="G1080" t="str">
        <f>IFERROR(VLOOKUP('OB Format'!D1080,'Team Data'!C:AB,17,FALSE),"")</f>
        <v/>
      </c>
      <c r="H1080" t="str">
        <f>IFERROR(VLOOKUP(D1080,'Team Data'!C:AB,7,FALSE),"")</f>
        <v/>
      </c>
      <c r="I1080" t="str">
        <f>IFERROR(VLOOKUP(D1080,'Team Data'!C:AB,14,FALSE),"")</f>
        <v/>
      </c>
      <c r="J1080" t="str">
        <f>IFERROR(VLOOKUP(D1080,'Team Data'!C:AB,8,FALSE),"")</f>
        <v/>
      </c>
      <c r="K1080" t="str">
        <f>IFERROR(VLOOKUP(D1080,'Team Data'!C:AB,9,FALSE),"")</f>
        <v/>
      </c>
      <c r="L1080" t="str">
        <f>IFERROR(VLOOKUP(D1080,'Team Data'!C:AB,10,FALSE),"")</f>
        <v/>
      </c>
      <c r="M1080" t="str">
        <f t="shared" si="34"/>
        <v/>
      </c>
      <c r="N1080" t="str">
        <f>IFERROR(VLOOKUP(D1080,'Team Data'!C:AB,23,FALSE),"")</f>
        <v/>
      </c>
      <c r="O1080" t="str">
        <f>IFERROR(VLOOKUP(D1080,'Team Data'!C:AB,22,FALSE),"")</f>
        <v/>
      </c>
      <c r="P1080" t="str">
        <f t="shared" si="35"/>
        <v/>
      </c>
      <c r="Q1080" t="str">
        <f>IFERROR(VLOOKUP(D1080,'Team Data'!C:AB,15,FALSE),"")</f>
        <v/>
      </c>
      <c r="R1080" t="str">
        <f>IFERROR(VLOOKUP('OB Format'!D1080,'Team Data'!C:AB,24,FALSE),"")</f>
        <v/>
      </c>
      <c r="S1080" t="str">
        <f>IFERROR(VLOOKUP('OB Format'!D1080,'Team Data'!C:AC,25,FALSE),"")</f>
        <v/>
      </c>
    </row>
    <row r="1081" spans="5:19" x14ac:dyDescent="0.25">
      <c r="E1081" t="str">
        <f>IFERROR(VLOOKUP(D1081,'Team Data'!C:AB,4,FALSE),"")</f>
        <v/>
      </c>
      <c r="F1081" t="str">
        <f>IFERROR(VLOOKUP(D1081,'Team Data'!C:AB,5,FALSE),"")</f>
        <v/>
      </c>
      <c r="G1081" t="str">
        <f>IFERROR(VLOOKUP('OB Format'!D1081,'Team Data'!C:AB,17,FALSE),"")</f>
        <v/>
      </c>
      <c r="H1081" t="str">
        <f>IFERROR(VLOOKUP(D1081,'Team Data'!C:AB,7,FALSE),"")</f>
        <v/>
      </c>
      <c r="I1081" t="str">
        <f>IFERROR(VLOOKUP(D1081,'Team Data'!C:AB,14,FALSE),"")</f>
        <v/>
      </c>
      <c r="J1081" t="str">
        <f>IFERROR(VLOOKUP(D1081,'Team Data'!C:AB,8,FALSE),"")</f>
        <v/>
      </c>
      <c r="K1081" t="str">
        <f>IFERROR(VLOOKUP(D1081,'Team Data'!C:AB,9,FALSE),"")</f>
        <v/>
      </c>
      <c r="L1081" t="str">
        <f>IFERROR(VLOOKUP(D1081,'Team Data'!C:AB,10,FALSE),"")</f>
        <v/>
      </c>
      <c r="M1081" t="str">
        <f t="shared" si="34"/>
        <v/>
      </c>
      <c r="N1081" t="str">
        <f>IFERROR(VLOOKUP(D1081,'Team Data'!C:AB,23,FALSE),"")</f>
        <v/>
      </c>
      <c r="O1081" t="str">
        <f>IFERROR(VLOOKUP(D1081,'Team Data'!C:AB,22,FALSE),"")</f>
        <v/>
      </c>
      <c r="P1081" t="str">
        <f t="shared" si="35"/>
        <v/>
      </c>
      <c r="Q1081" t="str">
        <f>IFERROR(VLOOKUP(D1081,'Team Data'!C:AB,15,FALSE),"")</f>
        <v/>
      </c>
      <c r="R1081" t="str">
        <f>IFERROR(VLOOKUP('OB Format'!D1081,'Team Data'!C:AB,24,FALSE),"")</f>
        <v/>
      </c>
      <c r="S1081" t="str">
        <f>IFERROR(VLOOKUP('OB Format'!D1081,'Team Data'!C:AC,25,FALSE),"")</f>
        <v/>
      </c>
    </row>
    <row r="1082" spans="5:19" x14ac:dyDescent="0.25">
      <c r="E1082" t="str">
        <f>IFERROR(VLOOKUP(D1082,'Team Data'!C:AB,4,FALSE),"")</f>
        <v/>
      </c>
      <c r="F1082" t="str">
        <f>IFERROR(VLOOKUP(D1082,'Team Data'!C:AB,5,FALSE),"")</f>
        <v/>
      </c>
      <c r="G1082" t="str">
        <f>IFERROR(VLOOKUP('OB Format'!D1082,'Team Data'!C:AB,17,FALSE),"")</f>
        <v/>
      </c>
      <c r="H1082" t="str">
        <f>IFERROR(VLOOKUP(D1082,'Team Data'!C:AB,7,FALSE),"")</f>
        <v/>
      </c>
      <c r="I1082" t="str">
        <f>IFERROR(VLOOKUP(D1082,'Team Data'!C:AB,14,FALSE),"")</f>
        <v/>
      </c>
      <c r="J1082" t="str">
        <f>IFERROR(VLOOKUP(D1082,'Team Data'!C:AB,8,FALSE),"")</f>
        <v/>
      </c>
      <c r="K1082" t="str">
        <f>IFERROR(VLOOKUP(D1082,'Team Data'!C:AB,9,FALSE),"")</f>
        <v/>
      </c>
      <c r="L1082" t="str">
        <f>IFERROR(VLOOKUP(D1082,'Team Data'!C:AB,10,FALSE),"")</f>
        <v/>
      </c>
      <c r="M1082" t="str">
        <f t="shared" si="34"/>
        <v/>
      </c>
      <c r="N1082" t="str">
        <f>IFERROR(VLOOKUP(D1082,'Team Data'!C:AB,23,FALSE),"")</f>
        <v/>
      </c>
      <c r="O1082" t="str">
        <f>IFERROR(VLOOKUP(D1082,'Team Data'!C:AB,22,FALSE),"")</f>
        <v/>
      </c>
      <c r="P1082" t="str">
        <f t="shared" si="35"/>
        <v/>
      </c>
      <c r="Q1082" t="str">
        <f>IFERROR(VLOOKUP(D1082,'Team Data'!C:AB,15,FALSE),"")</f>
        <v/>
      </c>
      <c r="R1082" t="str">
        <f>IFERROR(VLOOKUP('OB Format'!D1082,'Team Data'!C:AB,24,FALSE),"")</f>
        <v/>
      </c>
      <c r="S1082" t="str">
        <f>IFERROR(VLOOKUP('OB Format'!D1082,'Team Data'!C:AC,25,FALSE),"")</f>
        <v/>
      </c>
    </row>
    <row r="1083" spans="5:19" x14ac:dyDescent="0.25">
      <c r="E1083" t="str">
        <f>IFERROR(VLOOKUP(D1083,'Team Data'!C:AB,4,FALSE),"")</f>
        <v/>
      </c>
      <c r="F1083" t="str">
        <f>IFERROR(VLOOKUP(D1083,'Team Data'!C:AB,5,FALSE),"")</f>
        <v/>
      </c>
      <c r="G1083" t="str">
        <f>IFERROR(VLOOKUP('OB Format'!D1083,'Team Data'!C:AB,17,FALSE),"")</f>
        <v/>
      </c>
      <c r="H1083" t="str">
        <f>IFERROR(VLOOKUP(D1083,'Team Data'!C:AB,7,FALSE),"")</f>
        <v/>
      </c>
      <c r="I1083" t="str">
        <f>IFERROR(VLOOKUP(D1083,'Team Data'!C:AB,14,FALSE),"")</f>
        <v/>
      </c>
      <c r="J1083" t="str">
        <f>IFERROR(VLOOKUP(D1083,'Team Data'!C:AB,8,FALSE),"")</f>
        <v/>
      </c>
      <c r="K1083" t="str">
        <f>IFERROR(VLOOKUP(D1083,'Team Data'!C:AB,9,FALSE),"")</f>
        <v/>
      </c>
      <c r="L1083" t="str">
        <f>IFERROR(VLOOKUP(D1083,'Team Data'!C:AB,10,FALSE),"")</f>
        <v/>
      </c>
      <c r="M1083" t="str">
        <f t="shared" si="34"/>
        <v/>
      </c>
      <c r="N1083" t="str">
        <f>IFERROR(VLOOKUP(D1083,'Team Data'!C:AB,23,FALSE),"")</f>
        <v/>
      </c>
      <c r="O1083" t="str">
        <f>IFERROR(VLOOKUP(D1083,'Team Data'!C:AB,22,FALSE),"")</f>
        <v/>
      </c>
      <c r="P1083" t="str">
        <f t="shared" si="35"/>
        <v/>
      </c>
      <c r="Q1083" t="str">
        <f>IFERROR(VLOOKUP(D1083,'Team Data'!C:AB,15,FALSE),"")</f>
        <v/>
      </c>
      <c r="R1083" t="str">
        <f>IFERROR(VLOOKUP('OB Format'!D1083,'Team Data'!C:AB,24,FALSE),"")</f>
        <v/>
      </c>
      <c r="S1083" t="str">
        <f>IFERROR(VLOOKUP('OB Format'!D1083,'Team Data'!C:AC,25,FALSE),"")</f>
        <v/>
      </c>
    </row>
    <row r="1084" spans="5:19" x14ac:dyDescent="0.25">
      <c r="E1084" t="str">
        <f>IFERROR(VLOOKUP(D1084,'Team Data'!C:AB,4,FALSE),"")</f>
        <v/>
      </c>
      <c r="F1084" t="str">
        <f>IFERROR(VLOOKUP(D1084,'Team Data'!C:AB,5,FALSE),"")</f>
        <v/>
      </c>
      <c r="G1084" t="str">
        <f>IFERROR(VLOOKUP('OB Format'!D1084,'Team Data'!C:AB,17,FALSE),"")</f>
        <v/>
      </c>
      <c r="H1084" t="str">
        <f>IFERROR(VLOOKUP(D1084,'Team Data'!C:AB,7,FALSE),"")</f>
        <v/>
      </c>
      <c r="I1084" t="str">
        <f>IFERROR(VLOOKUP(D1084,'Team Data'!C:AB,14,FALSE),"")</f>
        <v/>
      </c>
      <c r="J1084" t="str">
        <f>IFERROR(VLOOKUP(D1084,'Team Data'!C:AB,8,FALSE),"")</f>
        <v/>
      </c>
      <c r="K1084" t="str">
        <f>IFERROR(VLOOKUP(D1084,'Team Data'!C:AB,9,FALSE),"")</f>
        <v/>
      </c>
      <c r="L1084" t="str">
        <f>IFERROR(VLOOKUP(D1084,'Team Data'!C:AB,10,FALSE),"")</f>
        <v/>
      </c>
      <c r="M1084" t="str">
        <f t="shared" si="34"/>
        <v/>
      </c>
      <c r="N1084" t="str">
        <f>IFERROR(VLOOKUP(D1084,'Team Data'!C:AB,23,FALSE),"")</f>
        <v/>
      </c>
      <c r="O1084" t="str">
        <f>IFERROR(VLOOKUP(D1084,'Team Data'!C:AB,22,FALSE),"")</f>
        <v/>
      </c>
      <c r="P1084" t="str">
        <f t="shared" si="35"/>
        <v/>
      </c>
      <c r="Q1084" t="str">
        <f>IFERROR(VLOOKUP(D1084,'Team Data'!C:AB,15,FALSE),"")</f>
        <v/>
      </c>
      <c r="R1084" t="str">
        <f>IFERROR(VLOOKUP('OB Format'!D1084,'Team Data'!C:AB,24,FALSE),"")</f>
        <v/>
      </c>
      <c r="S1084" t="str">
        <f>IFERROR(VLOOKUP('OB Format'!D1084,'Team Data'!C:AC,25,FALSE),"")</f>
        <v/>
      </c>
    </row>
    <row r="1085" spans="5:19" x14ac:dyDescent="0.25">
      <c r="E1085" t="str">
        <f>IFERROR(VLOOKUP(D1085,'Team Data'!C:AB,4,FALSE),"")</f>
        <v/>
      </c>
      <c r="F1085" t="str">
        <f>IFERROR(VLOOKUP(D1085,'Team Data'!C:AB,5,FALSE),"")</f>
        <v/>
      </c>
      <c r="G1085" t="str">
        <f>IFERROR(VLOOKUP('OB Format'!D1085,'Team Data'!C:AB,17,FALSE),"")</f>
        <v/>
      </c>
      <c r="H1085" t="str">
        <f>IFERROR(VLOOKUP(D1085,'Team Data'!C:AB,7,FALSE),"")</f>
        <v/>
      </c>
      <c r="I1085" t="str">
        <f>IFERROR(VLOOKUP(D1085,'Team Data'!C:AB,14,FALSE),"")</f>
        <v/>
      </c>
      <c r="J1085" t="str">
        <f>IFERROR(VLOOKUP(D1085,'Team Data'!C:AB,8,FALSE),"")</f>
        <v/>
      </c>
      <c r="K1085" t="str">
        <f>IFERROR(VLOOKUP(D1085,'Team Data'!C:AB,9,FALSE),"")</f>
        <v/>
      </c>
      <c r="L1085" t="str">
        <f>IFERROR(VLOOKUP(D1085,'Team Data'!C:AB,10,FALSE),"")</f>
        <v/>
      </c>
      <c r="M1085" t="str">
        <f t="shared" si="34"/>
        <v/>
      </c>
      <c r="N1085" t="str">
        <f>IFERROR(VLOOKUP(D1085,'Team Data'!C:AB,23,FALSE),"")</f>
        <v/>
      </c>
      <c r="O1085" t="str">
        <f>IFERROR(VLOOKUP(D1085,'Team Data'!C:AB,22,FALSE),"")</f>
        <v/>
      </c>
      <c r="P1085" t="str">
        <f t="shared" si="35"/>
        <v/>
      </c>
      <c r="Q1085" t="str">
        <f>IFERROR(VLOOKUP(D1085,'Team Data'!C:AB,15,FALSE),"")</f>
        <v/>
      </c>
      <c r="R1085" t="str">
        <f>IFERROR(VLOOKUP('OB Format'!D1085,'Team Data'!C:AB,24,FALSE),"")</f>
        <v/>
      </c>
      <c r="S1085" t="str">
        <f>IFERROR(VLOOKUP('OB Format'!D1085,'Team Data'!C:AC,25,FALSE),"")</f>
        <v/>
      </c>
    </row>
    <row r="1086" spans="5:19" x14ac:dyDescent="0.25">
      <c r="E1086" t="str">
        <f>IFERROR(VLOOKUP(D1086,'Team Data'!C:AB,4,FALSE),"")</f>
        <v/>
      </c>
      <c r="F1086" t="str">
        <f>IFERROR(VLOOKUP(D1086,'Team Data'!C:AB,5,FALSE),"")</f>
        <v/>
      </c>
      <c r="G1086" t="str">
        <f>IFERROR(VLOOKUP('OB Format'!D1086,'Team Data'!C:AB,17,FALSE),"")</f>
        <v/>
      </c>
      <c r="H1086" t="str">
        <f>IFERROR(VLOOKUP(D1086,'Team Data'!C:AB,7,FALSE),"")</f>
        <v/>
      </c>
      <c r="I1086" t="str">
        <f>IFERROR(VLOOKUP(D1086,'Team Data'!C:AB,14,FALSE),"")</f>
        <v/>
      </c>
      <c r="J1086" t="str">
        <f>IFERROR(VLOOKUP(D1086,'Team Data'!C:AB,8,FALSE),"")</f>
        <v/>
      </c>
      <c r="K1086" t="str">
        <f>IFERROR(VLOOKUP(D1086,'Team Data'!C:AB,9,FALSE),"")</f>
        <v/>
      </c>
      <c r="L1086" t="str">
        <f>IFERROR(VLOOKUP(D1086,'Team Data'!C:AB,10,FALSE),"")</f>
        <v/>
      </c>
      <c r="M1086" t="str">
        <f t="shared" si="34"/>
        <v/>
      </c>
      <c r="N1086" t="str">
        <f>IFERROR(VLOOKUP(D1086,'Team Data'!C:AB,23,FALSE),"")</f>
        <v/>
      </c>
      <c r="O1086" t="str">
        <f>IFERROR(VLOOKUP(D1086,'Team Data'!C:AB,22,FALSE),"")</f>
        <v/>
      </c>
      <c r="P1086" t="str">
        <f t="shared" si="35"/>
        <v/>
      </c>
      <c r="Q1086" t="str">
        <f>IFERROR(VLOOKUP(D1086,'Team Data'!C:AB,15,FALSE),"")</f>
        <v/>
      </c>
      <c r="R1086" t="str">
        <f>IFERROR(VLOOKUP('OB Format'!D1086,'Team Data'!C:AB,24,FALSE),"")</f>
        <v/>
      </c>
      <c r="S1086" t="str">
        <f>IFERROR(VLOOKUP('OB Format'!D1086,'Team Data'!C:AC,25,FALSE),"")</f>
        <v/>
      </c>
    </row>
    <row r="1087" spans="5:19" x14ac:dyDescent="0.25">
      <c r="E1087" t="str">
        <f>IFERROR(VLOOKUP(D1087,'Team Data'!C:AB,4,FALSE),"")</f>
        <v/>
      </c>
      <c r="F1087" t="str">
        <f>IFERROR(VLOOKUP(D1087,'Team Data'!C:AB,5,FALSE),"")</f>
        <v/>
      </c>
      <c r="G1087" t="str">
        <f>IFERROR(VLOOKUP('OB Format'!D1087,'Team Data'!C:AB,17,FALSE),"")</f>
        <v/>
      </c>
      <c r="H1087" t="str">
        <f>IFERROR(VLOOKUP(D1087,'Team Data'!C:AB,7,FALSE),"")</f>
        <v/>
      </c>
      <c r="I1087" t="str">
        <f>IFERROR(VLOOKUP(D1087,'Team Data'!C:AB,14,FALSE),"")</f>
        <v/>
      </c>
      <c r="J1087" t="str">
        <f>IFERROR(VLOOKUP(D1087,'Team Data'!C:AB,8,FALSE),"")</f>
        <v/>
      </c>
      <c r="K1087" t="str">
        <f>IFERROR(VLOOKUP(D1087,'Team Data'!C:AB,9,FALSE),"")</f>
        <v/>
      </c>
      <c r="L1087" t="str">
        <f>IFERROR(VLOOKUP(D1087,'Team Data'!C:AB,10,FALSE),"")</f>
        <v/>
      </c>
      <c r="M1087" t="str">
        <f t="shared" si="34"/>
        <v/>
      </c>
      <c r="N1087" t="str">
        <f>IFERROR(VLOOKUP(D1087,'Team Data'!C:AB,23,FALSE),"")</f>
        <v/>
      </c>
      <c r="O1087" t="str">
        <f>IFERROR(VLOOKUP(D1087,'Team Data'!C:AB,22,FALSE),"")</f>
        <v/>
      </c>
      <c r="P1087" t="str">
        <f t="shared" si="35"/>
        <v/>
      </c>
      <c r="Q1087" t="str">
        <f>IFERROR(VLOOKUP(D1087,'Team Data'!C:AB,15,FALSE),"")</f>
        <v/>
      </c>
      <c r="R1087" t="str">
        <f>IFERROR(VLOOKUP('OB Format'!D1087,'Team Data'!C:AB,24,FALSE),"")</f>
        <v/>
      </c>
      <c r="S1087" t="str">
        <f>IFERROR(VLOOKUP('OB Format'!D1087,'Team Data'!C:AC,25,FALSE),"")</f>
        <v/>
      </c>
    </row>
    <row r="1088" spans="5:19" x14ac:dyDescent="0.25">
      <c r="E1088" t="str">
        <f>IFERROR(VLOOKUP(D1088,'Team Data'!C:AB,4,FALSE),"")</f>
        <v/>
      </c>
      <c r="F1088" t="str">
        <f>IFERROR(VLOOKUP(D1088,'Team Data'!C:AB,5,FALSE),"")</f>
        <v/>
      </c>
      <c r="G1088" t="str">
        <f>IFERROR(VLOOKUP('OB Format'!D1088,'Team Data'!C:AB,17,FALSE),"")</f>
        <v/>
      </c>
      <c r="H1088" t="str">
        <f>IFERROR(VLOOKUP(D1088,'Team Data'!C:AB,7,FALSE),"")</f>
        <v/>
      </c>
      <c r="I1088" t="str">
        <f>IFERROR(VLOOKUP(D1088,'Team Data'!C:AB,14,FALSE),"")</f>
        <v/>
      </c>
      <c r="J1088" t="str">
        <f>IFERROR(VLOOKUP(D1088,'Team Data'!C:AB,8,FALSE),"")</f>
        <v/>
      </c>
      <c r="K1088" t="str">
        <f>IFERROR(VLOOKUP(D1088,'Team Data'!C:AB,9,FALSE),"")</f>
        <v/>
      </c>
      <c r="L1088" t="str">
        <f>IFERROR(VLOOKUP(D1088,'Team Data'!C:AB,10,FALSE),"")</f>
        <v/>
      </c>
      <c r="M1088" t="str">
        <f t="shared" si="34"/>
        <v/>
      </c>
      <c r="N1088" t="str">
        <f>IFERROR(VLOOKUP(D1088,'Team Data'!C:AB,23,FALSE),"")</f>
        <v/>
      </c>
      <c r="O1088" t="str">
        <f>IFERROR(VLOOKUP(D1088,'Team Data'!C:AB,22,FALSE),"")</f>
        <v/>
      </c>
      <c r="P1088" t="str">
        <f t="shared" si="35"/>
        <v/>
      </c>
      <c r="Q1088" t="str">
        <f>IFERROR(VLOOKUP(D1088,'Team Data'!C:AB,15,FALSE),"")</f>
        <v/>
      </c>
      <c r="R1088" t="str">
        <f>IFERROR(VLOOKUP('OB Format'!D1088,'Team Data'!C:AB,24,FALSE),"")</f>
        <v/>
      </c>
      <c r="S1088" t="str">
        <f>IFERROR(VLOOKUP('OB Format'!D1088,'Team Data'!C:AC,25,FALSE),"")</f>
        <v/>
      </c>
    </row>
    <row r="1089" spans="5:19" x14ac:dyDescent="0.25">
      <c r="E1089" t="str">
        <f>IFERROR(VLOOKUP(D1089,'Team Data'!C:AB,4,FALSE),"")</f>
        <v/>
      </c>
      <c r="F1089" t="str">
        <f>IFERROR(VLOOKUP(D1089,'Team Data'!C:AB,5,FALSE),"")</f>
        <v/>
      </c>
      <c r="G1089" t="str">
        <f>IFERROR(VLOOKUP('OB Format'!D1089,'Team Data'!C:AB,17,FALSE),"")</f>
        <v/>
      </c>
      <c r="H1089" t="str">
        <f>IFERROR(VLOOKUP(D1089,'Team Data'!C:AB,7,FALSE),"")</f>
        <v/>
      </c>
      <c r="I1089" t="str">
        <f>IFERROR(VLOOKUP(D1089,'Team Data'!C:AB,14,FALSE),"")</f>
        <v/>
      </c>
      <c r="J1089" t="str">
        <f>IFERROR(VLOOKUP(D1089,'Team Data'!C:AB,8,FALSE),"")</f>
        <v/>
      </c>
      <c r="K1089" t="str">
        <f>IFERROR(VLOOKUP(D1089,'Team Data'!C:AB,9,FALSE),"")</f>
        <v/>
      </c>
      <c r="L1089" t="str">
        <f>IFERROR(VLOOKUP(D1089,'Team Data'!C:AB,10,FALSE),"")</f>
        <v/>
      </c>
      <c r="M1089" t="str">
        <f t="shared" si="34"/>
        <v/>
      </c>
      <c r="N1089" t="str">
        <f>IFERROR(VLOOKUP(D1089,'Team Data'!C:AB,23,FALSE),"")</f>
        <v/>
      </c>
      <c r="O1089" t="str">
        <f>IFERROR(VLOOKUP(D1089,'Team Data'!C:AB,22,FALSE),"")</f>
        <v/>
      </c>
      <c r="P1089" t="str">
        <f t="shared" si="35"/>
        <v/>
      </c>
      <c r="Q1089" t="str">
        <f>IFERROR(VLOOKUP(D1089,'Team Data'!C:AB,15,FALSE),"")</f>
        <v/>
      </c>
      <c r="R1089" t="str">
        <f>IFERROR(VLOOKUP('OB Format'!D1089,'Team Data'!C:AB,24,FALSE),"")</f>
        <v/>
      </c>
      <c r="S1089" t="str">
        <f>IFERROR(VLOOKUP('OB Format'!D1089,'Team Data'!C:AC,25,FALSE),"")</f>
        <v/>
      </c>
    </row>
    <row r="1090" spans="5:19" x14ac:dyDescent="0.25">
      <c r="E1090" t="str">
        <f>IFERROR(VLOOKUP(D1090,'Team Data'!C:AB,4,FALSE),"")</f>
        <v/>
      </c>
      <c r="F1090" t="str">
        <f>IFERROR(VLOOKUP(D1090,'Team Data'!C:AB,5,FALSE),"")</f>
        <v/>
      </c>
      <c r="G1090" t="str">
        <f>IFERROR(VLOOKUP('OB Format'!D1090,'Team Data'!C:AB,17,FALSE),"")</f>
        <v/>
      </c>
      <c r="H1090" t="str">
        <f>IFERROR(VLOOKUP(D1090,'Team Data'!C:AB,7,FALSE),"")</f>
        <v/>
      </c>
      <c r="I1090" t="str">
        <f>IFERROR(VLOOKUP(D1090,'Team Data'!C:AB,14,FALSE),"")</f>
        <v/>
      </c>
      <c r="J1090" t="str">
        <f>IFERROR(VLOOKUP(D1090,'Team Data'!C:AB,8,FALSE),"")</f>
        <v/>
      </c>
      <c r="K1090" t="str">
        <f>IFERROR(VLOOKUP(D1090,'Team Data'!C:AB,9,FALSE),"")</f>
        <v/>
      </c>
      <c r="L1090" t="str">
        <f>IFERROR(VLOOKUP(D1090,'Team Data'!C:AB,10,FALSE),"")</f>
        <v/>
      </c>
      <c r="M1090" t="str">
        <f t="shared" si="34"/>
        <v/>
      </c>
      <c r="N1090" t="str">
        <f>IFERROR(VLOOKUP(D1090,'Team Data'!C:AB,23,FALSE),"")</f>
        <v/>
      </c>
      <c r="O1090" t="str">
        <f>IFERROR(VLOOKUP(D1090,'Team Data'!C:AB,22,FALSE),"")</f>
        <v/>
      </c>
      <c r="P1090" t="str">
        <f t="shared" si="35"/>
        <v/>
      </c>
      <c r="Q1090" t="str">
        <f>IFERROR(VLOOKUP(D1090,'Team Data'!C:AB,15,FALSE),"")</f>
        <v/>
      </c>
      <c r="R1090" t="str">
        <f>IFERROR(VLOOKUP('OB Format'!D1090,'Team Data'!C:AB,24,FALSE),"")</f>
        <v/>
      </c>
      <c r="S1090" t="str">
        <f>IFERROR(VLOOKUP('OB Format'!D1090,'Team Data'!C:AC,25,FALSE),"")</f>
        <v/>
      </c>
    </row>
    <row r="1091" spans="5:19" x14ac:dyDescent="0.25">
      <c r="E1091" t="str">
        <f>IFERROR(VLOOKUP(D1091,'Team Data'!C:AB,4,FALSE),"")</f>
        <v/>
      </c>
      <c r="F1091" t="str">
        <f>IFERROR(VLOOKUP(D1091,'Team Data'!C:AB,5,FALSE),"")</f>
        <v/>
      </c>
      <c r="G1091" t="str">
        <f>IFERROR(VLOOKUP('OB Format'!D1091,'Team Data'!C:AB,17,FALSE),"")</f>
        <v/>
      </c>
      <c r="H1091" t="str">
        <f>IFERROR(VLOOKUP(D1091,'Team Data'!C:AB,7,FALSE),"")</f>
        <v/>
      </c>
      <c r="I1091" t="str">
        <f>IFERROR(VLOOKUP(D1091,'Team Data'!C:AB,14,FALSE),"")</f>
        <v/>
      </c>
      <c r="J1091" t="str">
        <f>IFERROR(VLOOKUP(D1091,'Team Data'!C:AB,8,FALSE),"")</f>
        <v/>
      </c>
      <c r="K1091" t="str">
        <f>IFERROR(VLOOKUP(D1091,'Team Data'!C:AB,9,FALSE),"")</f>
        <v/>
      </c>
      <c r="L1091" t="str">
        <f>IFERROR(VLOOKUP(D1091,'Team Data'!C:AB,10,FALSE),"")</f>
        <v/>
      </c>
      <c r="M1091" t="str">
        <f t="shared" si="34"/>
        <v/>
      </c>
      <c r="N1091" t="str">
        <f>IFERROR(VLOOKUP(D1091,'Team Data'!C:AB,23,FALSE),"")</f>
        <v/>
      </c>
      <c r="O1091" t="str">
        <f>IFERROR(VLOOKUP(D1091,'Team Data'!C:AB,22,FALSE),"")</f>
        <v/>
      </c>
      <c r="P1091" t="str">
        <f t="shared" si="35"/>
        <v/>
      </c>
      <c r="Q1091" t="str">
        <f>IFERROR(VLOOKUP(D1091,'Team Data'!C:AB,15,FALSE),"")</f>
        <v/>
      </c>
      <c r="R1091" t="str">
        <f>IFERROR(VLOOKUP('OB Format'!D1091,'Team Data'!C:AB,24,FALSE),"")</f>
        <v/>
      </c>
      <c r="S1091" t="str">
        <f>IFERROR(VLOOKUP('OB Format'!D1091,'Team Data'!C:AC,25,FALSE),"")</f>
        <v/>
      </c>
    </row>
    <row r="1092" spans="5:19" x14ac:dyDescent="0.25">
      <c r="E1092" t="str">
        <f>IFERROR(VLOOKUP(D1092,'Team Data'!C:AB,4,FALSE),"")</f>
        <v/>
      </c>
      <c r="F1092" t="str">
        <f>IFERROR(VLOOKUP(D1092,'Team Data'!C:AB,5,FALSE),"")</f>
        <v/>
      </c>
      <c r="G1092" t="str">
        <f>IFERROR(VLOOKUP('OB Format'!D1092,'Team Data'!C:AB,17,FALSE),"")</f>
        <v/>
      </c>
      <c r="H1092" t="str">
        <f>IFERROR(VLOOKUP(D1092,'Team Data'!C:AB,7,FALSE),"")</f>
        <v/>
      </c>
      <c r="I1092" t="str">
        <f>IFERROR(VLOOKUP(D1092,'Team Data'!C:AB,14,FALSE),"")</f>
        <v/>
      </c>
      <c r="J1092" t="str">
        <f>IFERROR(VLOOKUP(D1092,'Team Data'!C:AB,8,FALSE),"")</f>
        <v/>
      </c>
      <c r="K1092" t="str">
        <f>IFERROR(VLOOKUP(D1092,'Team Data'!C:AB,9,FALSE),"")</f>
        <v/>
      </c>
      <c r="L1092" t="str">
        <f>IFERROR(VLOOKUP(D1092,'Team Data'!C:AB,10,FALSE),"")</f>
        <v/>
      </c>
      <c r="M1092" t="str">
        <f t="shared" si="34"/>
        <v/>
      </c>
      <c r="N1092" t="str">
        <f>IFERROR(VLOOKUP(D1092,'Team Data'!C:AB,23,FALSE),"")</f>
        <v/>
      </c>
      <c r="O1092" t="str">
        <f>IFERROR(VLOOKUP(D1092,'Team Data'!C:AB,22,FALSE),"")</f>
        <v/>
      </c>
      <c r="P1092" t="str">
        <f t="shared" si="35"/>
        <v/>
      </c>
      <c r="Q1092" t="str">
        <f>IFERROR(VLOOKUP(D1092,'Team Data'!C:AB,15,FALSE),"")</f>
        <v/>
      </c>
      <c r="R1092" t="str">
        <f>IFERROR(VLOOKUP('OB Format'!D1092,'Team Data'!C:AB,24,FALSE),"")</f>
        <v/>
      </c>
      <c r="S1092" t="str">
        <f>IFERROR(VLOOKUP('OB Format'!D1092,'Team Data'!C:AC,25,FALSE),"")</f>
        <v/>
      </c>
    </row>
    <row r="1093" spans="5:19" x14ac:dyDescent="0.25">
      <c r="E1093" t="str">
        <f>IFERROR(VLOOKUP(D1093,'Team Data'!C:AB,4,FALSE),"")</f>
        <v/>
      </c>
      <c r="F1093" t="str">
        <f>IFERROR(VLOOKUP(D1093,'Team Data'!C:AB,5,FALSE),"")</f>
        <v/>
      </c>
      <c r="G1093" t="str">
        <f>IFERROR(VLOOKUP('OB Format'!D1093,'Team Data'!C:AB,17,FALSE),"")</f>
        <v/>
      </c>
      <c r="H1093" t="str">
        <f>IFERROR(VLOOKUP(D1093,'Team Data'!C:AB,7,FALSE),"")</f>
        <v/>
      </c>
      <c r="I1093" t="str">
        <f>IFERROR(VLOOKUP(D1093,'Team Data'!C:AB,14,FALSE),"")</f>
        <v/>
      </c>
      <c r="J1093" t="str">
        <f>IFERROR(VLOOKUP(D1093,'Team Data'!C:AB,8,FALSE),"")</f>
        <v/>
      </c>
      <c r="K1093" t="str">
        <f>IFERROR(VLOOKUP(D1093,'Team Data'!C:AB,9,FALSE),"")</f>
        <v/>
      </c>
      <c r="L1093" t="str">
        <f>IFERROR(VLOOKUP(D1093,'Team Data'!C:AB,10,FALSE),"")</f>
        <v/>
      </c>
      <c r="M1093" t="str">
        <f t="shared" si="34"/>
        <v/>
      </c>
      <c r="N1093" t="str">
        <f>IFERROR(VLOOKUP(D1093,'Team Data'!C:AB,23,FALSE),"")</f>
        <v/>
      </c>
      <c r="O1093" t="str">
        <f>IFERROR(VLOOKUP(D1093,'Team Data'!C:AB,22,FALSE),"")</f>
        <v/>
      </c>
      <c r="P1093" t="str">
        <f t="shared" si="35"/>
        <v/>
      </c>
      <c r="Q1093" t="str">
        <f>IFERROR(VLOOKUP(D1093,'Team Data'!C:AB,15,FALSE),"")</f>
        <v/>
      </c>
      <c r="R1093" t="str">
        <f>IFERROR(VLOOKUP('OB Format'!D1093,'Team Data'!C:AB,24,FALSE),"")</f>
        <v/>
      </c>
      <c r="S1093" t="str">
        <f>IFERROR(VLOOKUP('OB Format'!D1093,'Team Data'!C:AC,25,FALSE),"")</f>
        <v/>
      </c>
    </row>
    <row r="1094" spans="5:19" x14ac:dyDescent="0.25">
      <c r="E1094" t="str">
        <f>IFERROR(VLOOKUP(D1094,'Team Data'!C:AB,4,FALSE),"")</f>
        <v/>
      </c>
      <c r="F1094" t="str">
        <f>IFERROR(VLOOKUP(D1094,'Team Data'!C:AB,5,FALSE),"")</f>
        <v/>
      </c>
      <c r="G1094" t="str">
        <f>IFERROR(VLOOKUP('OB Format'!D1094,'Team Data'!C:AB,17,FALSE),"")</f>
        <v/>
      </c>
      <c r="H1094" t="str">
        <f>IFERROR(VLOOKUP(D1094,'Team Data'!C:AB,7,FALSE),"")</f>
        <v/>
      </c>
      <c r="I1094" t="str">
        <f>IFERROR(VLOOKUP(D1094,'Team Data'!C:AB,14,FALSE),"")</f>
        <v/>
      </c>
      <c r="J1094" t="str">
        <f>IFERROR(VLOOKUP(D1094,'Team Data'!C:AB,8,FALSE),"")</f>
        <v/>
      </c>
      <c r="K1094" t="str">
        <f>IFERROR(VLOOKUP(D1094,'Team Data'!C:AB,9,FALSE),"")</f>
        <v/>
      </c>
      <c r="L1094" t="str">
        <f>IFERROR(VLOOKUP(D1094,'Team Data'!C:AB,10,FALSE),"")</f>
        <v/>
      </c>
      <c r="M1094" t="str">
        <f t="shared" si="34"/>
        <v/>
      </c>
      <c r="N1094" t="str">
        <f>IFERROR(VLOOKUP(D1094,'Team Data'!C:AB,23,FALSE),"")</f>
        <v/>
      </c>
      <c r="O1094" t="str">
        <f>IFERROR(VLOOKUP(D1094,'Team Data'!C:AB,22,FALSE),"")</f>
        <v/>
      </c>
      <c r="P1094" t="str">
        <f t="shared" si="35"/>
        <v/>
      </c>
      <c r="Q1094" t="str">
        <f>IFERROR(VLOOKUP(D1094,'Team Data'!C:AB,15,FALSE),"")</f>
        <v/>
      </c>
      <c r="R1094" t="str">
        <f>IFERROR(VLOOKUP('OB Format'!D1094,'Team Data'!C:AB,24,FALSE),"")</f>
        <v/>
      </c>
      <c r="S1094" t="str">
        <f>IFERROR(VLOOKUP('OB Format'!D1094,'Team Data'!C:AC,25,FALSE),"")</f>
        <v/>
      </c>
    </row>
    <row r="1095" spans="5:19" x14ac:dyDescent="0.25">
      <c r="E1095" t="str">
        <f>IFERROR(VLOOKUP(D1095,'Team Data'!C:AB,4,FALSE),"")</f>
        <v/>
      </c>
      <c r="F1095" t="str">
        <f>IFERROR(VLOOKUP(D1095,'Team Data'!C:AB,5,FALSE),"")</f>
        <v/>
      </c>
      <c r="G1095" t="str">
        <f>IFERROR(VLOOKUP('OB Format'!D1095,'Team Data'!C:AB,17,FALSE),"")</f>
        <v/>
      </c>
      <c r="H1095" t="str">
        <f>IFERROR(VLOOKUP(D1095,'Team Data'!C:AB,7,FALSE),"")</f>
        <v/>
      </c>
      <c r="I1095" t="str">
        <f>IFERROR(VLOOKUP(D1095,'Team Data'!C:AB,14,FALSE),"")</f>
        <v/>
      </c>
      <c r="J1095" t="str">
        <f>IFERROR(VLOOKUP(D1095,'Team Data'!C:AB,8,FALSE),"")</f>
        <v/>
      </c>
      <c r="K1095" t="str">
        <f>IFERROR(VLOOKUP(D1095,'Team Data'!C:AB,9,FALSE),"")</f>
        <v/>
      </c>
      <c r="L1095" t="str">
        <f>IFERROR(VLOOKUP(D1095,'Team Data'!C:AB,10,FALSE),"")</f>
        <v/>
      </c>
      <c r="M1095" t="str">
        <f t="shared" si="34"/>
        <v/>
      </c>
      <c r="N1095" t="str">
        <f>IFERROR(VLOOKUP(D1095,'Team Data'!C:AB,23,FALSE),"")</f>
        <v/>
      </c>
      <c r="O1095" t="str">
        <f>IFERROR(VLOOKUP(D1095,'Team Data'!C:AB,22,FALSE),"")</f>
        <v/>
      </c>
      <c r="P1095" t="str">
        <f t="shared" si="35"/>
        <v/>
      </c>
      <c r="Q1095" t="str">
        <f>IFERROR(VLOOKUP(D1095,'Team Data'!C:AB,15,FALSE),"")</f>
        <v/>
      </c>
      <c r="R1095" t="str">
        <f>IFERROR(VLOOKUP('OB Format'!D1095,'Team Data'!C:AB,24,FALSE),"")</f>
        <v/>
      </c>
      <c r="S1095" t="str">
        <f>IFERROR(VLOOKUP('OB Format'!D1095,'Team Data'!C:AC,25,FALSE),"")</f>
        <v/>
      </c>
    </row>
    <row r="1096" spans="5:19" x14ac:dyDescent="0.25">
      <c r="E1096" t="str">
        <f>IFERROR(VLOOKUP(D1096,'Team Data'!C:AB,4,FALSE),"")</f>
        <v/>
      </c>
      <c r="F1096" t="str">
        <f>IFERROR(VLOOKUP(D1096,'Team Data'!C:AB,5,FALSE),"")</f>
        <v/>
      </c>
      <c r="G1096" t="str">
        <f>IFERROR(VLOOKUP('OB Format'!D1096,'Team Data'!C:AB,17,FALSE),"")</f>
        <v/>
      </c>
      <c r="H1096" t="str">
        <f>IFERROR(VLOOKUP(D1096,'Team Data'!C:AB,7,FALSE),"")</f>
        <v/>
      </c>
      <c r="I1096" t="str">
        <f>IFERROR(VLOOKUP(D1096,'Team Data'!C:AB,14,FALSE),"")</f>
        <v/>
      </c>
      <c r="J1096" t="str">
        <f>IFERROR(VLOOKUP(D1096,'Team Data'!C:AB,8,FALSE),"")</f>
        <v/>
      </c>
      <c r="K1096" t="str">
        <f>IFERROR(VLOOKUP(D1096,'Team Data'!C:AB,9,FALSE),"")</f>
        <v/>
      </c>
      <c r="L1096" t="str">
        <f>IFERROR(VLOOKUP(D1096,'Team Data'!C:AB,10,FALSE),"")</f>
        <v/>
      </c>
      <c r="M1096" t="str">
        <f t="shared" si="34"/>
        <v/>
      </c>
      <c r="N1096" t="str">
        <f>IFERROR(VLOOKUP(D1096,'Team Data'!C:AB,23,FALSE),"")</f>
        <v/>
      </c>
      <c r="O1096" t="str">
        <f>IFERROR(VLOOKUP(D1096,'Team Data'!C:AB,22,FALSE),"")</f>
        <v/>
      </c>
      <c r="P1096" t="str">
        <f t="shared" si="35"/>
        <v/>
      </c>
      <c r="Q1096" t="str">
        <f>IFERROR(VLOOKUP(D1096,'Team Data'!C:AB,15,FALSE),"")</f>
        <v/>
      </c>
      <c r="R1096" t="str">
        <f>IFERROR(VLOOKUP('OB Format'!D1096,'Team Data'!C:AB,24,FALSE),"")</f>
        <v/>
      </c>
      <c r="S1096" t="str">
        <f>IFERROR(VLOOKUP('OB Format'!D1096,'Team Data'!C:AC,25,FALSE),"")</f>
        <v/>
      </c>
    </row>
    <row r="1097" spans="5:19" x14ac:dyDescent="0.25">
      <c r="E1097" t="str">
        <f>IFERROR(VLOOKUP(D1097,'Team Data'!C:AB,4,FALSE),"")</f>
        <v/>
      </c>
      <c r="F1097" t="str">
        <f>IFERROR(VLOOKUP(D1097,'Team Data'!C:AB,5,FALSE),"")</f>
        <v/>
      </c>
      <c r="G1097" t="str">
        <f>IFERROR(VLOOKUP('OB Format'!D1097,'Team Data'!C:AB,17,FALSE),"")</f>
        <v/>
      </c>
      <c r="H1097" t="str">
        <f>IFERROR(VLOOKUP(D1097,'Team Data'!C:AB,7,FALSE),"")</f>
        <v/>
      </c>
      <c r="I1097" t="str">
        <f>IFERROR(VLOOKUP(D1097,'Team Data'!C:AB,14,FALSE),"")</f>
        <v/>
      </c>
      <c r="J1097" t="str">
        <f>IFERROR(VLOOKUP(D1097,'Team Data'!C:AB,8,FALSE),"")</f>
        <v/>
      </c>
      <c r="K1097" t="str">
        <f>IFERROR(VLOOKUP(D1097,'Team Data'!C:AB,9,FALSE),"")</f>
        <v/>
      </c>
      <c r="L1097" t="str">
        <f>IFERROR(VLOOKUP(D1097,'Team Data'!C:AB,10,FALSE),"")</f>
        <v/>
      </c>
      <c r="M1097" t="str">
        <f t="shared" si="34"/>
        <v/>
      </c>
      <c r="N1097" t="str">
        <f>IFERROR(VLOOKUP(D1097,'Team Data'!C:AB,23,FALSE),"")</f>
        <v/>
      </c>
      <c r="O1097" t="str">
        <f>IFERROR(VLOOKUP(D1097,'Team Data'!C:AB,22,FALSE),"")</f>
        <v/>
      </c>
      <c r="P1097" t="str">
        <f t="shared" si="35"/>
        <v/>
      </c>
      <c r="Q1097" t="str">
        <f>IFERROR(VLOOKUP(D1097,'Team Data'!C:AB,15,FALSE),"")</f>
        <v/>
      </c>
      <c r="R1097" t="str">
        <f>IFERROR(VLOOKUP('OB Format'!D1097,'Team Data'!C:AB,24,FALSE),"")</f>
        <v/>
      </c>
      <c r="S1097" t="str">
        <f>IFERROR(VLOOKUP('OB Format'!D1097,'Team Data'!C:AC,25,FALSE),"")</f>
        <v/>
      </c>
    </row>
    <row r="1098" spans="5:19" x14ac:dyDescent="0.25">
      <c r="E1098" t="str">
        <f>IFERROR(VLOOKUP(D1098,'Team Data'!C:AB,4,FALSE),"")</f>
        <v/>
      </c>
      <c r="F1098" t="str">
        <f>IFERROR(VLOOKUP(D1098,'Team Data'!C:AB,5,FALSE),"")</f>
        <v/>
      </c>
      <c r="G1098" t="str">
        <f>IFERROR(VLOOKUP('OB Format'!D1098,'Team Data'!C:AB,17,FALSE),"")</f>
        <v/>
      </c>
      <c r="H1098" t="str">
        <f>IFERROR(VLOOKUP(D1098,'Team Data'!C:AB,7,FALSE),"")</f>
        <v/>
      </c>
      <c r="I1098" t="str">
        <f>IFERROR(VLOOKUP(D1098,'Team Data'!C:AB,14,FALSE),"")</f>
        <v/>
      </c>
      <c r="J1098" t="str">
        <f>IFERROR(VLOOKUP(D1098,'Team Data'!C:AB,8,FALSE),"")</f>
        <v/>
      </c>
      <c r="K1098" t="str">
        <f>IFERROR(VLOOKUP(D1098,'Team Data'!C:AB,9,FALSE),"")</f>
        <v/>
      </c>
      <c r="L1098" t="str">
        <f>IFERROR(VLOOKUP(D1098,'Team Data'!C:AB,10,FALSE),"")</f>
        <v/>
      </c>
      <c r="M1098" t="str">
        <f t="shared" si="34"/>
        <v/>
      </c>
      <c r="N1098" t="str">
        <f>IFERROR(VLOOKUP(D1098,'Team Data'!C:AB,23,FALSE),"")</f>
        <v/>
      </c>
      <c r="O1098" t="str">
        <f>IFERROR(VLOOKUP(D1098,'Team Data'!C:AB,22,FALSE),"")</f>
        <v/>
      </c>
      <c r="P1098" t="str">
        <f t="shared" si="35"/>
        <v/>
      </c>
      <c r="Q1098" t="str">
        <f>IFERROR(VLOOKUP(D1098,'Team Data'!C:AB,15,FALSE),"")</f>
        <v/>
      </c>
      <c r="R1098" t="str">
        <f>IFERROR(VLOOKUP('OB Format'!D1098,'Team Data'!C:AB,24,FALSE),"")</f>
        <v/>
      </c>
      <c r="S1098" t="str">
        <f>IFERROR(VLOOKUP('OB Format'!D1098,'Team Data'!C:AC,25,FALSE),"")</f>
        <v/>
      </c>
    </row>
    <row r="1099" spans="5:19" x14ac:dyDescent="0.25">
      <c r="E1099" t="str">
        <f>IFERROR(VLOOKUP(D1099,'Team Data'!C:AB,4,FALSE),"")</f>
        <v/>
      </c>
      <c r="F1099" t="str">
        <f>IFERROR(VLOOKUP(D1099,'Team Data'!C:AB,5,FALSE),"")</f>
        <v/>
      </c>
      <c r="G1099" t="str">
        <f>IFERROR(VLOOKUP('OB Format'!D1099,'Team Data'!C:AB,17,FALSE),"")</f>
        <v/>
      </c>
      <c r="H1099" t="str">
        <f>IFERROR(VLOOKUP(D1099,'Team Data'!C:AB,7,FALSE),"")</f>
        <v/>
      </c>
      <c r="I1099" t="str">
        <f>IFERROR(VLOOKUP(D1099,'Team Data'!C:AB,14,FALSE),"")</f>
        <v/>
      </c>
      <c r="J1099" t="str">
        <f>IFERROR(VLOOKUP(D1099,'Team Data'!C:AB,8,FALSE),"")</f>
        <v/>
      </c>
      <c r="K1099" t="str">
        <f>IFERROR(VLOOKUP(D1099,'Team Data'!C:AB,9,FALSE),"")</f>
        <v/>
      </c>
      <c r="L1099" t="str">
        <f>IFERROR(VLOOKUP(D1099,'Team Data'!C:AB,10,FALSE),"")</f>
        <v/>
      </c>
      <c r="M1099" t="str">
        <f t="shared" si="34"/>
        <v/>
      </c>
      <c r="N1099" t="str">
        <f>IFERROR(VLOOKUP(D1099,'Team Data'!C:AB,23,FALSE),"")</f>
        <v/>
      </c>
      <c r="O1099" t="str">
        <f>IFERROR(VLOOKUP(D1099,'Team Data'!C:AB,22,FALSE),"")</f>
        <v/>
      </c>
      <c r="P1099" t="str">
        <f t="shared" si="35"/>
        <v/>
      </c>
      <c r="Q1099" t="str">
        <f>IFERROR(VLOOKUP(D1099,'Team Data'!C:AB,15,FALSE),"")</f>
        <v/>
      </c>
      <c r="R1099" t="str">
        <f>IFERROR(VLOOKUP('OB Format'!D1099,'Team Data'!C:AB,24,FALSE),"")</f>
        <v/>
      </c>
      <c r="S1099" t="str">
        <f>IFERROR(VLOOKUP('OB Format'!D1099,'Team Data'!C:AC,25,FALSE),"")</f>
        <v/>
      </c>
    </row>
    <row r="1100" spans="5:19" x14ac:dyDescent="0.25">
      <c r="E1100" t="str">
        <f>IFERROR(VLOOKUP(D1100,'Team Data'!C:AB,4,FALSE),"")</f>
        <v/>
      </c>
      <c r="F1100" t="str">
        <f>IFERROR(VLOOKUP(D1100,'Team Data'!C:AB,5,FALSE),"")</f>
        <v/>
      </c>
      <c r="G1100" t="str">
        <f>IFERROR(VLOOKUP('OB Format'!D1100,'Team Data'!C:AB,17,FALSE),"")</f>
        <v/>
      </c>
      <c r="H1100" t="str">
        <f>IFERROR(VLOOKUP(D1100,'Team Data'!C:AB,7,FALSE),"")</f>
        <v/>
      </c>
      <c r="I1100" t="str">
        <f>IFERROR(VLOOKUP(D1100,'Team Data'!C:AB,14,FALSE),"")</f>
        <v/>
      </c>
      <c r="J1100" t="str">
        <f>IFERROR(VLOOKUP(D1100,'Team Data'!C:AB,8,FALSE),"")</f>
        <v/>
      </c>
      <c r="K1100" t="str">
        <f>IFERROR(VLOOKUP(D1100,'Team Data'!C:AB,9,FALSE),"")</f>
        <v/>
      </c>
      <c r="L1100" t="str">
        <f>IFERROR(VLOOKUP(D1100,'Team Data'!C:AB,10,FALSE),"")</f>
        <v/>
      </c>
      <c r="M1100" t="str">
        <f t="shared" si="34"/>
        <v/>
      </c>
      <c r="N1100" t="str">
        <f>IFERROR(VLOOKUP(D1100,'Team Data'!C:AB,23,FALSE),"")</f>
        <v/>
      </c>
      <c r="O1100" t="str">
        <f>IFERROR(VLOOKUP(D1100,'Team Data'!C:AB,22,FALSE),"")</f>
        <v/>
      </c>
      <c r="P1100" t="str">
        <f t="shared" si="35"/>
        <v/>
      </c>
      <c r="Q1100" t="str">
        <f>IFERROR(VLOOKUP(D1100,'Team Data'!C:AB,15,FALSE),"")</f>
        <v/>
      </c>
      <c r="R1100" t="str">
        <f>IFERROR(VLOOKUP('OB Format'!D1100,'Team Data'!C:AB,24,FALSE),"")</f>
        <v/>
      </c>
      <c r="S1100" t="str">
        <f>IFERROR(VLOOKUP('OB Format'!D1100,'Team Data'!C:AC,25,FALSE),"")</f>
        <v/>
      </c>
    </row>
    <row r="1101" spans="5:19" x14ac:dyDescent="0.25">
      <c r="E1101" t="str">
        <f>IFERROR(VLOOKUP(D1101,'Team Data'!C:AB,4,FALSE),"")</f>
        <v/>
      </c>
      <c r="F1101" t="str">
        <f>IFERROR(VLOOKUP(D1101,'Team Data'!C:AB,5,FALSE),"")</f>
        <v/>
      </c>
      <c r="G1101" t="str">
        <f>IFERROR(VLOOKUP('OB Format'!D1101,'Team Data'!C:AB,17,FALSE),"")</f>
        <v/>
      </c>
      <c r="H1101" t="str">
        <f>IFERROR(VLOOKUP(D1101,'Team Data'!C:AB,7,FALSE),"")</f>
        <v/>
      </c>
      <c r="I1101" t="str">
        <f>IFERROR(VLOOKUP(D1101,'Team Data'!C:AB,14,FALSE),"")</f>
        <v/>
      </c>
      <c r="J1101" t="str">
        <f>IFERROR(VLOOKUP(D1101,'Team Data'!C:AB,8,FALSE),"")</f>
        <v/>
      </c>
      <c r="K1101" t="str">
        <f>IFERROR(VLOOKUP(D1101,'Team Data'!C:AB,9,FALSE),"")</f>
        <v/>
      </c>
      <c r="L1101" t="str">
        <f>IFERROR(VLOOKUP(D1101,'Team Data'!C:AB,10,FALSE),"")</f>
        <v/>
      </c>
      <c r="M1101" t="str">
        <f t="shared" ref="M1101:M1164" si="36">IFERROR(H1101-(J1101+L1101+K1101),"")</f>
        <v/>
      </c>
      <c r="N1101" t="str">
        <f>IFERROR(VLOOKUP(D1101,'Team Data'!C:AB,23,FALSE),"")</f>
        <v/>
      </c>
      <c r="O1101" t="str">
        <f>IFERROR(VLOOKUP(D1101,'Team Data'!C:AB,22,FALSE),"")</f>
        <v/>
      </c>
      <c r="P1101" t="str">
        <f t="shared" ref="P1101:P1164" si="37">IFERROR(E1101-(H1101+N1101+Q1101+I1101+O1101),"")</f>
        <v/>
      </c>
      <c r="Q1101" t="str">
        <f>IFERROR(VLOOKUP(D1101,'Team Data'!C:AB,15,FALSE),"")</f>
        <v/>
      </c>
      <c r="R1101" t="str">
        <f>IFERROR(VLOOKUP('OB Format'!D1101,'Team Data'!C:AB,24,FALSE),"")</f>
        <v/>
      </c>
      <c r="S1101" t="str">
        <f>IFERROR(VLOOKUP('OB Format'!D1101,'Team Data'!C:AC,25,FALSE),"")</f>
        <v/>
      </c>
    </row>
    <row r="1102" spans="5:19" x14ac:dyDescent="0.25">
      <c r="E1102" t="str">
        <f>IFERROR(VLOOKUP(D1102,'Team Data'!C:AB,4,FALSE),"")</f>
        <v/>
      </c>
      <c r="F1102" t="str">
        <f>IFERROR(VLOOKUP(D1102,'Team Data'!C:AB,5,FALSE),"")</f>
        <v/>
      </c>
      <c r="G1102" t="str">
        <f>IFERROR(VLOOKUP('OB Format'!D1102,'Team Data'!C:AB,17,FALSE),"")</f>
        <v/>
      </c>
      <c r="H1102" t="str">
        <f>IFERROR(VLOOKUP(D1102,'Team Data'!C:AB,7,FALSE),"")</f>
        <v/>
      </c>
      <c r="I1102" t="str">
        <f>IFERROR(VLOOKUP(D1102,'Team Data'!C:AB,14,FALSE),"")</f>
        <v/>
      </c>
      <c r="J1102" t="str">
        <f>IFERROR(VLOOKUP(D1102,'Team Data'!C:AB,8,FALSE),"")</f>
        <v/>
      </c>
      <c r="K1102" t="str">
        <f>IFERROR(VLOOKUP(D1102,'Team Data'!C:AB,9,FALSE),"")</f>
        <v/>
      </c>
      <c r="L1102" t="str">
        <f>IFERROR(VLOOKUP(D1102,'Team Data'!C:AB,10,FALSE),"")</f>
        <v/>
      </c>
      <c r="M1102" t="str">
        <f t="shared" si="36"/>
        <v/>
      </c>
      <c r="N1102" t="str">
        <f>IFERROR(VLOOKUP(D1102,'Team Data'!C:AB,23,FALSE),"")</f>
        <v/>
      </c>
      <c r="O1102" t="str">
        <f>IFERROR(VLOOKUP(D1102,'Team Data'!C:AB,22,FALSE),"")</f>
        <v/>
      </c>
      <c r="P1102" t="str">
        <f t="shared" si="37"/>
        <v/>
      </c>
      <c r="Q1102" t="str">
        <f>IFERROR(VLOOKUP(D1102,'Team Data'!C:AB,15,FALSE),"")</f>
        <v/>
      </c>
      <c r="R1102" t="str">
        <f>IFERROR(VLOOKUP('OB Format'!D1102,'Team Data'!C:AB,24,FALSE),"")</f>
        <v/>
      </c>
      <c r="S1102" t="str">
        <f>IFERROR(VLOOKUP('OB Format'!D1102,'Team Data'!C:AC,25,FALSE),"")</f>
        <v/>
      </c>
    </row>
    <row r="1103" spans="5:19" x14ac:dyDescent="0.25">
      <c r="E1103" t="str">
        <f>IFERROR(VLOOKUP(D1103,'Team Data'!C:AB,4,FALSE),"")</f>
        <v/>
      </c>
      <c r="F1103" t="str">
        <f>IFERROR(VLOOKUP(D1103,'Team Data'!C:AB,5,FALSE),"")</f>
        <v/>
      </c>
      <c r="G1103" t="str">
        <f>IFERROR(VLOOKUP('OB Format'!D1103,'Team Data'!C:AB,17,FALSE),"")</f>
        <v/>
      </c>
      <c r="H1103" t="str">
        <f>IFERROR(VLOOKUP(D1103,'Team Data'!C:AB,7,FALSE),"")</f>
        <v/>
      </c>
      <c r="I1103" t="str">
        <f>IFERROR(VLOOKUP(D1103,'Team Data'!C:AB,14,FALSE),"")</f>
        <v/>
      </c>
      <c r="J1103" t="str">
        <f>IFERROR(VLOOKUP(D1103,'Team Data'!C:AB,8,FALSE),"")</f>
        <v/>
      </c>
      <c r="K1103" t="str">
        <f>IFERROR(VLOOKUP(D1103,'Team Data'!C:AB,9,FALSE),"")</f>
        <v/>
      </c>
      <c r="L1103" t="str">
        <f>IFERROR(VLOOKUP(D1103,'Team Data'!C:AB,10,FALSE),"")</f>
        <v/>
      </c>
      <c r="M1103" t="str">
        <f t="shared" si="36"/>
        <v/>
      </c>
      <c r="N1103" t="str">
        <f>IFERROR(VLOOKUP(D1103,'Team Data'!C:AB,23,FALSE),"")</f>
        <v/>
      </c>
      <c r="O1103" t="str">
        <f>IFERROR(VLOOKUP(D1103,'Team Data'!C:AB,22,FALSE),"")</f>
        <v/>
      </c>
      <c r="P1103" t="str">
        <f t="shared" si="37"/>
        <v/>
      </c>
      <c r="Q1103" t="str">
        <f>IFERROR(VLOOKUP(D1103,'Team Data'!C:AB,15,FALSE),"")</f>
        <v/>
      </c>
      <c r="R1103" t="str">
        <f>IFERROR(VLOOKUP('OB Format'!D1103,'Team Data'!C:AB,24,FALSE),"")</f>
        <v/>
      </c>
      <c r="S1103" t="str">
        <f>IFERROR(VLOOKUP('OB Format'!D1103,'Team Data'!C:AC,25,FALSE),"")</f>
        <v/>
      </c>
    </row>
    <row r="1104" spans="5:19" x14ac:dyDescent="0.25">
      <c r="E1104" t="str">
        <f>IFERROR(VLOOKUP(D1104,'Team Data'!C:AB,4,FALSE),"")</f>
        <v/>
      </c>
      <c r="F1104" t="str">
        <f>IFERROR(VLOOKUP(D1104,'Team Data'!C:AB,5,FALSE),"")</f>
        <v/>
      </c>
      <c r="G1104" t="str">
        <f>IFERROR(VLOOKUP('OB Format'!D1104,'Team Data'!C:AB,17,FALSE),"")</f>
        <v/>
      </c>
      <c r="H1104" t="str">
        <f>IFERROR(VLOOKUP(D1104,'Team Data'!C:AB,7,FALSE),"")</f>
        <v/>
      </c>
      <c r="I1104" t="str">
        <f>IFERROR(VLOOKUP(D1104,'Team Data'!C:AB,14,FALSE),"")</f>
        <v/>
      </c>
      <c r="J1104" t="str">
        <f>IFERROR(VLOOKUP(D1104,'Team Data'!C:AB,8,FALSE),"")</f>
        <v/>
      </c>
      <c r="K1104" t="str">
        <f>IFERROR(VLOOKUP(D1104,'Team Data'!C:AB,9,FALSE),"")</f>
        <v/>
      </c>
      <c r="L1104" t="str">
        <f>IFERROR(VLOOKUP(D1104,'Team Data'!C:AB,10,FALSE),"")</f>
        <v/>
      </c>
      <c r="M1104" t="str">
        <f t="shared" si="36"/>
        <v/>
      </c>
      <c r="N1104" t="str">
        <f>IFERROR(VLOOKUP(D1104,'Team Data'!C:AB,23,FALSE),"")</f>
        <v/>
      </c>
      <c r="O1104" t="str">
        <f>IFERROR(VLOOKUP(D1104,'Team Data'!C:AB,22,FALSE),"")</f>
        <v/>
      </c>
      <c r="P1104" t="str">
        <f t="shared" si="37"/>
        <v/>
      </c>
      <c r="Q1104" t="str">
        <f>IFERROR(VLOOKUP(D1104,'Team Data'!C:AB,15,FALSE),"")</f>
        <v/>
      </c>
      <c r="R1104" t="str">
        <f>IFERROR(VLOOKUP('OB Format'!D1104,'Team Data'!C:AB,24,FALSE),"")</f>
        <v/>
      </c>
      <c r="S1104" t="str">
        <f>IFERROR(VLOOKUP('OB Format'!D1104,'Team Data'!C:AC,25,FALSE),"")</f>
        <v/>
      </c>
    </row>
    <row r="1105" spans="5:19" x14ac:dyDescent="0.25">
      <c r="E1105" t="str">
        <f>IFERROR(VLOOKUP(D1105,'Team Data'!C:AB,4,FALSE),"")</f>
        <v/>
      </c>
      <c r="F1105" t="str">
        <f>IFERROR(VLOOKUP(D1105,'Team Data'!C:AB,5,FALSE),"")</f>
        <v/>
      </c>
      <c r="G1105" t="str">
        <f>IFERROR(VLOOKUP('OB Format'!D1105,'Team Data'!C:AB,17,FALSE),"")</f>
        <v/>
      </c>
      <c r="H1105" t="str">
        <f>IFERROR(VLOOKUP(D1105,'Team Data'!C:AB,7,FALSE),"")</f>
        <v/>
      </c>
      <c r="I1105" t="str">
        <f>IFERROR(VLOOKUP(D1105,'Team Data'!C:AB,14,FALSE),"")</f>
        <v/>
      </c>
      <c r="J1105" t="str">
        <f>IFERROR(VLOOKUP(D1105,'Team Data'!C:AB,8,FALSE),"")</f>
        <v/>
      </c>
      <c r="K1105" t="str">
        <f>IFERROR(VLOOKUP(D1105,'Team Data'!C:AB,9,FALSE),"")</f>
        <v/>
      </c>
      <c r="L1105" t="str">
        <f>IFERROR(VLOOKUP(D1105,'Team Data'!C:AB,10,FALSE),"")</f>
        <v/>
      </c>
      <c r="M1105" t="str">
        <f t="shared" si="36"/>
        <v/>
      </c>
      <c r="N1105" t="str">
        <f>IFERROR(VLOOKUP(D1105,'Team Data'!C:AB,23,FALSE),"")</f>
        <v/>
      </c>
      <c r="O1105" t="str">
        <f>IFERROR(VLOOKUP(D1105,'Team Data'!C:AB,22,FALSE),"")</f>
        <v/>
      </c>
      <c r="P1105" t="str">
        <f t="shared" si="37"/>
        <v/>
      </c>
      <c r="Q1105" t="str">
        <f>IFERROR(VLOOKUP(D1105,'Team Data'!C:AB,15,FALSE),"")</f>
        <v/>
      </c>
      <c r="R1105" t="str">
        <f>IFERROR(VLOOKUP('OB Format'!D1105,'Team Data'!C:AB,24,FALSE),"")</f>
        <v/>
      </c>
      <c r="S1105" t="str">
        <f>IFERROR(VLOOKUP('OB Format'!D1105,'Team Data'!C:AC,25,FALSE),"")</f>
        <v/>
      </c>
    </row>
    <row r="1106" spans="5:19" x14ac:dyDescent="0.25">
      <c r="E1106" t="str">
        <f>IFERROR(VLOOKUP(D1106,'Team Data'!C:AB,4,FALSE),"")</f>
        <v/>
      </c>
      <c r="F1106" t="str">
        <f>IFERROR(VLOOKUP(D1106,'Team Data'!C:AB,5,FALSE),"")</f>
        <v/>
      </c>
      <c r="G1106" t="str">
        <f>IFERROR(VLOOKUP('OB Format'!D1106,'Team Data'!C:AB,17,FALSE),"")</f>
        <v/>
      </c>
      <c r="H1106" t="str">
        <f>IFERROR(VLOOKUP(D1106,'Team Data'!C:AB,7,FALSE),"")</f>
        <v/>
      </c>
      <c r="I1106" t="str">
        <f>IFERROR(VLOOKUP(D1106,'Team Data'!C:AB,14,FALSE),"")</f>
        <v/>
      </c>
      <c r="J1106" t="str">
        <f>IFERROR(VLOOKUP(D1106,'Team Data'!C:AB,8,FALSE),"")</f>
        <v/>
      </c>
      <c r="K1106" t="str">
        <f>IFERROR(VLOOKUP(D1106,'Team Data'!C:AB,9,FALSE),"")</f>
        <v/>
      </c>
      <c r="L1106" t="str">
        <f>IFERROR(VLOOKUP(D1106,'Team Data'!C:AB,10,FALSE),"")</f>
        <v/>
      </c>
      <c r="M1106" t="str">
        <f t="shared" si="36"/>
        <v/>
      </c>
      <c r="N1106" t="str">
        <f>IFERROR(VLOOKUP(D1106,'Team Data'!C:AB,23,FALSE),"")</f>
        <v/>
      </c>
      <c r="O1106" t="str">
        <f>IFERROR(VLOOKUP(D1106,'Team Data'!C:AB,22,FALSE),"")</f>
        <v/>
      </c>
      <c r="P1106" t="str">
        <f t="shared" si="37"/>
        <v/>
      </c>
      <c r="Q1106" t="str">
        <f>IFERROR(VLOOKUP(D1106,'Team Data'!C:AB,15,FALSE),"")</f>
        <v/>
      </c>
      <c r="R1106" t="str">
        <f>IFERROR(VLOOKUP('OB Format'!D1106,'Team Data'!C:AB,24,FALSE),"")</f>
        <v/>
      </c>
      <c r="S1106" t="str">
        <f>IFERROR(VLOOKUP('OB Format'!D1106,'Team Data'!C:AC,25,FALSE),"")</f>
        <v/>
      </c>
    </row>
    <row r="1107" spans="5:19" x14ac:dyDescent="0.25">
      <c r="E1107" t="str">
        <f>IFERROR(VLOOKUP(D1107,'Team Data'!C:AB,4,FALSE),"")</f>
        <v/>
      </c>
      <c r="F1107" t="str">
        <f>IFERROR(VLOOKUP(D1107,'Team Data'!C:AB,5,FALSE),"")</f>
        <v/>
      </c>
      <c r="G1107" t="str">
        <f>IFERROR(VLOOKUP('OB Format'!D1107,'Team Data'!C:AB,17,FALSE),"")</f>
        <v/>
      </c>
      <c r="H1107" t="str">
        <f>IFERROR(VLOOKUP(D1107,'Team Data'!C:AB,7,FALSE),"")</f>
        <v/>
      </c>
      <c r="I1107" t="str">
        <f>IFERROR(VLOOKUP(D1107,'Team Data'!C:AB,14,FALSE),"")</f>
        <v/>
      </c>
      <c r="J1107" t="str">
        <f>IFERROR(VLOOKUP(D1107,'Team Data'!C:AB,8,FALSE),"")</f>
        <v/>
      </c>
      <c r="K1107" t="str">
        <f>IFERROR(VLOOKUP(D1107,'Team Data'!C:AB,9,FALSE),"")</f>
        <v/>
      </c>
      <c r="L1107" t="str">
        <f>IFERROR(VLOOKUP(D1107,'Team Data'!C:AB,10,FALSE),"")</f>
        <v/>
      </c>
      <c r="M1107" t="str">
        <f t="shared" si="36"/>
        <v/>
      </c>
      <c r="N1107" t="str">
        <f>IFERROR(VLOOKUP(D1107,'Team Data'!C:AB,23,FALSE),"")</f>
        <v/>
      </c>
      <c r="O1107" t="str">
        <f>IFERROR(VLOOKUP(D1107,'Team Data'!C:AB,22,FALSE),"")</f>
        <v/>
      </c>
      <c r="P1107" t="str">
        <f t="shared" si="37"/>
        <v/>
      </c>
      <c r="Q1107" t="str">
        <f>IFERROR(VLOOKUP(D1107,'Team Data'!C:AB,15,FALSE),"")</f>
        <v/>
      </c>
      <c r="R1107" t="str">
        <f>IFERROR(VLOOKUP('OB Format'!D1107,'Team Data'!C:AB,24,FALSE),"")</f>
        <v/>
      </c>
      <c r="S1107" t="str">
        <f>IFERROR(VLOOKUP('OB Format'!D1107,'Team Data'!C:AC,25,FALSE),"")</f>
        <v/>
      </c>
    </row>
    <row r="1108" spans="5:19" x14ac:dyDescent="0.25">
      <c r="E1108" t="str">
        <f>IFERROR(VLOOKUP(D1108,'Team Data'!C:AB,4,FALSE),"")</f>
        <v/>
      </c>
      <c r="F1108" t="str">
        <f>IFERROR(VLOOKUP(D1108,'Team Data'!C:AB,5,FALSE),"")</f>
        <v/>
      </c>
      <c r="G1108" t="str">
        <f>IFERROR(VLOOKUP('OB Format'!D1108,'Team Data'!C:AB,17,FALSE),"")</f>
        <v/>
      </c>
      <c r="H1108" t="str">
        <f>IFERROR(VLOOKUP(D1108,'Team Data'!C:AB,7,FALSE),"")</f>
        <v/>
      </c>
      <c r="I1108" t="str">
        <f>IFERROR(VLOOKUP(D1108,'Team Data'!C:AB,14,FALSE),"")</f>
        <v/>
      </c>
      <c r="J1108" t="str">
        <f>IFERROR(VLOOKUP(D1108,'Team Data'!C:AB,8,FALSE),"")</f>
        <v/>
      </c>
      <c r="K1108" t="str">
        <f>IFERROR(VLOOKUP(D1108,'Team Data'!C:AB,9,FALSE),"")</f>
        <v/>
      </c>
      <c r="L1108" t="str">
        <f>IFERROR(VLOOKUP(D1108,'Team Data'!C:AB,10,FALSE),"")</f>
        <v/>
      </c>
      <c r="M1108" t="str">
        <f t="shared" si="36"/>
        <v/>
      </c>
      <c r="N1108" t="str">
        <f>IFERROR(VLOOKUP(D1108,'Team Data'!C:AB,23,FALSE),"")</f>
        <v/>
      </c>
      <c r="O1108" t="str">
        <f>IFERROR(VLOOKUP(D1108,'Team Data'!C:AB,22,FALSE),"")</f>
        <v/>
      </c>
      <c r="P1108" t="str">
        <f t="shared" si="37"/>
        <v/>
      </c>
      <c r="Q1108" t="str">
        <f>IFERROR(VLOOKUP(D1108,'Team Data'!C:AB,15,FALSE),"")</f>
        <v/>
      </c>
      <c r="R1108" t="str">
        <f>IFERROR(VLOOKUP('OB Format'!D1108,'Team Data'!C:AB,24,FALSE),"")</f>
        <v/>
      </c>
      <c r="S1108" t="str">
        <f>IFERROR(VLOOKUP('OB Format'!D1108,'Team Data'!C:AC,25,FALSE),"")</f>
        <v/>
      </c>
    </row>
    <row r="1109" spans="5:19" x14ac:dyDescent="0.25">
      <c r="E1109" t="str">
        <f>IFERROR(VLOOKUP(D1109,'Team Data'!C:AB,4,FALSE),"")</f>
        <v/>
      </c>
      <c r="F1109" t="str">
        <f>IFERROR(VLOOKUP(D1109,'Team Data'!C:AB,5,FALSE),"")</f>
        <v/>
      </c>
      <c r="G1109" t="str">
        <f>IFERROR(VLOOKUP('OB Format'!D1109,'Team Data'!C:AB,17,FALSE),"")</f>
        <v/>
      </c>
      <c r="H1109" t="str">
        <f>IFERROR(VLOOKUP(D1109,'Team Data'!C:AB,7,FALSE),"")</f>
        <v/>
      </c>
      <c r="I1109" t="str">
        <f>IFERROR(VLOOKUP(D1109,'Team Data'!C:AB,14,FALSE),"")</f>
        <v/>
      </c>
      <c r="J1109" t="str">
        <f>IFERROR(VLOOKUP(D1109,'Team Data'!C:AB,8,FALSE),"")</f>
        <v/>
      </c>
      <c r="K1109" t="str">
        <f>IFERROR(VLOOKUP(D1109,'Team Data'!C:AB,9,FALSE),"")</f>
        <v/>
      </c>
      <c r="L1109" t="str">
        <f>IFERROR(VLOOKUP(D1109,'Team Data'!C:AB,10,FALSE),"")</f>
        <v/>
      </c>
      <c r="M1109" t="str">
        <f t="shared" si="36"/>
        <v/>
      </c>
      <c r="N1109" t="str">
        <f>IFERROR(VLOOKUP(D1109,'Team Data'!C:AB,23,FALSE),"")</f>
        <v/>
      </c>
      <c r="O1109" t="str">
        <f>IFERROR(VLOOKUP(D1109,'Team Data'!C:AB,22,FALSE),"")</f>
        <v/>
      </c>
      <c r="P1109" t="str">
        <f t="shared" si="37"/>
        <v/>
      </c>
      <c r="Q1109" t="str">
        <f>IFERROR(VLOOKUP(D1109,'Team Data'!C:AB,15,FALSE),"")</f>
        <v/>
      </c>
      <c r="R1109" t="str">
        <f>IFERROR(VLOOKUP('OB Format'!D1109,'Team Data'!C:AB,24,FALSE),"")</f>
        <v/>
      </c>
      <c r="S1109" t="str">
        <f>IFERROR(VLOOKUP('OB Format'!D1109,'Team Data'!C:AC,25,FALSE),"")</f>
        <v/>
      </c>
    </row>
    <row r="1110" spans="5:19" x14ac:dyDescent="0.25">
      <c r="E1110" t="str">
        <f>IFERROR(VLOOKUP(D1110,'Team Data'!C:AB,4,FALSE),"")</f>
        <v/>
      </c>
      <c r="F1110" t="str">
        <f>IFERROR(VLOOKUP(D1110,'Team Data'!C:AB,5,FALSE),"")</f>
        <v/>
      </c>
      <c r="G1110" t="str">
        <f>IFERROR(VLOOKUP('OB Format'!D1110,'Team Data'!C:AB,17,FALSE),"")</f>
        <v/>
      </c>
      <c r="H1110" t="str">
        <f>IFERROR(VLOOKUP(D1110,'Team Data'!C:AB,7,FALSE),"")</f>
        <v/>
      </c>
      <c r="I1110" t="str">
        <f>IFERROR(VLOOKUP(D1110,'Team Data'!C:AB,14,FALSE),"")</f>
        <v/>
      </c>
      <c r="J1110" t="str">
        <f>IFERROR(VLOOKUP(D1110,'Team Data'!C:AB,8,FALSE),"")</f>
        <v/>
      </c>
      <c r="K1110" t="str">
        <f>IFERROR(VLOOKUP(D1110,'Team Data'!C:AB,9,FALSE),"")</f>
        <v/>
      </c>
      <c r="L1110" t="str">
        <f>IFERROR(VLOOKUP(D1110,'Team Data'!C:AB,10,FALSE),"")</f>
        <v/>
      </c>
      <c r="M1110" t="str">
        <f t="shared" si="36"/>
        <v/>
      </c>
      <c r="N1110" t="str">
        <f>IFERROR(VLOOKUP(D1110,'Team Data'!C:AB,23,FALSE),"")</f>
        <v/>
      </c>
      <c r="O1110" t="str">
        <f>IFERROR(VLOOKUP(D1110,'Team Data'!C:AB,22,FALSE),"")</f>
        <v/>
      </c>
      <c r="P1110" t="str">
        <f t="shared" si="37"/>
        <v/>
      </c>
      <c r="Q1110" t="str">
        <f>IFERROR(VLOOKUP(D1110,'Team Data'!C:AB,15,FALSE),"")</f>
        <v/>
      </c>
      <c r="R1110" t="str">
        <f>IFERROR(VLOOKUP('OB Format'!D1110,'Team Data'!C:AB,24,FALSE),"")</f>
        <v/>
      </c>
      <c r="S1110" t="str">
        <f>IFERROR(VLOOKUP('OB Format'!D1110,'Team Data'!C:AC,25,FALSE),"")</f>
        <v/>
      </c>
    </row>
    <row r="1111" spans="5:19" x14ac:dyDescent="0.25">
      <c r="E1111" t="str">
        <f>IFERROR(VLOOKUP(D1111,'Team Data'!C:AB,4,FALSE),"")</f>
        <v/>
      </c>
      <c r="F1111" t="str">
        <f>IFERROR(VLOOKUP(D1111,'Team Data'!C:AB,5,FALSE),"")</f>
        <v/>
      </c>
      <c r="G1111" t="str">
        <f>IFERROR(VLOOKUP('OB Format'!D1111,'Team Data'!C:AB,17,FALSE),"")</f>
        <v/>
      </c>
      <c r="H1111" t="str">
        <f>IFERROR(VLOOKUP(D1111,'Team Data'!C:AB,7,FALSE),"")</f>
        <v/>
      </c>
      <c r="I1111" t="str">
        <f>IFERROR(VLOOKUP(D1111,'Team Data'!C:AB,14,FALSE),"")</f>
        <v/>
      </c>
      <c r="J1111" t="str">
        <f>IFERROR(VLOOKUP(D1111,'Team Data'!C:AB,8,FALSE),"")</f>
        <v/>
      </c>
      <c r="K1111" t="str">
        <f>IFERROR(VLOOKUP(D1111,'Team Data'!C:AB,9,FALSE),"")</f>
        <v/>
      </c>
      <c r="L1111" t="str">
        <f>IFERROR(VLOOKUP(D1111,'Team Data'!C:AB,10,FALSE),"")</f>
        <v/>
      </c>
      <c r="M1111" t="str">
        <f t="shared" si="36"/>
        <v/>
      </c>
      <c r="N1111" t="str">
        <f>IFERROR(VLOOKUP(D1111,'Team Data'!C:AB,23,FALSE),"")</f>
        <v/>
      </c>
      <c r="O1111" t="str">
        <f>IFERROR(VLOOKUP(D1111,'Team Data'!C:AB,22,FALSE),"")</f>
        <v/>
      </c>
      <c r="P1111" t="str">
        <f t="shared" si="37"/>
        <v/>
      </c>
      <c r="Q1111" t="str">
        <f>IFERROR(VLOOKUP(D1111,'Team Data'!C:AB,15,FALSE),"")</f>
        <v/>
      </c>
      <c r="R1111" t="str">
        <f>IFERROR(VLOOKUP('OB Format'!D1111,'Team Data'!C:AB,24,FALSE),"")</f>
        <v/>
      </c>
      <c r="S1111" t="str">
        <f>IFERROR(VLOOKUP('OB Format'!D1111,'Team Data'!C:AC,25,FALSE),"")</f>
        <v/>
      </c>
    </row>
    <row r="1112" spans="5:19" x14ac:dyDescent="0.25">
      <c r="E1112" t="str">
        <f>IFERROR(VLOOKUP(D1112,'Team Data'!C:AB,4,FALSE),"")</f>
        <v/>
      </c>
      <c r="F1112" t="str">
        <f>IFERROR(VLOOKUP(D1112,'Team Data'!C:AB,5,FALSE),"")</f>
        <v/>
      </c>
      <c r="G1112" t="str">
        <f>IFERROR(VLOOKUP('OB Format'!D1112,'Team Data'!C:AB,17,FALSE),"")</f>
        <v/>
      </c>
      <c r="H1112" t="str">
        <f>IFERROR(VLOOKUP(D1112,'Team Data'!C:AB,7,FALSE),"")</f>
        <v/>
      </c>
      <c r="I1112" t="str">
        <f>IFERROR(VLOOKUP(D1112,'Team Data'!C:AB,14,FALSE),"")</f>
        <v/>
      </c>
      <c r="J1112" t="str">
        <f>IFERROR(VLOOKUP(D1112,'Team Data'!C:AB,8,FALSE),"")</f>
        <v/>
      </c>
      <c r="K1112" t="str">
        <f>IFERROR(VLOOKUP(D1112,'Team Data'!C:AB,9,FALSE),"")</f>
        <v/>
      </c>
      <c r="L1112" t="str">
        <f>IFERROR(VLOOKUP(D1112,'Team Data'!C:AB,10,FALSE),"")</f>
        <v/>
      </c>
      <c r="M1112" t="str">
        <f t="shared" si="36"/>
        <v/>
      </c>
      <c r="N1112" t="str">
        <f>IFERROR(VLOOKUP(D1112,'Team Data'!C:AB,23,FALSE),"")</f>
        <v/>
      </c>
      <c r="O1112" t="str">
        <f>IFERROR(VLOOKUP(D1112,'Team Data'!C:AB,22,FALSE),"")</f>
        <v/>
      </c>
      <c r="P1112" t="str">
        <f t="shared" si="37"/>
        <v/>
      </c>
      <c r="Q1112" t="str">
        <f>IFERROR(VLOOKUP(D1112,'Team Data'!C:AB,15,FALSE),"")</f>
        <v/>
      </c>
      <c r="R1112" t="str">
        <f>IFERROR(VLOOKUP('OB Format'!D1112,'Team Data'!C:AB,24,FALSE),"")</f>
        <v/>
      </c>
      <c r="S1112" t="str">
        <f>IFERROR(VLOOKUP('OB Format'!D1112,'Team Data'!C:AC,25,FALSE),"")</f>
        <v/>
      </c>
    </row>
    <row r="1113" spans="5:19" x14ac:dyDescent="0.25">
      <c r="E1113" t="str">
        <f>IFERROR(VLOOKUP(D1113,'Team Data'!C:AB,4,FALSE),"")</f>
        <v/>
      </c>
      <c r="F1113" t="str">
        <f>IFERROR(VLOOKUP(D1113,'Team Data'!C:AB,5,FALSE),"")</f>
        <v/>
      </c>
      <c r="G1113" t="str">
        <f>IFERROR(VLOOKUP('OB Format'!D1113,'Team Data'!C:AB,17,FALSE),"")</f>
        <v/>
      </c>
      <c r="H1113" t="str">
        <f>IFERROR(VLOOKUP(D1113,'Team Data'!C:AB,7,FALSE),"")</f>
        <v/>
      </c>
      <c r="I1113" t="str">
        <f>IFERROR(VLOOKUP(D1113,'Team Data'!C:AB,14,FALSE),"")</f>
        <v/>
      </c>
      <c r="J1113" t="str">
        <f>IFERROR(VLOOKUP(D1113,'Team Data'!C:AB,8,FALSE),"")</f>
        <v/>
      </c>
      <c r="K1113" t="str">
        <f>IFERROR(VLOOKUP(D1113,'Team Data'!C:AB,9,FALSE),"")</f>
        <v/>
      </c>
      <c r="L1113" t="str">
        <f>IFERROR(VLOOKUP(D1113,'Team Data'!C:AB,10,FALSE),"")</f>
        <v/>
      </c>
      <c r="M1113" t="str">
        <f t="shared" si="36"/>
        <v/>
      </c>
      <c r="N1113" t="str">
        <f>IFERROR(VLOOKUP(D1113,'Team Data'!C:AB,23,FALSE),"")</f>
        <v/>
      </c>
      <c r="O1113" t="str">
        <f>IFERROR(VLOOKUP(D1113,'Team Data'!C:AB,22,FALSE),"")</f>
        <v/>
      </c>
      <c r="P1113" t="str">
        <f t="shared" si="37"/>
        <v/>
      </c>
      <c r="Q1113" t="str">
        <f>IFERROR(VLOOKUP(D1113,'Team Data'!C:AB,15,FALSE),"")</f>
        <v/>
      </c>
      <c r="R1113" t="str">
        <f>IFERROR(VLOOKUP('OB Format'!D1113,'Team Data'!C:AB,24,FALSE),"")</f>
        <v/>
      </c>
      <c r="S1113" t="str">
        <f>IFERROR(VLOOKUP('OB Format'!D1113,'Team Data'!C:AC,25,FALSE),"")</f>
        <v/>
      </c>
    </row>
    <row r="1114" spans="5:19" x14ac:dyDescent="0.25">
      <c r="E1114" t="str">
        <f>IFERROR(VLOOKUP(D1114,'Team Data'!C:AB,4,FALSE),"")</f>
        <v/>
      </c>
      <c r="F1114" t="str">
        <f>IFERROR(VLOOKUP(D1114,'Team Data'!C:AB,5,FALSE),"")</f>
        <v/>
      </c>
      <c r="G1114" t="str">
        <f>IFERROR(VLOOKUP('OB Format'!D1114,'Team Data'!C:AB,17,FALSE),"")</f>
        <v/>
      </c>
      <c r="H1114" t="str">
        <f>IFERROR(VLOOKUP(D1114,'Team Data'!C:AB,7,FALSE),"")</f>
        <v/>
      </c>
      <c r="I1114" t="str">
        <f>IFERROR(VLOOKUP(D1114,'Team Data'!C:AB,14,FALSE),"")</f>
        <v/>
      </c>
      <c r="J1114" t="str">
        <f>IFERROR(VLOOKUP(D1114,'Team Data'!C:AB,8,FALSE),"")</f>
        <v/>
      </c>
      <c r="K1114" t="str">
        <f>IFERROR(VLOOKUP(D1114,'Team Data'!C:AB,9,FALSE),"")</f>
        <v/>
      </c>
      <c r="L1114" t="str">
        <f>IFERROR(VLOOKUP(D1114,'Team Data'!C:AB,10,FALSE),"")</f>
        <v/>
      </c>
      <c r="M1114" t="str">
        <f t="shared" si="36"/>
        <v/>
      </c>
      <c r="N1114" t="str">
        <f>IFERROR(VLOOKUP(D1114,'Team Data'!C:AB,23,FALSE),"")</f>
        <v/>
      </c>
      <c r="O1114" t="str">
        <f>IFERROR(VLOOKUP(D1114,'Team Data'!C:AB,22,FALSE),"")</f>
        <v/>
      </c>
      <c r="P1114" t="str">
        <f t="shared" si="37"/>
        <v/>
      </c>
      <c r="Q1114" t="str">
        <f>IFERROR(VLOOKUP(D1114,'Team Data'!C:AB,15,FALSE),"")</f>
        <v/>
      </c>
      <c r="R1114" t="str">
        <f>IFERROR(VLOOKUP('OB Format'!D1114,'Team Data'!C:AB,24,FALSE),"")</f>
        <v/>
      </c>
      <c r="S1114" t="str">
        <f>IFERROR(VLOOKUP('OB Format'!D1114,'Team Data'!C:AC,25,FALSE),"")</f>
        <v/>
      </c>
    </row>
    <row r="1115" spans="5:19" x14ac:dyDescent="0.25">
      <c r="E1115" t="str">
        <f>IFERROR(VLOOKUP(D1115,'Team Data'!C:AB,4,FALSE),"")</f>
        <v/>
      </c>
      <c r="F1115" t="str">
        <f>IFERROR(VLOOKUP(D1115,'Team Data'!C:AB,5,FALSE),"")</f>
        <v/>
      </c>
      <c r="G1115" t="str">
        <f>IFERROR(VLOOKUP('OB Format'!D1115,'Team Data'!C:AB,17,FALSE),"")</f>
        <v/>
      </c>
      <c r="H1115" t="str">
        <f>IFERROR(VLOOKUP(D1115,'Team Data'!C:AB,7,FALSE),"")</f>
        <v/>
      </c>
      <c r="I1115" t="str">
        <f>IFERROR(VLOOKUP(D1115,'Team Data'!C:AB,14,FALSE),"")</f>
        <v/>
      </c>
      <c r="J1115" t="str">
        <f>IFERROR(VLOOKUP(D1115,'Team Data'!C:AB,8,FALSE),"")</f>
        <v/>
      </c>
      <c r="K1115" t="str">
        <f>IFERROR(VLOOKUP(D1115,'Team Data'!C:AB,9,FALSE),"")</f>
        <v/>
      </c>
      <c r="L1115" t="str">
        <f>IFERROR(VLOOKUP(D1115,'Team Data'!C:AB,10,FALSE),"")</f>
        <v/>
      </c>
      <c r="M1115" t="str">
        <f t="shared" si="36"/>
        <v/>
      </c>
      <c r="N1115" t="str">
        <f>IFERROR(VLOOKUP(D1115,'Team Data'!C:AB,23,FALSE),"")</f>
        <v/>
      </c>
      <c r="O1115" t="str">
        <f>IFERROR(VLOOKUP(D1115,'Team Data'!C:AB,22,FALSE),"")</f>
        <v/>
      </c>
      <c r="P1115" t="str">
        <f t="shared" si="37"/>
        <v/>
      </c>
      <c r="Q1115" t="str">
        <f>IFERROR(VLOOKUP(D1115,'Team Data'!C:AB,15,FALSE),"")</f>
        <v/>
      </c>
      <c r="R1115" t="str">
        <f>IFERROR(VLOOKUP('OB Format'!D1115,'Team Data'!C:AB,24,FALSE),"")</f>
        <v/>
      </c>
      <c r="S1115" t="str">
        <f>IFERROR(VLOOKUP('OB Format'!D1115,'Team Data'!C:AC,25,FALSE),"")</f>
        <v/>
      </c>
    </row>
    <row r="1116" spans="5:19" x14ac:dyDescent="0.25">
      <c r="E1116" t="str">
        <f>IFERROR(VLOOKUP(D1116,'Team Data'!C:AB,4,FALSE),"")</f>
        <v/>
      </c>
      <c r="F1116" t="str">
        <f>IFERROR(VLOOKUP(D1116,'Team Data'!C:AB,5,FALSE),"")</f>
        <v/>
      </c>
      <c r="G1116" t="str">
        <f>IFERROR(VLOOKUP('OB Format'!D1116,'Team Data'!C:AB,17,FALSE),"")</f>
        <v/>
      </c>
      <c r="H1116" t="str">
        <f>IFERROR(VLOOKUP(D1116,'Team Data'!C:AB,7,FALSE),"")</f>
        <v/>
      </c>
      <c r="I1116" t="str">
        <f>IFERROR(VLOOKUP(D1116,'Team Data'!C:AB,14,FALSE),"")</f>
        <v/>
      </c>
      <c r="J1116" t="str">
        <f>IFERROR(VLOOKUP(D1116,'Team Data'!C:AB,8,FALSE),"")</f>
        <v/>
      </c>
      <c r="K1116" t="str">
        <f>IFERROR(VLOOKUP(D1116,'Team Data'!C:AB,9,FALSE),"")</f>
        <v/>
      </c>
      <c r="L1116" t="str">
        <f>IFERROR(VLOOKUP(D1116,'Team Data'!C:AB,10,FALSE),"")</f>
        <v/>
      </c>
      <c r="M1116" t="str">
        <f t="shared" si="36"/>
        <v/>
      </c>
      <c r="N1116" t="str">
        <f>IFERROR(VLOOKUP(D1116,'Team Data'!C:AB,23,FALSE),"")</f>
        <v/>
      </c>
      <c r="O1116" t="str">
        <f>IFERROR(VLOOKUP(D1116,'Team Data'!C:AB,22,FALSE),"")</f>
        <v/>
      </c>
      <c r="P1116" t="str">
        <f t="shared" si="37"/>
        <v/>
      </c>
      <c r="Q1116" t="str">
        <f>IFERROR(VLOOKUP(D1116,'Team Data'!C:AB,15,FALSE),"")</f>
        <v/>
      </c>
      <c r="R1116" t="str">
        <f>IFERROR(VLOOKUP('OB Format'!D1116,'Team Data'!C:AB,24,FALSE),"")</f>
        <v/>
      </c>
      <c r="S1116" t="str">
        <f>IFERROR(VLOOKUP('OB Format'!D1116,'Team Data'!C:AC,25,FALSE),"")</f>
        <v/>
      </c>
    </row>
    <row r="1117" spans="5:19" x14ac:dyDescent="0.25">
      <c r="E1117" t="str">
        <f>IFERROR(VLOOKUP(D1117,'Team Data'!C:AB,4,FALSE),"")</f>
        <v/>
      </c>
      <c r="F1117" t="str">
        <f>IFERROR(VLOOKUP(D1117,'Team Data'!C:AB,5,FALSE),"")</f>
        <v/>
      </c>
      <c r="G1117" t="str">
        <f>IFERROR(VLOOKUP('OB Format'!D1117,'Team Data'!C:AB,17,FALSE),"")</f>
        <v/>
      </c>
      <c r="H1117" t="str">
        <f>IFERROR(VLOOKUP(D1117,'Team Data'!C:AB,7,FALSE),"")</f>
        <v/>
      </c>
      <c r="I1117" t="str">
        <f>IFERROR(VLOOKUP(D1117,'Team Data'!C:AB,14,FALSE),"")</f>
        <v/>
      </c>
      <c r="J1117" t="str">
        <f>IFERROR(VLOOKUP(D1117,'Team Data'!C:AB,8,FALSE),"")</f>
        <v/>
      </c>
      <c r="K1117" t="str">
        <f>IFERROR(VLOOKUP(D1117,'Team Data'!C:AB,9,FALSE),"")</f>
        <v/>
      </c>
      <c r="L1117" t="str">
        <f>IFERROR(VLOOKUP(D1117,'Team Data'!C:AB,10,FALSE),"")</f>
        <v/>
      </c>
      <c r="M1117" t="str">
        <f t="shared" si="36"/>
        <v/>
      </c>
      <c r="N1117" t="str">
        <f>IFERROR(VLOOKUP(D1117,'Team Data'!C:AB,23,FALSE),"")</f>
        <v/>
      </c>
      <c r="O1117" t="str">
        <f>IFERROR(VLOOKUP(D1117,'Team Data'!C:AB,22,FALSE),"")</f>
        <v/>
      </c>
      <c r="P1117" t="str">
        <f t="shared" si="37"/>
        <v/>
      </c>
      <c r="Q1117" t="str">
        <f>IFERROR(VLOOKUP(D1117,'Team Data'!C:AB,15,FALSE),"")</f>
        <v/>
      </c>
      <c r="R1117" t="str">
        <f>IFERROR(VLOOKUP('OB Format'!D1117,'Team Data'!C:AB,24,FALSE),"")</f>
        <v/>
      </c>
      <c r="S1117" t="str">
        <f>IFERROR(VLOOKUP('OB Format'!D1117,'Team Data'!C:AC,25,FALSE),"")</f>
        <v/>
      </c>
    </row>
    <row r="1118" spans="5:19" x14ac:dyDescent="0.25">
      <c r="E1118" t="str">
        <f>IFERROR(VLOOKUP(D1118,'Team Data'!C:AB,4,FALSE),"")</f>
        <v/>
      </c>
      <c r="F1118" t="str">
        <f>IFERROR(VLOOKUP(D1118,'Team Data'!C:AB,5,FALSE),"")</f>
        <v/>
      </c>
      <c r="G1118" t="str">
        <f>IFERROR(VLOOKUP('OB Format'!D1118,'Team Data'!C:AB,17,FALSE),"")</f>
        <v/>
      </c>
      <c r="H1118" t="str">
        <f>IFERROR(VLOOKUP(D1118,'Team Data'!C:AB,7,FALSE),"")</f>
        <v/>
      </c>
      <c r="I1118" t="str">
        <f>IFERROR(VLOOKUP(D1118,'Team Data'!C:AB,14,FALSE),"")</f>
        <v/>
      </c>
      <c r="J1118" t="str">
        <f>IFERROR(VLOOKUP(D1118,'Team Data'!C:AB,8,FALSE),"")</f>
        <v/>
      </c>
      <c r="K1118" t="str">
        <f>IFERROR(VLOOKUP(D1118,'Team Data'!C:AB,9,FALSE),"")</f>
        <v/>
      </c>
      <c r="L1118" t="str">
        <f>IFERROR(VLOOKUP(D1118,'Team Data'!C:AB,10,FALSE),"")</f>
        <v/>
      </c>
      <c r="M1118" t="str">
        <f t="shared" si="36"/>
        <v/>
      </c>
      <c r="N1118" t="str">
        <f>IFERROR(VLOOKUP(D1118,'Team Data'!C:AB,23,FALSE),"")</f>
        <v/>
      </c>
      <c r="O1118" t="str">
        <f>IFERROR(VLOOKUP(D1118,'Team Data'!C:AB,22,FALSE),"")</f>
        <v/>
      </c>
      <c r="P1118" t="str">
        <f t="shared" si="37"/>
        <v/>
      </c>
      <c r="Q1118" t="str">
        <f>IFERROR(VLOOKUP(D1118,'Team Data'!C:AB,15,FALSE),"")</f>
        <v/>
      </c>
      <c r="R1118" t="str">
        <f>IFERROR(VLOOKUP('OB Format'!D1118,'Team Data'!C:AB,24,FALSE),"")</f>
        <v/>
      </c>
      <c r="S1118" t="str">
        <f>IFERROR(VLOOKUP('OB Format'!D1118,'Team Data'!C:AC,25,FALSE),"")</f>
        <v/>
      </c>
    </row>
    <row r="1119" spans="5:19" x14ac:dyDescent="0.25">
      <c r="E1119" t="str">
        <f>IFERROR(VLOOKUP(D1119,'Team Data'!C:AB,4,FALSE),"")</f>
        <v/>
      </c>
      <c r="F1119" t="str">
        <f>IFERROR(VLOOKUP(D1119,'Team Data'!C:AB,5,FALSE),"")</f>
        <v/>
      </c>
      <c r="G1119" t="str">
        <f>IFERROR(VLOOKUP('OB Format'!D1119,'Team Data'!C:AB,17,FALSE),"")</f>
        <v/>
      </c>
      <c r="H1119" t="str">
        <f>IFERROR(VLOOKUP(D1119,'Team Data'!C:AB,7,FALSE),"")</f>
        <v/>
      </c>
      <c r="I1119" t="str">
        <f>IFERROR(VLOOKUP(D1119,'Team Data'!C:AB,14,FALSE),"")</f>
        <v/>
      </c>
      <c r="J1119" t="str">
        <f>IFERROR(VLOOKUP(D1119,'Team Data'!C:AB,8,FALSE),"")</f>
        <v/>
      </c>
      <c r="K1119" t="str">
        <f>IFERROR(VLOOKUP(D1119,'Team Data'!C:AB,9,FALSE),"")</f>
        <v/>
      </c>
      <c r="L1119" t="str">
        <f>IFERROR(VLOOKUP(D1119,'Team Data'!C:AB,10,FALSE),"")</f>
        <v/>
      </c>
      <c r="M1119" t="str">
        <f t="shared" si="36"/>
        <v/>
      </c>
      <c r="N1119" t="str">
        <f>IFERROR(VLOOKUP(D1119,'Team Data'!C:AB,23,FALSE),"")</f>
        <v/>
      </c>
      <c r="O1119" t="str">
        <f>IFERROR(VLOOKUP(D1119,'Team Data'!C:AB,22,FALSE),"")</f>
        <v/>
      </c>
      <c r="P1119" t="str">
        <f t="shared" si="37"/>
        <v/>
      </c>
      <c r="Q1119" t="str">
        <f>IFERROR(VLOOKUP(D1119,'Team Data'!C:AB,15,FALSE),"")</f>
        <v/>
      </c>
      <c r="R1119" t="str">
        <f>IFERROR(VLOOKUP('OB Format'!D1119,'Team Data'!C:AB,24,FALSE),"")</f>
        <v/>
      </c>
      <c r="S1119" t="str">
        <f>IFERROR(VLOOKUP('OB Format'!D1119,'Team Data'!C:AC,25,FALSE),"")</f>
        <v/>
      </c>
    </row>
    <row r="1120" spans="5:19" x14ac:dyDescent="0.25">
      <c r="E1120" t="str">
        <f>IFERROR(VLOOKUP(D1120,'Team Data'!C:AB,4,FALSE),"")</f>
        <v/>
      </c>
      <c r="F1120" t="str">
        <f>IFERROR(VLOOKUP(D1120,'Team Data'!C:AB,5,FALSE),"")</f>
        <v/>
      </c>
      <c r="G1120" t="str">
        <f>IFERROR(VLOOKUP('OB Format'!D1120,'Team Data'!C:AB,17,FALSE),"")</f>
        <v/>
      </c>
      <c r="H1120" t="str">
        <f>IFERROR(VLOOKUP(D1120,'Team Data'!C:AB,7,FALSE),"")</f>
        <v/>
      </c>
      <c r="I1120" t="str">
        <f>IFERROR(VLOOKUP(D1120,'Team Data'!C:AB,14,FALSE),"")</f>
        <v/>
      </c>
      <c r="J1120" t="str">
        <f>IFERROR(VLOOKUP(D1120,'Team Data'!C:AB,8,FALSE),"")</f>
        <v/>
      </c>
      <c r="K1120" t="str">
        <f>IFERROR(VLOOKUP(D1120,'Team Data'!C:AB,9,FALSE),"")</f>
        <v/>
      </c>
      <c r="L1120" t="str">
        <f>IFERROR(VLOOKUP(D1120,'Team Data'!C:AB,10,FALSE),"")</f>
        <v/>
      </c>
      <c r="M1120" t="str">
        <f t="shared" si="36"/>
        <v/>
      </c>
      <c r="N1120" t="str">
        <f>IFERROR(VLOOKUP(D1120,'Team Data'!C:AB,23,FALSE),"")</f>
        <v/>
      </c>
      <c r="O1120" t="str">
        <f>IFERROR(VLOOKUP(D1120,'Team Data'!C:AB,22,FALSE),"")</f>
        <v/>
      </c>
      <c r="P1120" t="str">
        <f t="shared" si="37"/>
        <v/>
      </c>
      <c r="Q1120" t="str">
        <f>IFERROR(VLOOKUP(D1120,'Team Data'!C:AB,15,FALSE),"")</f>
        <v/>
      </c>
      <c r="R1120" t="str">
        <f>IFERROR(VLOOKUP('OB Format'!D1120,'Team Data'!C:AB,24,FALSE),"")</f>
        <v/>
      </c>
      <c r="S1120" t="str">
        <f>IFERROR(VLOOKUP('OB Format'!D1120,'Team Data'!C:AC,25,FALSE),"")</f>
        <v/>
      </c>
    </row>
    <row r="1121" spans="5:19" x14ac:dyDescent="0.25">
      <c r="E1121" t="str">
        <f>IFERROR(VLOOKUP(D1121,'Team Data'!C:AB,4,FALSE),"")</f>
        <v/>
      </c>
      <c r="F1121" t="str">
        <f>IFERROR(VLOOKUP(D1121,'Team Data'!C:AB,5,FALSE),"")</f>
        <v/>
      </c>
      <c r="G1121" t="str">
        <f>IFERROR(VLOOKUP('OB Format'!D1121,'Team Data'!C:AB,17,FALSE),"")</f>
        <v/>
      </c>
      <c r="H1121" t="str">
        <f>IFERROR(VLOOKUP(D1121,'Team Data'!C:AB,7,FALSE),"")</f>
        <v/>
      </c>
      <c r="I1121" t="str">
        <f>IFERROR(VLOOKUP(D1121,'Team Data'!C:AB,14,FALSE),"")</f>
        <v/>
      </c>
      <c r="J1121" t="str">
        <f>IFERROR(VLOOKUP(D1121,'Team Data'!C:AB,8,FALSE),"")</f>
        <v/>
      </c>
      <c r="K1121" t="str">
        <f>IFERROR(VLOOKUP(D1121,'Team Data'!C:AB,9,FALSE),"")</f>
        <v/>
      </c>
      <c r="L1121" t="str">
        <f>IFERROR(VLOOKUP(D1121,'Team Data'!C:AB,10,FALSE),"")</f>
        <v/>
      </c>
      <c r="M1121" t="str">
        <f t="shared" si="36"/>
        <v/>
      </c>
      <c r="N1121" t="str">
        <f>IFERROR(VLOOKUP(D1121,'Team Data'!C:AB,23,FALSE),"")</f>
        <v/>
      </c>
      <c r="O1121" t="str">
        <f>IFERROR(VLOOKUP(D1121,'Team Data'!C:AB,22,FALSE),"")</f>
        <v/>
      </c>
      <c r="P1121" t="str">
        <f t="shared" si="37"/>
        <v/>
      </c>
      <c r="Q1121" t="str">
        <f>IFERROR(VLOOKUP(D1121,'Team Data'!C:AB,15,FALSE),"")</f>
        <v/>
      </c>
      <c r="R1121" t="str">
        <f>IFERROR(VLOOKUP('OB Format'!D1121,'Team Data'!C:AB,24,FALSE),"")</f>
        <v/>
      </c>
      <c r="S1121" t="str">
        <f>IFERROR(VLOOKUP('OB Format'!D1121,'Team Data'!C:AC,25,FALSE),"")</f>
        <v/>
      </c>
    </row>
    <row r="1122" spans="5:19" x14ac:dyDescent="0.25">
      <c r="E1122" t="str">
        <f>IFERROR(VLOOKUP(D1122,'Team Data'!C:AB,4,FALSE),"")</f>
        <v/>
      </c>
      <c r="F1122" t="str">
        <f>IFERROR(VLOOKUP(D1122,'Team Data'!C:AB,5,FALSE),"")</f>
        <v/>
      </c>
      <c r="G1122" t="str">
        <f>IFERROR(VLOOKUP('OB Format'!D1122,'Team Data'!C:AB,17,FALSE),"")</f>
        <v/>
      </c>
      <c r="H1122" t="str">
        <f>IFERROR(VLOOKUP(D1122,'Team Data'!C:AB,7,FALSE),"")</f>
        <v/>
      </c>
      <c r="I1122" t="str">
        <f>IFERROR(VLOOKUP(D1122,'Team Data'!C:AB,14,FALSE),"")</f>
        <v/>
      </c>
      <c r="J1122" t="str">
        <f>IFERROR(VLOOKUP(D1122,'Team Data'!C:AB,8,FALSE),"")</f>
        <v/>
      </c>
      <c r="K1122" t="str">
        <f>IFERROR(VLOOKUP(D1122,'Team Data'!C:AB,9,FALSE),"")</f>
        <v/>
      </c>
      <c r="L1122" t="str">
        <f>IFERROR(VLOOKUP(D1122,'Team Data'!C:AB,10,FALSE),"")</f>
        <v/>
      </c>
      <c r="M1122" t="str">
        <f t="shared" si="36"/>
        <v/>
      </c>
      <c r="N1122" t="str">
        <f>IFERROR(VLOOKUP(D1122,'Team Data'!C:AB,23,FALSE),"")</f>
        <v/>
      </c>
      <c r="O1122" t="str">
        <f>IFERROR(VLOOKUP(D1122,'Team Data'!C:AB,22,FALSE),"")</f>
        <v/>
      </c>
      <c r="P1122" t="str">
        <f t="shared" si="37"/>
        <v/>
      </c>
      <c r="Q1122" t="str">
        <f>IFERROR(VLOOKUP(D1122,'Team Data'!C:AB,15,FALSE),"")</f>
        <v/>
      </c>
      <c r="R1122" t="str">
        <f>IFERROR(VLOOKUP('OB Format'!D1122,'Team Data'!C:AB,24,FALSE),"")</f>
        <v/>
      </c>
      <c r="S1122" t="str">
        <f>IFERROR(VLOOKUP('OB Format'!D1122,'Team Data'!C:AC,25,FALSE),"")</f>
        <v/>
      </c>
    </row>
    <row r="1123" spans="5:19" x14ac:dyDescent="0.25">
      <c r="E1123" t="str">
        <f>IFERROR(VLOOKUP(D1123,'Team Data'!C:AB,4,FALSE),"")</f>
        <v/>
      </c>
      <c r="F1123" t="str">
        <f>IFERROR(VLOOKUP(D1123,'Team Data'!C:AB,5,FALSE),"")</f>
        <v/>
      </c>
      <c r="G1123" t="str">
        <f>IFERROR(VLOOKUP('OB Format'!D1123,'Team Data'!C:AB,17,FALSE),"")</f>
        <v/>
      </c>
      <c r="H1123" t="str">
        <f>IFERROR(VLOOKUP(D1123,'Team Data'!C:AB,7,FALSE),"")</f>
        <v/>
      </c>
      <c r="I1123" t="str">
        <f>IFERROR(VLOOKUP(D1123,'Team Data'!C:AB,14,FALSE),"")</f>
        <v/>
      </c>
      <c r="J1123" t="str">
        <f>IFERROR(VLOOKUP(D1123,'Team Data'!C:AB,8,FALSE),"")</f>
        <v/>
      </c>
      <c r="K1123" t="str">
        <f>IFERROR(VLOOKUP(D1123,'Team Data'!C:AB,9,FALSE),"")</f>
        <v/>
      </c>
      <c r="L1123" t="str">
        <f>IFERROR(VLOOKUP(D1123,'Team Data'!C:AB,10,FALSE),"")</f>
        <v/>
      </c>
      <c r="M1123" t="str">
        <f t="shared" si="36"/>
        <v/>
      </c>
      <c r="N1123" t="str">
        <f>IFERROR(VLOOKUP(D1123,'Team Data'!C:AB,23,FALSE),"")</f>
        <v/>
      </c>
      <c r="O1123" t="str">
        <f>IFERROR(VLOOKUP(D1123,'Team Data'!C:AB,22,FALSE),"")</f>
        <v/>
      </c>
      <c r="P1123" t="str">
        <f t="shared" si="37"/>
        <v/>
      </c>
      <c r="Q1123" t="str">
        <f>IFERROR(VLOOKUP(D1123,'Team Data'!C:AB,15,FALSE),"")</f>
        <v/>
      </c>
      <c r="R1123" t="str">
        <f>IFERROR(VLOOKUP('OB Format'!D1123,'Team Data'!C:AB,24,FALSE),"")</f>
        <v/>
      </c>
      <c r="S1123" t="str">
        <f>IFERROR(VLOOKUP('OB Format'!D1123,'Team Data'!C:AC,25,FALSE),"")</f>
        <v/>
      </c>
    </row>
    <row r="1124" spans="5:19" x14ac:dyDescent="0.25">
      <c r="E1124" t="str">
        <f>IFERROR(VLOOKUP(D1124,'Team Data'!C:AB,4,FALSE),"")</f>
        <v/>
      </c>
      <c r="F1124" t="str">
        <f>IFERROR(VLOOKUP(D1124,'Team Data'!C:AB,5,FALSE),"")</f>
        <v/>
      </c>
      <c r="G1124" t="str">
        <f>IFERROR(VLOOKUP('OB Format'!D1124,'Team Data'!C:AB,17,FALSE),"")</f>
        <v/>
      </c>
      <c r="H1124" t="str">
        <f>IFERROR(VLOOKUP(D1124,'Team Data'!C:AB,7,FALSE),"")</f>
        <v/>
      </c>
      <c r="I1124" t="str">
        <f>IFERROR(VLOOKUP(D1124,'Team Data'!C:AB,14,FALSE),"")</f>
        <v/>
      </c>
      <c r="J1124" t="str">
        <f>IFERROR(VLOOKUP(D1124,'Team Data'!C:AB,8,FALSE),"")</f>
        <v/>
      </c>
      <c r="K1124" t="str">
        <f>IFERROR(VLOOKUP(D1124,'Team Data'!C:AB,9,FALSE),"")</f>
        <v/>
      </c>
      <c r="L1124" t="str">
        <f>IFERROR(VLOOKUP(D1124,'Team Data'!C:AB,10,FALSE),"")</f>
        <v/>
      </c>
      <c r="M1124" t="str">
        <f t="shared" si="36"/>
        <v/>
      </c>
      <c r="N1124" t="str">
        <f>IFERROR(VLOOKUP(D1124,'Team Data'!C:AB,23,FALSE),"")</f>
        <v/>
      </c>
      <c r="O1124" t="str">
        <f>IFERROR(VLOOKUP(D1124,'Team Data'!C:AB,22,FALSE),"")</f>
        <v/>
      </c>
      <c r="P1124" t="str">
        <f t="shared" si="37"/>
        <v/>
      </c>
      <c r="Q1124" t="str">
        <f>IFERROR(VLOOKUP(D1124,'Team Data'!C:AB,15,FALSE),"")</f>
        <v/>
      </c>
      <c r="R1124" t="str">
        <f>IFERROR(VLOOKUP('OB Format'!D1124,'Team Data'!C:AB,24,FALSE),"")</f>
        <v/>
      </c>
      <c r="S1124" t="str">
        <f>IFERROR(VLOOKUP('OB Format'!D1124,'Team Data'!C:AC,25,FALSE),"")</f>
        <v/>
      </c>
    </row>
    <row r="1125" spans="5:19" x14ac:dyDescent="0.25">
      <c r="E1125" t="str">
        <f>IFERROR(VLOOKUP(D1125,'Team Data'!C:AB,4,FALSE),"")</f>
        <v/>
      </c>
      <c r="F1125" t="str">
        <f>IFERROR(VLOOKUP(D1125,'Team Data'!C:AB,5,FALSE),"")</f>
        <v/>
      </c>
      <c r="G1125" t="str">
        <f>IFERROR(VLOOKUP('OB Format'!D1125,'Team Data'!C:AB,17,FALSE),"")</f>
        <v/>
      </c>
      <c r="H1125" t="str">
        <f>IFERROR(VLOOKUP(D1125,'Team Data'!C:AB,7,FALSE),"")</f>
        <v/>
      </c>
      <c r="I1125" t="str">
        <f>IFERROR(VLOOKUP(D1125,'Team Data'!C:AB,14,FALSE),"")</f>
        <v/>
      </c>
      <c r="J1125" t="str">
        <f>IFERROR(VLOOKUP(D1125,'Team Data'!C:AB,8,FALSE),"")</f>
        <v/>
      </c>
      <c r="K1125" t="str">
        <f>IFERROR(VLOOKUP(D1125,'Team Data'!C:AB,9,FALSE),"")</f>
        <v/>
      </c>
      <c r="L1125" t="str">
        <f>IFERROR(VLOOKUP(D1125,'Team Data'!C:AB,10,FALSE),"")</f>
        <v/>
      </c>
      <c r="M1125" t="str">
        <f t="shared" si="36"/>
        <v/>
      </c>
      <c r="N1125" t="str">
        <f>IFERROR(VLOOKUP(D1125,'Team Data'!C:AB,23,FALSE),"")</f>
        <v/>
      </c>
      <c r="O1125" t="str">
        <f>IFERROR(VLOOKUP(D1125,'Team Data'!C:AB,22,FALSE),"")</f>
        <v/>
      </c>
      <c r="P1125" t="str">
        <f t="shared" si="37"/>
        <v/>
      </c>
      <c r="Q1125" t="str">
        <f>IFERROR(VLOOKUP(D1125,'Team Data'!C:AB,15,FALSE),"")</f>
        <v/>
      </c>
      <c r="R1125" t="str">
        <f>IFERROR(VLOOKUP('OB Format'!D1125,'Team Data'!C:AB,24,FALSE),"")</f>
        <v/>
      </c>
      <c r="S1125" t="str">
        <f>IFERROR(VLOOKUP('OB Format'!D1125,'Team Data'!C:AC,25,FALSE),"")</f>
        <v/>
      </c>
    </row>
    <row r="1126" spans="5:19" x14ac:dyDescent="0.25">
      <c r="E1126" t="str">
        <f>IFERROR(VLOOKUP(D1126,'Team Data'!C:AB,4,FALSE),"")</f>
        <v/>
      </c>
      <c r="F1126" t="str">
        <f>IFERROR(VLOOKUP(D1126,'Team Data'!C:AB,5,FALSE),"")</f>
        <v/>
      </c>
      <c r="G1126" t="str">
        <f>IFERROR(VLOOKUP('OB Format'!D1126,'Team Data'!C:AB,17,FALSE),"")</f>
        <v/>
      </c>
      <c r="H1126" t="str">
        <f>IFERROR(VLOOKUP(D1126,'Team Data'!C:AB,7,FALSE),"")</f>
        <v/>
      </c>
      <c r="I1126" t="str">
        <f>IFERROR(VLOOKUP(D1126,'Team Data'!C:AB,14,FALSE),"")</f>
        <v/>
      </c>
      <c r="J1126" t="str">
        <f>IFERROR(VLOOKUP(D1126,'Team Data'!C:AB,8,FALSE),"")</f>
        <v/>
      </c>
      <c r="K1126" t="str">
        <f>IFERROR(VLOOKUP(D1126,'Team Data'!C:AB,9,FALSE),"")</f>
        <v/>
      </c>
      <c r="L1126" t="str">
        <f>IFERROR(VLOOKUP(D1126,'Team Data'!C:AB,10,FALSE),"")</f>
        <v/>
      </c>
      <c r="M1126" t="str">
        <f t="shared" si="36"/>
        <v/>
      </c>
      <c r="N1126" t="str">
        <f>IFERROR(VLOOKUP(D1126,'Team Data'!C:AB,23,FALSE),"")</f>
        <v/>
      </c>
      <c r="O1126" t="str">
        <f>IFERROR(VLOOKUP(D1126,'Team Data'!C:AB,22,FALSE),"")</f>
        <v/>
      </c>
      <c r="P1126" t="str">
        <f t="shared" si="37"/>
        <v/>
      </c>
      <c r="Q1126" t="str">
        <f>IFERROR(VLOOKUP(D1126,'Team Data'!C:AB,15,FALSE),"")</f>
        <v/>
      </c>
      <c r="R1126" t="str">
        <f>IFERROR(VLOOKUP('OB Format'!D1126,'Team Data'!C:AB,24,FALSE),"")</f>
        <v/>
      </c>
      <c r="S1126" t="str">
        <f>IFERROR(VLOOKUP('OB Format'!D1126,'Team Data'!C:AC,25,FALSE),"")</f>
        <v/>
      </c>
    </row>
    <row r="1127" spans="5:19" x14ac:dyDescent="0.25">
      <c r="E1127" t="str">
        <f>IFERROR(VLOOKUP(D1127,'Team Data'!C:AB,4,FALSE),"")</f>
        <v/>
      </c>
      <c r="F1127" t="str">
        <f>IFERROR(VLOOKUP(D1127,'Team Data'!C:AB,5,FALSE),"")</f>
        <v/>
      </c>
      <c r="G1127" t="str">
        <f>IFERROR(VLOOKUP('OB Format'!D1127,'Team Data'!C:AB,17,FALSE),"")</f>
        <v/>
      </c>
      <c r="H1127" t="str">
        <f>IFERROR(VLOOKUP(D1127,'Team Data'!C:AB,7,FALSE),"")</f>
        <v/>
      </c>
      <c r="I1127" t="str">
        <f>IFERROR(VLOOKUP(D1127,'Team Data'!C:AB,14,FALSE),"")</f>
        <v/>
      </c>
      <c r="J1127" t="str">
        <f>IFERROR(VLOOKUP(D1127,'Team Data'!C:AB,8,FALSE),"")</f>
        <v/>
      </c>
      <c r="K1127" t="str">
        <f>IFERROR(VLOOKUP(D1127,'Team Data'!C:AB,9,FALSE),"")</f>
        <v/>
      </c>
      <c r="L1127" t="str">
        <f>IFERROR(VLOOKUP(D1127,'Team Data'!C:AB,10,FALSE),"")</f>
        <v/>
      </c>
      <c r="M1127" t="str">
        <f t="shared" si="36"/>
        <v/>
      </c>
      <c r="N1127" t="str">
        <f>IFERROR(VLOOKUP(D1127,'Team Data'!C:AB,23,FALSE),"")</f>
        <v/>
      </c>
      <c r="O1127" t="str">
        <f>IFERROR(VLOOKUP(D1127,'Team Data'!C:AB,22,FALSE),"")</f>
        <v/>
      </c>
      <c r="P1127" t="str">
        <f t="shared" si="37"/>
        <v/>
      </c>
      <c r="Q1127" t="str">
        <f>IFERROR(VLOOKUP(D1127,'Team Data'!C:AB,15,FALSE),"")</f>
        <v/>
      </c>
      <c r="R1127" t="str">
        <f>IFERROR(VLOOKUP('OB Format'!D1127,'Team Data'!C:AB,24,FALSE),"")</f>
        <v/>
      </c>
      <c r="S1127" t="str">
        <f>IFERROR(VLOOKUP('OB Format'!D1127,'Team Data'!C:AC,25,FALSE),"")</f>
        <v/>
      </c>
    </row>
    <row r="1128" spans="5:19" x14ac:dyDescent="0.25">
      <c r="E1128" t="str">
        <f>IFERROR(VLOOKUP(D1128,'Team Data'!C:AB,4,FALSE),"")</f>
        <v/>
      </c>
      <c r="F1128" t="str">
        <f>IFERROR(VLOOKUP(D1128,'Team Data'!C:AB,5,FALSE),"")</f>
        <v/>
      </c>
      <c r="G1128" t="str">
        <f>IFERROR(VLOOKUP('OB Format'!D1128,'Team Data'!C:AB,17,FALSE),"")</f>
        <v/>
      </c>
      <c r="H1128" t="str">
        <f>IFERROR(VLOOKUP(D1128,'Team Data'!C:AB,7,FALSE),"")</f>
        <v/>
      </c>
      <c r="I1128" t="str">
        <f>IFERROR(VLOOKUP(D1128,'Team Data'!C:AB,14,FALSE),"")</f>
        <v/>
      </c>
      <c r="J1128" t="str">
        <f>IFERROR(VLOOKUP(D1128,'Team Data'!C:AB,8,FALSE),"")</f>
        <v/>
      </c>
      <c r="K1128" t="str">
        <f>IFERROR(VLOOKUP(D1128,'Team Data'!C:AB,9,FALSE),"")</f>
        <v/>
      </c>
      <c r="L1128" t="str">
        <f>IFERROR(VLOOKUP(D1128,'Team Data'!C:AB,10,FALSE),"")</f>
        <v/>
      </c>
      <c r="M1128" t="str">
        <f t="shared" si="36"/>
        <v/>
      </c>
      <c r="N1128" t="str">
        <f>IFERROR(VLOOKUP(D1128,'Team Data'!C:AB,23,FALSE),"")</f>
        <v/>
      </c>
      <c r="O1128" t="str">
        <f>IFERROR(VLOOKUP(D1128,'Team Data'!C:AB,22,FALSE),"")</f>
        <v/>
      </c>
      <c r="P1128" t="str">
        <f t="shared" si="37"/>
        <v/>
      </c>
      <c r="Q1128" t="str">
        <f>IFERROR(VLOOKUP(D1128,'Team Data'!C:AB,15,FALSE),"")</f>
        <v/>
      </c>
      <c r="R1128" t="str">
        <f>IFERROR(VLOOKUP('OB Format'!D1128,'Team Data'!C:AB,24,FALSE),"")</f>
        <v/>
      </c>
      <c r="S1128" t="str">
        <f>IFERROR(VLOOKUP('OB Format'!D1128,'Team Data'!C:AC,25,FALSE),"")</f>
        <v/>
      </c>
    </row>
    <row r="1129" spans="5:19" x14ac:dyDescent="0.25">
      <c r="E1129" t="str">
        <f>IFERROR(VLOOKUP(D1129,'Team Data'!C:AB,4,FALSE),"")</f>
        <v/>
      </c>
      <c r="F1129" t="str">
        <f>IFERROR(VLOOKUP(D1129,'Team Data'!C:AB,5,FALSE),"")</f>
        <v/>
      </c>
      <c r="G1129" t="str">
        <f>IFERROR(VLOOKUP('OB Format'!D1129,'Team Data'!C:AB,17,FALSE),"")</f>
        <v/>
      </c>
      <c r="H1129" t="str">
        <f>IFERROR(VLOOKUP(D1129,'Team Data'!C:AB,7,FALSE),"")</f>
        <v/>
      </c>
      <c r="I1129" t="str">
        <f>IFERROR(VLOOKUP(D1129,'Team Data'!C:AB,14,FALSE),"")</f>
        <v/>
      </c>
      <c r="J1129" t="str">
        <f>IFERROR(VLOOKUP(D1129,'Team Data'!C:AB,8,FALSE),"")</f>
        <v/>
      </c>
      <c r="K1129" t="str">
        <f>IFERROR(VLOOKUP(D1129,'Team Data'!C:AB,9,FALSE),"")</f>
        <v/>
      </c>
      <c r="L1129" t="str">
        <f>IFERROR(VLOOKUP(D1129,'Team Data'!C:AB,10,FALSE),"")</f>
        <v/>
      </c>
      <c r="M1129" t="str">
        <f t="shared" si="36"/>
        <v/>
      </c>
      <c r="N1129" t="str">
        <f>IFERROR(VLOOKUP(D1129,'Team Data'!C:AB,23,FALSE),"")</f>
        <v/>
      </c>
      <c r="O1129" t="str">
        <f>IFERROR(VLOOKUP(D1129,'Team Data'!C:AB,22,FALSE),"")</f>
        <v/>
      </c>
      <c r="P1129" t="str">
        <f t="shared" si="37"/>
        <v/>
      </c>
      <c r="Q1129" t="str">
        <f>IFERROR(VLOOKUP(D1129,'Team Data'!C:AB,15,FALSE),"")</f>
        <v/>
      </c>
      <c r="R1129" t="str">
        <f>IFERROR(VLOOKUP('OB Format'!D1129,'Team Data'!C:AB,24,FALSE),"")</f>
        <v/>
      </c>
      <c r="S1129" t="str">
        <f>IFERROR(VLOOKUP('OB Format'!D1129,'Team Data'!C:AC,25,FALSE),"")</f>
        <v/>
      </c>
    </row>
    <row r="1130" spans="5:19" x14ac:dyDescent="0.25">
      <c r="E1130" t="str">
        <f>IFERROR(VLOOKUP(D1130,'Team Data'!C:AB,4,FALSE),"")</f>
        <v/>
      </c>
      <c r="F1130" t="str">
        <f>IFERROR(VLOOKUP(D1130,'Team Data'!C:AB,5,FALSE),"")</f>
        <v/>
      </c>
      <c r="G1130" t="str">
        <f>IFERROR(VLOOKUP('OB Format'!D1130,'Team Data'!C:AB,17,FALSE),"")</f>
        <v/>
      </c>
      <c r="H1130" t="str">
        <f>IFERROR(VLOOKUP(D1130,'Team Data'!C:AB,7,FALSE),"")</f>
        <v/>
      </c>
      <c r="I1130" t="str">
        <f>IFERROR(VLOOKUP(D1130,'Team Data'!C:AB,14,FALSE),"")</f>
        <v/>
      </c>
      <c r="J1130" t="str">
        <f>IFERROR(VLOOKUP(D1130,'Team Data'!C:AB,8,FALSE),"")</f>
        <v/>
      </c>
      <c r="K1130" t="str">
        <f>IFERROR(VLOOKUP(D1130,'Team Data'!C:AB,9,FALSE),"")</f>
        <v/>
      </c>
      <c r="L1130" t="str">
        <f>IFERROR(VLOOKUP(D1130,'Team Data'!C:AB,10,FALSE),"")</f>
        <v/>
      </c>
      <c r="M1130" t="str">
        <f t="shared" si="36"/>
        <v/>
      </c>
      <c r="N1130" t="str">
        <f>IFERROR(VLOOKUP(D1130,'Team Data'!C:AB,23,FALSE),"")</f>
        <v/>
      </c>
      <c r="O1130" t="str">
        <f>IFERROR(VLOOKUP(D1130,'Team Data'!C:AB,22,FALSE),"")</f>
        <v/>
      </c>
      <c r="P1130" t="str">
        <f t="shared" si="37"/>
        <v/>
      </c>
      <c r="Q1130" t="str">
        <f>IFERROR(VLOOKUP(D1130,'Team Data'!C:AB,15,FALSE),"")</f>
        <v/>
      </c>
      <c r="R1130" t="str">
        <f>IFERROR(VLOOKUP('OB Format'!D1130,'Team Data'!C:AB,24,FALSE),"")</f>
        <v/>
      </c>
      <c r="S1130" t="str">
        <f>IFERROR(VLOOKUP('OB Format'!D1130,'Team Data'!C:AC,25,FALSE),"")</f>
        <v/>
      </c>
    </row>
    <row r="1131" spans="5:19" x14ac:dyDescent="0.25">
      <c r="E1131" t="str">
        <f>IFERROR(VLOOKUP(D1131,'Team Data'!C:AB,4,FALSE),"")</f>
        <v/>
      </c>
      <c r="F1131" t="str">
        <f>IFERROR(VLOOKUP(D1131,'Team Data'!C:AB,5,FALSE),"")</f>
        <v/>
      </c>
      <c r="G1131" t="str">
        <f>IFERROR(VLOOKUP('OB Format'!D1131,'Team Data'!C:AB,17,FALSE),"")</f>
        <v/>
      </c>
      <c r="H1131" t="str">
        <f>IFERROR(VLOOKUP(D1131,'Team Data'!C:AB,7,FALSE),"")</f>
        <v/>
      </c>
      <c r="I1131" t="str">
        <f>IFERROR(VLOOKUP(D1131,'Team Data'!C:AB,14,FALSE),"")</f>
        <v/>
      </c>
      <c r="J1131" t="str">
        <f>IFERROR(VLOOKUP(D1131,'Team Data'!C:AB,8,FALSE),"")</f>
        <v/>
      </c>
      <c r="K1131" t="str">
        <f>IFERROR(VLOOKUP(D1131,'Team Data'!C:AB,9,FALSE),"")</f>
        <v/>
      </c>
      <c r="L1131" t="str">
        <f>IFERROR(VLOOKUP(D1131,'Team Data'!C:AB,10,FALSE),"")</f>
        <v/>
      </c>
      <c r="M1131" t="str">
        <f t="shared" si="36"/>
        <v/>
      </c>
      <c r="N1131" t="str">
        <f>IFERROR(VLOOKUP(D1131,'Team Data'!C:AB,23,FALSE),"")</f>
        <v/>
      </c>
      <c r="O1131" t="str">
        <f>IFERROR(VLOOKUP(D1131,'Team Data'!C:AB,22,FALSE),"")</f>
        <v/>
      </c>
      <c r="P1131" t="str">
        <f t="shared" si="37"/>
        <v/>
      </c>
      <c r="Q1131" t="str">
        <f>IFERROR(VLOOKUP(D1131,'Team Data'!C:AB,15,FALSE),"")</f>
        <v/>
      </c>
      <c r="R1131" t="str">
        <f>IFERROR(VLOOKUP('OB Format'!D1131,'Team Data'!C:AB,24,FALSE),"")</f>
        <v/>
      </c>
      <c r="S1131" t="str">
        <f>IFERROR(VLOOKUP('OB Format'!D1131,'Team Data'!C:AC,25,FALSE),"")</f>
        <v/>
      </c>
    </row>
    <row r="1132" spans="5:19" x14ac:dyDescent="0.25">
      <c r="E1132" t="str">
        <f>IFERROR(VLOOKUP(D1132,'Team Data'!C:AB,4,FALSE),"")</f>
        <v/>
      </c>
      <c r="F1132" t="str">
        <f>IFERROR(VLOOKUP(D1132,'Team Data'!C:AB,5,FALSE),"")</f>
        <v/>
      </c>
      <c r="G1132" t="str">
        <f>IFERROR(VLOOKUP('OB Format'!D1132,'Team Data'!C:AB,17,FALSE),"")</f>
        <v/>
      </c>
      <c r="H1132" t="str">
        <f>IFERROR(VLOOKUP(D1132,'Team Data'!C:AB,7,FALSE),"")</f>
        <v/>
      </c>
      <c r="I1132" t="str">
        <f>IFERROR(VLOOKUP(D1132,'Team Data'!C:AB,14,FALSE),"")</f>
        <v/>
      </c>
      <c r="J1132" t="str">
        <f>IFERROR(VLOOKUP(D1132,'Team Data'!C:AB,8,FALSE),"")</f>
        <v/>
      </c>
      <c r="K1132" t="str">
        <f>IFERROR(VLOOKUP(D1132,'Team Data'!C:AB,9,FALSE),"")</f>
        <v/>
      </c>
      <c r="L1132" t="str">
        <f>IFERROR(VLOOKUP(D1132,'Team Data'!C:AB,10,FALSE),"")</f>
        <v/>
      </c>
      <c r="M1132" t="str">
        <f t="shared" si="36"/>
        <v/>
      </c>
      <c r="N1132" t="str">
        <f>IFERROR(VLOOKUP(D1132,'Team Data'!C:AB,23,FALSE),"")</f>
        <v/>
      </c>
      <c r="O1132" t="str">
        <f>IFERROR(VLOOKUP(D1132,'Team Data'!C:AB,22,FALSE),"")</f>
        <v/>
      </c>
      <c r="P1132" t="str">
        <f t="shared" si="37"/>
        <v/>
      </c>
      <c r="Q1132" t="str">
        <f>IFERROR(VLOOKUP(D1132,'Team Data'!C:AB,15,FALSE),"")</f>
        <v/>
      </c>
      <c r="R1132" t="str">
        <f>IFERROR(VLOOKUP('OB Format'!D1132,'Team Data'!C:AB,24,FALSE),"")</f>
        <v/>
      </c>
      <c r="S1132" t="str">
        <f>IFERROR(VLOOKUP('OB Format'!D1132,'Team Data'!C:AC,25,FALSE),"")</f>
        <v/>
      </c>
    </row>
    <row r="1133" spans="5:19" x14ac:dyDescent="0.25">
      <c r="E1133" t="str">
        <f>IFERROR(VLOOKUP(D1133,'Team Data'!C:AB,4,FALSE),"")</f>
        <v/>
      </c>
      <c r="F1133" t="str">
        <f>IFERROR(VLOOKUP(D1133,'Team Data'!C:AB,5,FALSE),"")</f>
        <v/>
      </c>
      <c r="G1133" t="str">
        <f>IFERROR(VLOOKUP('OB Format'!D1133,'Team Data'!C:AB,17,FALSE),"")</f>
        <v/>
      </c>
      <c r="H1133" t="str">
        <f>IFERROR(VLOOKUP(D1133,'Team Data'!C:AB,7,FALSE),"")</f>
        <v/>
      </c>
      <c r="I1133" t="str">
        <f>IFERROR(VLOOKUP(D1133,'Team Data'!C:AB,14,FALSE),"")</f>
        <v/>
      </c>
      <c r="J1133" t="str">
        <f>IFERROR(VLOOKUP(D1133,'Team Data'!C:AB,8,FALSE),"")</f>
        <v/>
      </c>
      <c r="K1133" t="str">
        <f>IFERROR(VLOOKUP(D1133,'Team Data'!C:AB,9,FALSE),"")</f>
        <v/>
      </c>
      <c r="L1133" t="str">
        <f>IFERROR(VLOOKUP(D1133,'Team Data'!C:AB,10,FALSE),"")</f>
        <v/>
      </c>
      <c r="M1133" t="str">
        <f t="shared" si="36"/>
        <v/>
      </c>
      <c r="N1133" t="str">
        <f>IFERROR(VLOOKUP(D1133,'Team Data'!C:AB,23,FALSE),"")</f>
        <v/>
      </c>
      <c r="O1133" t="str">
        <f>IFERROR(VLOOKUP(D1133,'Team Data'!C:AB,22,FALSE),"")</f>
        <v/>
      </c>
      <c r="P1133" t="str">
        <f t="shared" si="37"/>
        <v/>
      </c>
      <c r="Q1133" t="str">
        <f>IFERROR(VLOOKUP(D1133,'Team Data'!C:AB,15,FALSE),"")</f>
        <v/>
      </c>
      <c r="R1133" t="str">
        <f>IFERROR(VLOOKUP('OB Format'!D1133,'Team Data'!C:AB,24,FALSE),"")</f>
        <v/>
      </c>
      <c r="S1133" t="str">
        <f>IFERROR(VLOOKUP('OB Format'!D1133,'Team Data'!C:AC,25,FALSE),"")</f>
        <v/>
      </c>
    </row>
    <row r="1134" spans="5:19" x14ac:dyDescent="0.25">
      <c r="E1134" t="str">
        <f>IFERROR(VLOOKUP(D1134,'Team Data'!C:AB,4,FALSE),"")</f>
        <v/>
      </c>
      <c r="F1134" t="str">
        <f>IFERROR(VLOOKUP(D1134,'Team Data'!C:AB,5,FALSE),"")</f>
        <v/>
      </c>
      <c r="G1134" t="str">
        <f>IFERROR(VLOOKUP('OB Format'!D1134,'Team Data'!C:AB,17,FALSE),"")</f>
        <v/>
      </c>
      <c r="H1134" t="str">
        <f>IFERROR(VLOOKUP(D1134,'Team Data'!C:AB,7,FALSE),"")</f>
        <v/>
      </c>
      <c r="I1134" t="str">
        <f>IFERROR(VLOOKUP(D1134,'Team Data'!C:AB,14,FALSE),"")</f>
        <v/>
      </c>
      <c r="J1134" t="str">
        <f>IFERROR(VLOOKUP(D1134,'Team Data'!C:AB,8,FALSE),"")</f>
        <v/>
      </c>
      <c r="K1134" t="str">
        <f>IFERROR(VLOOKUP(D1134,'Team Data'!C:AB,9,FALSE),"")</f>
        <v/>
      </c>
      <c r="L1134" t="str">
        <f>IFERROR(VLOOKUP(D1134,'Team Data'!C:AB,10,FALSE),"")</f>
        <v/>
      </c>
      <c r="M1134" t="str">
        <f t="shared" si="36"/>
        <v/>
      </c>
      <c r="N1134" t="str">
        <f>IFERROR(VLOOKUP(D1134,'Team Data'!C:AB,23,FALSE),"")</f>
        <v/>
      </c>
      <c r="O1134" t="str">
        <f>IFERROR(VLOOKUP(D1134,'Team Data'!C:AB,22,FALSE),"")</f>
        <v/>
      </c>
      <c r="P1134" t="str">
        <f t="shared" si="37"/>
        <v/>
      </c>
      <c r="Q1134" t="str">
        <f>IFERROR(VLOOKUP(D1134,'Team Data'!C:AB,15,FALSE),"")</f>
        <v/>
      </c>
      <c r="R1134" t="str">
        <f>IFERROR(VLOOKUP('OB Format'!D1134,'Team Data'!C:AB,24,FALSE),"")</f>
        <v/>
      </c>
      <c r="S1134" t="str">
        <f>IFERROR(VLOOKUP('OB Format'!D1134,'Team Data'!C:AC,25,FALSE),"")</f>
        <v/>
      </c>
    </row>
    <row r="1135" spans="5:19" x14ac:dyDescent="0.25">
      <c r="E1135" t="str">
        <f>IFERROR(VLOOKUP(D1135,'Team Data'!C:AB,4,FALSE),"")</f>
        <v/>
      </c>
      <c r="F1135" t="str">
        <f>IFERROR(VLOOKUP(D1135,'Team Data'!C:AB,5,FALSE),"")</f>
        <v/>
      </c>
      <c r="G1135" t="str">
        <f>IFERROR(VLOOKUP('OB Format'!D1135,'Team Data'!C:AB,17,FALSE),"")</f>
        <v/>
      </c>
      <c r="H1135" t="str">
        <f>IFERROR(VLOOKUP(D1135,'Team Data'!C:AB,7,FALSE),"")</f>
        <v/>
      </c>
      <c r="I1135" t="str">
        <f>IFERROR(VLOOKUP(D1135,'Team Data'!C:AB,14,FALSE),"")</f>
        <v/>
      </c>
      <c r="J1135" t="str">
        <f>IFERROR(VLOOKUP(D1135,'Team Data'!C:AB,8,FALSE),"")</f>
        <v/>
      </c>
      <c r="K1135" t="str">
        <f>IFERROR(VLOOKUP(D1135,'Team Data'!C:AB,9,FALSE),"")</f>
        <v/>
      </c>
      <c r="L1135" t="str">
        <f>IFERROR(VLOOKUP(D1135,'Team Data'!C:AB,10,FALSE),"")</f>
        <v/>
      </c>
      <c r="M1135" t="str">
        <f t="shared" si="36"/>
        <v/>
      </c>
      <c r="N1135" t="str">
        <f>IFERROR(VLOOKUP(D1135,'Team Data'!C:AB,23,FALSE),"")</f>
        <v/>
      </c>
      <c r="O1135" t="str">
        <f>IFERROR(VLOOKUP(D1135,'Team Data'!C:AB,22,FALSE),"")</f>
        <v/>
      </c>
      <c r="P1135" t="str">
        <f t="shared" si="37"/>
        <v/>
      </c>
      <c r="Q1135" t="str">
        <f>IFERROR(VLOOKUP(D1135,'Team Data'!C:AB,15,FALSE),"")</f>
        <v/>
      </c>
      <c r="R1135" t="str">
        <f>IFERROR(VLOOKUP('OB Format'!D1135,'Team Data'!C:AB,24,FALSE),"")</f>
        <v/>
      </c>
      <c r="S1135" t="str">
        <f>IFERROR(VLOOKUP('OB Format'!D1135,'Team Data'!C:AC,25,FALSE),"")</f>
        <v/>
      </c>
    </row>
    <row r="1136" spans="5:19" x14ac:dyDescent="0.25">
      <c r="E1136" t="str">
        <f>IFERROR(VLOOKUP(D1136,'Team Data'!C:AB,4,FALSE),"")</f>
        <v/>
      </c>
      <c r="F1136" t="str">
        <f>IFERROR(VLOOKUP(D1136,'Team Data'!C:AB,5,FALSE),"")</f>
        <v/>
      </c>
      <c r="G1136" t="str">
        <f>IFERROR(VLOOKUP('OB Format'!D1136,'Team Data'!C:AB,17,FALSE),"")</f>
        <v/>
      </c>
      <c r="H1136" t="str">
        <f>IFERROR(VLOOKUP(D1136,'Team Data'!C:AB,7,FALSE),"")</f>
        <v/>
      </c>
      <c r="I1136" t="str">
        <f>IFERROR(VLOOKUP(D1136,'Team Data'!C:AB,14,FALSE),"")</f>
        <v/>
      </c>
      <c r="J1136" t="str">
        <f>IFERROR(VLOOKUP(D1136,'Team Data'!C:AB,8,FALSE),"")</f>
        <v/>
      </c>
      <c r="K1136" t="str">
        <f>IFERROR(VLOOKUP(D1136,'Team Data'!C:AB,9,FALSE),"")</f>
        <v/>
      </c>
      <c r="L1136" t="str">
        <f>IFERROR(VLOOKUP(D1136,'Team Data'!C:AB,10,FALSE),"")</f>
        <v/>
      </c>
      <c r="M1136" t="str">
        <f t="shared" si="36"/>
        <v/>
      </c>
      <c r="N1136" t="str">
        <f>IFERROR(VLOOKUP(D1136,'Team Data'!C:AB,23,FALSE),"")</f>
        <v/>
      </c>
      <c r="O1136" t="str">
        <f>IFERROR(VLOOKUP(D1136,'Team Data'!C:AB,22,FALSE),"")</f>
        <v/>
      </c>
      <c r="P1136" t="str">
        <f t="shared" si="37"/>
        <v/>
      </c>
      <c r="Q1136" t="str">
        <f>IFERROR(VLOOKUP(D1136,'Team Data'!C:AB,15,FALSE),"")</f>
        <v/>
      </c>
      <c r="R1136" t="str">
        <f>IFERROR(VLOOKUP('OB Format'!D1136,'Team Data'!C:AB,24,FALSE),"")</f>
        <v/>
      </c>
      <c r="S1136" t="str">
        <f>IFERROR(VLOOKUP('OB Format'!D1136,'Team Data'!C:AC,25,FALSE),"")</f>
        <v/>
      </c>
    </row>
    <row r="1137" spans="5:19" x14ac:dyDescent="0.25">
      <c r="E1137" t="str">
        <f>IFERROR(VLOOKUP(D1137,'Team Data'!C:AB,4,FALSE),"")</f>
        <v/>
      </c>
      <c r="F1137" t="str">
        <f>IFERROR(VLOOKUP(D1137,'Team Data'!C:AB,5,FALSE),"")</f>
        <v/>
      </c>
      <c r="G1137" t="str">
        <f>IFERROR(VLOOKUP('OB Format'!D1137,'Team Data'!C:AB,17,FALSE),"")</f>
        <v/>
      </c>
      <c r="H1137" t="str">
        <f>IFERROR(VLOOKUP(D1137,'Team Data'!C:AB,7,FALSE),"")</f>
        <v/>
      </c>
      <c r="I1137" t="str">
        <f>IFERROR(VLOOKUP(D1137,'Team Data'!C:AB,14,FALSE),"")</f>
        <v/>
      </c>
      <c r="J1137" t="str">
        <f>IFERROR(VLOOKUP(D1137,'Team Data'!C:AB,8,FALSE),"")</f>
        <v/>
      </c>
      <c r="K1137" t="str">
        <f>IFERROR(VLOOKUP(D1137,'Team Data'!C:AB,9,FALSE),"")</f>
        <v/>
      </c>
      <c r="L1137" t="str">
        <f>IFERROR(VLOOKUP(D1137,'Team Data'!C:AB,10,FALSE),"")</f>
        <v/>
      </c>
      <c r="M1137" t="str">
        <f t="shared" si="36"/>
        <v/>
      </c>
      <c r="N1137" t="str">
        <f>IFERROR(VLOOKUP(D1137,'Team Data'!C:AB,23,FALSE),"")</f>
        <v/>
      </c>
      <c r="O1137" t="str">
        <f>IFERROR(VLOOKUP(D1137,'Team Data'!C:AB,22,FALSE),"")</f>
        <v/>
      </c>
      <c r="P1137" t="str">
        <f t="shared" si="37"/>
        <v/>
      </c>
      <c r="Q1137" t="str">
        <f>IFERROR(VLOOKUP(D1137,'Team Data'!C:AB,15,FALSE),"")</f>
        <v/>
      </c>
      <c r="R1137" t="str">
        <f>IFERROR(VLOOKUP('OB Format'!D1137,'Team Data'!C:AB,24,FALSE),"")</f>
        <v/>
      </c>
      <c r="S1137" t="str">
        <f>IFERROR(VLOOKUP('OB Format'!D1137,'Team Data'!C:AC,25,FALSE),"")</f>
        <v/>
      </c>
    </row>
    <row r="1138" spans="5:19" x14ac:dyDescent="0.25">
      <c r="E1138" t="str">
        <f>IFERROR(VLOOKUP(D1138,'Team Data'!C:AB,4,FALSE),"")</f>
        <v/>
      </c>
      <c r="F1138" t="str">
        <f>IFERROR(VLOOKUP(D1138,'Team Data'!C:AB,5,FALSE),"")</f>
        <v/>
      </c>
      <c r="G1138" t="str">
        <f>IFERROR(VLOOKUP('OB Format'!D1138,'Team Data'!C:AB,17,FALSE),"")</f>
        <v/>
      </c>
      <c r="H1138" t="str">
        <f>IFERROR(VLOOKUP(D1138,'Team Data'!C:AB,7,FALSE),"")</f>
        <v/>
      </c>
      <c r="I1138" t="str">
        <f>IFERROR(VLOOKUP(D1138,'Team Data'!C:AB,14,FALSE),"")</f>
        <v/>
      </c>
      <c r="J1138" t="str">
        <f>IFERROR(VLOOKUP(D1138,'Team Data'!C:AB,8,FALSE),"")</f>
        <v/>
      </c>
      <c r="K1138" t="str">
        <f>IFERROR(VLOOKUP(D1138,'Team Data'!C:AB,9,FALSE),"")</f>
        <v/>
      </c>
      <c r="L1138" t="str">
        <f>IFERROR(VLOOKUP(D1138,'Team Data'!C:AB,10,FALSE),"")</f>
        <v/>
      </c>
      <c r="M1138" t="str">
        <f t="shared" si="36"/>
        <v/>
      </c>
      <c r="N1138" t="str">
        <f>IFERROR(VLOOKUP(D1138,'Team Data'!C:AB,23,FALSE),"")</f>
        <v/>
      </c>
      <c r="O1138" t="str">
        <f>IFERROR(VLOOKUP(D1138,'Team Data'!C:AB,22,FALSE),"")</f>
        <v/>
      </c>
      <c r="P1138" t="str">
        <f t="shared" si="37"/>
        <v/>
      </c>
      <c r="Q1138" t="str">
        <f>IFERROR(VLOOKUP(D1138,'Team Data'!C:AB,15,FALSE),"")</f>
        <v/>
      </c>
      <c r="R1138" t="str">
        <f>IFERROR(VLOOKUP('OB Format'!D1138,'Team Data'!C:AB,24,FALSE),"")</f>
        <v/>
      </c>
      <c r="S1138" t="str">
        <f>IFERROR(VLOOKUP('OB Format'!D1138,'Team Data'!C:AC,25,FALSE),"")</f>
        <v/>
      </c>
    </row>
    <row r="1139" spans="5:19" x14ac:dyDescent="0.25">
      <c r="E1139" t="str">
        <f>IFERROR(VLOOKUP(D1139,'Team Data'!C:AB,4,FALSE),"")</f>
        <v/>
      </c>
      <c r="F1139" t="str">
        <f>IFERROR(VLOOKUP(D1139,'Team Data'!C:AB,5,FALSE),"")</f>
        <v/>
      </c>
      <c r="G1139" t="str">
        <f>IFERROR(VLOOKUP('OB Format'!D1139,'Team Data'!C:AB,17,FALSE),"")</f>
        <v/>
      </c>
      <c r="H1139" t="str">
        <f>IFERROR(VLOOKUP(D1139,'Team Data'!C:AB,7,FALSE),"")</f>
        <v/>
      </c>
      <c r="I1139" t="str">
        <f>IFERROR(VLOOKUP(D1139,'Team Data'!C:AB,14,FALSE),"")</f>
        <v/>
      </c>
      <c r="J1139" t="str">
        <f>IFERROR(VLOOKUP(D1139,'Team Data'!C:AB,8,FALSE),"")</f>
        <v/>
      </c>
      <c r="K1139" t="str">
        <f>IFERROR(VLOOKUP(D1139,'Team Data'!C:AB,9,FALSE),"")</f>
        <v/>
      </c>
      <c r="L1139" t="str">
        <f>IFERROR(VLOOKUP(D1139,'Team Data'!C:AB,10,FALSE),"")</f>
        <v/>
      </c>
      <c r="M1139" t="str">
        <f t="shared" si="36"/>
        <v/>
      </c>
      <c r="N1139" t="str">
        <f>IFERROR(VLOOKUP(D1139,'Team Data'!C:AB,23,FALSE),"")</f>
        <v/>
      </c>
      <c r="O1139" t="str">
        <f>IFERROR(VLOOKUP(D1139,'Team Data'!C:AB,22,FALSE),"")</f>
        <v/>
      </c>
      <c r="P1139" t="str">
        <f t="shared" si="37"/>
        <v/>
      </c>
      <c r="Q1139" t="str">
        <f>IFERROR(VLOOKUP(D1139,'Team Data'!C:AB,15,FALSE),"")</f>
        <v/>
      </c>
      <c r="R1139" t="str">
        <f>IFERROR(VLOOKUP('OB Format'!D1139,'Team Data'!C:AB,24,FALSE),"")</f>
        <v/>
      </c>
      <c r="S1139" t="str">
        <f>IFERROR(VLOOKUP('OB Format'!D1139,'Team Data'!C:AC,25,FALSE),"")</f>
        <v/>
      </c>
    </row>
    <row r="1140" spans="5:19" x14ac:dyDescent="0.25">
      <c r="E1140" t="str">
        <f>IFERROR(VLOOKUP(D1140,'Team Data'!C:AB,4,FALSE),"")</f>
        <v/>
      </c>
      <c r="F1140" t="str">
        <f>IFERROR(VLOOKUP(D1140,'Team Data'!C:AB,5,FALSE),"")</f>
        <v/>
      </c>
      <c r="G1140" t="str">
        <f>IFERROR(VLOOKUP('OB Format'!D1140,'Team Data'!C:AB,17,FALSE),"")</f>
        <v/>
      </c>
      <c r="H1140" t="str">
        <f>IFERROR(VLOOKUP(D1140,'Team Data'!C:AB,7,FALSE),"")</f>
        <v/>
      </c>
      <c r="I1140" t="str">
        <f>IFERROR(VLOOKUP(D1140,'Team Data'!C:AB,14,FALSE),"")</f>
        <v/>
      </c>
      <c r="J1140" t="str">
        <f>IFERROR(VLOOKUP(D1140,'Team Data'!C:AB,8,FALSE),"")</f>
        <v/>
      </c>
      <c r="K1140" t="str">
        <f>IFERROR(VLOOKUP(D1140,'Team Data'!C:AB,9,FALSE),"")</f>
        <v/>
      </c>
      <c r="L1140" t="str">
        <f>IFERROR(VLOOKUP(D1140,'Team Data'!C:AB,10,FALSE),"")</f>
        <v/>
      </c>
      <c r="M1140" t="str">
        <f t="shared" si="36"/>
        <v/>
      </c>
      <c r="N1140" t="str">
        <f>IFERROR(VLOOKUP(D1140,'Team Data'!C:AB,23,FALSE),"")</f>
        <v/>
      </c>
      <c r="O1140" t="str">
        <f>IFERROR(VLOOKUP(D1140,'Team Data'!C:AB,22,FALSE),"")</f>
        <v/>
      </c>
      <c r="P1140" t="str">
        <f t="shared" si="37"/>
        <v/>
      </c>
      <c r="Q1140" t="str">
        <f>IFERROR(VLOOKUP(D1140,'Team Data'!C:AB,15,FALSE),"")</f>
        <v/>
      </c>
      <c r="R1140" t="str">
        <f>IFERROR(VLOOKUP('OB Format'!D1140,'Team Data'!C:AB,24,FALSE),"")</f>
        <v/>
      </c>
      <c r="S1140" t="str">
        <f>IFERROR(VLOOKUP('OB Format'!D1140,'Team Data'!C:AC,25,FALSE),"")</f>
        <v/>
      </c>
    </row>
    <row r="1141" spans="5:19" x14ac:dyDescent="0.25">
      <c r="E1141" t="str">
        <f>IFERROR(VLOOKUP(D1141,'Team Data'!C:AB,4,FALSE),"")</f>
        <v/>
      </c>
      <c r="F1141" t="str">
        <f>IFERROR(VLOOKUP(D1141,'Team Data'!C:AB,5,FALSE),"")</f>
        <v/>
      </c>
      <c r="G1141" t="str">
        <f>IFERROR(VLOOKUP('OB Format'!D1141,'Team Data'!C:AB,17,FALSE),"")</f>
        <v/>
      </c>
      <c r="H1141" t="str">
        <f>IFERROR(VLOOKUP(D1141,'Team Data'!C:AB,7,FALSE),"")</f>
        <v/>
      </c>
      <c r="I1141" t="str">
        <f>IFERROR(VLOOKUP(D1141,'Team Data'!C:AB,14,FALSE),"")</f>
        <v/>
      </c>
      <c r="J1141" t="str">
        <f>IFERROR(VLOOKUP(D1141,'Team Data'!C:AB,8,FALSE),"")</f>
        <v/>
      </c>
      <c r="K1141" t="str">
        <f>IFERROR(VLOOKUP(D1141,'Team Data'!C:AB,9,FALSE),"")</f>
        <v/>
      </c>
      <c r="L1141" t="str">
        <f>IFERROR(VLOOKUP(D1141,'Team Data'!C:AB,10,FALSE),"")</f>
        <v/>
      </c>
      <c r="M1141" t="str">
        <f t="shared" si="36"/>
        <v/>
      </c>
      <c r="N1141" t="str">
        <f>IFERROR(VLOOKUP(D1141,'Team Data'!C:AB,23,FALSE),"")</f>
        <v/>
      </c>
      <c r="O1141" t="str">
        <f>IFERROR(VLOOKUP(D1141,'Team Data'!C:AB,22,FALSE),"")</f>
        <v/>
      </c>
      <c r="P1141" t="str">
        <f t="shared" si="37"/>
        <v/>
      </c>
      <c r="Q1141" t="str">
        <f>IFERROR(VLOOKUP(D1141,'Team Data'!C:AB,15,FALSE),"")</f>
        <v/>
      </c>
      <c r="R1141" t="str">
        <f>IFERROR(VLOOKUP('OB Format'!D1141,'Team Data'!C:AB,24,FALSE),"")</f>
        <v/>
      </c>
      <c r="S1141" t="str">
        <f>IFERROR(VLOOKUP('OB Format'!D1141,'Team Data'!C:AC,25,FALSE),"")</f>
        <v/>
      </c>
    </row>
    <row r="1142" spans="5:19" x14ac:dyDescent="0.25">
      <c r="E1142" t="str">
        <f>IFERROR(VLOOKUP(D1142,'Team Data'!C:AB,4,FALSE),"")</f>
        <v/>
      </c>
      <c r="F1142" t="str">
        <f>IFERROR(VLOOKUP(D1142,'Team Data'!C:AB,5,FALSE),"")</f>
        <v/>
      </c>
      <c r="G1142" t="str">
        <f>IFERROR(VLOOKUP('OB Format'!D1142,'Team Data'!C:AB,17,FALSE),"")</f>
        <v/>
      </c>
      <c r="H1142" t="str">
        <f>IFERROR(VLOOKUP(D1142,'Team Data'!C:AB,7,FALSE),"")</f>
        <v/>
      </c>
      <c r="I1142" t="str">
        <f>IFERROR(VLOOKUP(D1142,'Team Data'!C:AB,14,FALSE),"")</f>
        <v/>
      </c>
      <c r="J1142" t="str">
        <f>IFERROR(VLOOKUP(D1142,'Team Data'!C:AB,8,FALSE),"")</f>
        <v/>
      </c>
      <c r="K1142" t="str">
        <f>IFERROR(VLOOKUP(D1142,'Team Data'!C:AB,9,FALSE),"")</f>
        <v/>
      </c>
      <c r="L1142" t="str">
        <f>IFERROR(VLOOKUP(D1142,'Team Data'!C:AB,10,FALSE),"")</f>
        <v/>
      </c>
      <c r="M1142" t="str">
        <f t="shared" si="36"/>
        <v/>
      </c>
      <c r="N1142" t="str">
        <f>IFERROR(VLOOKUP(D1142,'Team Data'!C:AB,23,FALSE),"")</f>
        <v/>
      </c>
      <c r="O1142" t="str">
        <f>IFERROR(VLOOKUP(D1142,'Team Data'!C:AB,22,FALSE),"")</f>
        <v/>
      </c>
      <c r="P1142" t="str">
        <f t="shared" si="37"/>
        <v/>
      </c>
      <c r="Q1142" t="str">
        <f>IFERROR(VLOOKUP(D1142,'Team Data'!C:AB,15,FALSE),"")</f>
        <v/>
      </c>
      <c r="R1142" t="str">
        <f>IFERROR(VLOOKUP('OB Format'!D1142,'Team Data'!C:AB,24,FALSE),"")</f>
        <v/>
      </c>
      <c r="S1142" t="str">
        <f>IFERROR(VLOOKUP('OB Format'!D1142,'Team Data'!C:AC,25,FALSE),"")</f>
        <v/>
      </c>
    </row>
    <row r="1143" spans="5:19" x14ac:dyDescent="0.25">
      <c r="E1143" t="str">
        <f>IFERROR(VLOOKUP(D1143,'Team Data'!C:AB,4,FALSE),"")</f>
        <v/>
      </c>
      <c r="F1143" t="str">
        <f>IFERROR(VLOOKUP(D1143,'Team Data'!C:AB,5,FALSE),"")</f>
        <v/>
      </c>
      <c r="G1143" t="str">
        <f>IFERROR(VLOOKUP('OB Format'!D1143,'Team Data'!C:AB,17,FALSE),"")</f>
        <v/>
      </c>
      <c r="H1143" t="str">
        <f>IFERROR(VLOOKUP(D1143,'Team Data'!C:AB,7,FALSE),"")</f>
        <v/>
      </c>
      <c r="I1143" t="str">
        <f>IFERROR(VLOOKUP(D1143,'Team Data'!C:AB,14,FALSE),"")</f>
        <v/>
      </c>
      <c r="J1143" t="str">
        <f>IFERROR(VLOOKUP(D1143,'Team Data'!C:AB,8,FALSE),"")</f>
        <v/>
      </c>
      <c r="K1143" t="str">
        <f>IFERROR(VLOOKUP(D1143,'Team Data'!C:AB,9,FALSE),"")</f>
        <v/>
      </c>
      <c r="L1143" t="str">
        <f>IFERROR(VLOOKUP(D1143,'Team Data'!C:AB,10,FALSE),"")</f>
        <v/>
      </c>
      <c r="M1143" t="str">
        <f t="shared" si="36"/>
        <v/>
      </c>
      <c r="N1143" t="str">
        <f>IFERROR(VLOOKUP(D1143,'Team Data'!C:AB,23,FALSE),"")</f>
        <v/>
      </c>
      <c r="O1143" t="str">
        <f>IFERROR(VLOOKUP(D1143,'Team Data'!C:AB,22,FALSE),"")</f>
        <v/>
      </c>
      <c r="P1143" t="str">
        <f t="shared" si="37"/>
        <v/>
      </c>
      <c r="Q1143" t="str">
        <f>IFERROR(VLOOKUP(D1143,'Team Data'!C:AB,15,FALSE),"")</f>
        <v/>
      </c>
      <c r="R1143" t="str">
        <f>IFERROR(VLOOKUP('OB Format'!D1143,'Team Data'!C:AB,24,FALSE),"")</f>
        <v/>
      </c>
      <c r="S1143" t="str">
        <f>IFERROR(VLOOKUP('OB Format'!D1143,'Team Data'!C:AC,25,FALSE),"")</f>
        <v/>
      </c>
    </row>
    <row r="1144" spans="5:19" x14ac:dyDescent="0.25">
      <c r="E1144" t="str">
        <f>IFERROR(VLOOKUP(D1144,'Team Data'!C:AB,4,FALSE),"")</f>
        <v/>
      </c>
      <c r="F1144" t="str">
        <f>IFERROR(VLOOKUP(D1144,'Team Data'!C:AB,5,FALSE),"")</f>
        <v/>
      </c>
      <c r="G1144" t="str">
        <f>IFERROR(VLOOKUP('OB Format'!D1144,'Team Data'!C:AB,17,FALSE),"")</f>
        <v/>
      </c>
      <c r="H1144" t="str">
        <f>IFERROR(VLOOKUP(D1144,'Team Data'!C:AB,7,FALSE),"")</f>
        <v/>
      </c>
      <c r="I1144" t="str">
        <f>IFERROR(VLOOKUP(D1144,'Team Data'!C:AB,14,FALSE),"")</f>
        <v/>
      </c>
      <c r="J1144" t="str">
        <f>IFERROR(VLOOKUP(D1144,'Team Data'!C:AB,8,FALSE),"")</f>
        <v/>
      </c>
      <c r="K1144" t="str">
        <f>IFERROR(VLOOKUP(D1144,'Team Data'!C:AB,9,FALSE),"")</f>
        <v/>
      </c>
      <c r="L1144" t="str">
        <f>IFERROR(VLOOKUP(D1144,'Team Data'!C:AB,10,FALSE),"")</f>
        <v/>
      </c>
      <c r="M1144" t="str">
        <f t="shared" si="36"/>
        <v/>
      </c>
      <c r="N1144" t="str">
        <f>IFERROR(VLOOKUP(D1144,'Team Data'!C:AB,23,FALSE),"")</f>
        <v/>
      </c>
      <c r="O1144" t="str">
        <f>IFERROR(VLOOKUP(D1144,'Team Data'!C:AB,22,FALSE),"")</f>
        <v/>
      </c>
      <c r="P1144" t="str">
        <f t="shared" si="37"/>
        <v/>
      </c>
      <c r="Q1144" t="str">
        <f>IFERROR(VLOOKUP(D1144,'Team Data'!C:AB,15,FALSE),"")</f>
        <v/>
      </c>
      <c r="R1144" t="str">
        <f>IFERROR(VLOOKUP('OB Format'!D1144,'Team Data'!C:AB,24,FALSE),"")</f>
        <v/>
      </c>
      <c r="S1144" t="str">
        <f>IFERROR(VLOOKUP('OB Format'!D1144,'Team Data'!C:AC,25,FALSE),"")</f>
        <v/>
      </c>
    </row>
    <row r="1145" spans="5:19" x14ac:dyDescent="0.25">
      <c r="E1145" t="str">
        <f>IFERROR(VLOOKUP(D1145,'Team Data'!C:AB,4,FALSE),"")</f>
        <v/>
      </c>
      <c r="F1145" t="str">
        <f>IFERROR(VLOOKUP(D1145,'Team Data'!C:AB,5,FALSE),"")</f>
        <v/>
      </c>
      <c r="G1145" t="str">
        <f>IFERROR(VLOOKUP('OB Format'!D1145,'Team Data'!C:AB,17,FALSE),"")</f>
        <v/>
      </c>
      <c r="H1145" t="str">
        <f>IFERROR(VLOOKUP(D1145,'Team Data'!C:AB,7,FALSE),"")</f>
        <v/>
      </c>
      <c r="I1145" t="str">
        <f>IFERROR(VLOOKUP(D1145,'Team Data'!C:AB,14,FALSE),"")</f>
        <v/>
      </c>
      <c r="J1145" t="str">
        <f>IFERROR(VLOOKUP(D1145,'Team Data'!C:AB,8,FALSE),"")</f>
        <v/>
      </c>
      <c r="K1145" t="str">
        <f>IFERROR(VLOOKUP(D1145,'Team Data'!C:AB,9,FALSE),"")</f>
        <v/>
      </c>
      <c r="L1145" t="str">
        <f>IFERROR(VLOOKUP(D1145,'Team Data'!C:AB,10,FALSE),"")</f>
        <v/>
      </c>
      <c r="M1145" t="str">
        <f t="shared" si="36"/>
        <v/>
      </c>
      <c r="N1145" t="str">
        <f>IFERROR(VLOOKUP(D1145,'Team Data'!C:AB,23,FALSE),"")</f>
        <v/>
      </c>
      <c r="O1145" t="str">
        <f>IFERROR(VLOOKUP(D1145,'Team Data'!C:AB,22,FALSE),"")</f>
        <v/>
      </c>
      <c r="P1145" t="str">
        <f t="shared" si="37"/>
        <v/>
      </c>
      <c r="Q1145" t="str">
        <f>IFERROR(VLOOKUP(D1145,'Team Data'!C:AB,15,FALSE),"")</f>
        <v/>
      </c>
      <c r="R1145" t="str">
        <f>IFERROR(VLOOKUP('OB Format'!D1145,'Team Data'!C:AB,24,FALSE),"")</f>
        <v/>
      </c>
      <c r="S1145" t="str">
        <f>IFERROR(VLOOKUP('OB Format'!D1145,'Team Data'!C:AC,25,FALSE),"")</f>
        <v/>
      </c>
    </row>
    <row r="1146" spans="5:19" x14ac:dyDescent="0.25">
      <c r="E1146" t="str">
        <f>IFERROR(VLOOKUP(D1146,'Team Data'!C:AB,4,FALSE),"")</f>
        <v/>
      </c>
      <c r="F1146" t="str">
        <f>IFERROR(VLOOKUP(D1146,'Team Data'!C:AB,5,FALSE),"")</f>
        <v/>
      </c>
      <c r="G1146" t="str">
        <f>IFERROR(VLOOKUP('OB Format'!D1146,'Team Data'!C:AB,17,FALSE),"")</f>
        <v/>
      </c>
      <c r="H1146" t="str">
        <f>IFERROR(VLOOKUP(D1146,'Team Data'!C:AB,7,FALSE),"")</f>
        <v/>
      </c>
      <c r="I1146" t="str">
        <f>IFERROR(VLOOKUP(D1146,'Team Data'!C:AB,14,FALSE),"")</f>
        <v/>
      </c>
      <c r="J1146" t="str">
        <f>IFERROR(VLOOKUP(D1146,'Team Data'!C:AB,8,FALSE),"")</f>
        <v/>
      </c>
      <c r="K1146" t="str">
        <f>IFERROR(VLOOKUP(D1146,'Team Data'!C:AB,9,FALSE),"")</f>
        <v/>
      </c>
      <c r="L1146" t="str">
        <f>IFERROR(VLOOKUP(D1146,'Team Data'!C:AB,10,FALSE),"")</f>
        <v/>
      </c>
      <c r="M1146" t="str">
        <f t="shared" si="36"/>
        <v/>
      </c>
      <c r="N1146" t="str">
        <f>IFERROR(VLOOKUP(D1146,'Team Data'!C:AB,23,FALSE),"")</f>
        <v/>
      </c>
      <c r="O1146" t="str">
        <f>IFERROR(VLOOKUP(D1146,'Team Data'!C:AB,22,FALSE),"")</f>
        <v/>
      </c>
      <c r="P1146" t="str">
        <f t="shared" si="37"/>
        <v/>
      </c>
      <c r="Q1146" t="str">
        <f>IFERROR(VLOOKUP(D1146,'Team Data'!C:AB,15,FALSE),"")</f>
        <v/>
      </c>
      <c r="R1146" t="str">
        <f>IFERROR(VLOOKUP('OB Format'!D1146,'Team Data'!C:AB,24,FALSE),"")</f>
        <v/>
      </c>
      <c r="S1146" t="str">
        <f>IFERROR(VLOOKUP('OB Format'!D1146,'Team Data'!C:AC,25,FALSE),"")</f>
        <v/>
      </c>
    </row>
    <row r="1147" spans="5:19" x14ac:dyDescent="0.25">
      <c r="E1147" t="str">
        <f>IFERROR(VLOOKUP(D1147,'Team Data'!C:AB,4,FALSE),"")</f>
        <v/>
      </c>
      <c r="F1147" t="str">
        <f>IFERROR(VLOOKUP(D1147,'Team Data'!C:AB,5,FALSE),"")</f>
        <v/>
      </c>
      <c r="G1147" t="str">
        <f>IFERROR(VLOOKUP('OB Format'!D1147,'Team Data'!C:AB,17,FALSE),"")</f>
        <v/>
      </c>
      <c r="H1147" t="str">
        <f>IFERROR(VLOOKUP(D1147,'Team Data'!C:AB,7,FALSE),"")</f>
        <v/>
      </c>
      <c r="I1147" t="str">
        <f>IFERROR(VLOOKUP(D1147,'Team Data'!C:AB,14,FALSE),"")</f>
        <v/>
      </c>
      <c r="J1147" t="str">
        <f>IFERROR(VLOOKUP(D1147,'Team Data'!C:AB,8,FALSE),"")</f>
        <v/>
      </c>
      <c r="K1147" t="str">
        <f>IFERROR(VLOOKUP(D1147,'Team Data'!C:AB,9,FALSE),"")</f>
        <v/>
      </c>
      <c r="L1147" t="str">
        <f>IFERROR(VLOOKUP(D1147,'Team Data'!C:AB,10,FALSE),"")</f>
        <v/>
      </c>
      <c r="M1147" t="str">
        <f t="shared" si="36"/>
        <v/>
      </c>
      <c r="N1147" t="str">
        <f>IFERROR(VLOOKUP(D1147,'Team Data'!C:AB,23,FALSE),"")</f>
        <v/>
      </c>
      <c r="O1147" t="str">
        <f>IFERROR(VLOOKUP(D1147,'Team Data'!C:AB,22,FALSE),"")</f>
        <v/>
      </c>
      <c r="P1147" t="str">
        <f t="shared" si="37"/>
        <v/>
      </c>
      <c r="Q1147" t="str">
        <f>IFERROR(VLOOKUP(D1147,'Team Data'!C:AB,15,FALSE),"")</f>
        <v/>
      </c>
      <c r="R1147" t="str">
        <f>IFERROR(VLOOKUP('OB Format'!D1147,'Team Data'!C:AB,24,FALSE),"")</f>
        <v/>
      </c>
      <c r="S1147" t="str">
        <f>IFERROR(VLOOKUP('OB Format'!D1147,'Team Data'!C:AC,25,FALSE),"")</f>
        <v/>
      </c>
    </row>
    <row r="1148" spans="5:19" x14ac:dyDescent="0.25">
      <c r="E1148" t="str">
        <f>IFERROR(VLOOKUP(D1148,'Team Data'!C:AB,4,FALSE),"")</f>
        <v/>
      </c>
      <c r="F1148" t="str">
        <f>IFERROR(VLOOKUP(D1148,'Team Data'!C:AB,5,FALSE),"")</f>
        <v/>
      </c>
      <c r="G1148" t="str">
        <f>IFERROR(VLOOKUP('OB Format'!D1148,'Team Data'!C:AB,17,FALSE),"")</f>
        <v/>
      </c>
      <c r="H1148" t="str">
        <f>IFERROR(VLOOKUP(D1148,'Team Data'!C:AB,7,FALSE),"")</f>
        <v/>
      </c>
      <c r="I1148" t="str">
        <f>IFERROR(VLOOKUP(D1148,'Team Data'!C:AB,14,FALSE),"")</f>
        <v/>
      </c>
      <c r="J1148" t="str">
        <f>IFERROR(VLOOKUP(D1148,'Team Data'!C:AB,8,FALSE),"")</f>
        <v/>
      </c>
      <c r="K1148" t="str">
        <f>IFERROR(VLOOKUP(D1148,'Team Data'!C:AB,9,FALSE),"")</f>
        <v/>
      </c>
      <c r="L1148" t="str">
        <f>IFERROR(VLOOKUP(D1148,'Team Data'!C:AB,10,FALSE),"")</f>
        <v/>
      </c>
      <c r="M1148" t="str">
        <f t="shared" si="36"/>
        <v/>
      </c>
      <c r="N1148" t="str">
        <f>IFERROR(VLOOKUP(D1148,'Team Data'!C:AB,23,FALSE),"")</f>
        <v/>
      </c>
      <c r="O1148" t="str">
        <f>IFERROR(VLOOKUP(D1148,'Team Data'!C:AB,22,FALSE),"")</f>
        <v/>
      </c>
      <c r="P1148" t="str">
        <f t="shared" si="37"/>
        <v/>
      </c>
      <c r="Q1148" t="str">
        <f>IFERROR(VLOOKUP(D1148,'Team Data'!C:AB,15,FALSE),"")</f>
        <v/>
      </c>
      <c r="R1148" t="str">
        <f>IFERROR(VLOOKUP('OB Format'!D1148,'Team Data'!C:AB,24,FALSE),"")</f>
        <v/>
      </c>
      <c r="S1148" t="str">
        <f>IFERROR(VLOOKUP('OB Format'!D1148,'Team Data'!C:AC,25,FALSE),"")</f>
        <v/>
      </c>
    </row>
    <row r="1149" spans="5:19" x14ac:dyDescent="0.25">
      <c r="E1149" t="str">
        <f>IFERROR(VLOOKUP(D1149,'Team Data'!C:AB,4,FALSE),"")</f>
        <v/>
      </c>
      <c r="F1149" t="str">
        <f>IFERROR(VLOOKUP(D1149,'Team Data'!C:AB,5,FALSE),"")</f>
        <v/>
      </c>
      <c r="G1149" t="str">
        <f>IFERROR(VLOOKUP('OB Format'!D1149,'Team Data'!C:AB,17,FALSE),"")</f>
        <v/>
      </c>
      <c r="H1149" t="str">
        <f>IFERROR(VLOOKUP(D1149,'Team Data'!C:AB,7,FALSE),"")</f>
        <v/>
      </c>
      <c r="I1149" t="str">
        <f>IFERROR(VLOOKUP(D1149,'Team Data'!C:AB,14,FALSE),"")</f>
        <v/>
      </c>
      <c r="J1149" t="str">
        <f>IFERROR(VLOOKUP(D1149,'Team Data'!C:AB,8,FALSE),"")</f>
        <v/>
      </c>
      <c r="K1149" t="str">
        <f>IFERROR(VLOOKUP(D1149,'Team Data'!C:AB,9,FALSE),"")</f>
        <v/>
      </c>
      <c r="L1149" t="str">
        <f>IFERROR(VLOOKUP(D1149,'Team Data'!C:AB,10,FALSE),"")</f>
        <v/>
      </c>
      <c r="M1149" t="str">
        <f t="shared" si="36"/>
        <v/>
      </c>
      <c r="N1149" t="str">
        <f>IFERROR(VLOOKUP(D1149,'Team Data'!C:AB,23,FALSE),"")</f>
        <v/>
      </c>
      <c r="O1149" t="str">
        <f>IFERROR(VLOOKUP(D1149,'Team Data'!C:AB,22,FALSE),"")</f>
        <v/>
      </c>
      <c r="P1149" t="str">
        <f t="shared" si="37"/>
        <v/>
      </c>
      <c r="Q1149" t="str">
        <f>IFERROR(VLOOKUP(D1149,'Team Data'!C:AB,15,FALSE),"")</f>
        <v/>
      </c>
      <c r="R1149" t="str">
        <f>IFERROR(VLOOKUP('OB Format'!D1149,'Team Data'!C:AB,24,FALSE),"")</f>
        <v/>
      </c>
      <c r="S1149" t="str">
        <f>IFERROR(VLOOKUP('OB Format'!D1149,'Team Data'!C:AC,25,FALSE),"")</f>
        <v/>
      </c>
    </row>
    <row r="1150" spans="5:19" x14ac:dyDescent="0.25">
      <c r="E1150" t="str">
        <f>IFERROR(VLOOKUP(D1150,'Team Data'!C:AB,4,FALSE),"")</f>
        <v/>
      </c>
      <c r="F1150" t="str">
        <f>IFERROR(VLOOKUP(D1150,'Team Data'!C:AB,5,FALSE),"")</f>
        <v/>
      </c>
      <c r="G1150" t="str">
        <f>IFERROR(VLOOKUP('OB Format'!D1150,'Team Data'!C:AB,17,FALSE),"")</f>
        <v/>
      </c>
      <c r="H1150" t="str">
        <f>IFERROR(VLOOKUP(D1150,'Team Data'!C:AB,7,FALSE),"")</f>
        <v/>
      </c>
      <c r="I1150" t="str">
        <f>IFERROR(VLOOKUP(D1150,'Team Data'!C:AB,14,FALSE),"")</f>
        <v/>
      </c>
      <c r="J1150" t="str">
        <f>IFERROR(VLOOKUP(D1150,'Team Data'!C:AB,8,FALSE),"")</f>
        <v/>
      </c>
      <c r="K1150" t="str">
        <f>IFERROR(VLOOKUP(D1150,'Team Data'!C:AB,9,FALSE),"")</f>
        <v/>
      </c>
      <c r="L1150" t="str">
        <f>IFERROR(VLOOKUP(D1150,'Team Data'!C:AB,10,FALSE),"")</f>
        <v/>
      </c>
      <c r="M1150" t="str">
        <f t="shared" si="36"/>
        <v/>
      </c>
      <c r="N1150" t="str">
        <f>IFERROR(VLOOKUP(D1150,'Team Data'!C:AB,23,FALSE),"")</f>
        <v/>
      </c>
      <c r="O1150" t="str">
        <f>IFERROR(VLOOKUP(D1150,'Team Data'!C:AB,22,FALSE),"")</f>
        <v/>
      </c>
      <c r="P1150" t="str">
        <f t="shared" si="37"/>
        <v/>
      </c>
      <c r="Q1150" t="str">
        <f>IFERROR(VLOOKUP(D1150,'Team Data'!C:AB,15,FALSE),"")</f>
        <v/>
      </c>
      <c r="R1150" t="str">
        <f>IFERROR(VLOOKUP('OB Format'!D1150,'Team Data'!C:AB,24,FALSE),"")</f>
        <v/>
      </c>
      <c r="S1150" t="str">
        <f>IFERROR(VLOOKUP('OB Format'!D1150,'Team Data'!C:AC,25,FALSE),"")</f>
        <v/>
      </c>
    </row>
    <row r="1151" spans="5:19" x14ac:dyDescent="0.25">
      <c r="E1151" t="str">
        <f>IFERROR(VLOOKUP(D1151,'Team Data'!C:AB,4,FALSE),"")</f>
        <v/>
      </c>
      <c r="F1151" t="str">
        <f>IFERROR(VLOOKUP(D1151,'Team Data'!C:AB,5,FALSE),"")</f>
        <v/>
      </c>
      <c r="G1151" t="str">
        <f>IFERROR(VLOOKUP('OB Format'!D1151,'Team Data'!C:AB,17,FALSE),"")</f>
        <v/>
      </c>
      <c r="H1151" t="str">
        <f>IFERROR(VLOOKUP(D1151,'Team Data'!C:AB,7,FALSE),"")</f>
        <v/>
      </c>
      <c r="I1151" t="str">
        <f>IFERROR(VLOOKUP(D1151,'Team Data'!C:AB,14,FALSE),"")</f>
        <v/>
      </c>
      <c r="J1151" t="str">
        <f>IFERROR(VLOOKUP(D1151,'Team Data'!C:AB,8,FALSE),"")</f>
        <v/>
      </c>
      <c r="K1151" t="str">
        <f>IFERROR(VLOOKUP(D1151,'Team Data'!C:AB,9,FALSE),"")</f>
        <v/>
      </c>
      <c r="L1151" t="str">
        <f>IFERROR(VLOOKUP(D1151,'Team Data'!C:AB,10,FALSE),"")</f>
        <v/>
      </c>
      <c r="M1151" t="str">
        <f t="shared" si="36"/>
        <v/>
      </c>
      <c r="N1151" t="str">
        <f>IFERROR(VLOOKUP(D1151,'Team Data'!C:AB,23,FALSE),"")</f>
        <v/>
      </c>
      <c r="O1151" t="str">
        <f>IFERROR(VLOOKUP(D1151,'Team Data'!C:AB,22,FALSE),"")</f>
        <v/>
      </c>
      <c r="P1151" t="str">
        <f t="shared" si="37"/>
        <v/>
      </c>
      <c r="Q1151" t="str">
        <f>IFERROR(VLOOKUP(D1151,'Team Data'!C:AB,15,FALSE),"")</f>
        <v/>
      </c>
      <c r="R1151" t="str">
        <f>IFERROR(VLOOKUP('OB Format'!D1151,'Team Data'!C:AB,24,FALSE),"")</f>
        <v/>
      </c>
      <c r="S1151" t="str">
        <f>IFERROR(VLOOKUP('OB Format'!D1151,'Team Data'!C:AC,25,FALSE),"")</f>
        <v/>
      </c>
    </row>
    <row r="1152" spans="5:19" x14ac:dyDescent="0.25">
      <c r="E1152" t="str">
        <f>IFERROR(VLOOKUP(D1152,'Team Data'!C:AB,4,FALSE),"")</f>
        <v/>
      </c>
      <c r="F1152" t="str">
        <f>IFERROR(VLOOKUP(D1152,'Team Data'!C:AB,5,FALSE),"")</f>
        <v/>
      </c>
      <c r="G1152" t="str">
        <f>IFERROR(VLOOKUP('OB Format'!D1152,'Team Data'!C:AB,17,FALSE),"")</f>
        <v/>
      </c>
      <c r="H1152" t="str">
        <f>IFERROR(VLOOKUP(D1152,'Team Data'!C:AB,7,FALSE),"")</f>
        <v/>
      </c>
      <c r="I1152" t="str">
        <f>IFERROR(VLOOKUP(D1152,'Team Data'!C:AB,14,FALSE),"")</f>
        <v/>
      </c>
      <c r="J1152" t="str">
        <f>IFERROR(VLOOKUP(D1152,'Team Data'!C:AB,8,FALSE),"")</f>
        <v/>
      </c>
      <c r="K1152" t="str">
        <f>IFERROR(VLOOKUP(D1152,'Team Data'!C:AB,9,FALSE),"")</f>
        <v/>
      </c>
      <c r="L1152" t="str">
        <f>IFERROR(VLOOKUP(D1152,'Team Data'!C:AB,10,FALSE),"")</f>
        <v/>
      </c>
      <c r="M1152" t="str">
        <f t="shared" si="36"/>
        <v/>
      </c>
      <c r="N1152" t="str">
        <f>IFERROR(VLOOKUP(D1152,'Team Data'!C:AB,23,FALSE),"")</f>
        <v/>
      </c>
      <c r="O1152" t="str">
        <f>IFERROR(VLOOKUP(D1152,'Team Data'!C:AB,22,FALSE),"")</f>
        <v/>
      </c>
      <c r="P1152" t="str">
        <f t="shared" si="37"/>
        <v/>
      </c>
      <c r="Q1152" t="str">
        <f>IFERROR(VLOOKUP(D1152,'Team Data'!C:AB,15,FALSE),"")</f>
        <v/>
      </c>
      <c r="R1152" t="str">
        <f>IFERROR(VLOOKUP('OB Format'!D1152,'Team Data'!C:AB,24,FALSE),"")</f>
        <v/>
      </c>
      <c r="S1152" t="str">
        <f>IFERROR(VLOOKUP('OB Format'!D1152,'Team Data'!C:AC,25,FALSE),"")</f>
        <v/>
      </c>
    </row>
    <row r="1153" spans="5:19" x14ac:dyDescent="0.25">
      <c r="E1153" t="str">
        <f>IFERROR(VLOOKUP(D1153,'Team Data'!C:AB,4,FALSE),"")</f>
        <v/>
      </c>
      <c r="F1153" t="str">
        <f>IFERROR(VLOOKUP(D1153,'Team Data'!C:AB,5,FALSE),"")</f>
        <v/>
      </c>
      <c r="G1153" t="str">
        <f>IFERROR(VLOOKUP('OB Format'!D1153,'Team Data'!C:AB,17,FALSE),"")</f>
        <v/>
      </c>
      <c r="H1153" t="str">
        <f>IFERROR(VLOOKUP(D1153,'Team Data'!C:AB,7,FALSE),"")</f>
        <v/>
      </c>
      <c r="I1153" t="str">
        <f>IFERROR(VLOOKUP(D1153,'Team Data'!C:AB,14,FALSE),"")</f>
        <v/>
      </c>
      <c r="J1153" t="str">
        <f>IFERROR(VLOOKUP(D1153,'Team Data'!C:AB,8,FALSE),"")</f>
        <v/>
      </c>
      <c r="K1153" t="str">
        <f>IFERROR(VLOOKUP(D1153,'Team Data'!C:AB,9,FALSE),"")</f>
        <v/>
      </c>
      <c r="L1153" t="str">
        <f>IFERROR(VLOOKUP(D1153,'Team Data'!C:AB,10,FALSE),"")</f>
        <v/>
      </c>
      <c r="M1153" t="str">
        <f t="shared" si="36"/>
        <v/>
      </c>
      <c r="N1153" t="str">
        <f>IFERROR(VLOOKUP(D1153,'Team Data'!C:AB,23,FALSE),"")</f>
        <v/>
      </c>
      <c r="O1153" t="str">
        <f>IFERROR(VLOOKUP(D1153,'Team Data'!C:AB,22,FALSE),"")</f>
        <v/>
      </c>
      <c r="P1153" t="str">
        <f t="shared" si="37"/>
        <v/>
      </c>
      <c r="Q1153" t="str">
        <f>IFERROR(VLOOKUP(D1153,'Team Data'!C:AB,15,FALSE),"")</f>
        <v/>
      </c>
      <c r="R1153" t="str">
        <f>IFERROR(VLOOKUP('OB Format'!D1153,'Team Data'!C:AB,24,FALSE),"")</f>
        <v/>
      </c>
      <c r="S1153" t="str">
        <f>IFERROR(VLOOKUP('OB Format'!D1153,'Team Data'!C:AC,25,FALSE),"")</f>
        <v/>
      </c>
    </row>
    <row r="1154" spans="5:19" x14ac:dyDescent="0.25">
      <c r="E1154" t="str">
        <f>IFERROR(VLOOKUP(D1154,'Team Data'!C:AB,4,FALSE),"")</f>
        <v/>
      </c>
      <c r="F1154" t="str">
        <f>IFERROR(VLOOKUP(D1154,'Team Data'!C:AB,5,FALSE),"")</f>
        <v/>
      </c>
      <c r="G1154" t="str">
        <f>IFERROR(VLOOKUP('OB Format'!D1154,'Team Data'!C:AB,17,FALSE),"")</f>
        <v/>
      </c>
      <c r="H1154" t="str">
        <f>IFERROR(VLOOKUP(D1154,'Team Data'!C:AB,7,FALSE),"")</f>
        <v/>
      </c>
      <c r="I1154" t="str">
        <f>IFERROR(VLOOKUP(D1154,'Team Data'!C:AB,14,FALSE),"")</f>
        <v/>
      </c>
      <c r="J1154" t="str">
        <f>IFERROR(VLOOKUP(D1154,'Team Data'!C:AB,8,FALSE),"")</f>
        <v/>
      </c>
      <c r="K1154" t="str">
        <f>IFERROR(VLOOKUP(D1154,'Team Data'!C:AB,9,FALSE),"")</f>
        <v/>
      </c>
      <c r="L1154" t="str">
        <f>IFERROR(VLOOKUP(D1154,'Team Data'!C:AB,10,FALSE),"")</f>
        <v/>
      </c>
      <c r="M1154" t="str">
        <f t="shared" si="36"/>
        <v/>
      </c>
      <c r="N1154" t="str">
        <f>IFERROR(VLOOKUP(D1154,'Team Data'!C:AB,23,FALSE),"")</f>
        <v/>
      </c>
      <c r="O1154" t="str">
        <f>IFERROR(VLOOKUP(D1154,'Team Data'!C:AB,22,FALSE),"")</f>
        <v/>
      </c>
      <c r="P1154" t="str">
        <f t="shared" si="37"/>
        <v/>
      </c>
      <c r="Q1154" t="str">
        <f>IFERROR(VLOOKUP(D1154,'Team Data'!C:AB,15,FALSE),"")</f>
        <v/>
      </c>
      <c r="R1154" t="str">
        <f>IFERROR(VLOOKUP('OB Format'!D1154,'Team Data'!C:AB,24,FALSE),"")</f>
        <v/>
      </c>
      <c r="S1154" t="str">
        <f>IFERROR(VLOOKUP('OB Format'!D1154,'Team Data'!C:AC,25,FALSE),"")</f>
        <v/>
      </c>
    </row>
    <row r="1155" spans="5:19" x14ac:dyDescent="0.25">
      <c r="E1155" t="str">
        <f>IFERROR(VLOOKUP(D1155,'Team Data'!C:AB,4,FALSE),"")</f>
        <v/>
      </c>
      <c r="F1155" t="str">
        <f>IFERROR(VLOOKUP(D1155,'Team Data'!C:AB,5,FALSE),"")</f>
        <v/>
      </c>
      <c r="G1155" t="str">
        <f>IFERROR(VLOOKUP('OB Format'!D1155,'Team Data'!C:AB,17,FALSE),"")</f>
        <v/>
      </c>
      <c r="H1155" t="str">
        <f>IFERROR(VLOOKUP(D1155,'Team Data'!C:AB,7,FALSE),"")</f>
        <v/>
      </c>
      <c r="I1155" t="str">
        <f>IFERROR(VLOOKUP(D1155,'Team Data'!C:AB,14,FALSE),"")</f>
        <v/>
      </c>
      <c r="J1155" t="str">
        <f>IFERROR(VLOOKUP(D1155,'Team Data'!C:AB,8,FALSE),"")</f>
        <v/>
      </c>
      <c r="K1155" t="str">
        <f>IFERROR(VLOOKUP(D1155,'Team Data'!C:AB,9,FALSE),"")</f>
        <v/>
      </c>
      <c r="L1155" t="str">
        <f>IFERROR(VLOOKUP(D1155,'Team Data'!C:AB,10,FALSE),"")</f>
        <v/>
      </c>
      <c r="M1155" t="str">
        <f t="shared" si="36"/>
        <v/>
      </c>
      <c r="N1155" t="str">
        <f>IFERROR(VLOOKUP(D1155,'Team Data'!C:AB,23,FALSE),"")</f>
        <v/>
      </c>
      <c r="O1155" t="str">
        <f>IFERROR(VLOOKUP(D1155,'Team Data'!C:AB,22,FALSE),"")</f>
        <v/>
      </c>
      <c r="P1155" t="str">
        <f t="shared" si="37"/>
        <v/>
      </c>
      <c r="Q1155" t="str">
        <f>IFERROR(VLOOKUP(D1155,'Team Data'!C:AB,15,FALSE),"")</f>
        <v/>
      </c>
      <c r="R1155" t="str">
        <f>IFERROR(VLOOKUP('OB Format'!D1155,'Team Data'!C:AB,24,FALSE),"")</f>
        <v/>
      </c>
      <c r="S1155" t="str">
        <f>IFERROR(VLOOKUP('OB Format'!D1155,'Team Data'!C:AC,25,FALSE),"")</f>
        <v/>
      </c>
    </row>
    <row r="1156" spans="5:19" x14ac:dyDescent="0.25">
      <c r="E1156" t="str">
        <f>IFERROR(VLOOKUP(D1156,'Team Data'!C:AB,4,FALSE),"")</f>
        <v/>
      </c>
      <c r="F1156" t="str">
        <f>IFERROR(VLOOKUP(D1156,'Team Data'!C:AB,5,FALSE),"")</f>
        <v/>
      </c>
      <c r="G1156" t="str">
        <f>IFERROR(VLOOKUP('OB Format'!D1156,'Team Data'!C:AB,17,FALSE),"")</f>
        <v/>
      </c>
      <c r="H1156" t="str">
        <f>IFERROR(VLOOKUP(D1156,'Team Data'!C:AB,7,FALSE),"")</f>
        <v/>
      </c>
      <c r="I1156" t="str">
        <f>IFERROR(VLOOKUP(D1156,'Team Data'!C:AB,14,FALSE),"")</f>
        <v/>
      </c>
      <c r="J1156" t="str">
        <f>IFERROR(VLOOKUP(D1156,'Team Data'!C:AB,8,FALSE),"")</f>
        <v/>
      </c>
      <c r="K1156" t="str">
        <f>IFERROR(VLOOKUP(D1156,'Team Data'!C:AB,9,FALSE),"")</f>
        <v/>
      </c>
      <c r="L1156" t="str">
        <f>IFERROR(VLOOKUP(D1156,'Team Data'!C:AB,10,FALSE),"")</f>
        <v/>
      </c>
      <c r="M1156" t="str">
        <f t="shared" si="36"/>
        <v/>
      </c>
      <c r="N1156" t="str">
        <f>IFERROR(VLOOKUP(D1156,'Team Data'!C:AB,23,FALSE),"")</f>
        <v/>
      </c>
      <c r="O1156" t="str">
        <f>IFERROR(VLOOKUP(D1156,'Team Data'!C:AB,22,FALSE),"")</f>
        <v/>
      </c>
      <c r="P1156" t="str">
        <f t="shared" si="37"/>
        <v/>
      </c>
      <c r="Q1156" t="str">
        <f>IFERROR(VLOOKUP(D1156,'Team Data'!C:AB,15,FALSE),"")</f>
        <v/>
      </c>
      <c r="R1156" t="str">
        <f>IFERROR(VLOOKUP('OB Format'!D1156,'Team Data'!C:AB,24,FALSE),"")</f>
        <v/>
      </c>
      <c r="S1156" t="str">
        <f>IFERROR(VLOOKUP('OB Format'!D1156,'Team Data'!C:AC,25,FALSE),"")</f>
        <v/>
      </c>
    </row>
    <row r="1157" spans="5:19" x14ac:dyDescent="0.25">
      <c r="E1157" t="str">
        <f>IFERROR(VLOOKUP(D1157,'Team Data'!C:AB,4,FALSE),"")</f>
        <v/>
      </c>
      <c r="F1157" t="str">
        <f>IFERROR(VLOOKUP(D1157,'Team Data'!C:AB,5,FALSE),"")</f>
        <v/>
      </c>
      <c r="G1157" t="str">
        <f>IFERROR(VLOOKUP('OB Format'!D1157,'Team Data'!C:AB,17,FALSE),"")</f>
        <v/>
      </c>
      <c r="H1157" t="str">
        <f>IFERROR(VLOOKUP(D1157,'Team Data'!C:AB,7,FALSE),"")</f>
        <v/>
      </c>
      <c r="I1157" t="str">
        <f>IFERROR(VLOOKUP(D1157,'Team Data'!C:AB,14,FALSE),"")</f>
        <v/>
      </c>
      <c r="J1157" t="str">
        <f>IFERROR(VLOOKUP(D1157,'Team Data'!C:AB,8,FALSE),"")</f>
        <v/>
      </c>
      <c r="K1157" t="str">
        <f>IFERROR(VLOOKUP(D1157,'Team Data'!C:AB,9,FALSE),"")</f>
        <v/>
      </c>
      <c r="L1157" t="str">
        <f>IFERROR(VLOOKUP(D1157,'Team Data'!C:AB,10,FALSE),"")</f>
        <v/>
      </c>
      <c r="M1157" t="str">
        <f t="shared" si="36"/>
        <v/>
      </c>
      <c r="N1157" t="str">
        <f>IFERROR(VLOOKUP(D1157,'Team Data'!C:AB,23,FALSE),"")</f>
        <v/>
      </c>
      <c r="O1157" t="str">
        <f>IFERROR(VLOOKUP(D1157,'Team Data'!C:AB,22,FALSE),"")</f>
        <v/>
      </c>
      <c r="P1157" t="str">
        <f t="shared" si="37"/>
        <v/>
      </c>
      <c r="Q1157" t="str">
        <f>IFERROR(VLOOKUP(D1157,'Team Data'!C:AB,15,FALSE),"")</f>
        <v/>
      </c>
      <c r="R1157" t="str">
        <f>IFERROR(VLOOKUP('OB Format'!D1157,'Team Data'!C:AB,24,FALSE),"")</f>
        <v/>
      </c>
      <c r="S1157" t="str">
        <f>IFERROR(VLOOKUP('OB Format'!D1157,'Team Data'!C:AC,25,FALSE),"")</f>
        <v/>
      </c>
    </row>
    <row r="1158" spans="5:19" x14ac:dyDescent="0.25">
      <c r="E1158" t="str">
        <f>IFERROR(VLOOKUP(D1158,'Team Data'!C:AB,4,FALSE),"")</f>
        <v/>
      </c>
      <c r="F1158" t="str">
        <f>IFERROR(VLOOKUP(D1158,'Team Data'!C:AB,5,FALSE),"")</f>
        <v/>
      </c>
      <c r="G1158" t="str">
        <f>IFERROR(VLOOKUP('OB Format'!D1158,'Team Data'!C:AB,17,FALSE),"")</f>
        <v/>
      </c>
      <c r="H1158" t="str">
        <f>IFERROR(VLOOKUP(D1158,'Team Data'!C:AB,7,FALSE),"")</f>
        <v/>
      </c>
      <c r="I1158" t="str">
        <f>IFERROR(VLOOKUP(D1158,'Team Data'!C:AB,14,FALSE),"")</f>
        <v/>
      </c>
      <c r="J1158" t="str">
        <f>IFERROR(VLOOKUP(D1158,'Team Data'!C:AB,8,FALSE),"")</f>
        <v/>
      </c>
      <c r="K1158" t="str">
        <f>IFERROR(VLOOKUP(D1158,'Team Data'!C:AB,9,FALSE),"")</f>
        <v/>
      </c>
      <c r="L1158" t="str">
        <f>IFERROR(VLOOKUP(D1158,'Team Data'!C:AB,10,FALSE),"")</f>
        <v/>
      </c>
      <c r="M1158" t="str">
        <f t="shared" si="36"/>
        <v/>
      </c>
      <c r="N1158" t="str">
        <f>IFERROR(VLOOKUP(D1158,'Team Data'!C:AB,23,FALSE),"")</f>
        <v/>
      </c>
      <c r="O1158" t="str">
        <f>IFERROR(VLOOKUP(D1158,'Team Data'!C:AB,22,FALSE),"")</f>
        <v/>
      </c>
      <c r="P1158" t="str">
        <f t="shared" si="37"/>
        <v/>
      </c>
      <c r="Q1158" t="str">
        <f>IFERROR(VLOOKUP(D1158,'Team Data'!C:AB,15,FALSE),"")</f>
        <v/>
      </c>
      <c r="R1158" t="str">
        <f>IFERROR(VLOOKUP('OB Format'!D1158,'Team Data'!C:AB,24,FALSE),"")</f>
        <v/>
      </c>
      <c r="S1158" t="str">
        <f>IFERROR(VLOOKUP('OB Format'!D1158,'Team Data'!C:AC,25,FALSE),"")</f>
        <v/>
      </c>
    </row>
    <row r="1159" spans="5:19" x14ac:dyDescent="0.25">
      <c r="E1159" t="str">
        <f>IFERROR(VLOOKUP(D1159,'Team Data'!C:AB,4,FALSE),"")</f>
        <v/>
      </c>
      <c r="F1159" t="str">
        <f>IFERROR(VLOOKUP(D1159,'Team Data'!C:AB,5,FALSE),"")</f>
        <v/>
      </c>
      <c r="G1159" t="str">
        <f>IFERROR(VLOOKUP('OB Format'!D1159,'Team Data'!C:AB,17,FALSE),"")</f>
        <v/>
      </c>
      <c r="H1159" t="str">
        <f>IFERROR(VLOOKUP(D1159,'Team Data'!C:AB,7,FALSE),"")</f>
        <v/>
      </c>
      <c r="I1159" t="str">
        <f>IFERROR(VLOOKUP(D1159,'Team Data'!C:AB,14,FALSE),"")</f>
        <v/>
      </c>
      <c r="J1159" t="str">
        <f>IFERROR(VLOOKUP(D1159,'Team Data'!C:AB,8,FALSE),"")</f>
        <v/>
      </c>
      <c r="K1159" t="str">
        <f>IFERROR(VLOOKUP(D1159,'Team Data'!C:AB,9,FALSE),"")</f>
        <v/>
      </c>
      <c r="L1159" t="str">
        <f>IFERROR(VLOOKUP(D1159,'Team Data'!C:AB,10,FALSE),"")</f>
        <v/>
      </c>
      <c r="M1159" t="str">
        <f t="shared" si="36"/>
        <v/>
      </c>
      <c r="N1159" t="str">
        <f>IFERROR(VLOOKUP(D1159,'Team Data'!C:AB,23,FALSE),"")</f>
        <v/>
      </c>
      <c r="O1159" t="str">
        <f>IFERROR(VLOOKUP(D1159,'Team Data'!C:AB,22,FALSE),"")</f>
        <v/>
      </c>
      <c r="P1159" t="str">
        <f t="shared" si="37"/>
        <v/>
      </c>
      <c r="Q1159" t="str">
        <f>IFERROR(VLOOKUP(D1159,'Team Data'!C:AB,15,FALSE),"")</f>
        <v/>
      </c>
      <c r="R1159" t="str">
        <f>IFERROR(VLOOKUP('OB Format'!D1159,'Team Data'!C:AB,24,FALSE),"")</f>
        <v/>
      </c>
      <c r="S1159" t="str">
        <f>IFERROR(VLOOKUP('OB Format'!D1159,'Team Data'!C:AC,25,FALSE),"")</f>
        <v/>
      </c>
    </row>
    <row r="1160" spans="5:19" x14ac:dyDescent="0.25">
      <c r="E1160" t="str">
        <f>IFERROR(VLOOKUP(D1160,'Team Data'!C:AB,4,FALSE),"")</f>
        <v/>
      </c>
      <c r="F1160" t="str">
        <f>IFERROR(VLOOKUP(D1160,'Team Data'!C:AB,5,FALSE),"")</f>
        <v/>
      </c>
      <c r="G1160" t="str">
        <f>IFERROR(VLOOKUP('OB Format'!D1160,'Team Data'!C:AB,17,FALSE),"")</f>
        <v/>
      </c>
      <c r="H1160" t="str">
        <f>IFERROR(VLOOKUP(D1160,'Team Data'!C:AB,7,FALSE),"")</f>
        <v/>
      </c>
      <c r="I1160" t="str">
        <f>IFERROR(VLOOKUP(D1160,'Team Data'!C:AB,14,FALSE),"")</f>
        <v/>
      </c>
      <c r="J1160" t="str">
        <f>IFERROR(VLOOKUP(D1160,'Team Data'!C:AB,8,FALSE),"")</f>
        <v/>
      </c>
      <c r="K1160" t="str">
        <f>IFERROR(VLOOKUP(D1160,'Team Data'!C:AB,9,FALSE),"")</f>
        <v/>
      </c>
      <c r="L1160" t="str">
        <f>IFERROR(VLOOKUP(D1160,'Team Data'!C:AB,10,FALSE),"")</f>
        <v/>
      </c>
      <c r="M1160" t="str">
        <f t="shared" si="36"/>
        <v/>
      </c>
      <c r="N1160" t="str">
        <f>IFERROR(VLOOKUP(D1160,'Team Data'!C:AB,23,FALSE),"")</f>
        <v/>
      </c>
      <c r="O1160" t="str">
        <f>IFERROR(VLOOKUP(D1160,'Team Data'!C:AB,22,FALSE),"")</f>
        <v/>
      </c>
      <c r="P1160" t="str">
        <f t="shared" si="37"/>
        <v/>
      </c>
      <c r="Q1160" t="str">
        <f>IFERROR(VLOOKUP(D1160,'Team Data'!C:AB,15,FALSE),"")</f>
        <v/>
      </c>
      <c r="R1160" t="str">
        <f>IFERROR(VLOOKUP('OB Format'!D1160,'Team Data'!C:AB,24,FALSE),"")</f>
        <v/>
      </c>
      <c r="S1160" t="str">
        <f>IFERROR(VLOOKUP('OB Format'!D1160,'Team Data'!C:AC,25,FALSE),"")</f>
        <v/>
      </c>
    </row>
    <row r="1161" spans="5:19" x14ac:dyDescent="0.25">
      <c r="E1161" t="str">
        <f>IFERROR(VLOOKUP(D1161,'Team Data'!C:AB,4,FALSE),"")</f>
        <v/>
      </c>
      <c r="F1161" t="str">
        <f>IFERROR(VLOOKUP(D1161,'Team Data'!C:AB,5,FALSE),"")</f>
        <v/>
      </c>
      <c r="G1161" t="str">
        <f>IFERROR(VLOOKUP('OB Format'!D1161,'Team Data'!C:AB,17,FALSE),"")</f>
        <v/>
      </c>
      <c r="H1161" t="str">
        <f>IFERROR(VLOOKUP(D1161,'Team Data'!C:AB,7,FALSE),"")</f>
        <v/>
      </c>
      <c r="I1161" t="str">
        <f>IFERROR(VLOOKUP(D1161,'Team Data'!C:AB,14,FALSE),"")</f>
        <v/>
      </c>
      <c r="J1161" t="str">
        <f>IFERROR(VLOOKUP(D1161,'Team Data'!C:AB,8,FALSE),"")</f>
        <v/>
      </c>
      <c r="K1161" t="str">
        <f>IFERROR(VLOOKUP(D1161,'Team Data'!C:AB,9,FALSE),"")</f>
        <v/>
      </c>
      <c r="L1161" t="str">
        <f>IFERROR(VLOOKUP(D1161,'Team Data'!C:AB,10,FALSE),"")</f>
        <v/>
      </c>
      <c r="M1161" t="str">
        <f t="shared" si="36"/>
        <v/>
      </c>
      <c r="N1161" t="str">
        <f>IFERROR(VLOOKUP(D1161,'Team Data'!C:AB,23,FALSE),"")</f>
        <v/>
      </c>
      <c r="O1161" t="str">
        <f>IFERROR(VLOOKUP(D1161,'Team Data'!C:AB,22,FALSE),"")</f>
        <v/>
      </c>
      <c r="P1161" t="str">
        <f t="shared" si="37"/>
        <v/>
      </c>
      <c r="Q1161" t="str">
        <f>IFERROR(VLOOKUP(D1161,'Team Data'!C:AB,15,FALSE),"")</f>
        <v/>
      </c>
      <c r="R1161" t="str">
        <f>IFERROR(VLOOKUP('OB Format'!D1161,'Team Data'!C:AB,24,FALSE),"")</f>
        <v/>
      </c>
      <c r="S1161" t="str">
        <f>IFERROR(VLOOKUP('OB Format'!D1161,'Team Data'!C:AC,25,FALSE),"")</f>
        <v/>
      </c>
    </row>
    <row r="1162" spans="5:19" x14ac:dyDescent="0.25">
      <c r="E1162" t="str">
        <f>IFERROR(VLOOKUP(D1162,'Team Data'!C:AB,4,FALSE),"")</f>
        <v/>
      </c>
      <c r="F1162" t="str">
        <f>IFERROR(VLOOKUP(D1162,'Team Data'!C:AB,5,FALSE),"")</f>
        <v/>
      </c>
      <c r="G1162" t="str">
        <f>IFERROR(VLOOKUP('OB Format'!D1162,'Team Data'!C:AB,17,FALSE),"")</f>
        <v/>
      </c>
      <c r="H1162" t="str">
        <f>IFERROR(VLOOKUP(D1162,'Team Data'!C:AB,7,FALSE),"")</f>
        <v/>
      </c>
      <c r="I1162" t="str">
        <f>IFERROR(VLOOKUP(D1162,'Team Data'!C:AB,14,FALSE),"")</f>
        <v/>
      </c>
      <c r="J1162" t="str">
        <f>IFERROR(VLOOKUP(D1162,'Team Data'!C:AB,8,FALSE),"")</f>
        <v/>
      </c>
      <c r="K1162" t="str">
        <f>IFERROR(VLOOKUP(D1162,'Team Data'!C:AB,9,FALSE),"")</f>
        <v/>
      </c>
      <c r="L1162" t="str">
        <f>IFERROR(VLOOKUP(D1162,'Team Data'!C:AB,10,FALSE),"")</f>
        <v/>
      </c>
      <c r="M1162" t="str">
        <f t="shared" si="36"/>
        <v/>
      </c>
      <c r="N1162" t="str">
        <f>IFERROR(VLOOKUP(D1162,'Team Data'!C:AB,23,FALSE),"")</f>
        <v/>
      </c>
      <c r="O1162" t="str">
        <f>IFERROR(VLOOKUP(D1162,'Team Data'!C:AB,22,FALSE),"")</f>
        <v/>
      </c>
      <c r="P1162" t="str">
        <f t="shared" si="37"/>
        <v/>
      </c>
      <c r="Q1162" t="str">
        <f>IFERROR(VLOOKUP(D1162,'Team Data'!C:AB,15,FALSE),"")</f>
        <v/>
      </c>
      <c r="R1162" t="str">
        <f>IFERROR(VLOOKUP('OB Format'!D1162,'Team Data'!C:AB,24,FALSE),"")</f>
        <v/>
      </c>
      <c r="S1162" t="str">
        <f>IFERROR(VLOOKUP('OB Format'!D1162,'Team Data'!C:AC,25,FALSE),"")</f>
        <v/>
      </c>
    </row>
    <row r="1163" spans="5:19" x14ac:dyDescent="0.25">
      <c r="E1163" t="str">
        <f>IFERROR(VLOOKUP(D1163,'Team Data'!C:AB,4,FALSE),"")</f>
        <v/>
      </c>
      <c r="F1163" t="str">
        <f>IFERROR(VLOOKUP(D1163,'Team Data'!C:AB,5,FALSE),"")</f>
        <v/>
      </c>
      <c r="G1163" t="str">
        <f>IFERROR(VLOOKUP('OB Format'!D1163,'Team Data'!C:AB,17,FALSE),"")</f>
        <v/>
      </c>
      <c r="H1163" t="str">
        <f>IFERROR(VLOOKUP(D1163,'Team Data'!C:AB,7,FALSE),"")</f>
        <v/>
      </c>
      <c r="I1163" t="str">
        <f>IFERROR(VLOOKUP(D1163,'Team Data'!C:AB,14,FALSE),"")</f>
        <v/>
      </c>
      <c r="J1163" t="str">
        <f>IFERROR(VLOOKUP(D1163,'Team Data'!C:AB,8,FALSE),"")</f>
        <v/>
      </c>
      <c r="K1163" t="str">
        <f>IFERROR(VLOOKUP(D1163,'Team Data'!C:AB,9,FALSE),"")</f>
        <v/>
      </c>
      <c r="L1163" t="str">
        <f>IFERROR(VLOOKUP(D1163,'Team Data'!C:AB,10,FALSE),"")</f>
        <v/>
      </c>
      <c r="M1163" t="str">
        <f t="shared" si="36"/>
        <v/>
      </c>
      <c r="N1163" t="str">
        <f>IFERROR(VLOOKUP(D1163,'Team Data'!C:AB,23,FALSE),"")</f>
        <v/>
      </c>
      <c r="O1163" t="str">
        <f>IFERROR(VLOOKUP(D1163,'Team Data'!C:AB,22,FALSE),"")</f>
        <v/>
      </c>
      <c r="P1163" t="str">
        <f t="shared" si="37"/>
        <v/>
      </c>
      <c r="Q1163" t="str">
        <f>IFERROR(VLOOKUP(D1163,'Team Data'!C:AB,15,FALSE),"")</f>
        <v/>
      </c>
      <c r="R1163" t="str">
        <f>IFERROR(VLOOKUP('OB Format'!D1163,'Team Data'!C:AB,24,FALSE),"")</f>
        <v/>
      </c>
      <c r="S1163" t="str">
        <f>IFERROR(VLOOKUP('OB Format'!D1163,'Team Data'!C:AC,25,FALSE),"")</f>
        <v/>
      </c>
    </row>
    <row r="1164" spans="5:19" x14ac:dyDescent="0.25">
      <c r="E1164" t="str">
        <f>IFERROR(VLOOKUP(D1164,'Team Data'!C:AB,4,FALSE),"")</f>
        <v/>
      </c>
      <c r="F1164" t="str">
        <f>IFERROR(VLOOKUP(D1164,'Team Data'!C:AB,5,FALSE),"")</f>
        <v/>
      </c>
      <c r="G1164" t="str">
        <f>IFERROR(VLOOKUP('OB Format'!D1164,'Team Data'!C:AB,17,FALSE),"")</f>
        <v/>
      </c>
      <c r="H1164" t="str">
        <f>IFERROR(VLOOKUP(D1164,'Team Data'!C:AB,7,FALSE),"")</f>
        <v/>
      </c>
      <c r="I1164" t="str">
        <f>IFERROR(VLOOKUP(D1164,'Team Data'!C:AB,14,FALSE),"")</f>
        <v/>
      </c>
      <c r="J1164" t="str">
        <f>IFERROR(VLOOKUP(D1164,'Team Data'!C:AB,8,FALSE),"")</f>
        <v/>
      </c>
      <c r="K1164" t="str">
        <f>IFERROR(VLOOKUP(D1164,'Team Data'!C:AB,9,FALSE),"")</f>
        <v/>
      </c>
      <c r="L1164" t="str">
        <f>IFERROR(VLOOKUP(D1164,'Team Data'!C:AB,10,FALSE),"")</f>
        <v/>
      </c>
      <c r="M1164" t="str">
        <f t="shared" si="36"/>
        <v/>
      </c>
      <c r="N1164" t="str">
        <f>IFERROR(VLOOKUP(D1164,'Team Data'!C:AB,23,FALSE),"")</f>
        <v/>
      </c>
      <c r="O1164" t="str">
        <f>IFERROR(VLOOKUP(D1164,'Team Data'!C:AB,22,FALSE),"")</f>
        <v/>
      </c>
      <c r="P1164" t="str">
        <f t="shared" si="37"/>
        <v/>
      </c>
      <c r="Q1164" t="str">
        <f>IFERROR(VLOOKUP(D1164,'Team Data'!C:AB,15,FALSE),"")</f>
        <v/>
      </c>
      <c r="R1164" t="str">
        <f>IFERROR(VLOOKUP('OB Format'!D1164,'Team Data'!C:AB,24,FALSE),"")</f>
        <v/>
      </c>
      <c r="S1164" t="str">
        <f>IFERROR(VLOOKUP('OB Format'!D1164,'Team Data'!C:AC,25,FALSE),"")</f>
        <v/>
      </c>
    </row>
    <row r="1165" spans="5:19" x14ac:dyDescent="0.25">
      <c r="E1165" t="str">
        <f>IFERROR(VLOOKUP(D1165,'Team Data'!C:AB,4,FALSE),"")</f>
        <v/>
      </c>
      <c r="F1165" t="str">
        <f>IFERROR(VLOOKUP(D1165,'Team Data'!C:AB,5,FALSE),"")</f>
        <v/>
      </c>
      <c r="G1165" t="str">
        <f>IFERROR(VLOOKUP('OB Format'!D1165,'Team Data'!C:AB,17,FALSE),"")</f>
        <v/>
      </c>
      <c r="H1165" t="str">
        <f>IFERROR(VLOOKUP(D1165,'Team Data'!C:AB,7,FALSE),"")</f>
        <v/>
      </c>
      <c r="I1165" t="str">
        <f>IFERROR(VLOOKUP(D1165,'Team Data'!C:AB,14,FALSE),"")</f>
        <v/>
      </c>
      <c r="J1165" t="str">
        <f>IFERROR(VLOOKUP(D1165,'Team Data'!C:AB,8,FALSE),"")</f>
        <v/>
      </c>
      <c r="K1165" t="str">
        <f>IFERROR(VLOOKUP(D1165,'Team Data'!C:AB,9,FALSE),"")</f>
        <v/>
      </c>
      <c r="L1165" t="str">
        <f>IFERROR(VLOOKUP(D1165,'Team Data'!C:AB,10,FALSE),"")</f>
        <v/>
      </c>
      <c r="M1165" t="str">
        <f t="shared" ref="M1165:M1228" si="38">IFERROR(H1165-(J1165+L1165+K1165),"")</f>
        <v/>
      </c>
      <c r="N1165" t="str">
        <f>IFERROR(VLOOKUP(D1165,'Team Data'!C:AB,23,FALSE),"")</f>
        <v/>
      </c>
      <c r="O1165" t="str">
        <f>IFERROR(VLOOKUP(D1165,'Team Data'!C:AB,22,FALSE),"")</f>
        <v/>
      </c>
      <c r="P1165" t="str">
        <f t="shared" ref="P1165:P1228" si="39">IFERROR(E1165-(H1165+N1165+Q1165+I1165+O1165),"")</f>
        <v/>
      </c>
      <c r="Q1165" t="str">
        <f>IFERROR(VLOOKUP(D1165,'Team Data'!C:AB,15,FALSE),"")</f>
        <v/>
      </c>
      <c r="R1165" t="str">
        <f>IFERROR(VLOOKUP('OB Format'!D1165,'Team Data'!C:AB,24,FALSE),"")</f>
        <v/>
      </c>
      <c r="S1165" t="str">
        <f>IFERROR(VLOOKUP('OB Format'!D1165,'Team Data'!C:AC,25,FALSE),"")</f>
        <v/>
      </c>
    </row>
    <row r="1166" spans="5:19" x14ac:dyDescent="0.25">
      <c r="E1166" t="str">
        <f>IFERROR(VLOOKUP(D1166,'Team Data'!C:AB,4,FALSE),"")</f>
        <v/>
      </c>
      <c r="F1166" t="str">
        <f>IFERROR(VLOOKUP(D1166,'Team Data'!C:AB,5,FALSE),"")</f>
        <v/>
      </c>
      <c r="G1166" t="str">
        <f>IFERROR(VLOOKUP('OB Format'!D1166,'Team Data'!C:AB,17,FALSE),"")</f>
        <v/>
      </c>
      <c r="H1166" t="str">
        <f>IFERROR(VLOOKUP(D1166,'Team Data'!C:AB,7,FALSE),"")</f>
        <v/>
      </c>
      <c r="I1166" t="str">
        <f>IFERROR(VLOOKUP(D1166,'Team Data'!C:AB,14,FALSE),"")</f>
        <v/>
      </c>
      <c r="J1166" t="str">
        <f>IFERROR(VLOOKUP(D1166,'Team Data'!C:AB,8,FALSE),"")</f>
        <v/>
      </c>
      <c r="K1166" t="str">
        <f>IFERROR(VLOOKUP(D1166,'Team Data'!C:AB,9,FALSE),"")</f>
        <v/>
      </c>
      <c r="L1166" t="str">
        <f>IFERROR(VLOOKUP(D1166,'Team Data'!C:AB,10,FALSE),"")</f>
        <v/>
      </c>
      <c r="M1166" t="str">
        <f t="shared" si="38"/>
        <v/>
      </c>
      <c r="N1166" t="str">
        <f>IFERROR(VLOOKUP(D1166,'Team Data'!C:AB,23,FALSE),"")</f>
        <v/>
      </c>
      <c r="O1166" t="str">
        <f>IFERROR(VLOOKUP(D1166,'Team Data'!C:AB,22,FALSE),"")</f>
        <v/>
      </c>
      <c r="P1166" t="str">
        <f t="shared" si="39"/>
        <v/>
      </c>
      <c r="Q1166" t="str">
        <f>IFERROR(VLOOKUP(D1166,'Team Data'!C:AB,15,FALSE),"")</f>
        <v/>
      </c>
      <c r="R1166" t="str">
        <f>IFERROR(VLOOKUP('OB Format'!D1166,'Team Data'!C:AB,24,FALSE),"")</f>
        <v/>
      </c>
      <c r="S1166" t="str">
        <f>IFERROR(VLOOKUP('OB Format'!D1166,'Team Data'!C:AC,25,FALSE),"")</f>
        <v/>
      </c>
    </row>
    <row r="1167" spans="5:19" x14ac:dyDescent="0.25">
      <c r="E1167" t="str">
        <f>IFERROR(VLOOKUP(D1167,'Team Data'!C:AB,4,FALSE),"")</f>
        <v/>
      </c>
      <c r="F1167" t="str">
        <f>IFERROR(VLOOKUP(D1167,'Team Data'!C:AB,5,FALSE),"")</f>
        <v/>
      </c>
      <c r="G1167" t="str">
        <f>IFERROR(VLOOKUP('OB Format'!D1167,'Team Data'!C:AB,17,FALSE),"")</f>
        <v/>
      </c>
      <c r="H1167" t="str">
        <f>IFERROR(VLOOKUP(D1167,'Team Data'!C:AB,7,FALSE),"")</f>
        <v/>
      </c>
      <c r="I1167" t="str">
        <f>IFERROR(VLOOKUP(D1167,'Team Data'!C:AB,14,FALSE),"")</f>
        <v/>
      </c>
      <c r="J1167" t="str">
        <f>IFERROR(VLOOKUP(D1167,'Team Data'!C:AB,8,FALSE),"")</f>
        <v/>
      </c>
      <c r="K1167" t="str">
        <f>IFERROR(VLOOKUP(D1167,'Team Data'!C:AB,9,FALSE),"")</f>
        <v/>
      </c>
      <c r="L1167" t="str">
        <f>IFERROR(VLOOKUP(D1167,'Team Data'!C:AB,10,FALSE),"")</f>
        <v/>
      </c>
      <c r="M1167" t="str">
        <f t="shared" si="38"/>
        <v/>
      </c>
      <c r="N1167" t="str">
        <f>IFERROR(VLOOKUP(D1167,'Team Data'!C:AB,23,FALSE),"")</f>
        <v/>
      </c>
      <c r="O1167" t="str">
        <f>IFERROR(VLOOKUP(D1167,'Team Data'!C:AB,22,FALSE),"")</f>
        <v/>
      </c>
      <c r="P1167" t="str">
        <f t="shared" si="39"/>
        <v/>
      </c>
      <c r="Q1167" t="str">
        <f>IFERROR(VLOOKUP(D1167,'Team Data'!C:AB,15,FALSE),"")</f>
        <v/>
      </c>
      <c r="R1167" t="str">
        <f>IFERROR(VLOOKUP('OB Format'!D1167,'Team Data'!C:AB,24,FALSE),"")</f>
        <v/>
      </c>
      <c r="S1167" t="str">
        <f>IFERROR(VLOOKUP('OB Format'!D1167,'Team Data'!C:AC,25,FALSE),"")</f>
        <v/>
      </c>
    </row>
    <row r="1168" spans="5:19" x14ac:dyDescent="0.25">
      <c r="E1168" t="str">
        <f>IFERROR(VLOOKUP(D1168,'Team Data'!C:AB,4,FALSE),"")</f>
        <v/>
      </c>
      <c r="F1168" t="str">
        <f>IFERROR(VLOOKUP(D1168,'Team Data'!C:AB,5,FALSE),"")</f>
        <v/>
      </c>
      <c r="G1168" t="str">
        <f>IFERROR(VLOOKUP('OB Format'!D1168,'Team Data'!C:AB,17,FALSE),"")</f>
        <v/>
      </c>
      <c r="H1168" t="str">
        <f>IFERROR(VLOOKUP(D1168,'Team Data'!C:AB,7,FALSE),"")</f>
        <v/>
      </c>
      <c r="I1168" t="str">
        <f>IFERROR(VLOOKUP(D1168,'Team Data'!C:AB,14,FALSE),"")</f>
        <v/>
      </c>
      <c r="J1168" t="str">
        <f>IFERROR(VLOOKUP(D1168,'Team Data'!C:AB,8,FALSE),"")</f>
        <v/>
      </c>
      <c r="K1168" t="str">
        <f>IFERROR(VLOOKUP(D1168,'Team Data'!C:AB,9,FALSE),"")</f>
        <v/>
      </c>
      <c r="L1168" t="str">
        <f>IFERROR(VLOOKUP(D1168,'Team Data'!C:AB,10,FALSE),"")</f>
        <v/>
      </c>
      <c r="M1168" t="str">
        <f t="shared" si="38"/>
        <v/>
      </c>
      <c r="N1168" t="str">
        <f>IFERROR(VLOOKUP(D1168,'Team Data'!C:AB,23,FALSE),"")</f>
        <v/>
      </c>
      <c r="O1168" t="str">
        <f>IFERROR(VLOOKUP(D1168,'Team Data'!C:AB,22,FALSE),"")</f>
        <v/>
      </c>
      <c r="P1168" t="str">
        <f t="shared" si="39"/>
        <v/>
      </c>
      <c r="Q1168" t="str">
        <f>IFERROR(VLOOKUP(D1168,'Team Data'!C:AB,15,FALSE),"")</f>
        <v/>
      </c>
      <c r="R1168" t="str">
        <f>IFERROR(VLOOKUP('OB Format'!D1168,'Team Data'!C:AB,24,FALSE),"")</f>
        <v/>
      </c>
      <c r="S1168" t="str">
        <f>IFERROR(VLOOKUP('OB Format'!D1168,'Team Data'!C:AC,25,FALSE),"")</f>
        <v/>
      </c>
    </row>
    <row r="1169" spans="5:19" x14ac:dyDescent="0.25">
      <c r="E1169" t="str">
        <f>IFERROR(VLOOKUP(D1169,'Team Data'!C:AB,4,FALSE),"")</f>
        <v/>
      </c>
      <c r="F1169" t="str">
        <f>IFERROR(VLOOKUP(D1169,'Team Data'!C:AB,5,FALSE),"")</f>
        <v/>
      </c>
      <c r="G1169" t="str">
        <f>IFERROR(VLOOKUP('OB Format'!D1169,'Team Data'!C:AB,17,FALSE),"")</f>
        <v/>
      </c>
      <c r="H1169" t="str">
        <f>IFERROR(VLOOKUP(D1169,'Team Data'!C:AB,7,FALSE),"")</f>
        <v/>
      </c>
      <c r="I1169" t="str">
        <f>IFERROR(VLOOKUP(D1169,'Team Data'!C:AB,14,FALSE),"")</f>
        <v/>
      </c>
      <c r="J1169" t="str">
        <f>IFERROR(VLOOKUP(D1169,'Team Data'!C:AB,8,FALSE),"")</f>
        <v/>
      </c>
      <c r="K1169" t="str">
        <f>IFERROR(VLOOKUP(D1169,'Team Data'!C:AB,9,FALSE),"")</f>
        <v/>
      </c>
      <c r="L1169" t="str">
        <f>IFERROR(VLOOKUP(D1169,'Team Data'!C:AB,10,FALSE),"")</f>
        <v/>
      </c>
      <c r="M1169" t="str">
        <f t="shared" si="38"/>
        <v/>
      </c>
      <c r="N1169" t="str">
        <f>IFERROR(VLOOKUP(D1169,'Team Data'!C:AB,23,FALSE),"")</f>
        <v/>
      </c>
      <c r="O1169" t="str">
        <f>IFERROR(VLOOKUP(D1169,'Team Data'!C:AB,22,FALSE),"")</f>
        <v/>
      </c>
      <c r="P1169" t="str">
        <f t="shared" si="39"/>
        <v/>
      </c>
      <c r="Q1169" t="str">
        <f>IFERROR(VLOOKUP(D1169,'Team Data'!C:AB,15,FALSE),"")</f>
        <v/>
      </c>
      <c r="R1169" t="str">
        <f>IFERROR(VLOOKUP('OB Format'!D1169,'Team Data'!C:AB,24,FALSE),"")</f>
        <v/>
      </c>
      <c r="S1169" t="str">
        <f>IFERROR(VLOOKUP('OB Format'!D1169,'Team Data'!C:AC,25,FALSE),"")</f>
        <v/>
      </c>
    </row>
    <row r="1170" spans="5:19" x14ac:dyDescent="0.25">
      <c r="E1170" t="str">
        <f>IFERROR(VLOOKUP(D1170,'Team Data'!C:AB,4,FALSE),"")</f>
        <v/>
      </c>
      <c r="F1170" t="str">
        <f>IFERROR(VLOOKUP(D1170,'Team Data'!C:AB,5,FALSE),"")</f>
        <v/>
      </c>
      <c r="G1170" t="str">
        <f>IFERROR(VLOOKUP('OB Format'!D1170,'Team Data'!C:AB,17,FALSE),"")</f>
        <v/>
      </c>
      <c r="H1170" t="str">
        <f>IFERROR(VLOOKUP(D1170,'Team Data'!C:AB,7,FALSE),"")</f>
        <v/>
      </c>
      <c r="I1170" t="str">
        <f>IFERROR(VLOOKUP(D1170,'Team Data'!C:AB,14,FALSE),"")</f>
        <v/>
      </c>
      <c r="J1170" t="str">
        <f>IFERROR(VLOOKUP(D1170,'Team Data'!C:AB,8,FALSE),"")</f>
        <v/>
      </c>
      <c r="K1170" t="str">
        <f>IFERROR(VLOOKUP(D1170,'Team Data'!C:AB,9,FALSE),"")</f>
        <v/>
      </c>
      <c r="L1170" t="str">
        <f>IFERROR(VLOOKUP(D1170,'Team Data'!C:AB,10,FALSE),"")</f>
        <v/>
      </c>
      <c r="M1170" t="str">
        <f t="shared" si="38"/>
        <v/>
      </c>
      <c r="N1170" t="str">
        <f>IFERROR(VLOOKUP(D1170,'Team Data'!C:AB,23,FALSE),"")</f>
        <v/>
      </c>
      <c r="O1170" t="str">
        <f>IFERROR(VLOOKUP(D1170,'Team Data'!C:AB,22,FALSE),"")</f>
        <v/>
      </c>
      <c r="P1170" t="str">
        <f t="shared" si="39"/>
        <v/>
      </c>
      <c r="Q1170" t="str">
        <f>IFERROR(VLOOKUP(D1170,'Team Data'!C:AB,15,FALSE),"")</f>
        <v/>
      </c>
      <c r="R1170" t="str">
        <f>IFERROR(VLOOKUP('OB Format'!D1170,'Team Data'!C:AB,24,FALSE),"")</f>
        <v/>
      </c>
      <c r="S1170" t="str">
        <f>IFERROR(VLOOKUP('OB Format'!D1170,'Team Data'!C:AC,25,FALSE),"")</f>
        <v/>
      </c>
    </row>
    <row r="1171" spans="5:19" x14ac:dyDescent="0.25">
      <c r="E1171" t="str">
        <f>IFERROR(VLOOKUP(D1171,'Team Data'!C:AB,4,FALSE),"")</f>
        <v/>
      </c>
      <c r="F1171" t="str">
        <f>IFERROR(VLOOKUP(D1171,'Team Data'!C:AB,5,FALSE),"")</f>
        <v/>
      </c>
      <c r="G1171" t="str">
        <f>IFERROR(VLOOKUP('OB Format'!D1171,'Team Data'!C:AB,17,FALSE),"")</f>
        <v/>
      </c>
      <c r="H1171" t="str">
        <f>IFERROR(VLOOKUP(D1171,'Team Data'!C:AB,7,FALSE),"")</f>
        <v/>
      </c>
      <c r="I1171" t="str">
        <f>IFERROR(VLOOKUP(D1171,'Team Data'!C:AB,14,FALSE),"")</f>
        <v/>
      </c>
      <c r="J1171" t="str">
        <f>IFERROR(VLOOKUP(D1171,'Team Data'!C:AB,8,FALSE),"")</f>
        <v/>
      </c>
      <c r="K1171" t="str">
        <f>IFERROR(VLOOKUP(D1171,'Team Data'!C:AB,9,FALSE),"")</f>
        <v/>
      </c>
      <c r="L1171" t="str">
        <f>IFERROR(VLOOKUP(D1171,'Team Data'!C:AB,10,FALSE),"")</f>
        <v/>
      </c>
      <c r="M1171" t="str">
        <f t="shared" si="38"/>
        <v/>
      </c>
      <c r="N1171" t="str">
        <f>IFERROR(VLOOKUP(D1171,'Team Data'!C:AB,23,FALSE),"")</f>
        <v/>
      </c>
      <c r="O1171" t="str">
        <f>IFERROR(VLOOKUP(D1171,'Team Data'!C:AB,22,FALSE),"")</f>
        <v/>
      </c>
      <c r="P1171" t="str">
        <f t="shared" si="39"/>
        <v/>
      </c>
      <c r="Q1171" t="str">
        <f>IFERROR(VLOOKUP(D1171,'Team Data'!C:AB,15,FALSE),"")</f>
        <v/>
      </c>
      <c r="R1171" t="str">
        <f>IFERROR(VLOOKUP('OB Format'!D1171,'Team Data'!C:AB,24,FALSE),"")</f>
        <v/>
      </c>
      <c r="S1171" t="str">
        <f>IFERROR(VLOOKUP('OB Format'!D1171,'Team Data'!C:AC,25,FALSE),"")</f>
        <v/>
      </c>
    </row>
    <row r="1172" spans="5:19" x14ac:dyDescent="0.25">
      <c r="E1172" t="str">
        <f>IFERROR(VLOOKUP(D1172,'Team Data'!C:AB,4,FALSE),"")</f>
        <v/>
      </c>
      <c r="F1172" t="str">
        <f>IFERROR(VLOOKUP(D1172,'Team Data'!C:AB,5,FALSE),"")</f>
        <v/>
      </c>
      <c r="G1172" t="str">
        <f>IFERROR(VLOOKUP('OB Format'!D1172,'Team Data'!C:AB,17,FALSE),"")</f>
        <v/>
      </c>
      <c r="H1172" t="str">
        <f>IFERROR(VLOOKUP(D1172,'Team Data'!C:AB,7,FALSE),"")</f>
        <v/>
      </c>
      <c r="I1172" t="str">
        <f>IFERROR(VLOOKUP(D1172,'Team Data'!C:AB,14,FALSE),"")</f>
        <v/>
      </c>
      <c r="J1172" t="str">
        <f>IFERROR(VLOOKUP(D1172,'Team Data'!C:AB,8,FALSE),"")</f>
        <v/>
      </c>
      <c r="K1172" t="str">
        <f>IFERROR(VLOOKUP(D1172,'Team Data'!C:AB,9,FALSE),"")</f>
        <v/>
      </c>
      <c r="L1172" t="str">
        <f>IFERROR(VLOOKUP(D1172,'Team Data'!C:AB,10,FALSE),"")</f>
        <v/>
      </c>
      <c r="M1172" t="str">
        <f t="shared" si="38"/>
        <v/>
      </c>
      <c r="N1172" t="str">
        <f>IFERROR(VLOOKUP(D1172,'Team Data'!C:AB,23,FALSE),"")</f>
        <v/>
      </c>
      <c r="O1172" t="str">
        <f>IFERROR(VLOOKUP(D1172,'Team Data'!C:AB,22,FALSE),"")</f>
        <v/>
      </c>
      <c r="P1172" t="str">
        <f t="shared" si="39"/>
        <v/>
      </c>
      <c r="Q1172" t="str">
        <f>IFERROR(VLOOKUP(D1172,'Team Data'!C:AB,15,FALSE),"")</f>
        <v/>
      </c>
      <c r="R1172" t="str">
        <f>IFERROR(VLOOKUP('OB Format'!D1172,'Team Data'!C:AB,24,FALSE),"")</f>
        <v/>
      </c>
      <c r="S1172" t="str">
        <f>IFERROR(VLOOKUP('OB Format'!D1172,'Team Data'!C:AC,25,FALSE),"")</f>
        <v/>
      </c>
    </row>
    <row r="1173" spans="5:19" x14ac:dyDescent="0.25">
      <c r="E1173" t="str">
        <f>IFERROR(VLOOKUP(D1173,'Team Data'!C:AB,4,FALSE),"")</f>
        <v/>
      </c>
      <c r="F1173" t="str">
        <f>IFERROR(VLOOKUP(D1173,'Team Data'!C:AB,5,FALSE),"")</f>
        <v/>
      </c>
      <c r="G1173" t="str">
        <f>IFERROR(VLOOKUP('OB Format'!D1173,'Team Data'!C:AB,17,FALSE),"")</f>
        <v/>
      </c>
      <c r="H1173" t="str">
        <f>IFERROR(VLOOKUP(D1173,'Team Data'!C:AB,7,FALSE),"")</f>
        <v/>
      </c>
      <c r="I1173" t="str">
        <f>IFERROR(VLOOKUP(D1173,'Team Data'!C:AB,14,FALSE),"")</f>
        <v/>
      </c>
      <c r="J1173" t="str">
        <f>IFERROR(VLOOKUP(D1173,'Team Data'!C:AB,8,FALSE),"")</f>
        <v/>
      </c>
      <c r="K1173" t="str">
        <f>IFERROR(VLOOKUP(D1173,'Team Data'!C:AB,9,FALSE),"")</f>
        <v/>
      </c>
      <c r="L1173" t="str">
        <f>IFERROR(VLOOKUP(D1173,'Team Data'!C:AB,10,FALSE),"")</f>
        <v/>
      </c>
      <c r="M1173" t="str">
        <f t="shared" si="38"/>
        <v/>
      </c>
      <c r="N1173" t="str">
        <f>IFERROR(VLOOKUP(D1173,'Team Data'!C:AB,23,FALSE),"")</f>
        <v/>
      </c>
      <c r="O1173" t="str">
        <f>IFERROR(VLOOKUP(D1173,'Team Data'!C:AB,22,FALSE),"")</f>
        <v/>
      </c>
      <c r="P1173" t="str">
        <f t="shared" si="39"/>
        <v/>
      </c>
      <c r="Q1173" t="str">
        <f>IFERROR(VLOOKUP(D1173,'Team Data'!C:AB,15,FALSE),"")</f>
        <v/>
      </c>
      <c r="R1173" t="str">
        <f>IFERROR(VLOOKUP('OB Format'!D1173,'Team Data'!C:AB,24,FALSE),"")</f>
        <v/>
      </c>
      <c r="S1173" t="str">
        <f>IFERROR(VLOOKUP('OB Format'!D1173,'Team Data'!C:AC,25,FALSE),"")</f>
        <v/>
      </c>
    </row>
    <row r="1174" spans="5:19" x14ac:dyDescent="0.25">
      <c r="E1174" t="str">
        <f>IFERROR(VLOOKUP(D1174,'Team Data'!C:AB,4,FALSE),"")</f>
        <v/>
      </c>
      <c r="F1174" t="str">
        <f>IFERROR(VLOOKUP(D1174,'Team Data'!C:AB,5,FALSE),"")</f>
        <v/>
      </c>
      <c r="G1174" t="str">
        <f>IFERROR(VLOOKUP('OB Format'!D1174,'Team Data'!C:AB,17,FALSE),"")</f>
        <v/>
      </c>
      <c r="H1174" t="str">
        <f>IFERROR(VLOOKUP(D1174,'Team Data'!C:AB,7,FALSE),"")</f>
        <v/>
      </c>
      <c r="I1174" t="str">
        <f>IFERROR(VLOOKUP(D1174,'Team Data'!C:AB,14,FALSE),"")</f>
        <v/>
      </c>
      <c r="J1174" t="str">
        <f>IFERROR(VLOOKUP(D1174,'Team Data'!C:AB,8,FALSE),"")</f>
        <v/>
      </c>
      <c r="K1174" t="str">
        <f>IFERROR(VLOOKUP(D1174,'Team Data'!C:AB,9,FALSE),"")</f>
        <v/>
      </c>
      <c r="L1174" t="str">
        <f>IFERROR(VLOOKUP(D1174,'Team Data'!C:AB,10,FALSE),"")</f>
        <v/>
      </c>
      <c r="M1174" t="str">
        <f t="shared" si="38"/>
        <v/>
      </c>
      <c r="N1174" t="str">
        <f>IFERROR(VLOOKUP(D1174,'Team Data'!C:AB,23,FALSE),"")</f>
        <v/>
      </c>
      <c r="O1174" t="str">
        <f>IFERROR(VLOOKUP(D1174,'Team Data'!C:AB,22,FALSE),"")</f>
        <v/>
      </c>
      <c r="P1174" t="str">
        <f t="shared" si="39"/>
        <v/>
      </c>
      <c r="Q1174" t="str">
        <f>IFERROR(VLOOKUP(D1174,'Team Data'!C:AB,15,FALSE),"")</f>
        <v/>
      </c>
      <c r="R1174" t="str">
        <f>IFERROR(VLOOKUP('OB Format'!D1174,'Team Data'!C:AB,24,FALSE),"")</f>
        <v/>
      </c>
      <c r="S1174" t="str">
        <f>IFERROR(VLOOKUP('OB Format'!D1174,'Team Data'!C:AC,25,FALSE),"")</f>
        <v/>
      </c>
    </row>
    <row r="1175" spans="5:19" x14ac:dyDescent="0.25">
      <c r="E1175" t="str">
        <f>IFERROR(VLOOKUP(D1175,'Team Data'!C:AB,4,FALSE),"")</f>
        <v/>
      </c>
      <c r="F1175" t="str">
        <f>IFERROR(VLOOKUP(D1175,'Team Data'!C:AB,5,FALSE),"")</f>
        <v/>
      </c>
      <c r="G1175" t="str">
        <f>IFERROR(VLOOKUP('OB Format'!D1175,'Team Data'!C:AB,17,FALSE),"")</f>
        <v/>
      </c>
      <c r="H1175" t="str">
        <f>IFERROR(VLOOKUP(D1175,'Team Data'!C:AB,7,FALSE),"")</f>
        <v/>
      </c>
      <c r="I1175" t="str">
        <f>IFERROR(VLOOKUP(D1175,'Team Data'!C:AB,14,FALSE),"")</f>
        <v/>
      </c>
      <c r="J1175" t="str">
        <f>IFERROR(VLOOKUP(D1175,'Team Data'!C:AB,8,FALSE),"")</f>
        <v/>
      </c>
      <c r="K1175" t="str">
        <f>IFERROR(VLOOKUP(D1175,'Team Data'!C:AB,9,FALSE),"")</f>
        <v/>
      </c>
      <c r="L1175" t="str">
        <f>IFERROR(VLOOKUP(D1175,'Team Data'!C:AB,10,FALSE),"")</f>
        <v/>
      </c>
      <c r="M1175" t="str">
        <f t="shared" si="38"/>
        <v/>
      </c>
      <c r="N1175" t="str">
        <f>IFERROR(VLOOKUP(D1175,'Team Data'!C:AB,23,FALSE),"")</f>
        <v/>
      </c>
      <c r="O1175" t="str">
        <f>IFERROR(VLOOKUP(D1175,'Team Data'!C:AB,22,FALSE),"")</f>
        <v/>
      </c>
      <c r="P1175" t="str">
        <f t="shared" si="39"/>
        <v/>
      </c>
      <c r="Q1175" t="str">
        <f>IFERROR(VLOOKUP(D1175,'Team Data'!C:AB,15,FALSE),"")</f>
        <v/>
      </c>
      <c r="R1175" t="str">
        <f>IFERROR(VLOOKUP('OB Format'!D1175,'Team Data'!C:AB,24,FALSE),"")</f>
        <v/>
      </c>
      <c r="S1175" t="str">
        <f>IFERROR(VLOOKUP('OB Format'!D1175,'Team Data'!C:AC,25,FALSE),"")</f>
        <v/>
      </c>
    </row>
    <row r="1176" spans="5:19" x14ac:dyDescent="0.25">
      <c r="E1176" t="str">
        <f>IFERROR(VLOOKUP(D1176,'Team Data'!C:AB,4,FALSE),"")</f>
        <v/>
      </c>
      <c r="F1176" t="str">
        <f>IFERROR(VLOOKUP(D1176,'Team Data'!C:AB,5,FALSE),"")</f>
        <v/>
      </c>
      <c r="G1176" t="str">
        <f>IFERROR(VLOOKUP('OB Format'!D1176,'Team Data'!C:AB,17,FALSE),"")</f>
        <v/>
      </c>
      <c r="H1176" t="str">
        <f>IFERROR(VLOOKUP(D1176,'Team Data'!C:AB,7,FALSE),"")</f>
        <v/>
      </c>
      <c r="I1176" t="str">
        <f>IFERROR(VLOOKUP(D1176,'Team Data'!C:AB,14,FALSE),"")</f>
        <v/>
      </c>
      <c r="J1176" t="str">
        <f>IFERROR(VLOOKUP(D1176,'Team Data'!C:AB,8,FALSE),"")</f>
        <v/>
      </c>
      <c r="K1176" t="str">
        <f>IFERROR(VLOOKUP(D1176,'Team Data'!C:AB,9,FALSE),"")</f>
        <v/>
      </c>
      <c r="L1176" t="str">
        <f>IFERROR(VLOOKUP(D1176,'Team Data'!C:AB,10,FALSE),"")</f>
        <v/>
      </c>
      <c r="M1176" t="str">
        <f t="shared" si="38"/>
        <v/>
      </c>
      <c r="N1176" t="str">
        <f>IFERROR(VLOOKUP(D1176,'Team Data'!C:AB,23,FALSE),"")</f>
        <v/>
      </c>
      <c r="O1176" t="str">
        <f>IFERROR(VLOOKUP(D1176,'Team Data'!C:AB,22,FALSE),"")</f>
        <v/>
      </c>
      <c r="P1176" t="str">
        <f t="shared" si="39"/>
        <v/>
      </c>
      <c r="Q1176" t="str">
        <f>IFERROR(VLOOKUP(D1176,'Team Data'!C:AB,15,FALSE),"")</f>
        <v/>
      </c>
      <c r="R1176" t="str">
        <f>IFERROR(VLOOKUP('OB Format'!D1176,'Team Data'!C:AB,24,FALSE),"")</f>
        <v/>
      </c>
      <c r="S1176" t="str">
        <f>IFERROR(VLOOKUP('OB Format'!D1176,'Team Data'!C:AC,25,FALSE),"")</f>
        <v/>
      </c>
    </row>
    <row r="1177" spans="5:19" x14ac:dyDescent="0.25">
      <c r="E1177" t="str">
        <f>IFERROR(VLOOKUP(D1177,'Team Data'!C:AB,4,FALSE),"")</f>
        <v/>
      </c>
      <c r="F1177" t="str">
        <f>IFERROR(VLOOKUP(D1177,'Team Data'!C:AB,5,FALSE),"")</f>
        <v/>
      </c>
      <c r="G1177" t="str">
        <f>IFERROR(VLOOKUP('OB Format'!D1177,'Team Data'!C:AB,17,FALSE),"")</f>
        <v/>
      </c>
      <c r="H1177" t="str">
        <f>IFERROR(VLOOKUP(D1177,'Team Data'!C:AB,7,FALSE),"")</f>
        <v/>
      </c>
      <c r="I1177" t="str">
        <f>IFERROR(VLOOKUP(D1177,'Team Data'!C:AB,14,FALSE),"")</f>
        <v/>
      </c>
      <c r="J1177" t="str">
        <f>IFERROR(VLOOKUP(D1177,'Team Data'!C:AB,8,FALSE),"")</f>
        <v/>
      </c>
      <c r="K1177" t="str">
        <f>IFERROR(VLOOKUP(D1177,'Team Data'!C:AB,9,FALSE),"")</f>
        <v/>
      </c>
      <c r="L1177" t="str">
        <f>IFERROR(VLOOKUP(D1177,'Team Data'!C:AB,10,FALSE),"")</f>
        <v/>
      </c>
      <c r="M1177" t="str">
        <f t="shared" si="38"/>
        <v/>
      </c>
      <c r="N1177" t="str">
        <f>IFERROR(VLOOKUP(D1177,'Team Data'!C:AB,23,FALSE),"")</f>
        <v/>
      </c>
      <c r="O1177" t="str">
        <f>IFERROR(VLOOKUP(D1177,'Team Data'!C:AB,22,FALSE),"")</f>
        <v/>
      </c>
      <c r="P1177" t="str">
        <f t="shared" si="39"/>
        <v/>
      </c>
      <c r="Q1177" t="str">
        <f>IFERROR(VLOOKUP(D1177,'Team Data'!C:AB,15,FALSE),"")</f>
        <v/>
      </c>
      <c r="R1177" t="str">
        <f>IFERROR(VLOOKUP('OB Format'!D1177,'Team Data'!C:AB,24,FALSE),"")</f>
        <v/>
      </c>
      <c r="S1177" t="str">
        <f>IFERROR(VLOOKUP('OB Format'!D1177,'Team Data'!C:AC,25,FALSE),"")</f>
        <v/>
      </c>
    </row>
    <row r="1178" spans="5:19" x14ac:dyDescent="0.25">
      <c r="E1178" t="str">
        <f>IFERROR(VLOOKUP(D1178,'Team Data'!C:AB,4,FALSE),"")</f>
        <v/>
      </c>
      <c r="F1178" t="str">
        <f>IFERROR(VLOOKUP(D1178,'Team Data'!C:AB,5,FALSE),"")</f>
        <v/>
      </c>
      <c r="G1178" t="str">
        <f>IFERROR(VLOOKUP('OB Format'!D1178,'Team Data'!C:AB,17,FALSE),"")</f>
        <v/>
      </c>
      <c r="H1178" t="str">
        <f>IFERROR(VLOOKUP(D1178,'Team Data'!C:AB,7,FALSE),"")</f>
        <v/>
      </c>
      <c r="I1178" t="str">
        <f>IFERROR(VLOOKUP(D1178,'Team Data'!C:AB,14,FALSE),"")</f>
        <v/>
      </c>
      <c r="J1178" t="str">
        <f>IFERROR(VLOOKUP(D1178,'Team Data'!C:AB,8,FALSE),"")</f>
        <v/>
      </c>
      <c r="K1178" t="str">
        <f>IFERROR(VLOOKUP(D1178,'Team Data'!C:AB,9,FALSE),"")</f>
        <v/>
      </c>
      <c r="L1178" t="str">
        <f>IFERROR(VLOOKUP(D1178,'Team Data'!C:AB,10,FALSE),"")</f>
        <v/>
      </c>
      <c r="M1178" t="str">
        <f t="shared" si="38"/>
        <v/>
      </c>
      <c r="N1178" t="str">
        <f>IFERROR(VLOOKUP(D1178,'Team Data'!C:AB,23,FALSE),"")</f>
        <v/>
      </c>
      <c r="O1178" t="str">
        <f>IFERROR(VLOOKUP(D1178,'Team Data'!C:AB,22,FALSE),"")</f>
        <v/>
      </c>
      <c r="P1178" t="str">
        <f t="shared" si="39"/>
        <v/>
      </c>
      <c r="Q1178" t="str">
        <f>IFERROR(VLOOKUP(D1178,'Team Data'!C:AB,15,FALSE),"")</f>
        <v/>
      </c>
      <c r="R1178" t="str">
        <f>IFERROR(VLOOKUP('OB Format'!D1178,'Team Data'!C:AB,24,FALSE),"")</f>
        <v/>
      </c>
      <c r="S1178" t="str">
        <f>IFERROR(VLOOKUP('OB Format'!D1178,'Team Data'!C:AC,25,FALSE),"")</f>
        <v/>
      </c>
    </row>
    <row r="1179" spans="5:19" x14ac:dyDescent="0.25">
      <c r="E1179" t="str">
        <f>IFERROR(VLOOKUP(D1179,'Team Data'!C:AB,4,FALSE),"")</f>
        <v/>
      </c>
      <c r="F1179" t="str">
        <f>IFERROR(VLOOKUP(D1179,'Team Data'!C:AB,5,FALSE),"")</f>
        <v/>
      </c>
      <c r="G1179" t="str">
        <f>IFERROR(VLOOKUP('OB Format'!D1179,'Team Data'!C:AB,17,FALSE),"")</f>
        <v/>
      </c>
      <c r="H1179" t="str">
        <f>IFERROR(VLOOKUP(D1179,'Team Data'!C:AB,7,FALSE),"")</f>
        <v/>
      </c>
      <c r="I1179" t="str">
        <f>IFERROR(VLOOKUP(D1179,'Team Data'!C:AB,14,FALSE),"")</f>
        <v/>
      </c>
      <c r="J1179" t="str">
        <f>IFERROR(VLOOKUP(D1179,'Team Data'!C:AB,8,FALSE),"")</f>
        <v/>
      </c>
      <c r="K1179" t="str">
        <f>IFERROR(VLOOKUP(D1179,'Team Data'!C:AB,9,FALSE),"")</f>
        <v/>
      </c>
      <c r="L1179" t="str">
        <f>IFERROR(VLOOKUP(D1179,'Team Data'!C:AB,10,FALSE),"")</f>
        <v/>
      </c>
      <c r="M1179" t="str">
        <f t="shared" si="38"/>
        <v/>
      </c>
      <c r="N1179" t="str">
        <f>IFERROR(VLOOKUP(D1179,'Team Data'!C:AB,23,FALSE),"")</f>
        <v/>
      </c>
      <c r="O1179" t="str">
        <f>IFERROR(VLOOKUP(D1179,'Team Data'!C:AB,22,FALSE),"")</f>
        <v/>
      </c>
      <c r="P1179" t="str">
        <f t="shared" si="39"/>
        <v/>
      </c>
      <c r="Q1179" t="str">
        <f>IFERROR(VLOOKUP(D1179,'Team Data'!C:AB,15,FALSE),"")</f>
        <v/>
      </c>
      <c r="R1179" t="str">
        <f>IFERROR(VLOOKUP('OB Format'!D1179,'Team Data'!C:AB,24,FALSE),"")</f>
        <v/>
      </c>
      <c r="S1179" t="str">
        <f>IFERROR(VLOOKUP('OB Format'!D1179,'Team Data'!C:AC,25,FALSE),"")</f>
        <v/>
      </c>
    </row>
    <row r="1180" spans="5:19" x14ac:dyDescent="0.25">
      <c r="E1180" t="str">
        <f>IFERROR(VLOOKUP(D1180,'Team Data'!C:AB,4,FALSE),"")</f>
        <v/>
      </c>
      <c r="F1180" t="str">
        <f>IFERROR(VLOOKUP(D1180,'Team Data'!C:AB,5,FALSE),"")</f>
        <v/>
      </c>
      <c r="G1180" t="str">
        <f>IFERROR(VLOOKUP('OB Format'!D1180,'Team Data'!C:AB,17,FALSE),"")</f>
        <v/>
      </c>
      <c r="H1180" t="str">
        <f>IFERROR(VLOOKUP(D1180,'Team Data'!C:AB,7,FALSE),"")</f>
        <v/>
      </c>
      <c r="I1180" t="str">
        <f>IFERROR(VLOOKUP(D1180,'Team Data'!C:AB,14,FALSE),"")</f>
        <v/>
      </c>
      <c r="J1180" t="str">
        <f>IFERROR(VLOOKUP(D1180,'Team Data'!C:AB,8,FALSE),"")</f>
        <v/>
      </c>
      <c r="K1180" t="str">
        <f>IFERROR(VLOOKUP(D1180,'Team Data'!C:AB,9,FALSE),"")</f>
        <v/>
      </c>
      <c r="L1180" t="str">
        <f>IFERROR(VLOOKUP(D1180,'Team Data'!C:AB,10,FALSE),"")</f>
        <v/>
      </c>
      <c r="M1180" t="str">
        <f t="shared" si="38"/>
        <v/>
      </c>
      <c r="N1180" t="str">
        <f>IFERROR(VLOOKUP(D1180,'Team Data'!C:AB,23,FALSE),"")</f>
        <v/>
      </c>
      <c r="O1180" t="str">
        <f>IFERROR(VLOOKUP(D1180,'Team Data'!C:AB,22,FALSE),"")</f>
        <v/>
      </c>
      <c r="P1180" t="str">
        <f t="shared" si="39"/>
        <v/>
      </c>
      <c r="Q1180" t="str">
        <f>IFERROR(VLOOKUP(D1180,'Team Data'!C:AB,15,FALSE),"")</f>
        <v/>
      </c>
      <c r="R1180" t="str">
        <f>IFERROR(VLOOKUP('OB Format'!D1180,'Team Data'!C:AB,24,FALSE),"")</f>
        <v/>
      </c>
      <c r="S1180" t="str">
        <f>IFERROR(VLOOKUP('OB Format'!D1180,'Team Data'!C:AC,25,FALSE),"")</f>
        <v/>
      </c>
    </row>
    <row r="1181" spans="5:19" x14ac:dyDescent="0.25">
      <c r="E1181" t="str">
        <f>IFERROR(VLOOKUP(D1181,'Team Data'!C:AB,4,FALSE),"")</f>
        <v/>
      </c>
      <c r="F1181" t="str">
        <f>IFERROR(VLOOKUP(D1181,'Team Data'!C:AB,5,FALSE),"")</f>
        <v/>
      </c>
      <c r="G1181" t="str">
        <f>IFERROR(VLOOKUP('OB Format'!D1181,'Team Data'!C:AB,17,FALSE),"")</f>
        <v/>
      </c>
      <c r="H1181" t="str">
        <f>IFERROR(VLOOKUP(D1181,'Team Data'!C:AB,7,FALSE),"")</f>
        <v/>
      </c>
      <c r="I1181" t="str">
        <f>IFERROR(VLOOKUP(D1181,'Team Data'!C:AB,14,FALSE),"")</f>
        <v/>
      </c>
      <c r="J1181" t="str">
        <f>IFERROR(VLOOKUP(D1181,'Team Data'!C:AB,8,FALSE),"")</f>
        <v/>
      </c>
      <c r="K1181" t="str">
        <f>IFERROR(VLOOKUP(D1181,'Team Data'!C:AB,9,FALSE),"")</f>
        <v/>
      </c>
      <c r="L1181" t="str">
        <f>IFERROR(VLOOKUP(D1181,'Team Data'!C:AB,10,FALSE),"")</f>
        <v/>
      </c>
      <c r="M1181" t="str">
        <f t="shared" si="38"/>
        <v/>
      </c>
      <c r="N1181" t="str">
        <f>IFERROR(VLOOKUP(D1181,'Team Data'!C:AB,23,FALSE),"")</f>
        <v/>
      </c>
      <c r="O1181" t="str">
        <f>IFERROR(VLOOKUP(D1181,'Team Data'!C:AB,22,FALSE),"")</f>
        <v/>
      </c>
      <c r="P1181" t="str">
        <f t="shared" si="39"/>
        <v/>
      </c>
      <c r="Q1181" t="str">
        <f>IFERROR(VLOOKUP(D1181,'Team Data'!C:AB,15,FALSE),"")</f>
        <v/>
      </c>
      <c r="R1181" t="str">
        <f>IFERROR(VLOOKUP('OB Format'!D1181,'Team Data'!C:AB,24,FALSE),"")</f>
        <v/>
      </c>
      <c r="S1181" t="str">
        <f>IFERROR(VLOOKUP('OB Format'!D1181,'Team Data'!C:AC,25,FALSE),"")</f>
        <v/>
      </c>
    </row>
    <row r="1182" spans="5:19" x14ac:dyDescent="0.25">
      <c r="E1182" t="str">
        <f>IFERROR(VLOOKUP(D1182,'Team Data'!C:AB,4,FALSE),"")</f>
        <v/>
      </c>
      <c r="F1182" t="str">
        <f>IFERROR(VLOOKUP(D1182,'Team Data'!C:AB,5,FALSE),"")</f>
        <v/>
      </c>
      <c r="G1182" t="str">
        <f>IFERROR(VLOOKUP('OB Format'!D1182,'Team Data'!C:AB,17,FALSE),"")</f>
        <v/>
      </c>
      <c r="H1182" t="str">
        <f>IFERROR(VLOOKUP(D1182,'Team Data'!C:AB,7,FALSE),"")</f>
        <v/>
      </c>
      <c r="I1182" t="str">
        <f>IFERROR(VLOOKUP(D1182,'Team Data'!C:AB,14,FALSE),"")</f>
        <v/>
      </c>
      <c r="J1182" t="str">
        <f>IFERROR(VLOOKUP(D1182,'Team Data'!C:AB,8,FALSE),"")</f>
        <v/>
      </c>
      <c r="K1182" t="str">
        <f>IFERROR(VLOOKUP(D1182,'Team Data'!C:AB,9,FALSE),"")</f>
        <v/>
      </c>
      <c r="L1182" t="str">
        <f>IFERROR(VLOOKUP(D1182,'Team Data'!C:AB,10,FALSE),"")</f>
        <v/>
      </c>
      <c r="M1182" t="str">
        <f t="shared" si="38"/>
        <v/>
      </c>
      <c r="N1182" t="str">
        <f>IFERROR(VLOOKUP(D1182,'Team Data'!C:AB,23,FALSE),"")</f>
        <v/>
      </c>
      <c r="O1182" t="str">
        <f>IFERROR(VLOOKUP(D1182,'Team Data'!C:AB,22,FALSE),"")</f>
        <v/>
      </c>
      <c r="P1182" t="str">
        <f t="shared" si="39"/>
        <v/>
      </c>
      <c r="Q1182" t="str">
        <f>IFERROR(VLOOKUP(D1182,'Team Data'!C:AB,15,FALSE),"")</f>
        <v/>
      </c>
      <c r="R1182" t="str">
        <f>IFERROR(VLOOKUP('OB Format'!D1182,'Team Data'!C:AB,24,FALSE),"")</f>
        <v/>
      </c>
      <c r="S1182" t="str">
        <f>IFERROR(VLOOKUP('OB Format'!D1182,'Team Data'!C:AC,25,FALSE),"")</f>
        <v/>
      </c>
    </row>
    <row r="1183" spans="5:19" x14ac:dyDescent="0.25">
      <c r="E1183" t="str">
        <f>IFERROR(VLOOKUP(D1183,'Team Data'!C:AB,4,FALSE),"")</f>
        <v/>
      </c>
      <c r="F1183" t="str">
        <f>IFERROR(VLOOKUP(D1183,'Team Data'!C:AB,5,FALSE),"")</f>
        <v/>
      </c>
      <c r="G1183" t="str">
        <f>IFERROR(VLOOKUP('OB Format'!D1183,'Team Data'!C:AB,17,FALSE),"")</f>
        <v/>
      </c>
      <c r="H1183" t="str">
        <f>IFERROR(VLOOKUP(D1183,'Team Data'!C:AB,7,FALSE),"")</f>
        <v/>
      </c>
      <c r="I1183" t="str">
        <f>IFERROR(VLOOKUP(D1183,'Team Data'!C:AB,14,FALSE),"")</f>
        <v/>
      </c>
      <c r="J1183" t="str">
        <f>IFERROR(VLOOKUP(D1183,'Team Data'!C:AB,8,FALSE),"")</f>
        <v/>
      </c>
      <c r="K1183" t="str">
        <f>IFERROR(VLOOKUP(D1183,'Team Data'!C:AB,9,FALSE),"")</f>
        <v/>
      </c>
      <c r="L1183" t="str">
        <f>IFERROR(VLOOKUP(D1183,'Team Data'!C:AB,10,FALSE),"")</f>
        <v/>
      </c>
      <c r="M1183" t="str">
        <f t="shared" si="38"/>
        <v/>
      </c>
      <c r="N1183" t="str">
        <f>IFERROR(VLOOKUP(D1183,'Team Data'!C:AB,23,FALSE),"")</f>
        <v/>
      </c>
      <c r="O1183" t="str">
        <f>IFERROR(VLOOKUP(D1183,'Team Data'!C:AB,22,FALSE),"")</f>
        <v/>
      </c>
      <c r="P1183" t="str">
        <f t="shared" si="39"/>
        <v/>
      </c>
      <c r="Q1183" t="str">
        <f>IFERROR(VLOOKUP(D1183,'Team Data'!C:AB,15,FALSE),"")</f>
        <v/>
      </c>
      <c r="R1183" t="str">
        <f>IFERROR(VLOOKUP('OB Format'!D1183,'Team Data'!C:AB,24,FALSE),"")</f>
        <v/>
      </c>
      <c r="S1183" t="str">
        <f>IFERROR(VLOOKUP('OB Format'!D1183,'Team Data'!C:AC,25,FALSE),"")</f>
        <v/>
      </c>
    </row>
    <row r="1184" spans="5:19" x14ac:dyDescent="0.25">
      <c r="E1184" t="str">
        <f>IFERROR(VLOOKUP(D1184,'Team Data'!C:AB,4,FALSE),"")</f>
        <v/>
      </c>
      <c r="F1184" t="str">
        <f>IFERROR(VLOOKUP(D1184,'Team Data'!C:AB,5,FALSE),"")</f>
        <v/>
      </c>
      <c r="G1184" t="str">
        <f>IFERROR(VLOOKUP('OB Format'!D1184,'Team Data'!C:AB,17,FALSE),"")</f>
        <v/>
      </c>
      <c r="H1184" t="str">
        <f>IFERROR(VLOOKUP(D1184,'Team Data'!C:AB,7,FALSE),"")</f>
        <v/>
      </c>
      <c r="I1184" t="str">
        <f>IFERROR(VLOOKUP(D1184,'Team Data'!C:AB,14,FALSE),"")</f>
        <v/>
      </c>
      <c r="J1184" t="str">
        <f>IFERROR(VLOOKUP(D1184,'Team Data'!C:AB,8,FALSE),"")</f>
        <v/>
      </c>
      <c r="K1184" t="str">
        <f>IFERROR(VLOOKUP(D1184,'Team Data'!C:AB,9,FALSE),"")</f>
        <v/>
      </c>
      <c r="L1184" t="str">
        <f>IFERROR(VLOOKUP(D1184,'Team Data'!C:AB,10,FALSE),"")</f>
        <v/>
      </c>
      <c r="M1184" t="str">
        <f t="shared" si="38"/>
        <v/>
      </c>
      <c r="N1184" t="str">
        <f>IFERROR(VLOOKUP(D1184,'Team Data'!C:AB,23,FALSE),"")</f>
        <v/>
      </c>
      <c r="O1184" t="str">
        <f>IFERROR(VLOOKUP(D1184,'Team Data'!C:AB,22,FALSE),"")</f>
        <v/>
      </c>
      <c r="P1184" t="str">
        <f t="shared" si="39"/>
        <v/>
      </c>
      <c r="Q1184" t="str">
        <f>IFERROR(VLOOKUP(D1184,'Team Data'!C:AB,15,FALSE),"")</f>
        <v/>
      </c>
      <c r="R1184" t="str">
        <f>IFERROR(VLOOKUP('OB Format'!D1184,'Team Data'!C:AB,24,FALSE),"")</f>
        <v/>
      </c>
      <c r="S1184" t="str">
        <f>IFERROR(VLOOKUP('OB Format'!D1184,'Team Data'!C:AC,25,FALSE),"")</f>
        <v/>
      </c>
    </row>
    <row r="1185" spans="5:19" x14ac:dyDescent="0.25">
      <c r="E1185" t="str">
        <f>IFERROR(VLOOKUP(D1185,'Team Data'!C:AB,4,FALSE),"")</f>
        <v/>
      </c>
      <c r="F1185" t="str">
        <f>IFERROR(VLOOKUP(D1185,'Team Data'!C:AB,5,FALSE),"")</f>
        <v/>
      </c>
      <c r="G1185" t="str">
        <f>IFERROR(VLOOKUP('OB Format'!D1185,'Team Data'!C:AB,17,FALSE),"")</f>
        <v/>
      </c>
      <c r="H1185" t="str">
        <f>IFERROR(VLOOKUP(D1185,'Team Data'!C:AB,7,FALSE),"")</f>
        <v/>
      </c>
      <c r="I1185" t="str">
        <f>IFERROR(VLOOKUP(D1185,'Team Data'!C:AB,14,FALSE),"")</f>
        <v/>
      </c>
      <c r="J1185" t="str">
        <f>IFERROR(VLOOKUP(D1185,'Team Data'!C:AB,8,FALSE),"")</f>
        <v/>
      </c>
      <c r="K1185" t="str">
        <f>IFERROR(VLOOKUP(D1185,'Team Data'!C:AB,9,FALSE),"")</f>
        <v/>
      </c>
      <c r="L1185" t="str">
        <f>IFERROR(VLOOKUP(D1185,'Team Data'!C:AB,10,FALSE),"")</f>
        <v/>
      </c>
      <c r="M1185" t="str">
        <f t="shared" si="38"/>
        <v/>
      </c>
      <c r="N1185" t="str">
        <f>IFERROR(VLOOKUP(D1185,'Team Data'!C:AB,23,FALSE),"")</f>
        <v/>
      </c>
      <c r="O1185" t="str">
        <f>IFERROR(VLOOKUP(D1185,'Team Data'!C:AB,22,FALSE),"")</f>
        <v/>
      </c>
      <c r="P1185" t="str">
        <f t="shared" si="39"/>
        <v/>
      </c>
      <c r="Q1185" t="str">
        <f>IFERROR(VLOOKUP(D1185,'Team Data'!C:AB,15,FALSE),"")</f>
        <v/>
      </c>
      <c r="R1185" t="str">
        <f>IFERROR(VLOOKUP('OB Format'!D1185,'Team Data'!C:AB,24,FALSE),"")</f>
        <v/>
      </c>
      <c r="S1185" t="str">
        <f>IFERROR(VLOOKUP('OB Format'!D1185,'Team Data'!C:AC,25,FALSE),"")</f>
        <v/>
      </c>
    </row>
    <row r="1186" spans="5:19" x14ac:dyDescent="0.25">
      <c r="E1186" t="str">
        <f>IFERROR(VLOOKUP(D1186,'Team Data'!C:AB,4,FALSE),"")</f>
        <v/>
      </c>
      <c r="F1186" t="str">
        <f>IFERROR(VLOOKUP(D1186,'Team Data'!C:AB,5,FALSE),"")</f>
        <v/>
      </c>
      <c r="G1186" t="str">
        <f>IFERROR(VLOOKUP('OB Format'!D1186,'Team Data'!C:AB,17,FALSE),"")</f>
        <v/>
      </c>
      <c r="H1186" t="str">
        <f>IFERROR(VLOOKUP(D1186,'Team Data'!C:AB,7,FALSE),"")</f>
        <v/>
      </c>
      <c r="I1186" t="str">
        <f>IFERROR(VLOOKUP(D1186,'Team Data'!C:AB,14,FALSE),"")</f>
        <v/>
      </c>
      <c r="J1186" t="str">
        <f>IFERROR(VLOOKUP(D1186,'Team Data'!C:AB,8,FALSE),"")</f>
        <v/>
      </c>
      <c r="K1186" t="str">
        <f>IFERROR(VLOOKUP(D1186,'Team Data'!C:AB,9,FALSE),"")</f>
        <v/>
      </c>
      <c r="L1186" t="str">
        <f>IFERROR(VLOOKUP(D1186,'Team Data'!C:AB,10,FALSE),"")</f>
        <v/>
      </c>
      <c r="M1186" t="str">
        <f t="shared" si="38"/>
        <v/>
      </c>
      <c r="N1186" t="str">
        <f>IFERROR(VLOOKUP(D1186,'Team Data'!C:AB,23,FALSE),"")</f>
        <v/>
      </c>
      <c r="O1186" t="str">
        <f>IFERROR(VLOOKUP(D1186,'Team Data'!C:AB,22,FALSE),"")</f>
        <v/>
      </c>
      <c r="P1186" t="str">
        <f t="shared" si="39"/>
        <v/>
      </c>
      <c r="Q1186" t="str">
        <f>IFERROR(VLOOKUP(D1186,'Team Data'!C:AB,15,FALSE),"")</f>
        <v/>
      </c>
      <c r="R1186" t="str">
        <f>IFERROR(VLOOKUP('OB Format'!D1186,'Team Data'!C:AB,24,FALSE),"")</f>
        <v/>
      </c>
      <c r="S1186" t="str">
        <f>IFERROR(VLOOKUP('OB Format'!D1186,'Team Data'!C:AC,25,FALSE),"")</f>
        <v/>
      </c>
    </row>
    <row r="1187" spans="5:19" x14ac:dyDescent="0.25">
      <c r="E1187" t="str">
        <f>IFERROR(VLOOKUP(D1187,'Team Data'!C:AB,4,FALSE),"")</f>
        <v/>
      </c>
      <c r="F1187" t="str">
        <f>IFERROR(VLOOKUP(D1187,'Team Data'!C:AB,5,FALSE),"")</f>
        <v/>
      </c>
      <c r="G1187" t="str">
        <f>IFERROR(VLOOKUP('OB Format'!D1187,'Team Data'!C:AB,17,FALSE),"")</f>
        <v/>
      </c>
      <c r="H1187" t="str">
        <f>IFERROR(VLOOKUP(D1187,'Team Data'!C:AB,7,FALSE),"")</f>
        <v/>
      </c>
      <c r="I1187" t="str">
        <f>IFERROR(VLOOKUP(D1187,'Team Data'!C:AB,14,FALSE),"")</f>
        <v/>
      </c>
      <c r="J1187" t="str">
        <f>IFERROR(VLOOKUP(D1187,'Team Data'!C:AB,8,FALSE),"")</f>
        <v/>
      </c>
      <c r="K1187" t="str">
        <f>IFERROR(VLOOKUP(D1187,'Team Data'!C:AB,9,FALSE),"")</f>
        <v/>
      </c>
      <c r="L1187" t="str">
        <f>IFERROR(VLOOKUP(D1187,'Team Data'!C:AB,10,FALSE),"")</f>
        <v/>
      </c>
      <c r="M1187" t="str">
        <f t="shared" si="38"/>
        <v/>
      </c>
      <c r="N1187" t="str">
        <f>IFERROR(VLOOKUP(D1187,'Team Data'!C:AB,23,FALSE),"")</f>
        <v/>
      </c>
      <c r="O1187" t="str">
        <f>IFERROR(VLOOKUP(D1187,'Team Data'!C:AB,22,FALSE),"")</f>
        <v/>
      </c>
      <c r="P1187" t="str">
        <f t="shared" si="39"/>
        <v/>
      </c>
      <c r="Q1187" t="str">
        <f>IFERROR(VLOOKUP(D1187,'Team Data'!C:AB,15,FALSE),"")</f>
        <v/>
      </c>
      <c r="R1187" t="str">
        <f>IFERROR(VLOOKUP('OB Format'!D1187,'Team Data'!C:AB,24,FALSE),"")</f>
        <v/>
      </c>
      <c r="S1187" t="str">
        <f>IFERROR(VLOOKUP('OB Format'!D1187,'Team Data'!C:AC,25,FALSE),"")</f>
        <v/>
      </c>
    </row>
    <row r="1188" spans="5:19" x14ac:dyDescent="0.25">
      <c r="E1188" t="str">
        <f>IFERROR(VLOOKUP(D1188,'Team Data'!C:AB,4,FALSE),"")</f>
        <v/>
      </c>
      <c r="F1188" t="str">
        <f>IFERROR(VLOOKUP(D1188,'Team Data'!C:AB,5,FALSE),"")</f>
        <v/>
      </c>
      <c r="G1188" t="str">
        <f>IFERROR(VLOOKUP('OB Format'!D1188,'Team Data'!C:AB,17,FALSE),"")</f>
        <v/>
      </c>
      <c r="H1188" t="str">
        <f>IFERROR(VLOOKUP(D1188,'Team Data'!C:AB,7,FALSE),"")</f>
        <v/>
      </c>
      <c r="I1188" t="str">
        <f>IFERROR(VLOOKUP(D1188,'Team Data'!C:AB,14,FALSE),"")</f>
        <v/>
      </c>
      <c r="J1188" t="str">
        <f>IFERROR(VLOOKUP(D1188,'Team Data'!C:AB,8,FALSE),"")</f>
        <v/>
      </c>
      <c r="K1188" t="str">
        <f>IFERROR(VLOOKUP(D1188,'Team Data'!C:AB,9,FALSE),"")</f>
        <v/>
      </c>
      <c r="L1188" t="str">
        <f>IFERROR(VLOOKUP(D1188,'Team Data'!C:AB,10,FALSE),"")</f>
        <v/>
      </c>
      <c r="M1188" t="str">
        <f t="shared" si="38"/>
        <v/>
      </c>
      <c r="N1188" t="str">
        <f>IFERROR(VLOOKUP(D1188,'Team Data'!C:AB,23,FALSE),"")</f>
        <v/>
      </c>
      <c r="O1188" t="str">
        <f>IFERROR(VLOOKUP(D1188,'Team Data'!C:AB,22,FALSE),"")</f>
        <v/>
      </c>
      <c r="P1188" t="str">
        <f t="shared" si="39"/>
        <v/>
      </c>
      <c r="Q1188" t="str">
        <f>IFERROR(VLOOKUP(D1188,'Team Data'!C:AB,15,FALSE),"")</f>
        <v/>
      </c>
      <c r="R1188" t="str">
        <f>IFERROR(VLOOKUP('OB Format'!D1188,'Team Data'!C:AB,24,FALSE),"")</f>
        <v/>
      </c>
      <c r="S1188" t="str">
        <f>IFERROR(VLOOKUP('OB Format'!D1188,'Team Data'!C:AC,25,FALSE),"")</f>
        <v/>
      </c>
    </row>
    <row r="1189" spans="5:19" x14ac:dyDescent="0.25">
      <c r="E1189" t="str">
        <f>IFERROR(VLOOKUP(D1189,'Team Data'!C:AB,4,FALSE),"")</f>
        <v/>
      </c>
      <c r="F1189" t="str">
        <f>IFERROR(VLOOKUP(D1189,'Team Data'!C:AB,5,FALSE),"")</f>
        <v/>
      </c>
      <c r="G1189" t="str">
        <f>IFERROR(VLOOKUP('OB Format'!D1189,'Team Data'!C:AB,17,FALSE),"")</f>
        <v/>
      </c>
      <c r="H1189" t="str">
        <f>IFERROR(VLOOKUP(D1189,'Team Data'!C:AB,7,FALSE),"")</f>
        <v/>
      </c>
      <c r="I1189" t="str">
        <f>IFERROR(VLOOKUP(D1189,'Team Data'!C:AB,14,FALSE),"")</f>
        <v/>
      </c>
      <c r="J1189" t="str">
        <f>IFERROR(VLOOKUP(D1189,'Team Data'!C:AB,8,FALSE),"")</f>
        <v/>
      </c>
      <c r="K1189" t="str">
        <f>IFERROR(VLOOKUP(D1189,'Team Data'!C:AB,9,FALSE),"")</f>
        <v/>
      </c>
      <c r="L1189" t="str">
        <f>IFERROR(VLOOKUP(D1189,'Team Data'!C:AB,10,FALSE),"")</f>
        <v/>
      </c>
      <c r="M1189" t="str">
        <f t="shared" si="38"/>
        <v/>
      </c>
      <c r="N1189" t="str">
        <f>IFERROR(VLOOKUP(D1189,'Team Data'!C:AB,23,FALSE),"")</f>
        <v/>
      </c>
      <c r="O1189" t="str">
        <f>IFERROR(VLOOKUP(D1189,'Team Data'!C:AB,22,FALSE),"")</f>
        <v/>
      </c>
      <c r="P1189" t="str">
        <f t="shared" si="39"/>
        <v/>
      </c>
      <c r="Q1189" t="str">
        <f>IFERROR(VLOOKUP(D1189,'Team Data'!C:AB,15,FALSE),"")</f>
        <v/>
      </c>
      <c r="R1189" t="str">
        <f>IFERROR(VLOOKUP('OB Format'!D1189,'Team Data'!C:AB,24,FALSE),"")</f>
        <v/>
      </c>
      <c r="S1189" t="str">
        <f>IFERROR(VLOOKUP('OB Format'!D1189,'Team Data'!C:AC,25,FALSE),"")</f>
        <v/>
      </c>
    </row>
    <row r="1190" spans="5:19" x14ac:dyDescent="0.25">
      <c r="E1190" t="str">
        <f>IFERROR(VLOOKUP(D1190,'Team Data'!C:AB,4,FALSE),"")</f>
        <v/>
      </c>
      <c r="F1190" t="str">
        <f>IFERROR(VLOOKUP(D1190,'Team Data'!C:AB,5,FALSE),"")</f>
        <v/>
      </c>
      <c r="G1190" t="str">
        <f>IFERROR(VLOOKUP('OB Format'!D1190,'Team Data'!C:AB,17,FALSE),"")</f>
        <v/>
      </c>
      <c r="H1190" t="str">
        <f>IFERROR(VLOOKUP(D1190,'Team Data'!C:AB,7,FALSE),"")</f>
        <v/>
      </c>
      <c r="I1190" t="str">
        <f>IFERROR(VLOOKUP(D1190,'Team Data'!C:AB,14,FALSE),"")</f>
        <v/>
      </c>
      <c r="J1190" t="str">
        <f>IFERROR(VLOOKUP(D1190,'Team Data'!C:AB,8,FALSE),"")</f>
        <v/>
      </c>
      <c r="K1190" t="str">
        <f>IFERROR(VLOOKUP(D1190,'Team Data'!C:AB,9,FALSE),"")</f>
        <v/>
      </c>
      <c r="L1190" t="str">
        <f>IFERROR(VLOOKUP(D1190,'Team Data'!C:AB,10,FALSE),"")</f>
        <v/>
      </c>
      <c r="M1190" t="str">
        <f t="shared" si="38"/>
        <v/>
      </c>
      <c r="N1190" t="str">
        <f>IFERROR(VLOOKUP(D1190,'Team Data'!C:AB,23,FALSE),"")</f>
        <v/>
      </c>
      <c r="O1190" t="str">
        <f>IFERROR(VLOOKUP(D1190,'Team Data'!C:AB,22,FALSE),"")</f>
        <v/>
      </c>
      <c r="P1190" t="str">
        <f t="shared" si="39"/>
        <v/>
      </c>
      <c r="Q1190" t="str">
        <f>IFERROR(VLOOKUP(D1190,'Team Data'!C:AB,15,FALSE),"")</f>
        <v/>
      </c>
      <c r="R1190" t="str">
        <f>IFERROR(VLOOKUP('OB Format'!D1190,'Team Data'!C:AB,24,FALSE),"")</f>
        <v/>
      </c>
      <c r="S1190" t="str">
        <f>IFERROR(VLOOKUP('OB Format'!D1190,'Team Data'!C:AC,25,FALSE),"")</f>
        <v/>
      </c>
    </row>
    <row r="1191" spans="5:19" x14ac:dyDescent="0.25">
      <c r="E1191" t="str">
        <f>IFERROR(VLOOKUP(D1191,'Team Data'!C:AB,4,FALSE),"")</f>
        <v/>
      </c>
      <c r="F1191" t="str">
        <f>IFERROR(VLOOKUP(D1191,'Team Data'!C:AB,5,FALSE),"")</f>
        <v/>
      </c>
      <c r="G1191" t="str">
        <f>IFERROR(VLOOKUP('OB Format'!D1191,'Team Data'!C:AB,17,FALSE),"")</f>
        <v/>
      </c>
      <c r="H1191" t="str">
        <f>IFERROR(VLOOKUP(D1191,'Team Data'!C:AB,7,FALSE),"")</f>
        <v/>
      </c>
      <c r="I1191" t="str">
        <f>IFERROR(VLOOKUP(D1191,'Team Data'!C:AB,14,FALSE),"")</f>
        <v/>
      </c>
      <c r="J1191" t="str">
        <f>IFERROR(VLOOKUP(D1191,'Team Data'!C:AB,8,FALSE),"")</f>
        <v/>
      </c>
      <c r="K1191" t="str">
        <f>IFERROR(VLOOKUP(D1191,'Team Data'!C:AB,9,FALSE),"")</f>
        <v/>
      </c>
      <c r="L1191" t="str">
        <f>IFERROR(VLOOKUP(D1191,'Team Data'!C:AB,10,FALSE),"")</f>
        <v/>
      </c>
      <c r="M1191" t="str">
        <f t="shared" si="38"/>
        <v/>
      </c>
      <c r="N1191" t="str">
        <f>IFERROR(VLOOKUP(D1191,'Team Data'!C:AB,23,FALSE),"")</f>
        <v/>
      </c>
      <c r="O1191" t="str">
        <f>IFERROR(VLOOKUP(D1191,'Team Data'!C:AB,22,FALSE),"")</f>
        <v/>
      </c>
      <c r="P1191" t="str">
        <f t="shared" si="39"/>
        <v/>
      </c>
      <c r="Q1191" t="str">
        <f>IFERROR(VLOOKUP(D1191,'Team Data'!C:AB,15,FALSE),"")</f>
        <v/>
      </c>
      <c r="R1191" t="str">
        <f>IFERROR(VLOOKUP('OB Format'!D1191,'Team Data'!C:AB,24,FALSE),"")</f>
        <v/>
      </c>
      <c r="S1191" t="str">
        <f>IFERROR(VLOOKUP('OB Format'!D1191,'Team Data'!C:AC,25,FALSE),"")</f>
        <v/>
      </c>
    </row>
    <row r="1192" spans="5:19" x14ac:dyDescent="0.25">
      <c r="E1192" t="str">
        <f>IFERROR(VLOOKUP(D1192,'Team Data'!C:AB,4,FALSE),"")</f>
        <v/>
      </c>
      <c r="F1192" t="str">
        <f>IFERROR(VLOOKUP(D1192,'Team Data'!C:AB,5,FALSE),"")</f>
        <v/>
      </c>
      <c r="G1192" t="str">
        <f>IFERROR(VLOOKUP('OB Format'!D1192,'Team Data'!C:AB,17,FALSE),"")</f>
        <v/>
      </c>
      <c r="H1192" t="str">
        <f>IFERROR(VLOOKUP(D1192,'Team Data'!C:AB,7,FALSE),"")</f>
        <v/>
      </c>
      <c r="I1192" t="str">
        <f>IFERROR(VLOOKUP(D1192,'Team Data'!C:AB,14,FALSE),"")</f>
        <v/>
      </c>
      <c r="J1192" t="str">
        <f>IFERROR(VLOOKUP(D1192,'Team Data'!C:AB,8,FALSE),"")</f>
        <v/>
      </c>
      <c r="K1192" t="str">
        <f>IFERROR(VLOOKUP(D1192,'Team Data'!C:AB,9,FALSE),"")</f>
        <v/>
      </c>
      <c r="L1192" t="str">
        <f>IFERROR(VLOOKUP(D1192,'Team Data'!C:AB,10,FALSE),"")</f>
        <v/>
      </c>
      <c r="M1192" t="str">
        <f t="shared" si="38"/>
        <v/>
      </c>
      <c r="N1192" t="str">
        <f>IFERROR(VLOOKUP(D1192,'Team Data'!C:AB,23,FALSE),"")</f>
        <v/>
      </c>
      <c r="O1192" t="str">
        <f>IFERROR(VLOOKUP(D1192,'Team Data'!C:AB,22,FALSE),"")</f>
        <v/>
      </c>
      <c r="P1192" t="str">
        <f t="shared" si="39"/>
        <v/>
      </c>
      <c r="Q1192" t="str">
        <f>IFERROR(VLOOKUP(D1192,'Team Data'!C:AB,15,FALSE),"")</f>
        <v/>
      </c>
      <c r="R1192" t="str">
        <f>IFERROR(VLOOKUP('OB Format'!D1192,'Team Data'!C:AB,24,FALSE),"")</f>
        <v/>
      </c>
      <c r="S1192" t="str">
        <f>IFERROR(VLOOKUP('OB Format'!D1192,'Team Data'!C:AC,25,FALSE),"")</f>
        <v/>
      </c>
    </row>
    <row r="1193" spans="5:19" x14ac:dyDescent="0.25">
      <c r="E1193" t="str">
        <f>IFERROR(VLOOKUP(D1193,'Team Data'!C:AB,4,FALSE),"")</f>
        <v/>
      </c>
      <c r="F1193" t="str">
        <f>IFERROR(VLOOKUP(D1193,'Team Data'!C:AB,5,FALSE),"")</f>
        <v/>
      </c>
      <c r="G1193" t="str">
        <f>IFERROR(VLOOKUP('OB Format'!D1193,'Team Data'!C:AB,17,FALSE),"")</f>
        <v/>
      </c>
      <c r="H1193" t="str">
        <f>IFERROR(VLOOKUP(D1193,'Team Data'!C:AB,7,FALSE),"")</f>
        <v/>
      </c>
      <c r="I1193" t="str">
        <f>IFERROR(VLOOKUP(D1193,'Team Data'!C:AB,14,FALSE),"")</f>
        <v/>
      </c>
      <c r="J1193" t="str">
        <f>IFERROR(VLOOKUP(D1193,'Team Data'!C:AB,8,FALSE),"")</f>
        <v/>
      </c>
      <c r="K1193" t="str">
        <f>IFERROR(VLOOKUP(D1193,'Team Data'!C:AB,9,FALSE),"")</f>
        <v/>
      </c>
      <c r="L1193" t="str">
        <f>IFERROR(VLOOKUP(D1193,'Team Data'!C:AB,10,FALSE),"")</f>
        <v/>
      </c>
      <c r="M1193" t="str">
        <f t="shared" si="38"/>
        <v/>
      </c>
      <c r="N1193" t="str">
        <f>IFERROR(VLOOKUP(D1193,'Team Data'!C:AB,23,FALSE),"")</f>
        <v/>
      </c>
      <c r="O1193" t="str">
        <f>IFERROR(VLOOKUP(D1193,'Team Data'!C:AB,22,FALSE),"")</f>
        <v/>
      </c>
      <c r="P1193" t="str">
        <f t="shared" si="39"/>
        <v/>
      </c>
      <c r="Q1193" t="str">
        <f>IFERROR(VLOOKUP(D1193,'Team Data'!C:AB,15,FALSE),"")</f>
        <v/>
      </c>
      <c r="R1193" t="str">
        <f>IFERROR(VLOOKUP('OB Format'!D1193,'Team Data'!C:AB,24,FALSE),"")</f>
        <v/>
      </c>
      <c r="S1193" t="str">
        <f>IFERROR(VLOOKUP('OB Format'!D1193,'Team Data'!C:AC,25,FALSE),"")</f>
        <v/>
      </c>
    </row>
    <row r="1194" spans="5:19" x14ac:dyDescent="0.25">
      <c r="E1194" t="str">
        <f>IFERROR(VLOOKUP(D1194,'Team Data'!C:AB,4,FALSE),"")</f>
        <v/>
      </c>
      <c r="F1194" t="str">
        <f>IFERROR(VLOOKUP(D1194,'Team Data'!C:AB,5,FALSE),"")</f>
        <v/>
      </c>
      <c r="G1194" t="str">
        <f>IFERROR(VLOOKUP('OB Format'!D1194,'Team Data'!C:AB,17,FALSE),"")</f>
        <v/>
      </c>
      <c r="H1194" t="str">
        <f>IFERROR(VLOOKUP(D1194,'Team Data'!C:AB,7,FALSE),"")</f>
        <v/>
      </c>
      <c r="I1194" t="str">
        <f>IFERROR(VLOOKUP(D1194,'Team Data'!C:AB,14,FALSE),"")</f>
        <v/>
      </c>
      <c r="J1194" t="str">
        <f>IFERROR(VLOOKUP(D1194,'Team Data'!C:AB,8,FALSE),"")</f>
        <v/>
      </c>
      <c r="K1194" t="str">
        <f>IFERROR(VLOOKUP(D1194,'Team Data'!C:AB,9,FALSE),"")</f>
        <v/>
      </c>
      <c r="L1194" t="str">
        <f>IFERROR(VLOOKUP(D1194,'Team Data'!C:AB,10,FALSE),"")</f>
        <v/>
      </c>
      <c r="M1194" t="str">
        <f t="shared" si="38"/>
        <v/>
      </c>
      <c r="N1194" t="str">
        <f>IFERROR(VLOOKUP(D1194,'Team Data'!C:AB,23,FALSE),"")</f>
        <v/>
      </c>
      <c r="O1194" t="str">
        <f>IFERROR(VLOOKUP(D1194,'Team Data'!C:AB,22,FALSE),"")</f>
        <v/>
      </c>
      <c r="P1194" t="str">
        <f t="shared" si="39"/>
        <v/>
      </c>
      <c r="Q1194" t="str">
        <f>IFERROR(VLOOKUP(D1194,'Team Data'!C:AB,15,FALSE),"")</f>
        <v/>
      </c>
      <c r="R1194" t="str">
        <f>IFERROR(VLOOKUP('OB Format'!D1194,'Team Data'!C:AB,24,FALSE),"")</f>
        <v/>
      </c>
      <c r="S1194" t="str">
        <f>IFERROR(VLOOKUP('OB Format'!D1194,'Team Data'!C:AC,25,FALSE),"")</f>
        <v/>
      </c>
    </row>
    <row r="1195" spans="5:19" x14ac:dyDescent="0.25">
      <c r="E1195" t="str">
        <f>IFERROR(VLOOKUP(D1195,'Team Data'!C:AB,4,FALSE),"")</f>
        <v/>
      </c>
      <c r="F1195" t="str">
        <f>IFERROR(VLOOKUP(D1195,'Team Data'!C:AB,5,FALSE),"")</f>
        <v/>
      </c>
      <c r="G1195" t="str">
        <f>IFERROR(VLOOKUP('OB Format'!D1195,'Team Data'!C:AB,17,FALSE),"")</f>
        <v/>
      </c>
      <c r="H1195" t="str">
        <f>IFERROR(VLOOKUP(D1195,'Team Data'!C:AB,7,FALSE),"")</f>
        <v/>
      </c>
      <c r="I1195" t="str">
        <f>IFERROR(VLOOKUP(D1195,'Team Data'!C:AB,14,FALSE),"")</f>
        <v/>
      </c>
      <c r="J1195" t="str">
        <f>IFERROR(VLOOKUP(D1195,'Team Data'!C:AB,8,FALSE),"")</f>
        <v/>
      </c>
      <c r="K1195" t="str">
        <f>IFERROR(VLOOKUP(D1195,'Team Data'!C:AB,9,FALSE),"")</f>
        <v/>
      </c>
      <c r="L1195" t="str">
        <f>IFERROR(VLOOKUP(D1195,'Team Data'!C:AB,10,FALSE),"")</f>
        <v/>
      </c>
      <c r="M1195" t="str">
        <f t="shared" si="38"/>
        <v/>
      </c>
      <c r="N1195" t="str">
        <f>IFERROR(VLOOKUP(D1195,'Team Data'!C:AB,23,FALSE),"")</f>
        <v/>
      </c>
      <c r="O1195" t="str">
        <f>IFERROR(VLOOKUP(D1195,'Team Data'!C:AB,22,FALSE),"")</f>
        <v/>
      </c>
      <c r="P1195" t="str">
        <f t="shared" si="39"/>
        <v/>
      </c>
      <c r="Q1195" t="str">
        <f>IFERROR(VLOOKUP(D1195,'Team Data'!C:AB,15,FALSE),"")</f>
        <v/>
      </c>
      <c r="R1195" t="str">
        <f>IFERROR(VLOOKUP('OB Format'!D1195,'Team Data'!C:AB,24,FALSE),"")</f>
        <v/>
      </c>
      <c r="S1195" t="str">
        <f>IFERROR(VLOOKUP('OB Format'!D1195,'Team Data'!C:AC,25,FALSE),"")</f>
        <v/>
      </c>
    </row>
    <row r="1196" spans="5:19" x14ac:dyDescent="0.25">
      <c r="E1196" t="str">
        <f>IFERROR(VLOOKUP(D1196,'Team Data'!C:AB,4,FALSE),"")</f>
        <v/>
      </c>
      <c r="F1196" t="str">
        <f>IFERROR(VLOOKUP(D1196,'Team Data'!C:AB,5,FALSE),"")</f>
        <v/>
      </c>
      <c r="G1196" t="str">
        <f>IFERROR(VLOOKUP('OB Format'!D1196,'Team Data'!C:AB,17,FALSE),"")</f>
        <v/>
      </c>
      <c r="H1196" t="str">
        <f>IFERROR(VLOOKUP(D1196,'Team Data'!C:AB,7,FALSE),"")</f>
        <v/>
      </c>
      <c r="I1196" t="str">
        <f>IFERROR(VLOOKUP(D1196,'Team Data'!C:AB,14,FALSE),"")</f>
        <v/>
      </c>
      <c r="J1196" t="str">
        <f>IFERROR(VLOOKUP(D1196,'Team Data'!C:AB,8,FALSE),"")</f>
        <v/>
      </c>
      <c r="K1196" t="str">
        <f>IFERROR(VLOOKUP(D1196,'Team Data'!C:AB,9,FALSE),"")</f>
        <v/>
      </c>
      <c r="L1196" t="str">
        <f>IFERROR(VLOOKUP(D1196,'Team Data'!C:AB,10,FALSE),"")</f>
        <v/>
      </c>
      <c r="M1196" t="str">
        <f t="shared" si="38"/>
        <v/>
      </c>
      <c r="N1196" t="str">
        <f>IFERROR(VLOOKUP(D1196,'Team Data'!C:AB,23,FALSE),"")</f>
        <v/>
      </c>
      <c r="O1196" t="str">
        <f>IFERROR(VLOOKUP(D1196,'Team Data'!C:AB,22,FALSE),"")</f>
        <v/>
      </c>
      <c r="P1196" t="str">
        <f t="shared" si="39"/>
        <v/>
      </c>
      <c r="Q1196" t="str">
        <f>IFERROR(VLOOKUP(D1196,'Team Data'!C:AB,15,FALSE),"")</f>
        <v/>
      </c>
      <c r="R1196" t="str">
        <f>IFERROR(VLOOKUP('OB Format'!D1196,'Team Data'!C:AB,24,FALSE),"")</f>
        <v/>
      </c>
      <c r="S1196" t="str">
        <f>IFERROR(VLOOKUP('OB Format'!D1196,'Team Data'!C:AC,25,FALSE),"")</f>
        <v/>
      </c>
    </row>
    <row r="1197" spans="5:19" x14ac:dyDescent="0.25">
      <c r="E1197" t="str">
        <f>IFERROR(VLOOKUP(D1197,'Team Data'!C:AB,4,FALSE),"")</f>
        <v/>
      </c>
      <c r="F1197" t="str">
        <f>IFERROR(VLOOKUP(D1197,'Team Data'!C:AB,5,FALSE),"")</f>
        <v/>
      </c>
      <c r="G1197" t="str">
        <f>IFERROR(VLOOKUP('OB Format'!D1197,'Team Data'!C:AB,17,FALSE),"")</f>
        <v/>
      </c>
      <c r="H1197" t="str">
        <f>IFERROR(VLOOKUP(D1197,'Team Data'!C:AB,7,FALSE),"")</f>
        <v/>
      </c>
      <c r="I1197" t="str">
        <f>IFERROR(VLOOKUP(D1197,'Team Data'!C:AB,14,FALSE),"")</f>
        <v/>
      </c>
      <c r="J1197" t="str">
        <f>IFERROR(VLOOKUP(D1197,'Team Data'!C:AB,8,FALSE),"")</f>
        <v/>
      </c>
      <c r="K1197" t="str">
        <f>IFERROR(VLOOKUP(D1197,'Team Data'!C:AB,9,FALSE),"")</f>
        <v/>
      </c>
      <c r="L1197" t="str">
        <f>IFERROR(VLOOKUP(D1197,'Team Data'!C:AB,10,FALSE),"")</f>
        <v/>
      </c>
      <c r="M1197" t="str">
        <f t="shared" si="38"/>
        <v/>
      </c>
      <c r="N1197" t="str">
        <f>IFERROR(VLOOKUP(D1197,'Team Data'!C:AB,23,FALSE),"")</f>
        <v/>
      </c>
      <c r="O1197" t="str">
        <f>IFERROR(VLOOKUP(D1197,'Team Data'!C:AB,22,FALSE),"")</f>
        <v/>
      </c>
      <c r="P1197" t="str">
        <f t="shared" si="39"/>
        <v/>
      </c>
      <c r="Q1197" t="str">
        <f>IFERROR(VLOOKUP(D1197,'Team Data'!C:AB,15,FALSE),"")</f>
        <v/>
      </c>
      <c r="R1197" t="str">
        <f>IFERROR(VLOOKUP('OB Format'!D1197,'Team Data'!C:AB,24,FALSE),"")</f>
        <v/>
      </c>
      <c r="S1197" t="str">
        <f>IFERROR(VLOOKUP('OB Format'!D1197,'Team Data'!C:AC,25,FALSE),"")</f>
        <v/>
      </c>
    </row>
    <row r="1198" spans="5:19" x14ac:dyDescent="0.25">
      <c r="E1198" t="str">
        <f>IFERROR(VLOOKUP(D1198,'Team Data'!C:AB,4,FALSE),"")</f>
        <v/>
      </c>
      <c r="F1198" t="str">
        <f>IFERROR(VLOOKUP(D1198,'Team Data'!C:AB,5,FALSE),"")</f>
        <v/>
      </c>
      <c r="G1198" t="str">
        <f>IFERROR(VLOOKUP('OB Format'!D1198,'Team Data'!C:AB,17,FALSE),"")</f>
        <v/>
      </c>
      <c r="H1198" t="str">
        <f>IFERROR(VLOOKUP(D1198,'Team Data'!C:AB,7,FALSE),"")</f>
        <v/>
      </c>
      <c r="I1198" t="str">
        <f>IFERROR(VLOOKUP(D1198,'Team Data'!C:AB,14,FALSE),"")</f>
        <v/>
      </c>
      <c r="J1198" t="str">
        <f>IFERROR(VLOOKUP(D1198,'Team Data'!C:AB,8,FALSE),"")</f>
        <v/>
      </c>
      <c r="K1198" t="str">
        <f>IFERROR(VLOOKUP(D1198,'Team Data'!C:AB,9,FALSE),"")</f>
        <v/>
      </c>
      <c r="L1198" t="str">
        <f>IFERROR(VLOOKUP(D1198,'Team Data'!C:AB,10,FALSE),"")</f>
        <v/>
      </c>
      <c r="M1198" t="str">
        <f t="shared" si="38"/>
        <v/>
      </c>
      <c r="N1198" t="str">
        <f>IFERROR(VLOOKUP(D1198,'Team Data'!C:AB,23,FALSE),"")</f>
        <v/>
      </c>
      <c r="O1198" t="str">
        <f>IFERROR(VLOOKUP(D1198,'Team Data'!C:AB,22,FALSE),"")</f>
        <v/>
      </c>
      <c r="P1198" t="str">
        <f t="shared" si="39"/>
        <v/>
      </c>
      <c r="Q1198" t="str">
        <f>IFERROR(VLOOKUP(D1198,'Team Data'!C:AB,15,FALSE),"")</f>
        <v/>
      </c>
      <c r="R1198" t="str">
        <f>IFERROR(VLOOKUP('OB Format'!D1198,'Team Data'!C:AB,24,FALSE),"")</f>
        <v/>
      </c>
      <c r="S1198" t="str">
        <f>IFERROR(VLOOKUP('OB Format'!D1198,'Team Data'!C:AC,25,FALSE),"")</f>
        <v/>
      </c>
    </row>
    <row r="1199" spans="5:19" x14ac:dyDescent="0.25">
      <c r="E1199" t="str">
        <f>IFERROR(VLOOKUP(D1199,'Team Data'!C:AB,4,FALSE),"")</f>
        <v/>
      </c>
      <c r="F1199" t="str">
        <f>IFERROR(VLOOKUP(D1199,'Team Data'!C:AB,5,FALSE),"")</f>
        <v/>
      </c>
      <c r="G1199" t="str">
        <f>IFERROR(VLOOKUP('OB Format'!D1199,'Team Data'!C:AB,17,FALSE),"")</f>
        <v/>
      </c>
      <c r="H1199" t="str">
        <f>IFERROR(VLOOKUP(D1199,'Team Data'!C:AB,7,FALSE),"")</f>
        <v/>
      </c>
      <c r="I1199" t="str">
        <f>IFERROR(VLOOKUP(D1199,'Team Data'!C:AB,14,FALSE),"")</f>
        <v/>
      </c>
      <c r="J1199" t="str">
        <f>IFERROR(VLOOKUP(D1199,'Team Data'!C:AB,8,FALSE),"")</f>
        <v/>
      </c>
      <c r="K1199" t="str">
        <f>IFERROR(VLOOKUP(D1199,'Team Data'!C:AB,9,FALSE),"")</f>
        <v/>
      </c>
      <c r="L1199" t="str">
        <f>IFERROR(VLOOKUP(D1199,'Team Data'!C:AB,10,FALSE),"")</f>
        <v/>
      </c>
      <c r="M1199" t="str">
        <f t="shared" si="38"/>
        <v/>
      </c>
      <c r="N1199" t="str">
        <f>IFERROR(VLOOKUP(D1199,'Team Data'!C:AB,23,FALSE),"")</f>
        <v/>
      </c>
      <c r="O1199" t="str">
        <f>IFERROR(VLOOKUP(D1199,'Team Data'!C:AB,22,FALSE),"")</f>
        <v/>
      </c>
      <c r="P1199" t="str">
        <f t="shared" si="39"/>
        <v/>
      </c>
      <c r="Q1199" t="str">
        <f>IFERROR(VLOOKUP(D1199,'Team Data'!C:AB,15,FALSE),"")</f>
        <v/>
      </c>
      <c r="R1199" t="str">
        <f>IFERROR(VLOOKUP('OB Format'!D1199,'Team Data'!C:AB,24,FALSE),"")</f>
        <v/>
      </c>
      <c r="S1199" t="str">
        <f>IFERROR(VLOOKUP('OB Format'!D1199,'Team Data'!C:AC,25,FALSE),"")</f>
        <v/>
      </c>
    </row>
    <row r="1200" spans="5:19" x14ac:dyDescent="0.25">
      <c r="E1200" t="str">
        <f>IFERROR(VLOOKUP(D1200,'Team Data'!C:AB,4,FALSE),"")</f>
        <v/>
      </c>
      <c r="F1200" t="str">
        <f>IFERROR(VLOOKUP(D1200,'Team Data'!C:AB,5,FALSE),"")</f>
        <v/>
      </c>
      <c r="G1200" t="str">
        <f>IFERROR(VLOOKUP('OB Format'!D1200,'Team Data'!C:AB,17,FALSE),"")</f>
        <v/>
      </c>
      <c r="H1200" t="str">
        <f>IFERROR(VLOOKUP(D1200,'Team Data'!C:AB,7,FALSE),"")</f>
        <v/>
      </c>
      <c r="I1200" t="str">
        <f>IFERROR(VLOOKUP(D1200,'Team Data'!C:AB,14,FALSE),"")</f>
        <v/>
      </c>
      <c r="J1200" t="str">
        <f>IFERROR(VLOOKUP(D1200,'Team Data'!C:AB,8,FALSE),"")</f>
        <v/>
      </c>
      <c r="K1200" t="str">
        <f>IFERROR(VLOOKUP(D1200,'Team Data'!C:AB,9,FALSE),"")</f>
        <v/>
      </c>
      <c r="L1200" t="str">
        <f>IFERROR(VLOOKUP(D1200,'Team Data'!C:AB,10,FALSE),"")</f>
        <v/>
      </c>
      <c r="M1200" t="str">
        <f t="shared" si="38"/>
        <v/>
      </c>
      <c r="N1200" t="str">
        <f>IFERROR(VLOOKUP(D1200,'Team Data'!C:AB,23,FALSE),"")</f>
        <v/>
      </c>
      <c r="O1200" t="str">
        <f>IFERROR(VLOOKUP(D1200,'Team Data'!C:AB,22,FALSE),"")</f>
        <v/>
      </c>
      <c r="P1200" t="str">
        <f t="shared" si="39"/>
        <v/>
      </c>
      <c r="Q1200" t="str">
        <f>IFERROR(VLOOKUP(D1200,'Team Data'!C:AB,15,FALSE),"")</f>
        <v/>
      </c>
      <c r="R1200" t="str">
        <f>IFERROR(VLOOKUP('OB Format'!D1200,'Team Data'!C:AB,24,FALSE),"")</f>
        <v/>
      </c>
      <c r="S1200" t="str">
        <f>IFERROR(VLOOKUP('OB Format'!D1200,'Team Data'!C:AC,25,FALSE),"")</f>
        <v/>
      </c>
    </row>
    <row r="1201" spans="5:19" x14ac:dyDescent="0.25">
      <c r="E1201" t="str">
        <f>IFERROR(VLOOKUP(D1201,'Team Data'!C:AB,4,FALSE),"")</f>
        <v/>
      </c>
      <c r="F1201" t="str">
        <f>IFERROR(VLOOKUP(D1201,'Team Data'!C:AB,5,FALSE),"")</f>
        <v/>
      </c>
      <c r="G1201" t="str">
        <f>IFERROR(VLOOKUP('OB Format'!D1201,'Team Data'!C:AB,17,FALSE),"")</f>
        <v/>
      </c>
      <c r="H1201" t="str">
        <f>IFERROR(VLOOKUP(D1201,'Team Data'!C:AB,7,FALSE),"")</f>
        <v/>
      </c>
      <c r="I1201" t="str">
        <f>IFERROR(VLOOKUP(D1201,'Team Data'!C:AB,14,FALSE),"")</f>
        <v/>
      </c>
      <c r="J1201" t="str">
        <f>IFERROR(VLOOKUP(D1201,'Team Data'!C:AB,8,FALSE),"")</f>
        <v/>
      </c>
      <c r="K1201" t="str">
        <f>IFERROR(VLOOKUP(D1201,'Team Data'!C:AB,9,FALSE),"")</f>
        <v/>
      </c>
      <c r="L1201" t="str">
        <f>IFERROR(VLOOKUP(D1201,'Team Data'!C:AB,10,FALSE),"")</f>
        <v/>
      </c>
      <c r="M1201" t="str">
        <f t="shared" si="38"/>
        <v/>
      </c>
      <c r="N1201" t="str">
        <f>IFERROR(VLOOKUP(D1201,'Team Data'!C:AB,23,FALSE),"")</f>
        <v/>
      </c>
      <c r="O1201" t="str">
        <f>IFERROR(VLOOKUP(D1201,'Team Data'!C:AB,22,FALSE),"")</f>
        <v/>
      </c>
      <c r="P1201" t="str">
        <f t="shared" si="39"/>
        <v/>
      </c>
      <c r="Q1201" t="str">
        <f>IFERROR(VLOOKUP(D1201,'Team Data'!C:AB,15,FALSE),"")</f>
        <v/>
      </c>
      <c r="R1201" t="str">
        <f>IFERROR(VLOOKUP('OB Format'!D1201,'Team Data'!C:AB,24,FALSE),"")</f>
        <v/>
      </c>
      <c r="S1201" t="str">
        <f>IFERROR(VLOOKUP('OB Format'!D1201,'Team Data'!C:AC,25,FALSE),"")</f>
        <v/>
      </c>
    </row>
    <row r="1202" spans="5:19" x14ac:dyDescent="0.25">
      <c r="E1202" t="str">
        <f>IFERROR(VLOOKUP(D1202,'Team Data'!C:AB,4,FALSE),"")</f>
        <v/>
      </c>
      <c r="F1202" t="str">
        <f>IFERROR(VLOOKUP(D1202,'Team Data'!C:AB,5,FALSE),"")</f>
        <v/>
      </c>
      <c r="G1202" t="str">
        <f>IFERROR(VLOOKUP('OB Format'!D1202,'Team Data'!C:AB,17,FALSE),"")</f>
        <v/>
      </c>
      <c r="H1202" t="str">
        <f>IFERROR(VLOOKUP(D1202,'Team Data'!C:AB,7,FALSE),"")</f>
        <v/>
      </c>
      <c r="I1202" t="str">
        <f>IFERROR(VLOOKUP(D1202,'Team Data'!C:AB,14,FALSE),"")</f>
        <v/>
      </c>
      <c r="J1202" t="str">
        <f>IFERROR(VLOOKUP(D1202,'Team Data'!C:AB,8,FALSE),"")</f>
        <v/>
      </c>
      <c r="K1202" t="str">
        <f>IFERROR(VLOOKUP(D1202,'Team Data'!C:AB,9,FALSE),"")</f>
        <v/>
      </c>
      <c r="L1202" t="str">
        <f>IFERROR(VLOOKUP(D1202,'Team Data'!C:AB,10,FALSE),"")</f>
        <v/>
      </c>
      <c r="M1202" t="str">
        <f t="shared" si="38"/>
        <v/>
      </c>
      <c r="N1202" t="str">
        <f>IFERROR(VLOOKUP(D1202,'Team Data'!C:AB,23,FALSE),"")</f>
        <v/>
      </c>
      <c r="O1202" t="str">
        <f>IFERROR(VLOOKUP(D1202,'Team Data'!C:AB,22,FALSE),"")</f>
        <v/>
      </c>
      <c r="P1202" t="str">
        <f t="shared" si="39"/>
        <v/>
      </c>
      <c r="Q1202" t="str">
        <f>IFERROR(VLOOKUP(D1202,'Team Data'!C:AB,15,FALSE),"")</f>
        <v/>
      </c>
      <c r="R1202" t="str">
        <f>IFERROR(VLOOKUP('OB Format'!D1202,'Team Data'!C:AB,24,FALSE),"")</f>
        <v/>
      </c>
      <c r="S1202" t="str">
        <f>IFERROR(VLOOKUP('OB Format'!D1202,'Team Data'!C:AC,25,FALSE),"")</f>
        <v/>
      </c>
    </row>
    <row r="1203" spans="5:19" x14ac:dyDescent="0.25">
      <c r="E1203" t="str">
        <f>IFERROR(VLOOKUP(D1203,'Team Data'!C:AB,4,FALSE),"")</f>
        <v/>
      </c>
      <c r="F1203" t="str">
        <f>IFERROR(VLOOKUP(D1203,'Team Data'!C:AB,5,FALSE),"")</f>
        <v/>
      </c>
      <c r="G1203" t="str">
        <f>IFERROR(VLOOKUP('OB Format'!D1203,'Team Data'!C:AB,17,FALSE),"")</f>
        <v/>
      </c>
      <c r="H1203" t="str">
        <f>IFERROR(VLOOKUP(D1203,'Team Data'!C:AB,7,FALSE),"")</f>
        <v/>
      </c>
      <c r="I1203" t="str">
        <f>IFERROR(VLOOKUP(D1203,'Team Data'!C:AB,14,FALSE),"")</f>
        <v/>
      </c>
      <c r="J1203" t="str">
        <f>IFERROR(VLOOKUP(D1203,'Team Data'!C:AB,8,FALSE),"")</f>
        <v/>
      </c>
      <c r="K1203" t="str">
        <f>IFERROR(VLOOKUP(D1203,'Team Data'!C:AB,9,FALSE),"")</f>
        <v/>
      </c>
      <c r="L1203" t="str">
        <f>IFERROR(VLOOKUP(D1203,'Team Data'!C:AB,10,FALSE),"")</f>
        <v/>
      </c>
      <c r="M1203" t="str">
        <f t="shared" si="38"/>
        <v/>
      </c>
      <c r="N1203" t="str">
        <f>IFERROR(VLOOKUP(D1203,'Team Data'!C:AB,23,FALSE),"")</f>
        <v/>
      </c>
      <c r="O1203" t="str">
        <f>IFERROR(VLOOKUP(D1203,'Team Data'!C:AB,22,FALSE),"")</f>
        <v/>
      </c>
      <c r="P1203" t="str">
        <f t="shared" si="39"/>
        <v/>
      </c>
      <c r="Q1203" t="str">
        <f>IFERROR(VLOOKUP(D1203,'Team Data'!C:AB,15,FALSE),"")</f>
        <v/>
      </c>
      <c r="R1203" t="str">
        <f>IFERROR(VLOOKUP('OB Format'!D1203,'Team Data'!C:AB,24,FALSE),"")</f>
        <v/>
      </c>
      <c r="S1203" t="str">
        <f>IFERROR(VLOOKUP('OB Format'!D1203,'Team Data'!C:AC,25,FALSE),"")</f>
        <v/>
      </c>
    </row>
    <row r="1204" spans="5:19" x14ac:dyDescent="0.25">
      <c r="E1204" t="str">
        <f>IFERROR(VLOOKUP(D1204,'Team Data'!C:AB,4,FALSE),"")</f>
        <v/>
      </c>
      <c r="F1204" t="str">
        <f>IFERROR(VLOOKUP(D1204,'Team Data'!C:AB,5,FALSE),"")</f>
        <v/>
      </c>
      <c r="G1204" t="str">
        <f>IFERROR(VLOOKUP('OB Format'!D1204,'Team Data'!C:AB,17,FALSE),"")</f>
        <v/>
      </c>
      <c r="H1204" t="str">
        <f>IFERROR(VLOOKUP(D1204,'Team Data'!C:AB,7,FALSE),"")</f>
        <v/>
      </c>
      <c r="I1204" t="str">
        <f>IFERROR(VLOOKUP(D1204,'Team Data'!C:AB,14,FALSE),"")</f>
        <v/>
      </c>
      <c r="J1204" t="str">
        <f>IFERROR(VLOOKUP(D1204,'Team Data'!C:AB,8,FALSE),"")</f>
        <v/>
      </c>
      <c r="K1204" t="str">
        <f>IFERROR(VLOOKUP(D1204,'Team Data'!C:AB,9,FALSE),"")</f>
        <v/>
      </c>
      <c r="L1204" t="str">
        <f>IFERROR(VLOOKUP(D1204,'Team Data'!C:AB,10,FALSE),"")</f>
        <v/>
      </c>
      <c r="M1204" t="str">
        <f t="shared" si="38"/>
        <v/>
      </c>
      <c r="N1204" t="str">
        <f>IFERROR(VLOOKUP(D1204,'Team Data'!C:AB,23,FALSE),"")</f>
        <v/>
      </c>
      <c r="O1204" t="str">
        <f>IFERROR(VLOOKUP(D1204,'Team Data'!C:AB,22,FALSE),"")</f>
        <v/>
      </c>
      <c r="P1204" t="str">
        <f t="shared" si="39"/>
        <v/>
      </c>
      <c r="Q1204" t="str">
        <f>IFERROR(VLOOKUP(D1204,'Team Data'!C:AB,15,FALSE),"")</f>
        <v/>
      </c>
      <c r="R1204" t="str">
        <f>IFERROR(VLOOKUP('OB Format'!D1204,'Team Data'!C:AB,24,FALSE),"")</f>
        <v/>
      </c>
      <c r="S1204" t="str">
        <f>IFERROR(VLOOKUP('OB Format'!D1204,'Team Data'!C:AC,25,FALSE),"")</f>
        <v/>
      </c>
    </row>
    <row r="1205" spans="5:19" x14ac:dyDescent="0.25">
      <c r="E1205" t="str">
        <f>IFERROR(VLOOKUP(D1205,'Team Data'!C:AB,4,FALSE),"")</f>
        <v/>
      </c>
      <c r="F1205" t="str">
        <f>IFERROR(VLOOKUP(D1205,'Team Data'!C:AB,5,FALSE),"")</f>
        <v/>
      </c>
      <c r="G1205" t="str">
        <f>IFERROR(VLOOKUP('OB Format'!D1205,'Team Data'!C:AB,17,FALSE),"")</f>
        <v/>
      </c>
      <c r="H1205" t="str">
        <f>IFERROR(VLOOKUP(D1205,'Team Data'!C:AB,7,FALSE),"")</f>
        <v/>
      </c>
      <c r="I1205" t="str">
        <f>IFERROR(VLOOKUP(D1205,'Team Data'!C:AB,14,FALSE),"")</f>
        <v/>
      </c>
      <c r="J1205" t="str">
        <f>IFERROR(VLOOKUP(D1205,'Team Data'!C:AB,8,FALSE),"")</f>
        <v/>
      </c>
      <c r="K1205" t="str">
        <f>IFERROR(VLOOKUP(D1205,'Team Data'!C:AB,9,FALSE),"")</f>
        <v/>
      </c>
      <c r="L1205" t="str">
        <f>IFERROR(VLOOKUP(D1205,'Team Data'!C:AB,10,FALSE),"")</f>
        <v/>
      </c>
      <c r="M1205" t="str">
        <f t="shared" si="38"/>
        <v/>
      </c>
      <c r="N1205" t="str">
        <f>IFERROR(VLOOKUP(D1205,'Team Data'!C:AB,23,FALSE),"")</f>
        <v/>
      </c>
      <c r="O1205" t="str">
        <f>IFERROR(VLOOKUP(D1205,'Team Data'!C:AB,22,FALSE),"")</f>
        <v/>
      </c>
      <c r="P1205" t="str">
        <f t="shared" si="39"/>
        <v/>
      </c>
      <c r="Q1205" t="str">
        <f>IFERROR(VLOOKUP(D1205,'Team Data'!C:AB,15,FALSE),"")</f>
        <v/>
      </c>
      <c r="R1205" t="str">
        <f>IFERROR(VLOOKUP('OB Format'!D1205,'Team Data'!C:AB,24,FALSE),"")</f>
        <v/>
      </c>
      <c r="S1205" t="str">
        <f>IFERROR(VLOOKUP('OB Format'!D1205,'Team Data'!C:AC,25,FALSE),"")</f>
        <v/>
      </c>
    </row>
    <row r="1206" spans="5:19" x14ac:dyDescent="0.25">
      <c r="E1206" t="str">
        <f>IFERROR(VLOOKUP(D1206,'Team Data'!C:AB,4,FALSE),"")</f>
        <v/>
      </c>
      <c r="F1206" t="str">
        <f>IFERROR(VLOOKUP(D1206,'Team Data'!C:AB,5,FALSE),"")</f>
        <v/>
      </c>
      <c r="G1206" t="str">
        <f>IFERROR(VLOOKUP('OB Format'!D1206,'Team Data'!C:AB,17,FALSE),"")</f>
        <v/>
      </c>
      <c r="H1206" t="str">
        <f>IFERROR(VLOOKUP(D1206,'Team Data'!C:AB,7,FALSE),"")</f>
        <v/>
      </c>
      <c r="I1206" t="str">
        <f>IFERROR(VLOOKUP(D1206,'Team Data'!C:AB,14,FALSE),"")</f>
        <v/>
      </c>
      <c r="J1206" t="str">
        <f>IFERROR(VLOOKUP(D1206,'Team Data'!C:AB,8,FALSE),"")</f>
        <v/>
      </c>
      <c r="K1206" t="str">
        <f>IFERROR(VLOOKUP(D1206,'Team Data'!C:AB,9,FALSE),"")</f>
        <v/>
      </c>
      <c r="L1206" t="str">
        <f>IFERROR(VLOOKUP(D1206,'Team Data'!C:AB,10,FALSE),"")</f>
        <v/>
      </c>
      <c r="M1206" t="str">
        <f t="shared" si="38"/>
        <v/>
      </c>
      <c r="N1206" t="str">
        <f>IFERROR(VLOOKUP(D1206,'Team Data'!C:AB,23,FALSE),"")</f>
        <v/>
      </c>
      <c r="O1206" t="str">
        <f>IFERROR(VLOOKUP(D1206,'Team Data'!C:AB,22,FALSE),"")</f>
        <v/>
      </c>
      <c r="P1206" t="str">
        <f t="shared" si="39"/>
        <v/>
      </c>
      <c r="Q1206" t="str">
        <f>IFERROR(VLOOKUP(D1206,'Team Data'!C:AB,15,FALSE),"")</f>
        <v/>
      </c>
      <c r="R1206" t="str">
        <f>IFERROR(VLOOKUP('OB Format'!D1206,'Team Data'!C:AB,24,FALSE),"")</f>
        <v/>
      </c>
      <c r="S1206" t="str">
        <f>IFERROR(VLOOKUP('OB Format'!D1206,'Team Data'!C:AC,25,FALSE),"")</f>
        <v/>
      </c>
    </row>
    <row r="1207" spans="5:19" x14ac:dyDescent="0.25">
      <c r="E1207" t="str">
        <f>IFERROR(VLOOKUP(D1207,'Team Data'!C:AB,4,FALSE),"")</f>
        <v/>
      </c>
      <c r="F1207" t="str">
        <f>IFERROR(VLOOKUP(D1207,'Team Data'!C:AB,5,FALSE),"")</f>
        <v/>
      </c>
      <c r="G1207" t="str">
        <f>IFERROR(VLOOKUP('OB Format'!D1207,'Team Data'!C:AB,17,FALSE),"")</f>
        <v/>
      </c>
      <c r="H1207" t="str">
        <f>IFERROR(VLOOKUP(D1207,'Team Data'!C:AB,7,FALSE),"")</f>
        <v/>
      </c>
      <c r="I1207" t="str">
        <f>IFERROR(VLOOKUP(D1207,'Team Data'!C:AB,14,FALSE),"")</f>
        <v/>
      </c>
      <c r="J1207" t="str">
        <f>IFERROR(VLOOKUP(D1207,'Team Data'!C:AB,8,FALSE),"")</f>
        <v/>
      </c>
      <c r="K1207" t="str">
        <f>IFERROR(VLOOKUP(D1207,'Team Data'!C:AB,9,FALSE),"")</f>
        <v/>
      </c>
      <c r="L1207" t="str">
        <f>IFERROR(VLOOKUP(D1207,'Team Data'!C:AB,10,FALSE),"")</f>
        <v/>
      </c>
      <c r="M1207" t="str">
        <f t="shared" si="38"/>
        <v/>
      </c>
      <c r="N1207" t="str">
        <f>IFERROR(VLOOKUP(D1207,'Team Data'!C:AB,23,FALSE),"")</f>
        <v/>
      </c>
      <c r="O1207" t="str">
        <f>IFERROR(VLOOKUP(D1207,'Team Data'!C:AB,22,FALSE),"")</f>
        <v/>
      </c>
      <c r="P1207" t="str">
        <f t="shared" si="39"/>
        <v/>
      </c>
      <c r="Q1207" t="str">
        <f>IFERROR(VLOOKUP(D1207,'Team Data'!C:AB,15,FALSE),"")</f>
        <v/>
      </c>
      <c r="R1207" t="str">
        <f>IFERROR(VLOOKUP('OB Format'!D1207,'Team Data'!C:AB,24,FALSE),"")</f>
        <v/>
      </c>
      <c r="S1207" t="str">
        <f>IFERROR(VLOOKUP('OB Format'!D1207,'Team Data'!C:AC,25,FALSE),"")</f>
        <v/>
      </c>
    </row>
    <row r="1208" spans="5:19" x14ac:dyDescent="0.25">
      <c r="E1208" t="str">
        <f>IFERROR(VLOOKUP(D1208,'Team Data'!C:AB,4,FALSE),"")</f>
        <v/>
      </c>
      <c r="F1208" t="str">
        <f>IFERROR(VLOOKUP(D1208,'Team Data'!C:AB,5,FALSE),"")</f>
        <v/>
      </c>
      <c r="G1208" t="str">
        <f>IFERROR(VLOOKUP('OB Format'!D1208,'Team Data'!C:AB,17,FALSE),"")</f>
        <v/>
      </c>
      <c r="H1208" t="str">
        <f>IFERROR(VLOOKUP(D1208,'Team Data'!C:AB,7,FALSE),"")</f>
        <v/>
      </c>
      <c r="I1208" t="str">
        <f>IFERROR(VLOOKUP(D1208,'Team Data'!C:AB,14,FALSE),"")</f>
        <v/>
      </c>
      <c r="J1208" t="str">
        <f>IFERROR(VLOOKUP(D1208,'Team Data'!C:AB,8,FALSE),"")</f>
        <v/>
      </c>
      <c r="K1208" t="str">
        <f>IFERROR(VLOOKUP(D1208,'Team Data'!C:AB,9,FALSE),"")</f>
        <v/>
      </c>
      <c r="L1208" t="str">
        <f>IFERROR(VLOOKUP(D1208,'Team Data'!C:AB,10,FALSE),"")</f>
        <v/>
      </c>
      <c r="M1208" t="str">
        <f t="shared" si="38"/>
        <v/>
      </c>
      <c r="N1208" t="str">
        <f>IFERROR(VLOOKUP(D1208,'Team Data'!C:AB,23,FALSE),"")</f>
        <v/>
      </c>
      <c r="O1208" t="str">
        <f>IFERROR(VLOOKUP(D1208,'Team Data'!C:AB,22,FALSE),"")</f>
        <v/>
      </c>
      <c r="P1208" t="str">
        <f t="shared" si="39"/>
        <v/>
      </c>
      <c r="Q1208" t="str">
        <f>IFERROR(VLOOKUP(D1208,'Team Data'!C:AB,15,FALSE),"")</f>
        <v/>
      </c>
      <c r="R1208" t="str">
        <f>IFERROR(VLOOKUP('OB Format'!D1208,'Team Data'!C:AB,24,FALSE),"")</f>
        <v/>
      </c>
      <c r="S1208" t="str">
        <f>IFERROR(VLOOKUP('OB Format'!D1208,'Team Data'!C:AC,25,FALSE),"")</f>
        <v/>
      </c>
    </row>
    <row r="1209" spans="5:19" x14ac:dyDescent="0.25">
      <c r="E1209" t="str">
        <f>IFERROR(VLOOKUP(D1209,'Team Data'!C:AB,4,FALSE),"")</f>
        <v/>
      </c>
      <c r="F1209" t="str">
        <f>IFERROR(VLOOKUP(D1209,'Team Data'!C:AB,5,FALSE),"")</f>
        <v/>
      </c>
      <c r="G1209" t="str">
        <f>IFERROR(VLOOKUP('OB Format'!D1209,'Team Data'!C:AB,17,FALSE),"")</f>
        <v/>
      </c>
      <c r="H1209" t="str">
        <f>IFERROR(VLOOKUP(D1209,'Team Data'!C:AB,7,FALSE),"")</f>
        <v/>
      </c>
      <c r="I1209" t="str">
        <f>IFERROR(VLOOKUP(D1209,'Team Data'!C:AB,14,FALSE),"")</f>
        <v/>
      </c>
      <c r="J1209" t="str">
        <f>IFERROR(VLOOKUP(D1209,'Team Data'!C:AB,8,FALSE),"")</f>
        <v/>
      </c>
      <c r="K1209" t="str">
        <f>IFERROR(VLOOKUP(D1209,'Team Data'!C:AB,9,FALSE),"")</f>
        <v/>
      </c>
      <c r="L1209" t="str">
        <f>IFERROR(VLOOKUP(D1209,'Team Data'!C:AB,10,FALSE),"")</f>
        <v/>
      </c>
      <c r="M1209" t="str">
        <f t="shared" si="38"/>
        <v/>
      </c>
      <c r="N1209" t="str">
        <f>IFERROR(VLOOKUP(D1209,'Team Data'!C:AB,23,FALSE),"")</f>
        <v/>
      </c>
      <c r="O1209" t="str">
        <f>IFERROR(VLOOKUP(D1209,'Team Data'!C:AB,22,FALSE),"")</f>
        <v/>
      </c>
      <c r="P1209" t="str">
        <f t="shared" si="39"/>
        <v/>
      </c>
      <c r="Q1209" t="str">
        <f>IFERROR(VLOOKUP(D1209,'Team Data'!C:AB,15,FALSE),"")</f>
        <v/>
      </c>
      <c r="R1209" t="str">
        <f>IFERROR(VLOOKUP('OB Format'!D1209,'Team Data'!C:AB,24,FALSE),"")</f>
        <v/>
      </c>
      <c r="S1209" t="str">
        <f>IFERROR(VLOOKUP('OB Format'!D1209,'Team Data'!C:AC,25,FALSE),"")</f>
        <v/>
      </c>
    </row>
    <row r="1210" spans="5:19" x14ac:dyDescent="0.25">
      <c r="E1210" t="str">
        <f>IFERROR(VLOOKUP(D1210,'Team Data'!C:AB,4,FALSE),"")</f>
        <v/>
      </c>
      <c r="F1210" t="str">
        <f>IFERROR(VLOOKUP(D1210,'Team Data'!C:AB,5,FALSE),"")</f>
        <v/>
      </c>
      <c r="G1210" t="str">
        <f>IFERROR(VLOOKUP('OB Format'!D1210,'Team Data'!C:AB,17,FALSE),"")</f>
        <v/>
      </c>
      <c r="H1210" t="str">
        <f>IFERROR(VLOOKUP(D1210,'Team Data'!C:AB,7,FALSE),"")</f>
        <v/>
      </c>
      <c r="I1210" t="str">
        <f>IFERROR(VLOOKUP(D1210,'Team Data'!C:AB,14,FALSE),"")</f>
        <v/>
      </c>
      <c r="J1210" t="str">
        <f>IFERROR(VLOOKUP(D1210,'Team Data'!C:AB,8,FALSE),"")</f>
        <v/>
      </c>
      <c r="K1210" t="str">
        <f>IFERROR(VLOOKUP(D1210,'Team Data'!C:AB,9,FALSE),"")</f>
        <v/>
      </c>
      <c r="L1210" t="str">
        <f>IFERROR(VLOOKUP(D1210,'Team Data'!C:AB,10,FALSE),"")</f>
        <v/>
      </c>
      <c r="M1210" t="str">
        <f t="shared" si="38"/>
        <v/>
      </c>
      <c r="N1210" t="str">
        <f>IFERROR(VLOOKUP(D1210,'Team Data'!C:AB,23,FALSE),"")</f>
        <v/>
      </c>
      <c r="O1210" t="str">
        <f>IFERROR(VLOOKUP(D1210,'Team Data'!C:AB,22,FALSE),"")</f>
        <v/>
      </c>
      <c r="P1210" t="str">
        <f t="shared" si="39"/>
        <v/>
      </c>
      <c r="Q1210" t="str">
        <f>IFERROR(VLOOKUP(D1210,'Team Data'!C:AB,15,FALSE),"")</f>
        <v/>
      </c>
      <c r="R1210" t="str">
        <f>IFERROR(VLOOKUP('OB Format'!D1210,'Team Data'!C:AB,24,FALSE),"")</f>
        <v/>
      </c>
      <c r="S1210" t="str">
        <f>IFERROR(VLOOKUP('OB Format'!D1210,'Team Data'!C:AC,25,FALSE),"")</f>
        <v/>
      </c>
    </row>
    <row r="1211" spans="5:19" x14ac:dyDescent="0.25">
      <c r="E1211" t="str">
        <f>IFERROR(VLOOKUP(D1211,'Team Data'!C:AB,4,FALSE),"")</f>
        <v/>
      </c>
      <c r="F1211" t="str">
        <f>IFERROR(VLOOKUP(D1211,'Team Data'!C:AB,5,FALSE),"")</f>
        <v/>
      </c>
      <c r="G1211" t="str">
        <f>IFERROR(VLOOKUP('OB Format'!D1211,'Team Data'!C:AB,17,FALSE),"")</f>
        <v/>
      </c>
      <c r="H1211" t="str">
        <f>IFERROR(VLOOKUP(D1211,'Team Data'!C:AB,7,FALSE),"")</f>
        <v/>
      </c>
      <c r="I1211" t="str">
        <f>IFERROR(VLOOKUP(D1211,'Team Data'!C:AB,14,FALSE),"")</f>
        <v/>
      </c>
      <c r="J1211" t="str">
        <f>IFERROR(VLOOKUP(D1211,'Team Data'!C:AB,8,FALSE),"")</f>
        <v/>
      </c>
      <c r="K1211" t="str">
        <f>IFERROR(VLOOKUP(D1211,'Team Data'!C:AB,9,FALSE),"")</f>
        <v/>
      </c>
      <c r="L1211" t="str">
        <f>IFERROR(VLOOKUP(D1211,'Team Data'!C:AB,10,FALSE),"")</f>
        <v/>
      </c>
      <c r="M1211" t="str">
        <f t="shared" si="38"/>
        <v/>
      </c>
      <c r="N1211" t="str">
        <f>IFERROR(VLOOKUP(D1211,'Team Data'!C:AB,23,FALSE),"")</f>
        <v/>
      </c>
      <c r="O1211" t="str">
        <f>IFERROR(VLOOKUP(D1211,'Team Data'!C:AB,22,FALSE),"")</f>
        <v/>
      </c>
      <c r="P1211" t="str">
        <f t="shared" si="39"/>
        <v/>
      </c>
      <c r="Q1211" t="str">
        <f>IFERROR(VLOOKUP(D1211,'Team Data'!C:AB,15,FALSE),"")</f>
        <v/>
      </c>
      <c r="R1211" t="str">
        <f>IFERROR(VLOOKUP('OB Format'!D1211,'Team Data'!C:AB,24,FALSE),"")</f>
        <v/>
      </c>
      <c r="S1211" t="str">
        <f>IFERROR(VLOOKUP('OB Format'!D1211,'Team Data'!C:AC,25,FALSE),"")</f>
        <v/>
      </c>
    </row>
    <row r="1212" spans="5:19" x14ac:dyDescent="0.25">
      <c r="E1212" t="str">
        <f>IFERROR(VLOOKUP(D1212,'Team Data'!C:AB,4,FALSE),"")</f>
        <v/>
      </c>
      <c r="F1212" t="str">
        <f>IFERROR(VLOOKUP(D1212,'Team Data'!C:AB,5,FALSE),"")</f>
        <v/>
      </c>
      <c r="G1212" t="str">
        <f>IFERROR(VLOOKUP('OB Format'!D1212,'Team Data'!C:AB,17,FALSE),"")</f>
        <v/>
      </c>
      <c r="H1212" t="str">
        <f>IFERROR(VLOOKUP(D1212,'Team Data'!C:AB,7,FALSE),"")</f>
        <v/>
      </c>
      <c r="I1212" t="str">
        <f>IFERROR(VLOOKUP(D1212,'Team Data'!C:AB,14,FALSE),"")</f>
        <v/>
      </c>
      <c r="J1212" t="str">
        <f>IFERROR(VLOOKUP(D1212,'Team Data'!C:AB,8,FALSE),"")</f>
        <v/>
      </c>
      <c r="K1212" t="str">
        <f>IFERROR(VLOOKUP(D1212,'Team Data'!C:AB,9,FALSE),"")</f>
        <v/>
      </c>
      <c r="L1212" t="str">
        <f>IFERROR(VLOOKUP(D1212,'Team Data'!C:AB,10,FALSE),"")</f>
        <v/>
      </c>
      <c r="M1212" t="str">
        <f t="shared" si="38"/>
        <v/>
      </c>
      <c r="N1212" t="str">
        <f>IFERROR(VLOOKUP(D1212,'Team Data'!C:AB,23,FALSE),"")</f>
        <v/>
      </c>
      <c r="O1212" t="str">
        <f>IFERROR(VLOOKUP(D1212,'Team Data'!C:AB,22,FALSE),"")</f>
        <v/>
      </c>
      <c r="P1212" t="str">
        <f t="shared" si="39"/>
        <v/>
      </c>
      <c r="Q1212" t="str">
        <f>IFERROR(VLOOKUP(D1212,'Team Data'!C:AB,15,FALSE),"")</f>
        <v/>
      </c>
      <c r="R1212" t="str">
        <f>IFERROR(VLOOKUP('OB Format'!D1212,'Team Data'!C:AB,24,FALSE),"")</f>
        <v/>
      </c>
      <c r="S1212" t="str">
        <f>IFERROR(VLOOKUP('OB Format'!D1212,'Team Data'!C:AC,25,FALSE),"")</f>
        <v/>
      </c>
    </row>
    <row r="1213" spans="5:19" x14ac:dyDescent="0.25">
      <c r="E1213" t="str">
        <f>IFERROR(VLOOKUP(D1213,'Team Data'!C:AB,4,FALSE),"")</f>
        <v/>
      </c>
      <c r="F1213" t="str">
        <f>IFERROR(VLOOKUP(D1213,'Team Data'!C:AB,5,FALSE),"")</f>
        <v/>
      </c>
      <c r="G1213" t="str">
        <f>IFERROR(VLOOKUP('OB Format'!D1213,'Team Data'!C:AB,17,FALSE),"")</f>
        <v/>
      </c>
      <c r="H1213" t="str">
        <f>IFERROR(VLOOKUP(D1213,'Team Data'!C:AB,7,FALSE),"")</f>
        <v/>
      </c>
      <c r="I1213" t="str">
        <f>IFERROR(VLOOKUP(D1213,'Team Data'!C:AB,14,FALSE),"")</f>
        <v/>
      </c>
      <c r="J1213" t="str">
        <f>IFERROR(VLOOKUP(D1213,'Team Data'!C:AB,8,FALSE),"")</f>
        <v/>
      </c>
      <c r="K1213" t="str">
        <f>IFERROR(VLOOKUP(D1213,'Team Data'!C:AB,9,FALSE),"")</f>
        <v/>
      </c>
      <c r="L1213" t="str">
        <f>IFERROR(VLOOKUP(D1213,'Team Data'!C:AB,10,FALSE),"")</f>
        <v/>
      </c>
      <c r="M1213" t="str">
        <f t="shared" si="38"/>
        <v/>
      </c>
      <c r="N1213" t="str">
        <f>IFERROR(VLOOKUP(D1213,'Team Data'!C:AB,23,FALSE),"")</f>
        <v/>
      </c>
      <c r="O1213" t="str">
        <f>IFERROR(VLOOKUP(D1213,'Team Data'!C:AB,22,FALSE),"")</f>
        <v/>
      </c>
      <c r="P1213" t="str">
        <f t="shared" si="39"/>
        <v/>
      </c>
      <c r="Q1213" t="str">
        <f>IFERROR(VLOOKUP(D1213,'Team Data'!C:AB,15,FALSE),"")</f>
        <v/>
      </c>
      <c r="R1213" t="str">
        <f>IFERROR(VLOOKUP('OB Format'!D1213,'Team Data'!C:AB,24,FALSE),"")</f>
        <v/>
      </c>
      <c r="S1213" t="str">
        <f>IFERROR(VLOOKUP('OB Format'!D1213,'Team Data'!C:AC,25,FALSE),"")</f>
        <v/>
      </c>
    </row>
    <row r="1214" spans="5:19" x14ac:dyDescent="0.25">
      <c r="E1214" t="str">
        <f>IFERROR(VLOOKUP(D1214,'Team Data'!C:AB,4,FALSE),"")</f>
        <v/>
      </c>
      <c r="F1214" t="str">
        <f>IFERROR(VLOOKUP(D1214,'Team Data'!C:AB,5,FALSE),"")</f>
        <v/>
      </c>
      <c r="G1214" t="str">
        <f>IFERROR(VLOOKUP('OB Format'!D1214,'Team Data'!C:AB,17,FALSE),"")</f>
        <v/>
      </c>
      <c r="H1214" t="str">
        <f>IFERROR(VLOOKUP(D1214,'Team Data'!C:AB,7,FALSE),"")</f>
        <v/>
      </c>
      <c r="I1214" t="str">
        <f>IFERROR(VLOOKUP(D1214,'Team Data'!C:AB,14,FALSE),"")</f>
        <v/>
      </c>
      <c r="J1214" t="str">
        <f>IFERROR(VLOOKUP(D1214,'Team Data'!C:AB,8,FALSE),"")</f>
        <v/>
      </c>
      <c r="K1214" t="str">
        <f>IFERROR(VLOOKUP(D1214,'Team Data'!C:AB,9,FALSE),"")</f>
        <v/>
      </c>
      <c r="L1214" t="str">
        <f>IFERROR(VLOOKUP(D1214,'Team Data'!C:AB,10,FALSE),"")</f>
        <v/>
      </c>
      <c r="M1214" t="str">
        <f t="shared" si="38"/>
        <v/>
      </c>
      <c r="N1214" t="str">
        <f>IFERROR(VLOOKUP(D1214,'Team Data'!C:AB,23,FALSE),"")</f>
        <v/>
      </c>
      <c r="O1214" t="str">
        <f>IFERROR(VLOOKUP(D1214,'Team Data'!C:AB,22,FALSE),"")</f>
        <v/>
      </c>
      <c r="P1214" t="str">
        <f t="shared" si="39"/>
        <v/>
      </c>
      <c r="Q1214" t="str">
        <f>IFERROR(VLOOKUP(D1214,'Team Data'!C:AB,15,FALSE),"")</f>
        <v/>
      </c>
      <c r="R1214" t="str">
        <f>IFERROR(VLOOKUP('OB Format'!D1214,'Team Data'!C:AB,24,FALSE),"")</f>
        <v/>
      </c>
      <c r="S1214" t="str">
        <f>IFERROR(VLOOKUP('OB Format'!D1214,'Team Data'!C:AC,25,FALSE),"")</f>
        <v/>
      </c>
    </row>
    <row r="1215" spans="5:19" x14ac:dyDescent="0.25">
      <c r="E1215" t="str">
        <f>IFERROR(VLOOKUP(D1215,'Team Data'!C:AB,4,FALSE),"")</f>
        <v/>
      </c>
      <c r="F1215" t="str">
        <f>IFERROR(VLOOKUP(D1215,'Team Data'!C:AB,5,FALSE),"")</f>
        <v/>
      </c>
      <c r="G1215" t="str">
        <f>IFERROR(VLOOKUP('OB Format'!D1215,'Team Data'!C:AB,17,FALSE),"")</f>
        <v/>
      </c>
      <c r="H1215" t="str">
        <f>IFERROR(VLOOKUP(D1215,'Team Data'!C:AB,7,FALSE),"")</f>
        <v/>
      </c>
      <c r="I1215" t="str">
        <f>IFERROR(VLOOKUP(D1215,'Team Data'!C:AB,14,FALSE),"")</f>
        <v/>
      </c>
      <c r="J1215" t="str">
        <f>IFERROR(VLOOKUP(D1215,'Team Data'!C:AB,8,FALSE),"")</f>
        <v/>
      </c>
      <c r="K1215" t="str">
        <f>IFERROR(VLOOKUP(D1215,'Team Data'!C:AB,9,FALSE),"")</f>
        <v/>
      </c>
      <c r="L1215" t="str">
        <f>IFERROR(VLOOKUP(D1215,'Team Data'!C:AB,10,FALSE),"")</f>
        <v/>
      </c>
      <c r="M1215" t="str">
        <f t="shared" si="38"/>
        <v/>
      </c>
      <c r="N1215" t="str">
        <f>IFERROR(VLOOKUP(D1215,'Team Data'!C:AB,23,FALSE),"")</f>
        <v/>
      </c>
      <c r="O1215" t="str">
        <f>IFERROR(VLOOKUP(D1215,'Team Data'!C:AB,22,FALSE),"")</f>
        <v/>
      </c>
      <c r="P1215" t="str">
        <f t="shared" si="39"/>
        <v/>
      </c>
      <c r="Q1215" t="str">
        <f>IFERROR(VLOOKUP(D1215,'Team Data'!C:AB,15,FALSE),"")</f>
        <v/>
      </c>
      <c r="R1215" t="str">
        <f>IFERROR(VLOOKUP('OB Format'!D1215,'Team Data'!C:AB,24,FALSE),"")</f>
        <v/>
      </c>
      <c r="S1215" t="str">
        <f>IFERROR(VLOOKUP('OB Format'!D1215,'Team Data'!C:AC,25,FALSE),"")</f>
        <v/>
      </c>
    </row>
    <row r="1216" spans="5:19" x14ac:dyDescent="0.25">
      <c r="E1216" t="str">
        <f>IFERROR(VLOOKUP(D1216,'Team Data'!C:AB,4,FALSE),"")</f>
        <v/>
      </c>
      <c r="F1216" t="str">
        <f>IFERROR(VLOOKUP(D1216,'Team Data'!C:AB,5,FALSE),"")</f>
        <v/>
      </c>
      <c r="G1216" t="str">
        <f>IFERROR(VLOOKUP('OB Format'!D1216,'Team Data'!C:AB,17,FALSE),"")</f>
        <v/>
      </c>
      <c r="H1216" t="str">
        <f>IFERROR(VLOOKUP(D1216,'Team Data'!C:AB,7,FALSE),"")</f>
        <v/>
      </c>
      <c r="I1216" t="str">
        <f>IFERROR(VLOOKUP(D1216,'Team Data'!C:AB,14,FALSE),"")</f>
        <v/>
      </c>
      <c r="J1216" t="str">
        <f>IFERROR(VLOOKUP(D1216,'Team Data'!C:AB,8,FALSE),"")</f>
        <v/>
      </c>
      <c r="K1216" t="str">
        <f>IFERROR(VLOOKUP(D1216,'Team Data'!C:AB,9,FALSE),"")</f>
        <v/>
      </c>
      <c r="L1216" t="str">
        <f>IFERROR(VLOOKUP(D1216,'Team Data'!C:AB,10,FALSE),"")</f>
        <v/>
      </c>
      <c r="M1216" t="str">
        <f t="shared" si="38"/>
        <v/>
      </c>
      <c r="N1216" t="str">
        <f>IFERROR(VLOOKUP(D1216,'Team Data'!C:AB,23,FALSE),"")</f>
        <v/>
      </c>
      <c r="O1216" t="str">
        <f>IFERROR(VLOOKUP(D1216,'Team Data'!C:AB,22,FALSE),"")</f>
        <v/>
      </c>
      <c r="P1216" t="str">
        <f t="shared" si="39"/>
        <v/>
      </c>
      <c r="Q1216" t="str">
        <f>IFERROR(VLOOKUP(D1216,'Team Data'!C:AB,15,FALSE),"")</f>
        <v/>
      </c>
      <c r="R1216" t="str">
        <f>IFERROR(VLOOKUP('OB Format'!D1216,'Team Data'!C:AB,24,FALSE),"")</f>
        <v/>
      </c>
      <c r="S1216" t="str">
        <f>IFERROR(VLOOKUP('OB Format'!D1216,'Team Data'!C:AC,25,FALSE),"")</f>
        <v/>
      </c>
    </row>
    <row r="1217" spans="5:19" x14ac:dyDescent="0.25">
      <c r="E1217" t="str">
        <f>IFERROR(VLOOKUP(D1217,'Team Data'!C:AB,4,FALSE),"")</f>
        <v/>
      </c>
      <c r="F1217" t="str">
        <f>IFERROR(VLOOKUP(D1217,'Team Data'!C:AB,5,FALSE),"")</f>
        <v/>
      </c>
      <c r="G1217" t="str">
        <f>IFERROR(VLOOKUP('OB Format'!D1217,'Team Data'!C:AB,17,FALSE),"")</f>
        <v/>
      </c>
      <c r="H1217" t="str">
        <f>IFERROR(VLOOKUP(D1217,'Team Data'!C:AB,7,FALSE),"")</f>
        <v/>
      </c>
      <c r="I1217" t="str">
        <f>IFERROR(VLOOKUP(D1217,'Team Data'!C:AB,14,FALSE),"")</f>
        <v/>
      </c>
      <c r="J1217" t="str">
        <f>IFERROR(VLOOKUP(D1217,'Team Data'!C:AB,8,FALSE),"")</f>
        <v/>
      </c>
      <c r="K1217" t="str">
        <f>IFERROR(VLOOKUP(D1217,'Team Data'!C:AB,9,FALSE),"")</f>
        <v/>
      </c>
      <c r="L1217" t="str">
        <f>IFERROR(VLOOKUP(D1217,'Team Data'!C:AB,10,FALSE),"")</f>
        <v/>
      </c>
      <c r="M1217" t="str">
        <f t="shared" si="38"/>
        <v/>
      </c>
      <c r="N1217" t="str">
        <f>IFERROR(VLOOKUP(D1217,'Team Data'!C:AB,23,FALSE),"")</f>
        <v/>
      </c>
      <c r="O1217" t="str">
        <f>IFERROR(VLOOKUP(D1217,'Team Data'!C:AB,22,FALSE),"")</f>
        <v/>
      </c>
      <c r="P1217" t="str">
        <f t="shared" si="39"/>
        <v/>
      </c>
      <c r="Q1217" t="str">
        <f>IFERROR(VLOOKUP(D1217,'Team Data'!C:AB,15,FALSE),"")</f>
        <v/>
      </c>
      <c r="R1217" t="str">
        <f>IFERROR(VLOOKUP('OB Format'!D1217,'Team Data'!C:AB,24,FALSE),"")</f>
        <v/>
      </c>
      <c r="S1217" t="str">
        <f>IFERROR(VLOOKUP('OB Format'!D1217,'Team Data'!C:AC,25,FALSE),"")</f>
        <v/>
      </c>
    </row>
    <row r="1218" spans="5:19" x14ac:dyDescent="0.25">
      <c r="E1218" t="str">
        <f>IFERROR(VLOOKUP(D1218,'Team Data'!C:AB,4,FALSE),"")</f>
        <v/>
      </c>
      <c r="F1218" t="str">
        <f>IFERROR(VLOOKUP(D1218,'Team Data'!C:AB,5,FALSE),"")</f>
        <v/>
      </c>
      <c r="G1218" t="str">
        <f>IFERROR(VLOOKUP('OB Format'!D1218,'Team Data'!C:AB,17,FALSE),"")</f>
        <v/>
      </c>
      <c r="H1218" t="str">
        <f>IFERROR(VLOOKUP(D1218,'Team Data'!C:AB,7,FALSE),"")</f>
        <v/>
      </c>
      <c r="I1218" t="str">
        <f>IFERROR(VLOOKUP(D1218,'Team Data'!C:AB,14,FALSE),"")</f>
        <v/>
      </c>
      <c r="J1218" t="str">
        <f>IFERROR(VLOOKUP(D1218,'Team Data'!C:AB,8,FALSE),"")</f>
        <v/>
      </c>
      <c r="K1218" t="str">
        <f>IFERROR(VLOOKUP(D1218,'Team Data'!C:AB,9,FALSE),"")</f>
        <v/>
      </c>
      <c r="L1218" t="str">
        <f>IFERROR(VLOOKUP(D1218,'Team Data'!C:AB,10,FALSE),"")</f>
        <v/>
      </c>
      <c r="M1218" t="str">
        <f t="shared" si="38"/>
        <v/>
      </c>
      <c r="N1218" t="str">
        <f>IFERROR(VLOOKUP(D1218,'Team Data'!C:AB,23,FALSE),"")</f>
        <v/>
      </c>
      <c r="O1218" t="str">
        <f>IFERROR(VLOOKUP(D1218,'Team Data'!C:AB,22,FALSE),"")</f>
        <v/>
      </c>
      <c r="P1218" t="str">
        <f t="shared" si="39"/>
        <v/>
      </c>
      <c r="Q1218" t="str">
        <f>IFERROR(VLOOKUP(D1218,'Team Data'!C:AB,15,FALSE),"")</f>
        <v/>
      </c>
      <c r="R1218" t="str">
        <f>IFERROR(VLOOKUP('OB Format'!D1218,'Team Data'!C:AB,24,FALSE),"")</f>
        <v/>
      </c>
      <c r="S1218" t="str">
        <f>IFERROR(VLOOKUP('OB Format'!D1218,'Team Data'!C:AC,25,FALSE),"")</f>
        <v/>
      </c>
    </row>
    <row r="1219" spans="5:19" x14ac:dyDescent="0.25">
      <c r="E1219" t="str">
        <f>IFERROR(VLOOKUP(D1219,'Team Data'!C:AB,4,FALSE),"")</f>
        <v/>
      </c>
      <c r="F1219" t="str">
        <f>IFERROR(VLOOKUP(D1219,'Team Data'!C:AB,5,FALSE),"")</f>
        <v/>
      </c>
      <c r="G1219" t="str">
        <f>IFERROR(VLOOKUP('OB Format'!D1219,'Team Data'!C:AB,17,FALSE),"")</f>
        <v/>
      </c>
      <c r="H1219" t="str">
        <f>IFERROR(VLOOKUP(D1219,'Team Data'!C:AB,7,FALSE),"")</f>
        <v/>
      </c>
      <c r="I1219" t="str">
        <f>IFERROR(VLOOKUP(D1219,'Team Data'!C:AB,14,FALSE),"")</f>
        <v/>
      </c>
      <c r="J1219" t="str">
        <f>IFERROR(VLOOKUP(D1219,'Team Data'!C:AB,8,FALSE),"")</f>
        <v/>
      </c>
      <c r="K1219" t="str">
        <f>IFERROR(VLOOKUP(D1219,'Team Data'!C:AB,9,FALSE),"")</f>
        <v/>
      </c>
      <c r="L1219" t="str">
        <f>IFERROR(VLOOKUP(D1219,'Team Data'!C:AB,10,FALSE),"")</f>
        <v/>
      </c>
      <c r="M1219" t="str">
        <f t="shared" si="38"/>
        <v/>
      </c>
      <c r="N1219" t="str">
        <f>IFERROR(VLOOKUP(D1219,'Team Data'!C:AB,23,FALSE),"")</f>
        <v/>
      </c>
      <c r="O1219" t="str">
        <f>IFERROR(VLOOKUP(D1219,'Team Data'!C:AB,22,FALSE),"")</f>
        <v/>
      </c>
      <c r="P1219" t="str">
        <f t="shared" si="39"/>
        <v/>
      </c>
      <c r="Q1219" t="str">
        <f>IFERROR(VLOOKUP(D1219,'Team Data'!C:AB,15,FALSE),"")</f>
        <v/>
      </c>
      <c r="R1219" t="str">
        <f>IFERROR(VLOOKUP('OB Format'!D1219,'Team Data'!C:AB,24,FALSE),"")</f>
        <v/>
      </c>
      <c r="S1219" t="str">
        <f>IFERROR(VLOOKUP('OB Format'!D1219,'Team Data'!C:AC,25,FALSE),"")</f>
        <v/>
      </c>
    </row>
    <row r="1220" spans="5:19" x14ac:dyDescent="0.25">
      <c r="E1220" t="str">
        <f>IFERROR(VLOOKUP(D1220,'Team Data'!C:AB,4,FALSE),"")</f>
        <v/>
      </c>
      <c r="F1220" t="str">
        <f>IFERROR(VLOOKUP(D1220,'Team Data'!C:AB,5,FALSE),"")</f>
        <v/>
      </c>
      <c r="G1220" t="str">
        <f>IFERROR(VLOOKUP('OB Format'!D1220,'Team Data'!C:AB,17,FALSE),"")</f>
        <v/>
      </c>
      <c r="H1220" t="str">
        <f>IFERROR(VLOOKUP(D1220,'Team Data'!C:AB,7,FALSE),"")</f>
        <v/>
      </c>
      <c r="I1220" t="str">
        <f>IFERROR(VLOOKUP(D1220,'Team Data'!C:AB,14,FALSE),"")</f>
        <v/>
      </c>
      <c r="J1220" t="str">
        <f>IFERROR(VLOOKUP(D1220,'Team Data'!C:AB,8,FALSE),"")</f>
        <v/>
      </c>
      <c r="K1220" t="str">
        <f>IFERROR(VLOOKUP(D1220,'Team Data'!C:AB,9,FALSE),"")</f>
        <v/>
      </c>
      <c r="L1220" t="str">
        <f>IFERROR(VLOOKUP(D1220,'Team Data'!C:AB,10,FALSE),"")</f>
        <v/>
      </c>
      <c r="M1220" t="str">
        <f t="shared" si="38"/>
        <v/>
      </c>
      <c r="N1220" t="str">
        <f>IFERROR(VLOOKUP(D1220,'Team Data'!C:AB,23,FALSE),"")</f>
        <v/>
      </c>
      <c r="O1220" t="str">
        <f>IFERROR(VLOOKUP(D1220,'Team Data'!C:AB,22,FALSE),"")</f>
        <v/>
      </c>
      <c r="P1220" t="str">
        <f t="shared" si="39"/>
        <v/>
      </c>
      <c r="Q1220" t="str">
        <f>IFERROR(VLOOKUP(D1220,'Team Data'!C:AB,15,FALSE),"")</f>
        <v/>
      </c>
      <c r="R1220" t="str">
        <f>IFERROR(VLOOKUP('OB Format'!D1220,'Team Data'!C:AB,24,FALSE),"")</f>
        <v/>
      </c>
      <c r="S1220" t="str">
        <f>IFERROR(VLOOKUP('OB Format'!D1220,'Team Data'!C:AC,25,FALSE),"")</f>
        <v/>
      </c>
    </row>
    <row r="1221" spans="5:19" x14ac:dyDescent="0.25">
      <c r="E1221" t="str">
        <f>IFERROR(VLOOKUP(D1221,'Team Data'!C:AB,4,FALSE),"")</f>
        <v/>
      </c>
      <c r="F1221" t="str">
        <f>IFERROR(VLOOKUP(D1221,'Team Data'!C:AB,5,FALSE),"")</f>
        <v/>
      </c>
      <c r="G1221" t="str">
        <f>IFERROR(VLOOKUP('OB Format'!D1221,'Team Data'!C:AB,17,FALSE),"")</f>
        <v/>
      </c>
      <c r="H1221" t="str">
        <f>IFERROR(VLOOKUP(D1221,'Team Data'!C:AB,7,FALSE),"")</f>
        <v/>
      </c>
      <c r="I1221" t="str">
        <f>IFERROR(VLOOKUP(D1221,'Team Data'!C:AB,14,FALSE),"")</f>
        <v/>
      </c>
      <c r="J1221" t="str">
        <f>IFERROR(VLOOKUP(D1221,'Team Data'!C:AB,8,FALSE),"")</f>
        <v/>
      </c>
      <c r="K1221" t="str">
        <f>IFERROR(VLOOKUP(D1221,'Team Data'!C:AB,9,FALSE),"")</f>
        <v/>
      </c>
      <c r="L1221" t="str">
        <f>IFERROR(VLOOKUP(D1221,'Team Data'!C:AB,10,FALSE),"")</f>
        <v/>
      </c>
      <c r="M1221" t="str">
        <f t="shared" si="38"/>
        <v/>
      </c>
      <c r="N1221" t="str">
        <f>IFERROR(VLOOKUP(D1221,'Team Data'!C:AB,23,FALSE),"")</f>
        <v/>
      </c>
      <c r="O1221" t="str">
        <f>IFERROR(VLOOKUP(D1221,'Team Data'!C:AB,22,FALSE),"")</f>
        <v/>
      </c>
      <c r="P1221" t="str">
        <f t="shared" si="39"/>
        <v/>
      </c>
      <c r="Q1221" t="str">
        <f>IFERROR(VLOOKUP(D1221,'Team Data'!C:AB,15,FALSE),"")</f>
        <v/>
      </c>
      <c r="R1221" t="str">
        <f>IFERROR(VLOOKUP('OB Format'!D1221,'Team Data'!C:AB,24,FALSE),"")</f>
        <v/>
      </c>
      <c r="S1221" t="str">
        <f>IFERROR(VLOOKUP('OB Format'!D1221,'Team Data'!C:AC,25,FALSE),"")</f>
        <v/>
      </c>
    </row>
    <row r="1222" spans="5:19" x14ac:dyDescent="0.25">
      <c r="E1222" t="str">
        <f>IFERROR(VLOOKUP(D1222,'Team Data'!C:AB,4,FALSE),"")</f>
        <v/>
      </c>
      <c r="F1222" t="str">
        <f>IFERROR(VLOOKUP(D1222,'Team Data'!C:AB,5,FALSE),"")</f>
        <v/>
      </c>
      <c r="G1222" t="str">
        <f>IFERROR(VLOOKUP('OB Format'!D1222,'Team Data'!C:AB,17,FALSE),"")</f>
        <v/>
      </c>
      <c r="H1222" t="str">
        <f>IFERROR(VLOOKUP(D1222,'Team Data'!C:AB,7,FALSE),"")</f>
        <v/>
      </c>
      <c r="I1222" t="str">
        <f>IFERROR(VLOOKUP(D1222,'Team Data'!C:AB,14,FALSE),"")</f>
        <v/>
      </c>
      <c r="J1222" t="str">
        <f>IFERROR(VLOOKUP(D1222,'Team Data'!C:AB,8,FALSE),"")</f>
        <v/>
      </c>
      <c r="K1222" t="str">
        <f>IFERROR(VLOOKUP(D1222,'Team Data'!C:AB,9,FALSE),"")</f>
        <v/>
      </c>
      <c r="L1222" t="str">
        <f>IFERROR(VLOOKUP(D1222,'Team Data'!C:AB,10,FALSE),"")</f>
        <v/>
      </c>
      <c r="M1222" t="str">
        <f t="shared" si="38"/>
        <v/>
      </c>
      <c r="N1222" t="str">
        <f>IFERROR(VLOOKUP(D1222,'Team Data'!C:AB,23,FALSE),"")</f>
        <v/>
      </c>
      <c r="O1222" t="str">
        <f>IFERROR(VLOOKUP(D1222,'Team Data'!C:AB,22,FALSE),"")</f>
        <v/>
      </c>
      <c r="P1222" t="str">
        <f t="shared" si="39"/>
        <v/>
      </c>
      <c r="Q1222" t="str">
        <f>IFERROR(VLOOKUP(D1222,'Team Data'!C:AB,15,FALSE),"")</f>
        <v/>
      </c>
      <c r="R1222" t="str">
        <f>IFERROR(VLOOKUP('OB Format'!D1222,'Team Data'!C:AB,24,FALSE),"")</f>
        <v/>
      </c>
      <c r="S1222" t="str">
        <f>IFERROR(VLOOKUP('OB Format'!D1222,'Team Data'!C:AC,25,FALSE),"")</f>
        <v/>
      </c>
    </row>
    <row r="1223" spans="5:19" x14ac:dyDescent="0.25">
      <c r="E1223" t="str">
        <f>IFERROR(VLOOKUP(D1223,'Team Data'!C:AB,4,FALSE),"")</f>
        <v/>
      </c>
      <c r="F1223" t="str">
        <f>IFERROR(VLOOKUP(D1223,'Team Data'!C:AB,5,FALSE),"")</f>
        <v/>
      </c>
      <c r="G1223" t="str">
        <f>IFERROR(VLOOKUP('OB Format'!D1223,'Team Data'!C:AB,17,FALSE),"")</f>
        <v/>
      </c>
      <c r="H1223" t="str">
        <f>IFERROR(VLOOKUP(D1223,'Team Data'!C:AB,7,FALSE),"")</f>
        <v/>
      </c>
      <c r="I1223" t="str">
        <f>IFERROR(VLOOKUP(D1223,'Team Data'!C:AB,14,FALSE),"")</f>
        <v/>
      </c>
      <c r="J1223" t="str">
        <f>IFERROR(VLOOKUP(D1223,'Team Data'!C:AB,8,FALSE),"")</f>
        <v/>
      </c>
      <c r="K1223" t="str">
        <f>IFERROR(VLOOKUP(D1223,'Team Data'!C:AB,9,FALSE),"")</f>
        <v/>
      </c>
      <c r="L1223" t="str">
        <f>IFERROR(VLOOKUP(D1223,'Team Data'!C:AB,10,FALSE),"")</f>
        <v/>
      </c>
      <c r="M1223" t="str">
        <f t="shared" si="38"/>
        <v/>
      </c>
      <c r="N1223" t="str">
        <f>IFERROR(VLOOKUP(D1223,'Team Data'!C:AB,23,FALSE),"")</f>
        <v/>
      </c>
      <c r="O1223" t="str">
        <f>IFERROR(VLOOKUP(D1223,'Team Data'!C:AB,22,FALSE),"")</f>
        <v/>
      </c>
      <c r="P1223" t="str">
        <f t="shared" si="39"/>
        <v/>
      </c>
      <c r="Q1223" t="str">
        <f>IFERROR(VLOOKUP(D1223,'Team Data'!C:AB,15,FALSE),"")</f>
        <v/>
      </c>
      <c r="R1223" t="str">
        <f>IFERROR(VLOOKUP('OB Format'!D1223,'Team Data'!C:AB,24,FALSE),"")</f>
        <v/>
      </c>
      <c r="S1223" t="str">
        <f>IFERROR(VLOOKUP('OB Format'!D1223,'Team Data'!C:AC,25,FALSE),"")</f>
        <v/>
      </c>
    </row>
    <row r="1224" spans="5:19" x14ac:dyDescent="0.25">
      <c r="E1224" t="str">
        <f>IFERROR(VLOOKUP(D1224,'Team Data'!C:AB,4,FALSE),"")</f>
        <v/>
      </c>
      <c r="F1224" t="str">
        <f>IFERROR(VLOOKUP(D1224,'Team Data'!C:AB,5,FALSE),"")</f>
        <v/>
      </c>
      <c r="G1224" t="str">
        <f>IFERROR(VLOOKUP('OB Format'!D1224,'Team Data'!C:AB,17,FALSE),"")</f>
        <v/>
      </c>
      <c r="H1224" t="str">
        <f>IFERROR(VLOOKUP(D1224,'Team Data'!C:AB,7,FALSE),"")</f>
        <v/>
      </c>
      <c r="I1224" t="str">
        <f>IFERROR(VLOOKUP(D1224,'Team Data'!C:AB,14,FALSE),"")</f>
        <v/>
      </c>
      <c r="J1224" t="str">
        <f>IFERROR(VLOOKUP(D1224,'Team Data'!C:AB,8,FALSE),"")</f>
        <v/>
      </c>
      <c r="K1224" t="str">
        <f>IFERROR(VLOOKUP(D1224,'Team Data'!C:AB,9,FALSE),"")</f>
        <v/>
      </c>
      <c r="L1224" t="str">
        <f>IFERROR(VLOOKUP(D1224,'Team Data'!C:AB,10,FALSE),"")</f>
        <v/>
      </c>
      <c r="M1224" t="str">
        <f t="shared" si="38"/>
        <v/>
      </c>
      <c r="N1224" t="str">
        <f>IFERROR(VLOOKUP(D1224,'Team Data'!C:AB,23,FALSE),"")</f>
        <v/>
      </c>
      <c r="O1224" t="str">
        <f>IFERROR(VLOOKUP(D1224,'Team Data'!C:AB,22,FALSE),"")</f>
        <v/>
      </c>
      <c r="P1224" t="str">
        <f t="shared" si="39"/>
        <v/>
      </c>
      <c r="Q1224" t="str">
        <f>IFERROR(VLOOKUP(D1224,'Team Data'!C:AB,15,FALSE),"")</f>
        <v/>
      </c>
      <c r="R1224" t="str">
        <f>IFERROR(VLOOKUP('OB Format'!D1224,'Team Data'!C:AB,24,FALSE),"")</f>
        <v/>
      </c>
      <c r="S1224" t="str">
        <f>IFERROR(VLOOKUP('OB Format'!D1224,'Team Data'!C:AC,25,FALSE),"")</f>
        <v/>
      </c>
    </row>
    <row r="1225" spans="5:19" x14ac:dyDescent="0.25">
      <c r="E1225" t="str">
        <f>IFERROR(VLOOKUP(D1225,'Team Data'!C:AB,4,FALSE),"")</f>
        <v/>
      </c>
      <c r="F1225" t="str">
        <f>IFERROR(VLOOKUP(D1225,'Team Data'!C:AB,5,FALSE),"")</f>
        <v/>
      </c>
      <c r="G1225" t="str">
        <f>IFERROR(VLOOKUP('OB Format'!D1225,'Team Data'!C:AB,17,FALSE),"")</f>
        <v/>
      </c>
      <c r="H1225" t="str">
        <f>IFERROR(VLOOKUP(D1225,'Team Data'!C:AB,7,FALSE),"")</f>
        <v/>
      </c>
      <c r="I1225" t="str">
        <f>IFERROR(VLOOKUP(D1225,'Team Data'!C:AB,14,FALSE),"")</f>
        <v/>
      </c>
      <c r="J1225" t="str">
        <f>IFERROR(VLOOKUP(D1225,'Team Data'!C:AB,8,FALSE),"")</f>
        <v/>
      </c>
      <c r="K1225" t="str">
        <f>IFERROR(VLOOKUP(D1225,'Team Data'!C:AB,9,FALSE),"")</f>
        <v/>
      </c>
      <c r="L1225" t="str">
        <f>IFERROR(VLOOKUP(D1225,'Team Data'!C:AB,10,FALSE),"")</f>
        <v/>
      </c>
      <c r="M1225" t="str">
        <f t="shared" si="38"/>
        <v/>
      </c>
      <c r="N1225" t="str">
        <f>IFERROR(VLOOKUP(D1225,'Team Data'!C:AB,23,FALSE),"")</f>
        <v/>
      </c>
      <c r="O1225" t="str">
        <f>IFERROR(VLOOKUP(D1225,'Team Data'!C:AB,22,FALSE),"")</f>
        <v/>
      </c>
      <c r="P1225" t="str">
        <f t="shared" si="39"/>
        <v/>
      </c>
      <c r="Q1225" t="str">
        <f>IFERROR(VLOOKUP(D1225,'Team Data'!C:AB,15,FALSE),"")</f>
        <v/>
      </c>
      <c r="R1225" t="str">
        <f>IFERROR(VLOOKUP('OB Format'!D1225,'Team Data'!C:AB,24,FALSE),"")</f>
        <v/>
      </c>
      <c r="S1225" t="str">
        <f>IFERROR(VLOOKUP('OB Format'!D1225,'Team Data'!C:AC,25,FALSE),"")</f>
        <v/>
      </c>
    </row>
    <row r="1226" spans="5:19" x14ac:dyDescent="0.25">
      <c r="E1226" t="str">
        <f>IFERROR(VLOOKUP(D1226,'Team Data'!C:AB,4,FALSE),"")</f>
        <v/>
      </c>
      <c r="F1226" t="str">
        <f>IFERROR(VLOOKUP(D1226,'Team Data'!C:AB,5,FALSE),"")</f>
        <v/>
      </c>
      <c r="G1226" t="str">
        <f>IFERROR(VLOOKUP('OB Format'!D1226,'Team Data'!C:AB,17,FALSE),"")</f>
        <v/>
      </c>
      <c r="H1226" t="str">
        <f>IFERROR(VLOOKUP(D1226,'Team Data'!C:AB,7,FALSE),"")</f>
        <v/>
      </c>
      <c r="I1226" t="str">
        <f>IFERROR(VLOOKUP(D1226,'Team Data'!C:AB,14,FALSE),"")</f>
        <v/>
      </c>
      <c r="J1226" t="str">
        <f>IFERROR(VLOOKUP(D1226,'Team Data'!C:AB,8,FALSE),"")</f>
        <v/>
      </c>
      <c r="K1226" t="str">
        <f>IFERROR(VLOOKUP(D1226,'Team Data'!C:AB,9,FALSE),"")</f>
        <v/>
      </c>
      <c r="L1226" t="str">
        <f>IFERROR(VLOOKUP(D1226,'Team Data'!C:AB,10,FALSE),"")</f>
        <v/>
      </c>
      <c r="M1226" t="str">
        <f t="shared" si="38"/>
        <v/>
      </c>
      <c r="N1226" t="str">
        <f>IFERROR(VLOOKUP(D1226,'Team Data'!C:AB,23,FALSE),"")</f>
        <v/>
      </c>
      <c r="O1226" t="str">
        <f>IFERROR(VLOOKUP(D1226,'Team Data'!C:AB,22,FALSE),"")</f>
        <v/>
      </c>
      <c r="P1226" t="str">
        <f t="shared" si="39"/>
        <v/>
      </c>
      <c r="Q1226" t="str">
        <f>IFERROR(VLOOKUP(D1226,'Team Data'!C:AB,15,FALSE),"")</f>
        <v/>
      </c>
      <c r="R1226" t="str">
        <f>IFERROR(VLOOKUP('OB Format'!D1226,'Team Data'!C:AB,24,FALSE),"")</f>
        <v/>
      </c>
      <c r="S1226" t="str">
        <f>IFERROR(VLOOKUP('OB Format'!D1226,'Team Data'!C:AC,25,FALSE),"")</f>
        <v/>
      </c>
    </row>
    <row r="1227" spans="5:19" x14ac:dyDescent="0.25">
      <c r="E1227" t="str">
        <f>IFERROR(VLOOKUP(D1227,'Team Data'!C:AB,4,FALSE),"")</f>
        <v/>
      </c>
      <c r="F1227" t="str">
        <f>IFERROR(VLOOKUP(D1227,'Team Data'!C:AB,5,FALSE),"")</f>
        <v/>
      </c>
      <c r="G1227" t="str">
        <f>IFERROR(VLOOKUP('OB Format'!D1227,'Team Data'!C:AB,17,FALSE),"")</f>
        <v/>
      </c>
      <c r="H1227" t="str">
        <f>IFERROR(VLOOKUP(D1227,'Team Data'!C:AB,7,FALSE),"")</f>
        <v/>
      </c>
      <c r="I1227" t="str">
        <f>IFERROR(VLOOKUP(D1227,'Team Data'!C:AB,14,FALSE),"")</f>
        <v/>
      </c>
      <c r="J1227" t="str">
        <f>IFERROR(VLOOKUP(D1227,'Team Data'!C:AB,8,FALSE),"")</f>
        <v/>
      </c>
      <c r="K1227" t="str">
        <f>IFERROR(VLOOKUP(D1227,'Team Data'!C:AB,9,FALSE),"")</f>
        <v/>
      </c>
      <c r="L1227" t="str">
        <f>IFERROR(VLOOKUP(D1227,'Team Data'!C:AB,10,FALSE),"")</f>
        <v/>
      </c>
      <c r="M1227" t="str">
        <f t="shared" si="38"/>
        <v/>
      </c>
      <c r="N1227" t="str">
        <f>IFERROR(VLOOKUP(D1227,'Team Data'!C:AB,23,FALSE),"")</f>
        <v/>
      </c>
      <c r="O1227" t="str">
        <f>IFERROR(VLOOKUP(D1227,'Team Data'!C:AB,22,FALSE),"")</f>
        <v/>
      </c>
      <c r="P1227" t="str">
        <f t="shared" si="39"/>
        <v/>
      </c>
      <c r="Q1227" t="str">
        <f>IFERROR(VLOOKUP(D1227,'Team Data'!C:AB,15,FALSE),"")</f>
        <v/>
      </c>
      <c r="R1227" t="str">
        <f>IFERROR(VLOOKUP('OB Format'!D1227,'Team Data'!C:AB,24,FALSE),"")</f>
        <v/>
      </c>
      <c r="S1227" t="str">
        <f>IFERROR(VLOOKUP('OB Format'!D1227,'Team Data'!C:AC,25,FALSE),"")</f>
        <v/>
      </c>
    </row>
    <row r="1228" spans="5:19" x14ac:dyDescent="0.25">
      <c r="E1228" t="str">
        <f>IFERROR(VLOOKUP(D1228,'Team Data'!C:AB,4,FALSE),"")</f>
        <v/>
      </c>
      <c r="F1228" t="str">
        <f>IFERROR(VLOOKUP(D1228,'Team Data'!C:AB,5,FALSE),"")</f>
        <v/>
      </c>
      <c r="G1228" t="str">
        <f>IFERROR(VLOOKUP('OB Format'!D1228,'Team Data'!C:AB,17,FALSE),"")</f>
        <v/>
      </c>
      <c r="H1228" t="str">
        <f>IFERROR(VLOOKUP(D1228,'Team Data'!C:AB,7,FALSE),"")</f>
        <v/>
      </c>
      <c r="I1228" t="str">
        <f>IFERROR(VLOOKUP(D1228,'Team Data'!C:AB,14,FALSE),"")</f>
        <v/>
      </c>
      <c r="J1228" t="str">
        <f>IFERROR(VLOOKUP(D1228,'Team Data'!C:AB,8,FALSE),"")</f>
        <v/>
      </c>
      <c r="K1228" t="str">
        <f>IFERROR(VLOOKUP(D1228,'Team Data'!C:AB,9,FALSE),"")</f>
        <v/>
      </c>
      <c r="L1228" t="str">
        <f>IFERROR(VLOOKUP(D1228,'Team Data'!C:AB,10,FALSE),"")</f>
        <v/>
      </c>
      <c r="M1228" t="str">
        <f t="shared" si="38"/>
        <v/>
      </c>
      <c r="N1228" t="str">
        <f>IFERROR(VLOOKUP(D1228,'Team Data'!C:AB,23,FALSE),"")</f>
        <v/>
      </c>
      <c r="O1228" t="str">
        <f>IFERROR(VLOOKUP(D1228,'Team Data'!C:AB,22,FALSE),"")</f>
        <v/>
      </c>
      <c r="P1228" t="str">
        <f t="shared" si="39"/>
        <v/>
      </c>
      <c r="Q1228" t="str">
        <f>IFERROR(VLOOKUP(D1228,'Team Data'!C:AB,15,FALSE),"")</f>
        <v/>
      </c>
      <c r="R1228" t="str">
        <f>IFERROR(VLOOKUP('OB Format'!D1228,'Team Data'!C:AB,24,FALSE),"")</f>
        <v/>
      </c>
      <c r="S1228" t="str">
        <f>IFERROR(VLOOKUP('OB Format'!D1228,'Team Data'!C:AC,25,FALSE),"")</f>
        <v/>
      </c>
    </row>
    <row r="1229" spans="5:19" x14ac:dyDescent="0.25">
      <c r="E1229" t="str">
        <f>IFERROR(VLOOKUP(D1229,'Team Data'!C:AB,4,FALSE),"")</f>
        <v/>
      </c>
      <c r="F1229" t="str">
        <f>IFERROR(VLOOKUP(D1229,'Team Data'!C:AB,5,FALSE),"")</f>
        <v/>
      </c>
      <c r="G1229" t="str">
        <f>IFERROR(VLOOKUP('OB Format'!D1229,'Team Data'!C:AB,17,FALSE),"")</f>
        <v/>
      </c>
      <c r="H1229" t="str">
        <f>IFERROR(VLOOKUP(D1229,'Team Data'!C:AB,7,FALSE),"")</f>
        <v/>
      </c>
      <c r="I1229" t="str">
        <f>IFERROR(VLOOKUP(D1229,'Team Data'!C:AB,14,FALSE),"")</f>
        <v/>
      </c>
      <c r="J1229" t="str">
        <f>IFERROR(VLOOKUP(D1229,'Team Data'!C:AB,8,FALSE),"")</f>
        <v/>
      </c>
      <c r="K1229" t="str">
        <f>IFERROR(VLOOKUP(D1229,'Team Data'!C:AB,9,FALSE),"")</f>
        <v/>
      </c>
      <c r="L1229" t="str">
        <f>IFERROR(VLOOKUP(D1229,'Team Data'!C:AB,10,FALSE),"")</f>
        <v/>
      </c>
      <c r="M1229" t="str">
        <f t="shared" ref="M1229:M1292" si="40">IFERROR(H1229-(J1229+L1229+K1229),"")</f>
        <v/>
      </c>
      <c r="N1229" t="str">
        <f>IFERROR(VLOOKUP(D1229,'Team Data'!C:AB,23,FALSE),"")</f>
        <v/>
      </c>
      <c r="O1229" t="str">
        <f>IFERROR(VLOOKUP(D1229,'Team Data'!C:AB,22,FALSE),"")</f>
        <v/>
      </c>
      <c r="P1229" t="str">
        <f t="shared" ref="P1229:P1292" si="41">IFERROR(E1229-(H1229+N1229+Q1229+I1229+O1229),"")</f>
        <v/>
      </c>
      <c r="Q1229" t="str">
        <f>IFERROR(VLOOKUP(D1229,'Team Data'!C:AB,15,FALSE),"")</f>
        <v/>
      </c>
      <c r="R1229" t="str">
        <f>IFERROR(VLOOKUP('OB Format'!D1229,'Team Data'!C:AB,24,FALSE),"")</f>
        <v/>
      </c>
      <c r="S1229" t="str">
        <f>IFERROR(VLOOKUP('OB Format'!D1229,'Team Data'!C:AC,25,FALSE),"")</f>
        <v/>
      </c>
    </row>
    <row r="1230" spans="5:19" x14ac:dyDescent="0.25">
      <c r="E1230" t="str">
        <f>IFERROR(VLOOKUP(D1230,'Team Data'!C:AB,4,FALSE),"")</f>
        <v/>
      </c>
      <c r="F1230" t="str">
        <f>IFERROR(VLOOKUP(D1230,'Team Data'!C:AB,5,FALSE),"")</f>
        <v/>
      </c>
      <c r="G1230" t="str">
        <f>IFERROR(VLOOKUP('OB Format'!D1230,'Team Data'!C:AB,17,FALSE),"")</f>
        <v/>
      </c>
      <c r="H1230" t="str">
        <f>IFERROR(VLOOKUP(D1230,'Team Data'!C:AB,7,FALSE),"")</f>
        <v/>
      </c>
      <c r="I1230" t="str">
        <f>IFERROR(VLOOKUP(D1230,'Team Data'!C:AB,14,FALSE),"")</f>
        <v/>
      </c>
      <c r="J1230" t="str">
        <f>IFERROR(VLOOKUP(D1230,'Team Data'!C:AB,8,FALSE),"")</f>
        <v/>
      </c>
      <c r="K1230" t="str">
        <f>IFERROR(VLOOKUP(D1230,'Team Data'!C:AB,9,FALSE),"")</f>
        <v/>
      </c>
      <c r="L1230" t="str">
        <f>IFERROR(VLOOKUP(D1230,'Team Data'!C:AB,10,FALSE),"")</f>
        <v/>
      </c>
      <c r="M1230" t="str">
        <f t="shared" si="40"/>
        <v/>
      </c>
      <c r="N1230" t="str">
        <f>IFERROR(VLOOKUP(D1230,'Team Data'!C:AB,23,FALSE),"")</f>
        <v/>
      </c>
      <c r="O1230" t="str">
        <f>IFERROR(VLOOKUP(D1230,'Team Data'!C:AB,22,FALSE),"")</f>
        <v/>
      </c>
      <c r="P1230" t="str">
        <f t="shared" si="41"/>
        <v/>
      </c>
      <c r="Q1230" t="str">
        <f>IFERROR(VLOOKUP(D1230,'Team Data'!C:AB,15,FALSE),"")</f>
        <v/>
      </c>
      <c r="R1230" t="str">
        <f>IFERROR(VLOOKUP('OB Format'!D1230,'Team Data'!C:AB,24,FALSE),"")</f>
        <v/>
      </c>
      <c r="S1230" t="str">
        <f>IFERROR(VLOOKUP('OB Format'!D1230,'Team Data'!C:AC,25,FALSE),"")</f>
        <v/>
      </c>
    </row>
    <row r="1231" spans="5:19" x14ac:dyDescent="0.25">
      <c r="E1231" t="str">
        <f>IFERROR(VLOOKUP(D1231,'Team Data'!C:AB,4,FALSE),"")</f>
        <v/>
      </c>
      <c r="F1231" t="str">
        <f>IFERROR(VLOOKUP(D1231,'Team Data'!C:AB,5,FALSE),"")</f>
        <v/>
      </c>
      <c r="G1231" t="str">
        <f>IFERROR(VLOOKUP('OB Format'!D1231,'Team Data'!C:AB,17,FALSE),"")</f>
        <v/>
      </c>
      <c r="H1231" t="str">
        <f>IFERROR(VLOOKUP(D1231,'Team Data'!C:AB,7,FALSE),"")</f>
        <v/>
      </c>
      <c r="I1231" t="str">
        <f>IFERROR(VLOOKUP(D1231,'Team Data'!C:AB,14,FALSE),"")</f>
        <v/>
      </c>
      <c r="J1231" t="str">
        <f>IFERROR(VLOOKUP(D1231,'Team Data'!C:AB,8,FALSE),"")</f>
        <v/>
      </c>
      <c r="K1231" t="str">
        <f>IFERROR(VLOOKUP(D1231,'Team Data'!C:AB,9,FALSE),"")</f>
        <v/>
      </c>
      <c r="L1231" t="str">
        <f>IFERROR(VLOOKUP(D1231,'Team Data'!C:AB,10,FALSE),"")</f>
        <v/>
      </c>
      <c r="M1231" t="str">
        <f t="shared" si="40"/>
        <v/>
      </c>
      <c r="N1231" t="str">
        <f>IFERROR(VLOOKUP(D1231,'Team Data'!C:AB,23,FALSE),"")</f>
        <v/>
      </c>
      <c r="O1231" t="str">
        <f>IFERROR(VLOOKUP(D1231,'Team Data'!C:AB,22,FALSE),"")</f>
        <v/>
      </c>
      <c r="P1231" t="str">
        <f t="shared" si="41"/>
        <v/>
      </c>
      <c r="Q1231" t="str">
        <f>IFERROR(VLOOKUP(D1231,'Team Data'!C:AB,15,FALSE),"")</f>
        <v/>
      </c>
      <c r="R1231" t="str">
        <f>IFERROR(VLOOKUP('OB Format'!D1231,'Team Data'!C:AB,24,FALSE),"")</f>
        <v/>
      </c>
      <c r="S1231" t="str">
        <f>IFERROR(VLOOKUP('OB Format'!D1231,'Team Data'!C:AC,25,FALSE),"")</f>
        <v/>
      </c>
    </row>
    <row r="1232" spans="5:19" x14ac:dyDescent="0.25">
      <c r="E1232" t="str">
        <f>IFERROR(VLOOKUP(D1232,'Team Data'!C:AB,4,FALSE),"")</f>
        <v/>
      </c>
      <c r="F1232" t="str">
        <f>IFERROR(VLOOKUP(D1232,'Team Data'!C:AB,5,FALSE),"")</f>
        <v/>
      </c>
      <c r="G1232" t="str">
        <f>IFERROR(VLOOKUP('OB Format'!D1232,'Team Data'!C:AB,17,FALSE),"")</f>
        <v/>
      </c>
      <c r="H1232" t="str">
        <f>IFERROR(VLOOKUP(D1232,'Team Data'!C:AB,7,FALSE),"")</f>
        <v/>
      </c>
      <c r="I1232" t="str">
        <f>IFERROR(VLOOKUP(D1232,'Team Data'!C:AB,14,FALSE),"")</f>
        <v/>
      </c>
      <c r="J1232" t="str">
        <f>IFERROR(VLOOKUP(D1232,'Team Data'!C:AB,8,FALSE),"")</f>
        <v/>
      </c>
      <c r="K1232" t="str">
        <f>IFERROR(VLOOKUP(D1232,'Team Data'!C:AB,9,FALSE),"")</f>
        <v/>
      </c>
      <c r="L1232" t="str">
        <f>IFERROR(VLOOKUP(D1232,'Team Data'!C:AB,10,FALSE),"")</f>
        <v/>
      </c>
      <c r="M1232" t="str">
        <f t="shared" si="40"/>
        <v/>
      </c>
      <c r="N1232" t="str">
        <f>IFERROR(VLOOKUP(D1232,'Team Data'!C:AB,23,FALSE),"")</f>
        <v/>
      </c>
      <c r="O1232" t="str">
        <f>IFERROR(VLOOKUP(D1232,'Team Data'!C:AB,22,FALSE),"")</f>
        <v/>
      </c>
      <c r="P1232" t="str">
        <f t="shared" si="41"/>
        <v/>
      </c>
      <c r="Q1232" t="str">
        <f>IFERROR(VLOOKUP(D1232,'Team Data'!C:AB,15,FALSE),"")</f>
        <v/>
      </c>
      <c r="R1232" t="str">
        <f>IFERROR(VLOOKUP('OB Format'!D1232,'Team Data'!C:AB,24,FALSE),"")</f>
        <v/>
      </c>
      <c r="S1232" t="str">
        <f>IFERROR(VLOOKUP('OB Format'!D1232,'Team Data'!C:AC,25,FALSE),"")</f>
        <v/>
      </c>
    </row>
    <row r="1233" spans="5:19" x14ac:dyDescent="0.25">
      <c r="E1233" t="str">
        <f>IFERROR(VLOOKUP(D1233,'Team Data'!C:AB,4,FALSE),"")</f>
        <v/>
      </c>
      <c r="F1233" t="str">
        <f>IFERROR(VLOOKUP(D1233,'Team Data'!C:AB,5,FALSE),"")</f>
        <v/>
      </c>
      <c r="G1233" t="str">
        <f>IFERROR(VLOOKUP('OB Format'!D1233,'Team Data'!C:AB,17,FALSE),"")</f>
        <v/>
      </c>
      <c r="H1233" t="str">
        <f>IFERROR(VLOOKUP(D1233,'Team Data'!C:AB,7,FALSE),"")</f>
        <v/>
      </c>
      <c r="I1233" t="str">
        <f>IFERROR(VLOOKUP(D1233,'Team Data'!C:AB,14,FALSE),"")</f>
        <v/>
      </c>
      <c r="J1233" t="str">
        <f>IFERROR(VLOOKUP(D1233,'Team Data'!C:AB,8,FALSE),"")</f>
        <v/>
      </c>
      <c r="K1233" t="str">
        <f>IFERROR(VLOOKUP(D1233,'Team Data'!C:AB,9,FALSE),"")</f>
        <v/>
      </c>
      <c r="L1233" t="str">
        <f>IFERROR(VLOOKUP(D1233,'Team Data'!C:AB,10,FALSE),"")</f>
        <v/>
      </c>
      <c r="M1233" t="str">
        <f t="shared" si="40"/>
        <v/>
      </c>
      <c r="N1233" t="str">
        <f>IFERROR(VLOOKUP(D1233,'Team Data'!C:AB,23,FALSE),"")</f>
        <v/>
      </c>
      <c r="O1233" t="str">
        <f>IFERROR(VLOOKUP(D1233,'Team Data'!C:AB,22,FALSE),"")</f>
        <v/>
      </c>
      <c r="P1233" t="str">
        <f t="shared" si="41"/>
        <v/>
      </c>
      <c r="Q1233" t="str">
        <f>IFERROR(VLOOKUP(D1233,'Team Data'!C:AB,15,FALSE),"")</f>
        <v/>
      </c>
      <c r="R1233" t="str">
        <f>IFERROR(VLOOKUP('OB Format'!D1233,'Team Data'!C:AB,24,FALSE),"")</f>
        <v/>
      </c>
      <c r="S1233" t="str">
        <f>IFERROR(VLOOKUP('OB Format'!D1233,'Team Data'!C:AC,25,FALSE),"")</f>
        <v/>
      </c>
    </row>
    <row r="1234" spans="5:19" x14ac:dyDescent="0.25">
      <c r="E1234" t="str">
        <f>IFERROR(VLOOKUP(D1234,'Team Data'!C:AB,4,FALSE),"")</f>
        <v/>
      </c>
      <c r="F1234" t="str">
        <f>IFERROR(VLOOKUP(D1234,'Team Data'!C:AB,5,FALSE),"")</f>
        <v/>
      </c>
      <c r="G1234" t="str">
        <f>IFERROR(VLOOKUP('OB Format'!D1234,'Team Data'!C:AB,17,FALSE),"")</f>
        <v/>
      </c>
      <c r="H1234" t="str">
        <f>IFERROR(VLOOKUP(D1234,'Team Data'!C:AB,7,FALSE),"")</f>
        <v/>
      </c>
      <c r="I1234" t="str">
        <f>IFERROR(VLOOKUP(D1234,'Team Data'!C:AB,14,FALSE),"")</f>
        <v/>
      </c>
      <c r="J1234" t="str">
        <f>IFERROR(VLOOKUP(D1234,'Team Data'!C:AB,8,FALSE),"")</f>
        <v/>
      </c>
      <c r="K1234" t="str">
        <f>IFERROR(VLOOKUP(D1234,'Team Data'!C:AB,9,FALSE),"")</f>
        <v/>
      </c>
      <c r="L1234" t="str">
        <f>IFERROR(VLOOKUP(D1234,'Team Data'!C:AB,10,FALSE),"")</f>
        <v/>
      </c>
      <c r="M1234" t="str">
        <f t="shared" si="40"/>
        <v/>
      </c>
      <c r="N1234" t="str">
        <f>IFERROR(VLOOKUP(D1234,'Team Data'!C:AB,23,FALSE),"")</f>
        <v/>
      </c>
      <c r="O1234" t="str">
        <f>IFERROR(VLOOKUP(D1234,'Team Data'!C:AB,22,FALSE),"")</f>
        <v/>
      </c>
      <c r="P1234" t="str">
        <f t="shared" si="41"/>
        <v/>
      </c>
      <c r="Q1234" t="str">
        <f>IFERROR(VLOOKUP(D1234,'Team Data'!C:AB,15,FALSE),"")</f>
        <v/>
      </c>
      <c r="R1234" t="str">
        <f>IFERROR(VLOOKUP('OB Format'!D1234,'Team Data'!C:AB,24,FALSE),"")</f>
        <v/>
      </c>
      <c r="S1234" t="str">
        <f>IFERROR(VLOOKUP('OB Format'!D1234,'Team Data'!C:AC,25,FALSE),"")</f>
        <v/>
      </c>
    </row>
    <row r="1235" spans="5:19" x14ac:dyDescent="0.25">
      <c r="E1235" t="str">
        <f>IFERROR(VLOOKUP(D1235,'Team Data'!C:AB,4,FALSE),"")</f>
        <v/>
      </c>
      <c r="F1235" t="str">
        <f>IFERROR(VLOOKUP(D1235,'Team Data'!C:AB,5,FALSE),"")</f>
        <v/>
      </c>
      <c r="G1235" t="str">
        <f>IFERROR(VLOOKUP('OB Format'!D1235,'Team Data'!C:AB,17,FALSE),"")</f>
        <v/>
      </c>
      <c r="H1235" t="str">
        <f>IFERROR(VLOOKUP(D1235,'Team Data'!C:AB,7,FALSE),"")</f>
        <v/>
      </c>
      <c r="I1235" t="str">
        <f>IFERROR(VLOOKUP(D1235,'Team Data'!C:AB,14,FALSE),"")</f>
        <v/>
      </c>
      <c r="J1235" t="str">
        <f>IFERROR(VLOOKUP(D1235,'Team Data'!C:AB,8,FALSE),"")</f>
        <v/>
      </c>
      <c r="K1235" t="str">
        <f>IFERROR(VLOOKUP(D1235,'Team Data'!C:AB,9,FALSE),"")</f>
        <v/>
      </c>
      <c r="L1235" t="str">
        <f>IFERROR(VLOOKUP(D1235,'Team Data'!C:AB,10,FALSE),"")</f>
        <v/>
      </c>
      <c r="M1235" t="str">
        <f t="shared" si="40"/>
        <v/>
      </c>
      <c r="N1235" t="str">
        <f>IFERROR(VLOOKUP(D1235,'Team Data'!C:AB,23,FALSE),"")</f>
        <v/>
      </c>
      <c r="O1235" t="str">
        <f>IFERROR(VLOOKUP(D1235,'Team Data'!C:AB,22,FALSE),"")</f>
        <v/>
      </c>
      <c r="P1235" t="str">
        <f t="shared" si="41"/>
        <v/>
      </c>
      <c r="Q1235" t="str">
        <f>IFERROR(VLOOKUP(D1235,'Team Data'!C:AB,15,FALSE),"")</f>
        <v/>
      </c>
      <c r="R1235" t="str">
        <f>IFERROR(VLOOKUP('OB Format'!D1235,'Team Data'!C:AB,24,FALSE),"")</f>
        <v/>
      </c>
      <c r="S1235" t="str">
        <f>IFERROR(VLOOKUP('OB Format'!D1235,'Team Data'!C:AC,25,FALSE),"")</f>
        <v/>
      </c>
    </row>
    <row r="1236" spans="5:19" x14ac:dyDescent="0.25">
      <c r="E1236" t="str">
        <f>IFERROR(VLOOKUP(D1236,'Team Data'!C:AB,4,FALSE),"")</f>
        <v/>
      </c>
      <c r="F1236" t="str">
        <f>IFERROR(VLOOKUP(D1236,'Team Data'!C:AB,5,FALSE),"")</f>
        <v/>
      </c>
      <c r="G1236" t="str">
        <f>IFERROR(VLOOKUP('OB Format'!D1236,'Team Data'!C:AB,17,FALSE),"")</f>
        <v/>
      </c>
      <c r="H1236" t="str">
        <f>IFERROR(VLOOKUP(D1236,'Team Data'!C:AB,7,FALSE),"")</f>
        <v/>
      </c>
      <c r="I1236" t="str">
        <f>IFERROR(VLOOKUP(D1236,'Team Data'!C:AB,14,FALSE),"")</f>
        <v/>
      </c>
      <c r="J1236" t="str">
        <f>IFERROR(VLOOKUP(D1236,'Team Data'!C:AB,8,FALSE),"")</f>
        <v/>
      </c>
      <c r="K1236" t="str">
        <f>IFERROR(VLOOKUP(D1236,'Team Data'!C:AB,9,FALSE),"")</f>
        <v/>
      </c>
      <c r="L1236" t="str">
        <f>IFERROR(VLOOKUP(D1236,'Team Data'!C:AB,10,FALSE),"")</f>
        <v/>
      </c>
      <c r="M1236" t="str">
        <f t="shared" si="40"/>
        <v/>
      </c>
      <c r="N1236" t="str">
        <f>IFERROR(VLOOKUP(D1236,'Team Data'!C:AB,23,FALSE),"")</f>
        <v/>
      </c>
      <c r="O1236" t="str">
        <f>IFERROR(VLOOKUP(D1236,'Team Data'!C:AB,22,FALSE),"")</f>
        <v/>
      </c>
      <c r="P1236" t="str">
        <f t="shared" si="41"/>
        <v/>
      </c>
      <c r="Q1236" t="str">
        <f>IFERROR(VLOOKUP(D1236,'Team Data'!C:AB,15,FALSE),"")</f>
        <v/>
      </c>
      <c r="R1236" t="str">
        <f>IFERROR(VLOOKUP('OB Format'!D1236,'Team Data'!C:AB,24,FALSE),"")</f>
        <v/>
      </c>
      <c r="S1236" t="str">
        <f>IFERROR(VLOOKUP('OB Format'!D1236,'Team Data'!C:AC,25,FALSE),"")</f>
        <v/>
      </c>
    </row>
    <row r="1237" spans="5:19" x14ac:dyDescent="0.25">
      <c r="E1237" t="str">
        <f>IFERROR(VLOOKUP(D1237,'Team Data'!C:AB,4,FALSE),"")</f>
        <v/>
      </c>
      <c r="F1237" t="str">
        <f>IFERROR(VLOOKUP(D1237,'Team Data'!C:AB,5,FALSE),"")</f>
        <v/>
      </c>
      <c r="G1237" t="str">
        <f>IFERROR(VLOOKUP('OB Format'!D1237,'Team Data'!C:AB,17,FALSE),"")</f>
        <v/>
      </c>
      <c r="H1237" t="str">
        <f>IFERROR(VLOOKUP(D1237,'Team Data'!C:AB,7,FALSE),"")</f>
        <v/>
      </c>
      <c r="I1237" t="str">
        <f>IFERROR(VLOOKUP(D1237,'Team Data'!C:AB,14,FALSE),"")</f>
        <v/>
      </c>
      <c r="J1237" t="str">
        <f>IFERROR(VLOOKUP(D1237,'Team Data'!C:AB,8,FALSE),"")</f>
        <v/>
      </c>
      <c r="K1237" t="str">
        <f>IFERROR(VLOOKUP(D1237,'Team Data'!C:AB,9,FALSE),"")</f>
        <v/>
      </c>
      <c r="L1237" t="str">
        <f>IFERROR(VLOOKUP(D1237,'Team Data'!C:AB,10,FALSE),"")</f>
        <v/>
      </c>
      <c r="M1237" t="str">
        <f t="shared" si="40"/>
        <v/>
      </c>
      <c r="N1237" t="str">
        <f>IFERROR(VLOOKUP(D1237,'Team Data'!C:AB,23,FALSE),"")</f>
        <v/>
      </c>
      <c r="O1237" t="str">
        <f>IFERROR(VLOOKUP(D1237,'Team Data'!C:AB,22,FALSE),"")</f>
        <v/>
      </c>
      <c r="P1237" t="str">
        <f t="shared" si="41"/>
        <v/>
      </c>
      <c r="Q1237" t="str">
        <f>IFERROR(VLOOKUP(D1237,'Team Data'!C:AB,15,FALSE),"")</f>
        <v/>
      </c>
      <c r="R1237" t="str">
        <f>IFERROR(VLOOKUP('OB Format'!D1237,'Team Data'!C:AB,24,FALSE),"")</f>
        <v/>
      </c>
      <c r="S1237" t="str">
        <f>IFERROR(VLOOKUP('OB Format'!D1237,'Team Data'!C:AC,25,FALSE),"")</f>
        <v/>
      </c>
    </row>
    <row r="1238" spans="5:19" x14ac:dyDescent="0.25">
      <c r="E1238" t="str">
        <f>IFERROR(VLOOKUP(D1238,'Team Data'!C:AB,4,FALSE),"")</f>
        <v/>
      </c>
      <c r="F1238" t="str">
        <f>IFERROR(VLOOKUP(D1238,'Team Data'!C:AB,5,FALSE),"")</f>
        <v/>
      </c>
      <c r="G1238" t="str">
        <f>IFERROR(VLOOKUP('OB Format'!D1238,'Team Data'!C:AB,17,FALSE),"")</f>
        <v/>
      </c>
      <c r="H1238" t="str">
        <f>IFERROR(VLOOKUP(D1238,'Team Data'!C:AB,7,FALSE),"")</f>
        <v/>
      </c>
      <c r="I1238" t="str">
        <f>IFERROR(VLOOKUP(D1238,'Team Data'!C:AB,14,FALSE),"")</f>
        <v/>
      </c>
      <c r="J1238" t="str">
        <f>IFERROR(VLOOKUP(D1238,'Team Data'!C:AB,8,FALSE),"")</f>
        <v/>
      </c>
      <c r="K1238" t="str">
        <f>IFERROR(VLOOKUP(D1238,'Team Data'!C:AB,9,FALSE),"")</f>
        <v/>
      </c>
      <c r="L1238" t="str">
        <f>IFERROR(VLOOKUP(D1238,'Team Data'!C:AB,10,FALSE),"")</f>
        <v/>
      </c>
      <c r="M1238" t="str">
        <f t="shared" si="40"/>
        <v/>
      </c>
      <c r="N1238" t="str">
        <f>IFERROR(VLOOKUP(D1238,'Team Data'!C:AB,23,FALSE),"")</f>
        <v/>
      </c>
      <c r="O1238" t="str">
        <f>IFERROR(VLOOKUP(D1238,'Team Data'!C:AB,22,FALSE),"")</f>
        <v/>
      </c>
      <c r="P1238" t="str">
        <f t="shared" si="41"/>
        <v/>
      </c>
      <c r="Q1238" t="str">
        <f>IFERROR(VLOOKUP(D1238,'Team Data'!C:AB,15,FALSE),"")</f>
        <v/>
      </c>
      <c r="R1238" t="str">
        <f>IFERROR(VLOOKUP('OB Format'!D1238,'Team Data'!C:AB,24,FALSE),"")</f>
        <v/>
      </c>
      <c r="S1238" t="str">
        <f>IFERROR(VLOOKUP('OB Format'!D1238,'Team Data'!C:AC,25,FALSE),"")</f>
        <v/>
      </c>
    </row>
    <row r="1239" spans="5:19" x14ac:dyDescent="0.25">
      <c r="E1239" t="str">
        <f>IFERROR(VLOOKUP(D1239,'Team Data'!C:AB,4,FALSE),"")</f>
        <v/>
      </c>
      <c r="F1239" t="str">
        <f>IFERROR(VLOOKUP(D1239,'Team Data'!C:AB,5,FALSE),"")</f>
        <v/>
      </c>
      <c r="G1239" t="str">
        <f>IFERROR(VLOOKUP('OB Format'!D1239,'Team Data'!C:AB,17,FALSE),"")</f>
        <v/>
      </c>
      <c r="H1239" t="str">
        <f>IFERROR(VLOOKUP(D1239,'Team Data'!C:AB,7,FALSE),"")</f>
        <v/>
      </c>
      <c r="I1239" t="str">
        <f>IFERROR(VLOOKUP(D1239,'Team Data'!C:AB,14,FALSE),"")</f>
        <v/>
      </c>
      <c r="J1239" t="str">
        <f>IFERROR(VLOOKUP(D1239,'Team Data'!C:AB,8,FALSE),"")</f>
        <v/>
      </c>
      <c r="K1239" t="str">
        <f>IFERROR(VLOOKUP(D1239,'Team Data'!C:AB,9,FALSE),"")</f>
        <v/>
      </c>
      <c r="L1239" t="str">
        <f>IFERROR(VLOOKUP(D1239,'Team Data'!C:AB,10,FALSE),"")</f>
        <v/>
      </c>
      <c r="M1239" t="str">
        <f t="shared" si="40"/>
        <v/>
      </c>
      <c r="N1239" t="str">
        <f>IFERROR(VLOOKUP(D1239,'Team Data'!C:AB,23,FALSE),"")</f>
        <v/>
      </c>
      <c r="O1239" t="str">
        <f>IFERROR(VLOOKUP(D1239,'Team Data'!C:AB,22,FALSE),"")</f>
        <v/>
      </c>
      <c r="P1239" t="str">
        <f t="shared" si="41"/>
        <v/>
      </c>
      <c r="Q1239" t="str">
        <f>IFERROR(VLOOKUP(D1239,'Team Data'!C:AB,15,FALSE),"")</f>
        <v/>
      </c>
      <c r="R1239" t="str">
        <f>IFERROR(VLOOKUP('OB Format'!D1239,'Team Data'!C:AB,24,FALSE),"")</f>
        <v/>
      </c>
      <c r="S1239" t="str">
        <f>IFERROR(VLOOKUP('OB Format'!D1239,'Team Data'!C:AC,25,FALSE),"")</f>
        <v/>
      </c>
    </row>
    <row r="1240" spans="5:19" x14ac:dyDescent="0.25">
      <c r="E1240" t="str">
        <f>IFERROR(VLOOKUP(D1240,'Team Data'!C:AB,4,FALSE),"")</f>
        <v/>
      </c>
      <c r="F1240" t="str">
        <f>IFERROR(VLOOKUP(D1240,'Team Data'!C:AB,5,FALSE),"")</f>
        <v/>
      </c>
      <c r="G1240" t="str">
        <f>IFERROR(VLOOKUP('OB Format'!D1240,'Team Data'!C:AB,17,FALSE),"")</f>
        <v/>
      </c>
      <c r="H1240" t="str">
        <f>IFERROR(VLOOKUP(D1240,'Team Data'!C:AB,7,FALSE),"")</f>
        <v/>
      </c>
      <c r="I1240" t="str">
        <f>IFERROR(VLOOKUP(D1240,'Team Data'!C:AB,14,FALSE),"")</f>
        <v/>
      </c>
      <c r="J1240" t="str">
        <f>IFERROR(VLOOKUP(D1240,'Team Data'!C:AB,8,FALSE),"")</f>
        <v/>
      </c>
      <c r="K1240" t="str">
        <f>IFERROR(VLOOKUP(D1240,'Team Data'!C:AB,9,FALSE),"")</f>
        <v/>
      </c>
      <c r="L1240" t="str">
        <f>IFERROR(VLOOKUP(D1240,'Team Data'!C:AB,10,FALSE),"")</f>
        <v/>
      </c>
      <c r="M1240" t="str">
        <f t="shared" si="40"/>
        <v/>
      </c>
      <c r="N1240" t="str">
        <f>IFERROR(VLOOKUP(D1240,'Team Data'!C:AB,23,FALSE),"")</f>
        <v/>
      </c>
      <c r="O1240" t="str">
        <f>IFERROR(VLOOKUP(D1240,'Team Data'!C:AB,22,FALSE),"")</f>
        <v/>
      </c>
      <c r="P1240" t="str">
        <f t="shared" si="41"/>
        <v/>
      </c>
      <c r="Q1240" t="str">
        <f>IFERROR(VLOOKUP(D1240,'Team Data'!C:AB,15,FALSE),"")</f>
        <v/>
      </c>
      <c r="R1240" t="str">
        <f>IFERROR(VLOOKUP('OB Format'!D1240,'Team Data'!C:AB,24,FALSE),"")</f>
        <v/>
      </c>
      <c r="S1240" t="str">
        <f>IFERROR(VLOOKUP('OB Format'!D1240,'Team Data'!C:AC,25,FALSE),"")</f>
        <v/>
      </c>
    </row>
    <row r="1241" spans="5:19" x14ac:dyDescent="0.25">
      <c r="E1241" t="str">
        <f>IFERROR(VLOOKUP(D1241,'Team Data'!C:AB,4,FALSE),"")</f>
        <v/>
      </c>
      <c r="F1241" t="str">
        <f>IFERROR(VLOOKUP(D1241,'Team Data'!C:AB,5,FALSE),"")</f>
        <v/>
      </c>
      <c r="G1241" t="str">
        <f>IFERROR(VLOOKUP('OB Format'!D1241,'Team Data'!C:AB,17,FALSE),"")</f>
        <v/>
      </c>
      <c r="H1241" t="str">
        <f>IFERROR(VLOOKUP(D1241,'Team Data'!C:AB,7,FALSE),"")</f>
        <v/>
      </c>
      <c r="I1241" t="str">
        <f>IFERROR(VLOOKUP(D1241,'Team Data'!C:AB,14,FALSE),"")</f>
        <v/>
      </c>
      <c r="J1241" t="str">
        <f>IFERROR(VLOOKUP(D1241,'Team Data'!C:AB,8,FALSE),"")</f>
        <v/>
      </c>
      <c r="K1241" t="str">
        <f>IFERROR(VLOOKUP(D1241,'Team Data'!C:AB,9,FALSE),"")</f>
        <v/>
      </c>
      <c r="L1241" t="str">
        <f>IFERROR(VLOOKUP(D1241,'Team Data'!C:AB,10,FALSE),"")</f>
        <v/>
      </c>
      <c r="M1241" t="str">
        <f t="shared" si="40"/>
        <v/>
      </c>
      <c r="N1241" t="str">
        <f>IFERROR(VLOOKUP(D1241,'Team Data'!C:AB,23,FALSE),"")</f>
        <v/>
      </c>
      <c r="O1241" t="str">
        <f>IFERROR(VLOOKUP(D1241,'Team Data'!C:AB,22,FALSE),"")</f>
        <v/>
      </c>
      <c r="P1241" t="str">
        <f t="shared" si="41"/>
        <v/>
      </c>
      <c r="Q1241" t="str">
        <f>IFERROR(VLOOKUP(D1241,'Team Data'!C:AB,15,FALSE),"")</f>
        <v/>
      </c>
      <c r="R1241" t="str">
        <f>IFERROR(VLOOKUP('OB Format'!D1241,'Team Data'!C:AB,24,FALSE),"")</f>
        <v/>
      </c>
      <c r="S1241" t="str">
        <f>IFERROR(VLOOKUP('OB Format'!D1241,'Team Data'!C:AC,25,FALSE),"")</f>
        <v/>
      </c>
    </row>
    <row r="1242" spans="5:19" x14ac:dyDescent="0.25">
      <c r="E1242" t="str">
        <f>IFERROR(VLOOKUP(D1242,'Team Data'!C:AB,4,FALSE),"")</f>
        <v/>
      </c>
      <c r="F1242" t="str">
        <f>IFERROR(VLOOKUP(D1242,'Team Data'!C:AB,5,FALSE),"")</f>
        <v/>
      </c>
      <c r="G1242" t="str">
        <f>IFERROR(VLOOKUP('OB Format'!D1242,'Team Data'!C:AB,17,FALSE),"")</f>
        <v/>
      </c>
      <c r="H1242" t="str">
        <f>IFERROR(VLOOKUP(D1242,'Team Data'!C:AB,7,FALSE),"")</f>
        <v/>
      </c>
      <c r="I1242" t="str">
        <f>IFERROR(VLOOKUP(D1242,'Team Data'!C:AB,14,FALSE),"")</f>
        <v/>
      </c>
      <c r="J1242" t="str">
        <f>IFERROR(VLOOKUP(D1242,'Team Data'!C:AB,8,FALSE),"")</f>
        <v/>
      </c>
      <c r="K1242" t="str">
        <f>IFERROR(VLOOKUP(D1242,'Team Data'!C:AB,9,FALSE),"")</f>
        <v/>
      </c>
      <c r="L1242" t="str">
        <f>IFERROR(VLOOKUP(D1242,'Team Data'!C:AB,10,FALSE),"")</f>
        <v/>
      </c>
      <c r="M1242" t="str">
        <f t="shared" si="40"/>
        <v/>
      </c>
      <c r="N1242" t="str">
        <f>IFERROR(VLOOKUP(D1242,'Team Data'!C:AB,23,FALSE),"")</f>
        <v/>
      </c>
      <c r="O1242" t="str">
        <f>IFERROR(VLOOKUP(D1242,'Team Data'!C:AB,22,FALSE),"")</f>
        <v/>
      </c>
      <c r="P1242" t="str">
        <f t="shared" si="41"/>
        <v/>
      </c>
      <c r="Q1242" t="str">
        <f>IFERROR(VLOOKUP(D1242,'Team Data'!C:AB,15,FALSE),"")</f>
        <v/>
      </c>
      <c r="R1242" t="str">
        <f>IFERROR(VLOOKUP('OB Format'!D1242,'Team Data'!C:AB,24,FALSE),"")</f>
        <v/>
      </c>
      <c r="S1242" t="str">
        <f>IFERROR(VLOOKUP('OB Format'!D1242,'Team Data'!C:AC,25,FALSE),"")</f>
        <v/>
      </c>
    </row>
    <row r="1243" spans="5:19" x14ac:dyDescent="0.25">
      <c r="E1243" t="str">
        <f>IFERROR(VLOOKUP(D1243,'Team Data'!C:AB,4,FALSE),"")</f>
        <v/>
      </c>
      <c r="F1243" t="str">
        <f>IFERROR(VLOOKUP(D1243,'Team Data'!C:AB,5,FALSE),"")</f>
        <v/>
      </c>
      <c r="G1243" t="str">
        <f>IFERROR(VLOOKUP('OB Format'!D1243,'Team Data'!C:AB,17,FALSE),"")</f>
        <v/>
      </c>
      <c r="H1243" t="str">
        <f>IFERROR(VLOOKUP(D1243,'Team Data'!C:AB,7,FALSE),"")</f>
        <v/>
      </c>
      <c r="I1243" t="str">
        <f>IFERROR(VLOOKUP(D1243,'Team Data'!C:AB,14,FALSE),"")</f>
        <v/>
      </c>
      <c r="J1243" t="str">
        <f>IFERROR(VLOOKUP(D1243,'Team Data'!C:AB,8,FALSE),"")</f>
        <v/>
      </c>
      <c r="K1243" t="str">
        <f>IFERROR(VLOOKUP(D1243,'Team Data'!C:AB,9,FALSE),"")</f>
        <v/>
      </c>
      <c r="L1243" t="str">
        <f>IFERROR(VLOOKUP(D1243,'Team Data'!C:AB,10,FALSE),"")</f>
        <v/>
      </c>
      <c r="M1243" t="str">
        <f t="shared" si="40"/>
        <v/>
      </c>
      <c r="N1243" t="str">
        <f>IFERROR(VLOOKUP(D1243,'Team Data'!C:AB,23,FALSE),"")</f>
        <v/>
      </c>
      <c r="O1243" t="str">
        <f>IFERROR(VLOOKUP(D1243,'Team Data'!C:AB,22,FALSE),"")</f>
        <v/>
      </c>
      <c r="P1243" t="str">
        <f t="shared" si="41"/>
        <v/>
      </c>
      <c r="Q1243" t="str">
        <f>IFERROR(VLOOKUP(D1243,'Team Data'!C:AB,15,FALSE),"")</f>
        <v/>
      </c>
      <c r="R1243" t="str">
        <f>IFERROR(VLOOKUP('OB Format'!D1243,'Team Data'!C:AB,24,FALSE),"")</f>
        <v/>
      </c>
      <c r="S1243" t="str">
        <f>IFERROR(VLOOKUP('OB Format'!D1243,'Team Data'!C:AC,25,FALSE),"")</f>
        <v/>
      </c>
    </row>
    <row r="1244" spans="5:19" x14ac:dyDescent="0.25">
      <c r="E1244" t="str">
        <f>IFERROR(VLOOKUP(D1244,'Team Data'!C:AB,4,FALSE),"")</f>
        <v/>
      </c>
      <c r="F1244" t="str">
        <f>IFERROR(VLOOKUP(D1244,'Team Data'!C:AB,5,FALSE),"")</f>
        <v/>
      </c>
      <c r="G1244" t="str">
        <f>IFERROR(VLOOKUP('OB Format'!D1244,'Team Data'!C:AB,17,FALSE),"")</f>
        <v/>
      </c>
      <c r="H1244" t="str">
        <f>IFERROR(VLOOKUP(D1244,'Team Data'!C:AB,7,FALSE),"")</f>
        <v/>
      </c>
      <c r="I1244" t="str">
        <f>IFERROR(VLOOKUP(D1244,'Team Data'!C:AB,14,FALSE),"")</f>
        <v/>
      </c>
      <c r="J1244" t="str">
        <f>IFERROR(VLOOKUP(D1244,'Team Data'!C:AB,8,FALSE),"")</f>
        <v/>
      </c>
      <c r="K1244" t="str">
        <f>IFERROR(VLOOKUP(D1244,'Team Data'!C:AB,9,FALSE),"")</f>
        <v/>
      </c>
      <c r="L1244" t="str">
        <f>IFERROR(VLOOKUP(D1244,'Team Data'!C:AB,10,FALSE),"")</f>
        <v/>
      </c>
      <c r="M1244" t="str">
        <f t="shared" si="40"/>
        <v/>
      </c>
      <c r="N1244" t="str">
        <f>IFERROR(VLOOKUP(D1244,'Team Data'!C:AB,23,FALSE),"")</f>
        <v/>
      </c>
      <c r="O1244" t="str">
        <f>IFERROR(VLOOKUP(D1244,'Team Data'!C:AB,22,FALSE),"")</f>
        <v/>
      </c>
      <c r="P1244" t="str">
        <f t="shared" si="41"/>
        <v/>
      </c>
      <c r="Q1244" t="str">
        <f>IFERROR(VLOOKUP(D1244,'Team Data'!C:AB,15,FALSE),"")</f>
        <v/>
      </c>
      <c r="R1244" t="str">
        <f>IFERROR(VLOOKUP('OB Format'!D1244,'Team Data'!C:AB,24,FALSE),"")</f>
        <v/>
      </c>
      <c r="S1244" t="str">
        <f>IFERROR(VLOOKUP('OB Format'!D1244,'Team Data'!C:AC,25,FALSE),"")</f>
        <v/>
      </c>
    </row>
    <row r="1245" spans="5:19" x14ac:dyDescent="0.25">
      <c r="E1245" t="str">
        <f>IFERROR(VLOOKUP(D1245,'Team Data'!C:AB,4,FALSE),"")</f>
        <v/>
      </c>
      <c r="F1245" t="str">
        <f>IFERROR(VLOOKUP(D1245,'Team Data'!C:AB,5,FALSE),"")</f>
        <v/>
      </c>
      <c r="G1245" t="str">
        <f>IFERROR(VLOOKUP('OB Format'!D1245,'Team Data'!C:AB,17,FALSE),"")</f>
        <v/>
      </c>
      <c r="H1245" t="str">
        <f>IFERROR(VLOOKUP(D1245,'Team Data'!C:AB,7,FALSE),"")</f>
        <v/>
      </c>
      <c r="I1245" t="str">
        <f>IFERROR(VLOOKUP(D1245,'Team Data'!C:AB,14,FALSE),"")</f>
        <v/>
      </c>
      <c r="J1245" t="str">
        <f>IFERROR(VLOOKUP(D1245,'Team Data'!C:AB,8,FALSE),"")</f>
        <v/>
      </c>
      <c r="K1245" t="str">
        <f>IFERROR(VLOOKUP(D1245,'Team Data'!C:AB,9,FALSE),"")</f>
        <v/>
      </c>
      <c r="L1245" t="str">
        <f>IFERROR(VLOOKUP(D1245,'Team Data'!C:AB,10,FALSE),"")</f>
        <v/>
      </c>
      <c r="M1245" t="str">
        <f t="shared" si="40"/>
        <v/>
      </c>
      <c r="N1245" t="str">
        <f>IFERROR(VLOOKUP(D1245,'Team Data'!C:AB,23,FALSE),"")</f>
        <v/>
      </c>
      <c r="O1245" t="str">
        <f>IFERROR(VLOOKUP(D1245,'Team Data'!C:AB,22,FALSE),"")</f>
        <v/>
      </c>
      <c r="P1245" t="str">
        <f t="shared" si="41"/>
        <v/>
      </c>
      <c r="Q1245" t="str">
        <f>IFERROR(VLOOKUP(D1245,'Team Data'!C:AB,15,FALSE),"")</f>
        <v/>
      </c>
      <c r="R1245" t="str">
        <f>IFERROR(VLOOKUP('OB Format'!D1245,'Team Data'!C:AB,24,FALSE),"")</f>
        <v/>
      </c>
      <c r="S1245" t="str">
        <f>IFERROR(VLOOKUP('OB Format'!D1245,'Team Data'!C:AC,25,FALSE),"")</f>
        <v/>
      </c>
    </row>
    <row r="1246" spans="5:19" x14ac:dyDescent="0.25">
      <c r="E1246" t="str">
        <f>IFERROR(VLOOKUP(D1246,'Team Data'!C:AB,4,FALSE),"")</f>
        <v/>
      </c>
      <c r="F1246" t="str">
        <f>IFERROR(VLOOKUP(D1246,'Team Data'!C:AB,5,FALSE),"")</f>
        <v/>
      </c>
      <c r="G1246" t="str">
        <f>IFERROR(VLOOKUP('OB Format'!D1246,'Team Data'!C:AB,17,FALSE),"")</f>
        <v/>
      </c>
      <c r="H1246" t="str">
        <f>IFERROR(VLOOKUP(D1246,'Team Data'!C:AB,7,FALSE),"")</f>
        <v/>
      </c>
      <c r="I1246" t="str">
        <f>IFERROR(VLOOKUP(D1246,'Team Data'!C:AB,14,FALSE),"")</f>
        <v/>
      </c>
      <c r="J1246" t="str">
        <f>IFERROR(VLOOKUP(D1246,'Team Data'!C:AB,8,FALSE),"")</f>
        <v/>
      </c>
      <c r="K1246" t="str">
        <f>IFERROR(VLOOKUP(D1246,'Team Data'!C:AB,9,FALSE),"")</f>
        <v/>
      </c>
      <c r="L1246" t="str">
        <f>IFERROR(VLOOKUP(D1246,'Team Data'!C:AB,10,FALSE),"")</f>
        <v/>
      </c>
      <c r="M1246" t="str">
        <f t="shared" si="40"/>
        <v/>
      </c>
      <c r="N1246" t="str">
        <f>IFERROR(VLOOKUP(D1246,'Team Data'!C:AB,23,FALSE),"")</f>
        <v/>
      </c>
      <c r="O1246" t="str">
        <f>IFERROR(VLOOKUP(D1246,'Team Data'!C:AB,22,FALSE),"")</f>
        <v/>
      </c>
      <c r="P1246" t="str">
        <f t="shared" si="41"/>
        <v/>
      </c>
      <c r="Q1246" t="str">
        <f>IFERROR(VLOOKUP(D1246,'Team Data'!C:AB,15,FALSE),"")</f>
        <v/>
      </c>
      <c r="R1246" t="str">
        <f>IFERROR(VLOOKUP('OB Format'!D1246,'Team Data'!C:AB,24,FALSE),"")</f>
        <v/>
      </c>
      <c r="S1246" t="str">
        <f>IFERROR(VLOOKUP('OB Format'!D1246,'Team Data'!C:AC,25,FALSE),"")</f>
        <v/>
      </c>
    </row>
    <row r="1247" spans="5:19" x14ac:dyDescent="0.25">
      <c r="E1247" t="str">
        <f>IFERROR(VLOOKUP(D1247,'Team Data'!C:AB,4,FALSE),"")</f>
        <v/>
      </c>
      <c r="F1247" t="str">
        <f>IFERROR(VLOOKUP(D1247,'Team Data'!C:AB,5,FALSE),"")</f>
        <v/>
      </c>
      <c r="G1247" t="str">
        <f>IFERROR(VLOOKUP('OB Format'!D1247,'Team Data'!C:AB,17,FALSE),"")</f>
        <v/>
      </c>
      <c r="H1247" t="str">
        <f>IFERROR(VLOOKUP(D1247,'Team Data'!C:AB,7,FALSE),"")</f>
        <v/>
      </c>
      <c r="I1247" t="str">
        <f>IFERROR(VLOOKUP(D1247,'Team Data'!C:AB,14,FALSE),"")</f>
        <v/>
      </c>
      <c r="J1247" t="str">
        <f>IFERROR(VLOOKUP(D1247,'Team Data'!C:AB,8,FALSE),"")</f>
        <v/>
      </c>
      <c r="K1247" t="str">
        <f>IFERROR(VLOOKUP(D1247,'Team Data'!C:AB,9,FALSE),"")</f>
        <v/>
      </c>
      <c r="L1247" t="str">
        <f>IFERROR(VLOOKUP(D1247,'Team Data'!C:AB,10,FALSE),"")</f>
        <v/>
      </c>
      <c r="M1247" t="str">
        <f t="shared" si="40"/>
        <v/>
      </c>
      <c r="N1247" t="str">
        <f>IFERROR(VLOOKUP(D1247,'Team Data'!C:AB,23,FALSE),"")</f>
        <v/>
      </c>
      <c r="O1247" t="str">
        <f>IFERROR(VLOOKUP(D1247,'Team Data'!C:AB,22,FALSE),"")</f>
        <v/>
      </c>
      <c r="P1247" t="str">
        <f t="shared" si="41"/>
        <v/>
      </c>
      <c r="Q1247" t="str">
        <f>IFERROR(VLOOKUP(D1247,'Team Data'!C:AB,15,FALSE),"")</f>
        <v/>
      </c>
      <c r="R1247" t="str">
        <f>IFERROR(VLOOKUP('OB Format'!D1247,'Team Data'!C:AB,24,FALSE),"")</f>
        <v/>
      </c>
      <c r="S1247" t="str">
        <f>IFERROR(VLOOKUP('OB Format'!D1247,'Team Data'!C:AC,25,FALSE),"")</f>
        <v/>
      </c>
    </row>
    <row r="1248" spans="5:19" x14ac:dyDescent="0.25">
      <c r="E1248" t="str">
        <f>IFERROR(VLOOKUP(D1248,'Team Data'!C:AB,4,FALSE),"")</f>
        <v/>
      </c>
      <c r="F1248" t="str">
        <f>IFERROR(VLOOKUP(D1248,'Team Data'!C:AB,5,FALSE),"")</f>
        <v/>
      </c>
      <c r="G1248" t="str">
        <f>IFERROR(VLOOKUP('OB Format'!D1248,'Team Data'!C:AB,17,FALSE),"")</f>
        <v/>
      </c>
      <c r="H1248" t="str">
        <f>IFERROR(VLOOKUP(D1248,'Team Data'!C:AB,7,FALSE),"")</f>
        <v/>
      </c>
      <c r="I1248" t="str">
        <f>IFERROR(VLOOKUP(D1248,'Team Data'!C:AB,14,FALSE),"")</f>
        <v/>
      </c>
      <c r="J1248" t="str">
        <f>IFERROR(VLOOKUP(D1248,'Team Data'!C:AB,8,FALSE),"")</f>
        <v/>
      </c>
      <c r="K1248" t="str">
        <f>IFERROR(VLOOKUP(D1248,'Team Data'!C:AB,9,FALSE),"")</f>
        <v/>
      </c>
      <c r="L1248" t="str">
        <f>IFERROR(VLOOKUP(D1248,'Team Data'!C:AB,10,FALSE),"")</f>
        <v/>
      </c>
      <c r="M1248" t="str">
        <f t="shared" si="40"/>
        <v/>
      </c>
      <c r="N1248" t="str">
        <f>IFERROR(VLOOKUP(D1248,'Team Data'!C:AB,23,FALSE),"")</f>
        <v/>
      </c>
      <c r="O1248" t="str">
        <f>IFERROR(VLOOKUP(D1248,'Team Data'!C:AB,22,FALSE),"")</f>
        <v/>
      </c>
      <c r="P1248" t="str">
        <f t="shared" si="41"/>
        <v/>
      </c>
      <c r="Q1248" t="str">
        <f>IFERROR(VLOOKUP(D1248,'Team Data'!C:AB,15,FALSE),"")</f>
        <v/>
      </c>
      <c r="R1248" t="str">
        <f>IFERROR(VLOOKUP('OB Format'!D1248,'Team Data'!C:AB,24,FALSE),"")</f>
        <v/>
      </c>
      <c r="S1248" t="str">
        <f>IFERROR(VLOOKUP('OB Format'!D1248,'Team Data'!C:AC,25,FALSE),"")</f>
        <v/>
      </c>
    </row>
    <row r="1249" spans="5:19" x14ac:dyDescent="0.25">
      <c r="E1249" t="str">
        <f>IFERROR(VLOOKUP(D1249,'Team Data'!C:AB,4,FALSE),"")</f>
        <v/>
      </c>
      <c r="F1249" t="str">
        <f>IFERROR(VLOOKUP(D1249,'Team Data'!C:AB,5,FALSE),"")</f>
        <v/>
      </c>
      <c r="G1249" t="str">
        <f>IFERROR(VLOOKUP('OB Format'!D1249,'Team Data'!C:AB,17,FALSE),"")</f>
        <v/>
      </c>
      <c r="H1249" t="str">
        <f>IFERROR(VLOOKUP(D1249,'Team Data'!C:AB,7,FALSE),"")</f>
        <v/>
      </c>
      <c r="I1249" t="str">
        <f>IFERROR(VLOOKUP(D1249,'Team Data'!C:AB,14,FALSE),"")</f>
        <v/>
      </c>
      <c r="J1249" t="str">
        <f>IFERROR(VLOOKUP(D1249,'Team Data'!C:AB,8,FALSE),"")</f>
        <v/>
      </c>
      <c r="K1249" t="str">
        <f>IFERROR(VLOOKUP(D1249,'Team Data'!C:AB,9,FALSE),"")</f>
        <v/>
      </c>
      <c r="L1249" t="str">
        <f>IFERROR(VLOOKUP(D1249,'Team Data'!C:AB,10,FALSE),"")</f>
        <v/>
      </c>
      <c r="M1249" t="str">
        <f t="shared" si="40"/>
        <v/>
      </c>
      <c r="N1249" t="str">
        <f>IFERROR(VLOOKUP(D1249,'Team Data'!C:AB,23,FALSE),"")</f>
        <v/>
      </c>
      <c r="O1249" t="str">
        <f>IFERROR(VLOOKUP(D1249,'Team Data'!C:AB,22,FALSE),"")</f>
        <v/>
      </c>
      <c r="P1249" t="str">
        <f t="shared" si="41"/>
        <v/>
      </c>
      <c r="Q1249" t="str">
        <f>IFERROR(VLOOKUP(D1249,'Team Data'!C:AB,15,FALSE),"")</f>
        <v/>
      </c>
      <c r="R1249" t="str">
        <f>IFERROR(VLOOKUP('OB Format'!D1249,'Team Data'!C:AB,24,FALSE),"")</f>
        <v/>
      </c>
      <c r="S1249" t="str">
        <f>IFERROR(VLOOKUP('OB Format'!D1249,'Team Data'!C:AC,25,FALSE),"")</f>
        <v/>
      </c>
    </row>
    <row r="1250" spans="5:19" x14ac:dyDescent="0.25">
      <c r="E1250" t="str">
        <f>IFERROR(VLOOKUP(D1250,'Team Data'!C:AB,4,FALSE),"")</f>
        <v/>
      </c>
      <c r="F1250" t="str">
        <f>IFERROR(VLOOKUP(D1250,'Team Data'!C:AB,5,FALSE),"")</f>
        <v/>
      </c>
      <c r="G1250" t="str">
        <f>IFERROR(VLOOKUP('OB Format'!D1250,'Team Data'!C:AB,17,FALSE),"")</f>
        <v/>
      </c>
      <c r="H1250" t="str">
        <f>IFERROR(VLOOKUP(D1250,'Team Data'!C:AB,7,FALSE),"")</f>
        <v/>
      </c>
      <c r="I1250" t="str">
        <f>IFERROR(VLOOKUP(D1250,'Team Data'!C:AB,14,FALSE),"")</f>
        <v/>
      </c>
      <c r="J1250" t="str">
        <f>IFERROR(VLOOKUP(D1250,'Team Data'!C:AB,8,FALSE),"")</f>
        <v/>
      </c>
      <c r="K1250" t="str">
        <f>IFERROR(VLOOKUP(D1250,'Team Data'!C:AB,9,FALSE),"")</f>
        <v/>
      </c>
      <c r="L1250" t="str">
        <f>IFERROR(VLOOKUP(D1250,'Team Data'!C:AB,10,FALSE),"")</f>
        <v/>
      </c>
      <c r="M1250" t="str">
        <f t="shared" si="40"/>
        <v/>
      </c>
      <c r="N1250" t="str">
        <f>IFERROR(VLOOKUP(D1250,'Team Data'!C:AB,23,FALSE),"")</f>
        <v/>
      </c>
      <c r="O1250" t="str">
        <f>IFERROR(VLOOKUP(D1250,'Team Data'!C:AB,22,FALSE),"")</f>
        <v/>
      </c>
      <c r="P1250" t="str">
        <f t="shared" si="41"/>
        <v/>
      </c>
      <c r="Q1250" t="str">
        <f>IFERROR(VLOOKUP(D1250,'Team Data'!C:AB,15,FALSE),"")</f>
        <v/>
      </c>
      <c r="R1250" t="str">
        <f>IFERROR(VLOOKUP('OB Format'!D1250,'Team Data'!C:AB,24,FALSE),"")</f>
        <v/>
      </c>
      <c r="S1250" t="str">
        <f>IFERROR(VLOOKUP('OB Format'!D1250,'Team Data'!C:AC,25,FALSE),"")</f>
        <v/>
      </c>
    </row>
    <row r="1251" spans="5:19" x14ac:dyDescent="0.25">
      <c r="E1251" t="str">
        <f>IFERROR(VLOOKUP(D1251,'Team Data'!C:AB,4,FALSE),"")</f>
        <v/>
      </c>
      <c r="F1251" t="str">
        <f>IFERROR(VLOOKUP(D1251,'Team Data'!C:AB,5,FALSE),"")</f>
        <v/>
      </c>
      <c r="G1251" t="str">
        <f>IFERROR(VLOOKUP('OB Format'!D1251,'Team Data'!C:AB,17,FALSE),"")</f>
        <v/>
      </c>
      <c r="H1251" t="str">
        <f>IFERROR(VLOOKUP(D1251,'Team Data'!C:AB,7,FALSE),"")</f>
        <v/>
      </c>
      <c r="I1251" t="str">
        <f>IFERROR(VLOOKUP(D1251,'Team Data'!C:AB,14,FALSE),"")</f>
        <v/>
      </c>
      <c r="J1251" t="str">
        <f>IFERROR(VLOOKUP(D1251,'Team Data'!C:AB,8,FALSE),"")</f>
        <v/>
      </c>
      <c r="K1251" t="str">
        <f>IFERROR(VLOOKUP(D1251,'Team Data'!C:AB,9,FALSE),"")</f>
        <v/>
      </c>
      <c r="L1251" t="str">
        <f>IFERROR(VLOOKUP(D1251,'Team Data'!C:AB,10,FALSE),"")</f>
        <v/>
      </c>
      <c r="M1251" t="str">
        <f t="shared" si="40"/>
        <v/>
      </c>
      <c r="N1251" t="str">
        <f>IFERROR(VLOOKUP(D1251,'Team Data'!C:AB,23,FALSE),"")</f>
        <v/>
      </c>
      <c r="O1251" t="str">
        <f>IFERROR(VLOOKUP(D1251,'Team Data'!C:AB,22,FALSE),"")</f>
        <v/>
      </c>
      <c r="P1251" t="str">
        <f t="shared" si="41"/>
        <v/>
      </c>
      <c r="Q1251" t="str">
        <f>IFERROR(VLOOKUP(D1251,'Team Data'!C:AB,15,FALSE),"")</f>
        <v/>
      </c>
      <c r="R1251" t="str">
        <f>IFERROR(VLOOKUP('OB Format'!D1251,'Team Data'!C:AB,24,FALSE),"")</f>
        <v/>
      </c>
      <c r="S1251" t="str">
        <f>IFERROR(VLOOKUP('OB Format'!D1251,'Team Data'!C:AC,25,FALSE),"")</f>
        <v/>
      </c>
    </row>
    <row r="1252" spans="5:19" x14ac:dyDescent="0.25">
      <c r="E1252" t="str">
        <f>IFERROR(VLOOKUP(D1252,'Team Data'!C:AB,4,FALSE),"")</f>
        <v/>
      </c>
      <c r="F1252" t="str">
        <f>IFERROR(VLOOKUP(D1252,'Team Data'!C:AB,5,FALSE),"")</f>
        <v/>
      </c>
      <c r="G1252" t="str">
        <f>IFERROR(VLOOKUP('OB Format'!D1252,'Team Data'!C:AB,17,FALSE),"")</f>
        <v/>
      </c>
      <c r="H1252" t="str">
        <f>IFERROR(VLOOKUP(D1252,'Team Data'!C:AB,7,FALSE),"")</f>
        <v/>
      </c>
      <c r="I1252" t="str">
        <f>IFERROR(VLOOKUP(D1252,'Team Data'!C:AB,14,FALSE),"")</f>
        <v/>
      </c>
      <c r="J1252" t="str">
        <f>IFERROR(VLOOKUP(D1252,'Team Data'!C:AB,8,FALSE),"")</f>
        <v/>
      </c>
      <c r="K1252" t="str">
        <f>IFERROR(VLOOKUP(D1252,'Team Data'!C:AB,9,FALSE),"")</f>
        <v/>
      </c>
      <c r="L1252" t="str">
        <f>IFERROR(VLOOKUP(D1252,'Team Data'!C:AB,10,FALSE),"")</f>
        <v/>
      </c>
      <c r="M1252" t="str">
        <f t="shared" si="40"/>
        <v/>
      </c>
      <c r="N1252" t="str">
        <f>IFERROR(VLOOKUP(D1252,'Team Data'!C:AB,23,FALSE),"")</f>
        <v/>
      </c>
      <c r="O1252" t="str">
        <f>IFERROR(VLOOKUP(D1252,'Team Data'!C:AB,22,FALSE),"")</f>
        <v/>
      </c>
      <c r="P1252" t="str">
        <f t="shared" si="41"/>
        <v/>
      </c>
      <c r="Q1252" t="str">
        <f>IFERROR(VLOOKUP(D1252,'Team Data'!C:AB,15,FALSE),"")</f>
        <v/>
      </c>
      <c r="R1252" t="str">
        <f>IFERROR(VLOOKUP('OB Format'!D1252,'Team Data'!C:AB,24,FALSE),"")</f>
        <v/>
      </c>
      <c r="S1252" t="str">
        <f>IFERROR(VLOOKUP('OB Format'!D1252,'Team Data'!C:AC,25,FALSE),"")</f>
        <v/>
      </c>
    </row>
    <row r="1253" spans="5:19" x14ac:dyDescent="0.25">
      <c r="E1253" t="str">
        <f>IFERROR(VLOOKUP(D1253,'Team Data'!C:AB,4,FALSE),"")</f>
        <v/>
      </c>
      <c r="F1253" t="str">
        <f>IFERROR(VLOOKUP(D1253,'Team Data'!C:AB,5,FALSE),"")</f>
        <v/>
      </c>
      <c r="G1253" t="str">
        <f>IFERROR(VLOOKUP('OB Format'!D1253,'Team Data'!C:AB,17,FALSE),"")</f>
        <v/>
      </c>
      <c r="H1253" t="str">
        <f>IFERROR(VLOOKUP(D1253,'Team Data'!C:AB,7,FALSE),"")</f>
        <v/>
      </c>
      <c r="I1253" t="str">
        <f>IFERROR(VLOOKUP(D1253,'Team Data'!C:AB,14,FALSE),"")</f>
        <v/>
      </c>
      <c r="J1253" t="str">
        <f>IFERROR(VLOOKUP(D1253,'Team Data'!C:AB,8,FALSE),"")</f>
        <v/>
      </c>
      <c r="K1253" t="str">
        <f>IFERROR(VLOOKUP(D1253,'Team Data'!C:AB,9,FALSE),"")</f>
        <v/>
      </c>
      <c r="L1253" t="str">
        <f>IFERROR(VLOOKUP(D1253,'Team Data'!C:AB,10,FALSE),"")</f>
        <v/>
      </c>
      <c r="M1253" t="str">
        <f t="shared" si="40"/>
        <v/>
      </c>
      <c r="N1253" t="str">
        <f>IFERROR(VLOOKUP(D1253,'Team Data'!C:AB,23,FALSE),"")</f>
        <v/>
      </c>
      <c r="O1253" t="str">
        <f>IFERROR(VLOOKUP(D1253,'Team Data'!C:AB,22,FALSE),"")</f>
        <v/>
      </c>
      <c r="P1253" t="str">
        <f t="shared" si="41"/>
        <v/>
      </c>
      <c r="Q1253" t="str">
        <f>IFERROR(VLOOKUP(D1253,'Team Data'!C:AB,15,FALSE),"")</f>
        <v/>
      </c>
      <c r="R1253" t="str">
        <f>IFERROR(VLOOKUP('OB Format'!D1253,'Team Data'!C:AB,24,FALSE),"")</f>
        <v/>
      </c>
      <c r="S1253" t="str">
        <f>IFERROR(VLOOKUP('OB Format'!D1253,'Team Data'!C:AC,25,FALSE),"")</f>
        <v/>
      </c>
    </row>
    <row r="1254" spans="5:19" x14ac:dyDescent="0.25">
      <c r="E1254" t="str">
        <f>IFERROR(VLOOKUP(D1254,'Team Data'!C:AB,4,FALSE),"")</f>
        <v/>
      </c>
      <c r="F1254" t="str">
        <f>IFERROR(VLOOKUP(D1254,'Team Data'!C:AB,5,FALSE),"")</f>
        <v/>
      </c>
      <c r="G1254" t="str">
        <f>IFERROR(VLOOKUP('OB Format'!D1254,'Team Data'!C:AB,17,FALSE),"")</f>
        <v/>
      </c>
      <c r="H1254" t="str">
        <f>IFERROR(VLOOKUP(D1254,'Team Data'!C:AB,7,FALSE),"")</f>
        <v/>
      </c>
      <c r="I1254" t="str">
        <f>IFERROR(VLOOKUP(D1254,'Team Data'!C:AB,14,FALSE),"")</f>
        <v/>
      </c>
      <c r="J1254" t="str">
        <f>IFERROR(VLOOKUP(D1254,'Team Data'!C:AB,8,FALSE),"")</f>
        <v/>
      </c>
      <c r="K1254" t="str">
        <f>IFERROR(VLOOKUP(D1254,'Team Data'!C:AB,9,FALSE),"")</f>
        <v/>
      </c>
      <c r="L1254" t="str">
        <f>IFERROR(VLOOKUP(D1254,'Team Data'!C:AB,10,FALSE),"")</f>
        <v/>
      </c>
      <c r="M1254" t="str">
        <f t="shared" si="40"/>
        <v/>
      </c>
      <c r="N1254" t="str">
        <f>IFERROR(VLOOKUP(D1254,'Team Data'!C:AB,23,FALSE),"")</f>
        <v/>
      </c>
      <c r="O1254" t="str">
        <f>IFERROR(VLOOKUP(D1254,'Team Data'!C:AB,22,FALSE),"")</f>
        <v/>
      </c>
      <c r="P1254" t="str">
        <f t="shared" si="41"/>
        <v/>
      </c>
      <c r="Q1254" t="str">
        <f>IFERROR(VLOOKUP(D1254,'Team Data'!C:AB,15,FALSE),"")</f>
        <v/>
      </c>
      <c r="R1254" t="str">
        <f>IFERROR(VLOOKUP('OB Format'!D1254,'Team Data'!C:AB,24,FALSE),"")</f>
        <v/>
      </c>
      <c r="S1254" t="str">
        <f>IFERROR(VLOOKUP('OB Format'!D1254,'Team Data'!C:AC,25,FALSE),"")</f>
        <v/>
      </c>
    </row>
    <row r="1255" spans="5:19" x14ac:dyDescent="0.25">
      <c r="E1255" t="str">
        <f>IFERROR(VLOOKUP(D1255,'Team Data'!C:AB,4,FALSE),"")</f>
        <v/>
      </c>
      <c r="F1255" t="str">
        <f>IFERROR(VLOOKUP(D1255,'Team Data'!C:AB,5,FALSE),"")</f>
        <v/>
      </c>
      <c r="G1255" t="str">
        <f>IFERROR(VLOOKUP('OB Format'!D1255,'Team Data'!C:AB,17,FALSE),"")</f>
        <v/>
      </c>
      <c r="H1255" t="str">
        <f>IFERROR(VLOOKUP(D1255,'Team Data'!C:AB,7,FALSE),"")</f>
        <v/>
      </c>
      <c r="I1255" t="str">
        <f>IFERROR(VLOOKUP(D1255,'Team Data'!C:AB,14,FALSE),"")</f>
        <v/>
      </c>
      <c r="J1255" t="str">
        <f>IFERROR(VLOOKUP(D1255,'Team Data'!C:AB,8,FALSE),"")</f>
        <v/>
      </c>
      <c r="K1255" t="str">
        <f>IFERROR(VLOOKUP(D1255,'Team Data'!C:AB,9,FALSE),"")</f>
        <v/>
      </c>
      <c r="L1255" t="str">
        <f>IFERROR(VLOOKUP(D1255,'Team Data'!C:AB,10,FALSE),"")</f>
        <v/>
      </c>
      <c r="M1255" t="str">
        <f t="shared" si="40"/>
        <v/>
      </c>
      <c r="N1255" t="str">
        <f>IFERROR(VLOOKUP(D1255,'Team Data'!C:AB,23,FALSE),"")</f>
        <v/>
      </c>
      <c r="O1255" t="str">
        <f>IFERROR(VLOOKUP(D1255,'Team Data'!C:AB,22,FALSE),"")</f>
        <v/>
      </c>
      <c r="P1255" t="str">
        <f t="shared" si="41"/>
        <v/>
      </c>
      <c r="Q1255" t="str">
        <f>IFERROR(VLOOKUP(D1255,'Team Data'!C:AB,15,FALSE),"")</f>
        <v/>
      </c>
      <c r="R1255" t="str">
        <f>IFERROR(VLOOKUP('OB Format'!D1255,'Team Data'!C:AB,24,FALSE),"")</f>
        <v/>
      </c>
      <c r="S1255" t="str">
        <f>IFERROR(VLOOKUP('OB Format'!D1255,'Team Data'!C:AC,25,FALSE),"")</f>
        <v/>
      </c>
    </row>
    <row r="1256" spans="5:19" x14ac:dyDescent="0.25">
      <c r="E1256" t="str">
        <f>IFERROR(VLOOKUP(D1256,'Team Data'!C:AB,4,FALSE),"")</f>
        <v/>
      </c>
      <c r="F1256" t="str">
        <f>IFERROR(VLOOKUP(D1256,'Team Data'!C:AB,5,FALSE),"")</f>
        <v/>
      </c>
      <c r="G1256" t="str">
        <f>IFERROR(VLOOKUP('OB Format'!D1256,'Team Data'!C:AB,17,FALSE),"")</f>
        <v/>
      </c>
      <c r="H1256" t="str">
        <f>IFERROR(VLOOKUP(D1256,'Team Data'!C:AB,7,FALSE),"")</f>
        <v/>
      </c>
      <c r="I1256" t="str">
        <f>IFERROR(VLOOKUP(D1256,'Team Data'!C:AB,14,FALSE),"")</f>
        <v/>
      </c>
      <c r="J1256" t="str">
        <f>IFERROR(VLOOKUP(D1256,'Team Data'!C:AB,8,FALSE),"")</f>
        <v/>
      </c>
      <c r="K1256" t="str">
        <f>IFERROR(VLOOKUP(D1256,'Team Data'!C:AB,9,FALSE),"")</f>
        <v/>
      </c>
      <c r="L1256" t="str">
        <f>IFERROR(VLOOKUP(D1256,'Team Data'!C:AB,10,FALSE),"")</f>
        <v/>
      </c>
      <c r="M1256" t="str">
        <f t="shared" si="40"/>
        <v/>
      </c>
      <c r="N1256" t="str">
        <f>IFERROR(VLOOKUP(D1256,'Team Data'!C:AB,23,FALSE),"")</f>
        <v/>
      </c>
      <c r="O1256" t="str">
        <f>IFERROR(VLOOKUP(D1256,'Team Data'!C:AB,22,FALSE),"")</f>
        <v/>
      </c>
      <c r="P1256" t="str">
        <f t="shared" si="41"/>
        <v/>
      </c>
      <c r="Q1256" t="str">
        <f>IFERROR(VLOOKUP(D1256,'Team Data'!C:AB,15,FALSE),"")</f>
        <v/>
      </c>
      <c r="R1256" t="str">
        <f>IFERROR(VLOOKUP('OB Format'!D1256,'Team Data'!C:AB,24,FALSE),"")</f>
        <v/>
      </c>
      <c r="S1256" t="str">
        <f>IFERROR(VLOOKUP('OB Format'!D1256,'Team Data'!C:AC,25,FALSE),"")</f>
        <v/>
      </c>
    </row>
    <row r="1257" spans="5:19" x14ac:dyDescent="0.25">
      <c r="E1257" t="str">
        <f>IFERROR(VLOOKUP(D1257,'Team Data'!C:AB,4,FALSE),"")</f>
        <v/>
      </c>
      <c r="F1257" t="str">
        <f>IFERROR(VLOOKUP(D1257,'Team Data'!C:AB,5,FALSE),"")</f>
        <v/>
      </c>
      <c r="G1257" t="str">
        <f>IFERROR(VLOOKUP('OB Format'!D1257,'Team Data'!C:AB,17,FALSE),"")</f>
        <v/>
      </c>
      <c r="H1257" t="str">
        <f>IFERROR(VLOOKUP(D1257,'Team Data'!C:AB,7,FALSE),"")</f>
        <v/>
      </c>
      <c r="I1257" t="str">
        <f>IFERROR(VLOOKUP(D1257,'Team Data'!C:AB,14,FALSE),"")</f>
        <v/>
      </c>
      <c r="J1257" t="str">
        <f>IFERROR(VLOOKUP(D1257,'Team Data'!C:AB,8,FALSE),"")</f>
        <v/>
      </c>
      <c r="K1257" t="str">
        <f>IFERROR(VLOOKUP(D1257,'Team Data'!C:AB,9,FALSE),"")</f>
        <v/>
      </c>
      <c r="L1257" t="str">
        <f>IFERROR(VLOOKUP(D1257,'Team Data'!C:AB,10,FALSE),"")</f>
        <v/>
      </c>
      <c r="M1257" t="str">
        <f t="shared" si="40"/>
        <v/>
      </c>
      <c r="N1257" t="str">
        <f>IFERROR(VLOOKUP(D1257,'Team Data'!C:AB,23,FALSE),"")</f>
        <v/>
      </c>
      <c r="O1257" t="str">
        <f>IFERROR(VLOOKUP(D1257,'Team Data'!C:AB,22,FALSE),"")</f>
        <v/>
      </c>
      <c r="P1257" t="str">
        <f t="shared" si="41"/>
        <v/>
      </c>
      <c r="Q1257" t="str">
        <f>IFERROR(VLOOKUP(D1257,'Team Data'!C:AB,15,FALSE),"")</f>
        <v/>
      </c>
      <c r="R1257" t="str">
        <f>IFERROR(VLOOKUP('OB Format'!D1257,'Team Data'!C:AB,24,FALSE),"")</f>
        <v/>
      </c>
      <c r="S1257" t="str">
        <f>IFERROR(VLOOKUP('OB Format'!D1257,'Team Data'!C:AC,25,FALSE),"")</f>
        <v/>
      </c>
    </row>
    <row r="1258" spans="5:19" x14ac:dyDescent="0.25">
      <c r="E1258" t="str">
        <f>IFERROR(VLOOKUP(D1258,'Team Data'!C:AB,4,FALSE),"")</f>
        <v/>
      </c>
      <c r="F1258" t="str">
        <f>IFERROR(VLOOKUP(D1258,'Team Data'!C:AB,5,FALSE),"")</f>
        <v/>
      </c>
      <c r="G1258" t="str">
        <f>IFERROR(VLOOKUP('OB Format'!D1258,'Team Data'!C:AB,17,FALSE),"")</f>
        <v/>
      </c>
      <c r="H1258" t="str">
        <f>IFERROR(VLOOKUP(D1258,'Team Data'!C:AB,7,FALSE),"")</f>
        <v/>
      </c>
      <c r="I1258" t="str">
        <f>IFERROR(VLOOKUP(D1258,'Team Data'!C:AB,14,FALSE),"")</f>
        <v/>
      </c>
      <c r="J1258" t="str">
        <f>IFERROR(VLOOKUP(D1258,'Team Data'!C:AB,8,FALSE),"")</f>
        <v/>
      </c>
      <c r="K1258" t="str">
        <f>IFERROR(VLOOKUP(D1258,'Team Data'!C:AB,9,FALSE),"")</f>
        <v/>
      </c>
      <c r="L1258" t="str">
        <f>IFERROR(VLOOKUP(D1258,'Team Data'!C:AB,10,FALSE),"")</f>
        <v/>
      </c>
      <c r="M1258" t="str">
        <f t="shared" si="40"/>
        <v/>
      </c>
      <c r="N1258" t="str">
        <f>IFERROR(VLOOKUP(D1258,'Team Data'!C:AB,23,FALSE),"")</f>
        <v/>
      </c>
      <c r="O1258" t="str">
        <f>IFERROR(VLOOKUP(D1258,'Team Data'!C:AB,22,FALSE),"")</f>
        <v/>
      </c>
      <c r="P1258" t="str">
        <f t="shared" si="41"/>
        <v/>
      </c>
      <c r="Q1258" t="str">
        <f>IFERROR(VLOOKUP(D1258,'Team Data'!C:AB,15,FALSE),"")</f>
        <v/>
      </c>
      <c r="R1258" t="str">
        <f>IFERROR(VLOOKUP('OB Format'!D1258,'Team Data'!C:AB,24,FALSE),"")</f>
        <v/>
      </c>
      <c r="S1258" t="str">
        <f>IFERROR(VLOOKUP('OB Format'!D1258,'Team Data'!C:AC,25,FALSE),"")</f>
        <v/>
      </c>
    </row>
    <row r="1259" spans="5:19" x14ac:dyDescent="0.25">
      <c r="E1259" t="str">
        <f>IFERROR(VLOOKUP(D1259,'Team Data'!C:AB,4,FALSE),"")</f>
        <v/>
      </c>
      <c r="F1259" t="str">
        <f>IFERROR(VLOOKUP(D1259,'Team Data'!C:AB,5,FALSE),"")</f>
        <v/>
      </c>
      <c r="G1259" t="str">
        <f>IFERROR(VLOOKUP('OB Format'!D1259,'Team Data'!C:AB,17,FALSE),"")</f>
        <v/>
      </c>
      <c r="H1259" t="str">
        <f>IFERROR(VLOOKUP(D1259,'Team Data'!C:AB,7,FALSE),"")</f>
        <v/>
      </c>
      <c r="I1259" t="str">
        <f>IFERROR(VLOOKUP(D1259,'Team Data'!C:AB,14,FALSE),"")</f>
        <v/>
      </c>
      <c r="J1259" t="str">
        <f>IFERROR(VLOOKUP(D1259,'Team Data'!C:AB,8,FALSE),"")</f>
        <v/>
      </c>
      <c r="K1259" t="str">
        <f>IFERROR(VLOOKUP(D1259,'Team Data'!C:AB,9,FALSE),"")</f>
        <v/>
      </c>
      <c r="L1259" t="str">
        <f>IFERROR(VLOOKUP(D1259,'Team Data'!C:AB,10,FALSE),"")</f>
        <v/>
      </c>
      <c r="M1259" t="str">
        <f t="shared" si="40"/>
        <v/>
      </c>
      <c r="N1259" t="str">
        <f>IFERROR(VLOOKUP(D1259,'Team Data'!C:AB,23,FALSE),"")</f>
        <v/>
      </c>
      <c r="O1259" t="str">
        <f>IFERROR(VLOOKUP(D1259,'Team Data'!C:AB,22,FALSE),"")</f>
        <v/>
      </c>
      <c r="P1259" t="str">
        <f t="shared" si="41"/>
        <v/>
      </c>
      <c r="Q1259" t="str">
        <f>IFERROR(VLOOKUP(D1259,'Team Data'!C:AB,15,FALSE),"")</f>
        <v/>
      </c>
      <c r="R1259" t="str">
        <f>IFERROR(VLOOKUP('OB Format'!D1259,'Team Data'!C:AB,24,FALSE),"")</f>
        <v/>
      </c>
      <c r="S1259" t="str">
        <f>IFERROR(VLOOKUP('OB Format'!D1259,'Team Data'!C:AC,25,FALSE),"")</f>
        <v/>
      </c>
    </row>
    <row r="1260" spans="5:19" x14ac:dyDescent="0.25">
      <c r="E1260" t="str">
        <f>IFERROR(VLOOKUP(D1260,'Team Data'!C:AB,4,FALSE),"")</f>
        <v/>
      </c>
      <c r="F1260" t="str">
        <f>IFERROR(VLOOKUP(D1260,'Team Data'!C:AB,5,FALSE),"")</f>
        <v/>
      </c>
      <c r="G1260" t="str">
        <f>IFERROR(VLOOKUP('OB Format'!D1260,'Team Data'!C:AB,17,FALSE),"")</f>
        <v/>
      </c>
      <c r="H1260" t="str">
        <f>IFERROR(VLOOKUP(D1260,'Team Data'!C:AB,7,FALSE),"")</f>
        <v/>
      </c>
      <c r="I1260" t="str">
        <f>IFERROR(VLOOKUP(D1260,'Team Data'!C:AB,14,FALSE),"")</f>
        <v/>
      </c>
      <c r="J1260" t="str">
        <f>IFERROR(VLOOKUP(D1260,'Team Data'!C:AB,8,FALSE),"")</f>
        <v/>
      </c>
      <c r="K1260" t="str">
        <f>IFERROR(VLOOKUP(D1260,'Team Data'!C:AB,9,FALSE),"")</f>
        <v/>
      </c>
      <c r="L1260" t="str">
        <f>IFERROR(VLOOKUP(D1260,'Team Data'!C:AB,10,FALSE),"")</f>
        <v/>
      </c>
      <c r="M1260" t="str">
        <f t="shared" si="40"/>
        <v/>
      </c>
      <c r="N1260" t="str">
        <f>IFERROR(VLOOKUP(D1260,'Team Data'!C:AB,23,FALSE),"")</f>
        <v/>
      </c>
      <c r="O1260" t="str">
        <f>IFERROR(VLOOKUP(D1260,'Team Data'!C:AB,22,FALSE),"")</f>
        <v/>
      </c>
      <c r="P1260" t="str">
        <f t="shared" si="41"/>
        <v/>
      </c>
      <c r="Q1260" t="str">
        <f>IFERROR(VLOOKUP(D1260,'Team Data'!C:AB,15,FALSE),"")</f>
        <v/>
      </c>
      <c r="R1260" t="str">
        <f>IFERROR(VLOOKUP('OB Format'!D1260,'Team Data'!C:AB,24,FALSE),"")</f>
        <v/>
      </c>
      <c r="S1260" t="str">
        <f>IFERROR(VLOOKUP('OB Format'!D1260,'Team Data'!C:AC,25,FALSE),"")</f>
        <v/>
      </c>
    </row>
    <row r="1261" spans="5:19" x14ac:dyDescent="0.25">
      <c r="E1261" t="str">
        <f>IFERROR(VLOOKUP(D1261,'Team Data'!C:AB,4,FALSE),"")</f>
        <v/>
      </c>
      <c r="F1261" t="str">
        <f>IFERROR(VLOOKUP(D1261,'Team Data'!C:AB,5,FALSE),"")</f>
        <v/>
      </c>
      <c r="G1261" t="str">
        <f>IFERROR(VLOOKUP('OB Format'!D1261,'Team Data'!C:AB,17,FALSE),"")</f>
        <v/>
      </c>
      <c r="H1261" t="str">
        <f>IFERROR(VLOOKUP(D1261,'Team Data'!C:AB,7,FALSE),"")</f>
        <v/>
      </c>
      <c r="I1261" t="str">
        <f>IFERROR(VLOOKUP(D1261,'Team Data'!C:AB,14,FALSE),"")</f>
        <v/>
      </c>
      <c r="J1261" t="str">
        <f>IFERROR(VLOOKUP(D1261,'Team Data'!C:AB,8,FALSE),"")</f>
        <v/>
      </c>
      <c r="K1261" t="str">
        <f>IFERROR(VLOOKUP(D1261,'Team Data'!C:AB,9,FALSE),"")</f>
        <v/>
      </c>
      <c r="L1261" t="str">
        <f>IFERROR(VLOOKUP(D1261,'Team Data'!C:AB,10,FALSE),"")</f>
        <v/>
      </c>
      <c r="M1261" t="str">
        <f t="shared" si="40"/>
        <v/>
      </c>
      <c r="N1261" t="str">
        <f>IFERROR(VLOOKUP(D1261,'Team Data'!C:AB,23,FALSE),"")</f>
        <v/>
      </c>
      <c r="O1261" t="str">
        <f>IFERROR(VLOOKUP(D1261,'Team Data'!C:AB,22,FALSE),"")</f>
        <v/>
      </c>
      <c r="P1261" t="str">
        <f t="shared" si="41"/>
        <v/>
      </c>
      <c r="Q1261" t="str">
        <f>IFERROR(VLOOKUP(D1261,'Team Data'!C:AB,15,FALSE),"")</f>
        <v/>
      </c>
      <c r="R1261" t="str">
        <f>IFERROR(VLOOKUP('OB Format'!D1261,'Team Data'!C:AB,24,FALSE),"")</f>
        <v/>
      </c>
      <c r="S1261" t="str">
        <f>IFERROR(VLOOKUP('OB Format'!D1261,'Team Data'!C:AC,25,FALSE),"")</f>
        <v/>
      </c>
    </row>
    <row r="1262" spans="5:19" x14ac:dyDescent="0.25">
      <c r="E1262" t="str">
        <f>IFERROR(VLOOKUP(D1262,'Team Data'!C:AB,4,FALSE),"")</f>
        <v/>
      </c>
      <c r="F1262" t="str">
        <f>IFERROR(VLOOKUP(D1262,'Team Data'!C:AB,5,FALSE),"")</f>
        <v/>
      </c>
      <c r="G1262" t="str">
        <f>IFERROR(VLOOKUP('OB Format'!D1262,'Team Data'!C:AB,17,FALSE),"")</f>
        <v/>
      </c>
      <c r="H1262" t="str">
        <f>IFERROR(VLOOKUP(D1262,'Team Data'!C:AB,7,FALSE),"")</f>
        <v/>
      </c>
      <c r="I1262" t="str">
        <f>IFERROR(VLOOKUP(D1262,'Team Data'!C:AB,14,FALSE),"")</f>
        <v/>
      </c>
      <c r="J1262" t="str">
        <f>IFERROR(VLOOKUP(D1262,'Team Data'!C:AB,8,FALSE),"")</f>
        <v/>
      </c>
      <c r="K1262" t="str">
        <f>IFERROR(VLOOKUP(D1262,'Team Data'!C:AB,9,FALSE),"")</f>
        <v/>
      </c>
      <c r="L1262" t="str">
        <f>IFERROR(VLOOKUP(D1262,'Team Data'!C:AB,10,FALSE),"")</f>
        <v/>
      </c>
      <c r="M1262" t="str">
        <f t="shared" si="40"/>
        <v/>
      </c>
      <c r="N1262" t="str">
        <f>IFERROR(VLOOKUP(D1262,'Team Data'!C:AB,23,FALSE),"")</f>
        <v/>
      </c>
      <c r="O1262" t="str">
        <f>IFERROR(VLOOKUP(D1262,'Team Data'!C:AB,22,FALSE),"")</f>
        <v/>
      </c>
      <c r="P1262" t="str">
        <f t="shared" si="41"/>
        <v/>
      </c>
      <c r="Q1262" t="str">
        <f>IFERROR(VLOOKUP(D1262,'Team Data'!C:AB,15,FALSE),"")</f>
        <v/>
      </c>
      <c r="R1262" t="str">
        <f>IFERROR(VLOOKUP('OB Format'!D1262,'Team Data'!C:AB,24,FALSE),"")</f>
        <v/>
      </c>
      <c r="S1262" t="str">
        <f>IFERROR(VLOOKUP('OB Format'!D1262,'Team Data'!C:AC,25,FALSE),"")</f>
        <v/>
      </c>
    </row>
    <row r="1263" spans="5:19" x14ac:dyDescent="0.25">
      <c r="E1263" t="str">
        <f>IFERROR(VLOOKUP(D1263,'Team Data'!C:AB,4,FALSE),"")</f>
        <v/>
      </c>
      <c r="F1263" t="str">
        <f>IFERROR(VLOOKUP(D1263,'Team Data'!C:AB,5,FALSE),"")</f>
        <v/>
      </c>
      <c r="G1263" t="str">
        <f>IFERROR(VLOOKUP('OB Format'!D1263,'Team Data'!C:AB,17,FALSE),"")</f>
        <v/>
      </c>
      <c r="H1263" t="str">
        <f>IFERROR(VLOOKUP(D1263,'Team Data'!C:AB,7,FALSE),"")</f>
        <v/>
      </c>
      <c r="I1263" t="str">
        <f>IFERROR(VLOOKUP(D1263,'Team Data'!C:AB,14,FALSE),"")</f>
        <v/>
      </c>
      <c r="J1263" t="str">
        <f>IFERROR(VLOOKUP(D1263,'Team Data'!C:AB,8,FALSE),"")</f>
        <v/>
      </c>
      <c r="K1263" t="str">
        <f>IFERROR(VLOOKUP(D1263,'Team Data'!C:AB,9,FALSE),"")</f>
        <v/>
      </c>
      <c r="L1263" t="str">
        <f>IFERROR(VLOOKUP(D1263,'Team Data'!C:AB,10,FALSE),"")</f>
        <v/>
      </c>
      <c r="M1263" t="str">
        <f t="shared" si="40"/>
        <v/>
      </c>
      <c r="N1263" t="str">
        <f>IFERROR(VLOOKUP(D1263,'Team Data'!C:AB,23,FALSE),"")</f>
        <v/>
      </c>
      <c r="O1263" t="str">
        <f>IFERROR(VLOOKUP(D1263,'Team Data'!C:AB,22,FALSE),"")</f>
        <v/>
      </c>
      <c r="P1263" t="str">
        <f t="shared" si="41"/>
        <v/>
      </c>
      <c r="Q1263" t="str">
        <f>IFERROR(VLOOKUP(D1263,'Team Data'!C:AB,15,FALSE),"")</f>
        <v/>
      </c>
      <c r="R1263" t="str">
        <f>IFERROR(VLOOKUP('OB Format'!D1263,'Team Data'!C:AB,24,FALSE),"")</f>
        <v/>
      </c>
      <c r="S1263" t="str">
        <f>IFERROR(VLOOKUP('OB Format'!D1263,'Team Data'!C:AC,25,FALSE),"")</f>
        <v/>
      </c>
    </row>
    <row r="1264" spans="5:19" x14ac:dyDescent="0.25">
      <c r="E1264" t="str">
        <f>IFERROR(VLOOKUP(D1264,'Team Data'!C:AB,4,FALSE),"")</f>
        <v/>
      </c>
      <c r="F1264" t="str">
        <f>IFERROR(VLOOKUP(D1264,'Team Data'!C:AB,5,FALSE),"")</f>
        <v/>
      </c>
      <c r="G1264" t="str">
        <f>IFERROR(VLOOKUP('OB Format'!D1264,'Team Data'!C:AB,17,FALSE),"")</f>
        <v/>
      </c>
      <c r="H1264" t="str">
        <f>IFERROR(VLOOKUP(D1264,'Team Data'!C:AB,7,FALSE),"")</f>
        <v/>
      </c>
      <c r="I1264" t="str">
        <f>IFERROR(VLOOKUP(D1264,'Team Data'!C:AB,14,FALSE),"")</f>
        <v/>
      </c>
      <c r="J1264" t="str">
        <f>IFERROR(VLOOKUP(D1264,'Team Data'!C:AB,8,FALSE),"")</f>
        <v/>
      </c>
      <c r="K1264" t="str">
        <f>IFERROR(VLOOKUP(D1264,'Team Data'!C:AB,9,FALSE),"")</f>
        <v/>
      </c>
      <c r="L1264" t="str">
        <f>IFERROR(VLOOKUP(D1264,'Team Data'!C:AB,10,FALSE),"")</f>
        <v/>
      </c>
      <c r="M1264" t="str">
        <f t="shared" si="40"/>
        <v/>
      </c>
      <c r="N1264" t="str">
        <f>IFERROR(VLOOKUP(D1264,'Team Data'!C:AB,23,FALSE),"")</f>
        <v/>
      </c>
      <c r="O1264" t="str">
        <f>IFERROR(VLOOKUP(D1264,'Team Data'!C:AB,22,FALSE),"")</f>
        <v/>
      </c>
      <c r="P1264" t="str">
        <f t="shared" si="41"/>
        <v/>
      </c>
      <c r="Q1264" t="str">
        <f>IFERROR(VLOOKUP(D1264,'Team Data'!C:AB,15,FALSE),"")</f>
        <v/>
      </c>
      <c r="R1264" t="str">
        <f>IFERROR(VLOOKUP('OB Format'!D1264,'Team Data'!C:AB,24,FALSE),"")</f>
        <v/>
      </c>
      <c r="S1264" t="str">
        <f>IFERROR(VLOOKUP('OB Format'!D1264,'Team Data'!C:AC,25,FALSE),"")</f>
        <v/>
      </c>
    </row>
    <row r="1265" spans="5:19" x14ac:dyDescent="0.25">
      <c r="E1265" t="str">
        <f>IFERROR(VLOOKUP(D1265,'Team Data'!C:AB,4,FALSE),"")</f>
        <v/>
      </c>
      <c r="F1265" t="str">
        <f>IFERROR(VLOOKUP(D1265,'Team Data'!C:AB,5,FALSE),"")</f>
        <v/>
      </c>
      <c r="G1265" t="str">
        <f>IFERROR(VLOOKUP('OB Format'!D1265,'Team Data'!C:AB,17,FALSE),"")</f>
        <v/>
      </c>
      <c r="H1265" t="str">
        <f>IFERROR(VLOOKUP(D1265,'Team Data'!C:AB,7,FALSE),"")</f>
        <v/>
      </c>
      <c r="I1265" t="str">
        <f>IFERROR(VLOOKUP(D1265,'Team Data'!C:AB,14,FALSE),"")</f>
        <v/>
      </c>
      <c r="J1265" t="str">
        <f>IFERROR(VLOOKUP(D1265,'Team Data'!C:AB,8,FALSE),"")</f>
        <v/>
      </c>
      <c r="K1265" t="str">
        <f>IFERROR(VLOOKUP(D1265,'Team Data'!C:AB,9,FALSE),"")</f>
        <v/>
      </c>
      <c r="L1265" t="str">
        <f>IFERROR(VLOOKUP(D1265,'Team Data'!C:AB,10,FALSE),"")</f>
        <v/>
      </c>
      <c r="M1265" t="str">
        <f t="shared" si="40"/>
        <v/>
      </c>
      <c r="N1265" t="str">
        <f>IFERROR(VLOOKUP(D1265,'Team Data'!C:AB,23,FALSE),"")</f>
        <v/>
      </c>
      <c r="O1265" t="str">
        <f>IFERROR(VLOOKUP(D1265,'Team Data'!C:AB,22,FALSE),"")</f>
        <v/>
      </c>
      <c r="P1265" t="str">
        <f t="shared" si="41"/>
        <v/>
      </c>
      <c r="Q1265" t="str">
        <f>IFERROR(VLOOKUP(D1265,'Team Data'!C:AB,15,FALSE),"")</f>
        <v/>
      </c>
      <c r="R1265" t="str">
        <f>IFERROR(VLOOKUP('OB Format'!D1265,'Team Data'!C:AB,24,FALSE),"")</f>
        <v/>
      </c>
      <c r="S1265" t="str">
        <f>IFERROR(VLOOKUP('OB Format'!D1265,'Team Data'!C:AC,25,FALSE),"")</f>
        <v/>
      </c>
    </row>
    <row r="1266" spans="5:19" x14ac:dyDescent="0.25">
      <c r="E1266" t="str">
        <f>IFERROR(VLOOKUP(D1266,'Team Data'!C:AB,4,FALSE),"")</f>
        <v/>
      </c>
      <c r="F1266" t="str">
        <f>IFERROR(VLOOKUP(D1266,'Team Data'!C:AB,5,FALSE),"")</f>
        <v/>
      </c>
      <c r="G1266" t="str">
        <f>IFERROR(VLOOKUP('OB Format'!D1266,'Team Data'!C:AB,17,FALSE),"")</f>
        <v/>
      </c>
      <c r="H1266" t="str">
        <f>IFERROR(VLOOKUP(D1266,'Team Data'!C:AB,7,FALSE),"")</f>
        <v/>
      </c>
      <c r="I1266" t="str">
        <f>IFERROR(VLOOKUP(D1266,'Team Data'!C:AB,14,FALSE),"")</f>
        <v/>
      </c>
      <c r="J1266" t="str">
        <f>IFERROR(VLOOKUP(D1266,'Team Data'!C:AB,8,FALSE),"")</f>
        <v/>
      </c>
      <c r="K1266" t="str">
        <f>IFERROR(VLOOKUP(D1266,'Team Data'!C:AB,9,FALSE),"")</f>
        <v/>
      </c>
      <c r="L1266" t="str">
        <f>IFERROR(VLOOKUP(D1266,'Team Data'!C:AB,10,FALSE),"")</f>
        <v/>
      </c>
      <c r="M1266" t="str">
        <f t="shared" si="40"/>
        <v/>
      </c>
      <c r="N1266" t="str">
        <f>IFERROR(VLOOKUP(D1266,'Team Data'!C:AB,23,FALSE),"")</f>
        <v/>
      </c>
      <c r="O1266" t="str">
        <f>IFERROR(VLOOKUP(D1266,'Team Data'!C:AB,22,FALSE),"")</f>
        <v/>
      </c>
      <c r="P1266" t="str">
        <f t="shared" si="41"/>
        <v/>
      </c>
      <c r="Q1266" t="str">
        <f>IFERROR(VLOOKUP(D1266,'Team Data'!C:AB,15,FALSE),"")</f>
        <v/>
      </c>
      <c r="R1266" t="str">
        <f>IFERROR(VLOOKUP('OB Format'!D1266,'Team Data'!C:AB,24,FALSE),"")</f>
        <v/>
      </c>
      <c r="S1266" t="str">
        <f>IFERROR(VLOOKUP('OB Format'!D1266,'Team Data'!C:AC,25,FALSE),"")</f>
        <v/>
      </c>
    </row>
    <row r="1267" spans="5:19" x14ac:dyDescent="0.25">
      <c r="E1267" t="str">
        <f>IFERROR(VLOOKUP(D1267,'Team Data'!C:AB,4,FALSE),"")</f>
        <v/>
      </c>
      <c r="F1267" t="str">
        <f>IFERROR(VLOOKUP(D1267,'Team Data'!C:AB,5,FALSE),"")</f>
        <v/>
      </c>
      <c r="G1267" t="str">
        <f>IFERROR(VLOOKUP('OB Format'!D1267,'Team Data'!C:AB,17,FALSE),"")</f>
        <v/>
      </c>
      <c r="H1267" t="str">
        <f>IFERROR(VLOOKUP(D1267,'Team Data'!C:AB,7,FALSE),"")</f>
        <v/>
      </c>
      <c r="I1267" t="str">
        <f>IFERROR(VLOOKUP(D1267,'Team Data'!C:AB,14,FALSE),"")</f>
        <v/>
      </c>
      <c r="J1267" t="str">
        <f>IFERROR(VLOOKUP(D1267,'Team Data'!C:AB,8,FALSE),"")</f>
        <v/>
      </c>
      <c r="K1267" t="str">
        <f>IFERROR(VLOOKUP(D1267,'Team Data'!C:AB,9,FALSE),"")</f>
        <v/>
      </c>
      <c r="L1267" t="str">
        <f>IFERROR(VLOOKUP(D1267,'Team Data'!C:AB,10,FALSE),"")</f>
        <v/>
      </c>
      <c r="M1267" t="str">
        <f t="shared" si="40"/>
        <v/>
      </c>
      <c r="N1267" t="str">
        <f>IFERROR(VLOOKUP(D1267,'Team Data'!C:AB,23,FALSE),"")</f>
        <v/>
      </c>
      <c r="O1267" t="str">
        <f>IFERROR(VLOOKUP(D1267,'Team Data'!C:AB,22,FALSE),"")</f>
        <v/>
      </c>
      <c r="P1267" t="str">
        <f t="shared" si="41"/>
        <v/>
      </c>
      <c r="Q1267" t="str">
        <f>IFERROR(VLOOKUP(D1267,'Team Data'!C:AB,15,FALSE),"")</f>
        <v/>
      </c>
      <c r="R1267" t="str">
        <f>IFERROR(VLOOKUP('OB Format'!D1267,'Team Data'!C:AB,24,FALSE),"")</f>
        <v/>
      </c>
      <c r="S1267" t="str">
        <f>IFERROR(VLOOKUP('OB Format'!D1267,'Team Data'!C:AC,25,FALSE),"")</f>
        <v/>
      </c>
    </row>
    <row r="1268" spans="5:19" x14ac:dyDescent="0.25">
      <c r="E1268" t="str">
        <f>IFERROR(VLOOKUP(D1268,'Team Data'!C:AB,4,FALSE),"")</f>
        <v/>
      </c>
      <c r="F1268" t="str">
        <f>IFERROR(VLOOKUP(D1268,'Team Data'!C:AB,5,FALSE),"")</f>
        <v/>
      </c>
      <c r="G1268" t="str">
        <f>IFERROR(VLOOKUP('OB Format'!D1268,'Team Data'!C:AB,17,FALSE),"")</f>
        <v/>
      </c>
      <c r="H1268" t="str">
        <f>IFERROR(VLOOKUP(D1268,'Team Data'!C:AB,7,FALSE),"")</f>
        <v/>
      </c>
      <c r="I1268" t="str">
        <f>IFERROR(VLOOKUP(D1268,'Team Data'!C:AB,14,FALSE),"")</f>
        <v/>
      </c>
      <c r="J1268" t="str">
        <f>IFERROR(VLOOKUP(D1268,'Team Data'!C:AB,8,FALSE),"")</f>
        <v/>
      </c>
      <c r="K1268" t="str">
        <f>IFERROR(VLOOKUP(D1268,'Team Data'!C:AB,9,FALSE),"")</f>
        <v/>
      </c>
      <c r="L1268" t="str">
        <f>IFERROR(VLOOKUP(D1268,'Team Data'!C:AB,10,FALSE),"")</f>
        <v/>
      </c>
      <c r="M1268" t="str">
        <f t="shared" si="40"/>
        <v/>
      </c>
      <c r="N1268" t="str">
        <f>IFERROR(VLOOKUP(D1268,'Team Data'!C:AB,23,FALSE),"")</f>
        <v/>
      </c>
      <c r="O1268" t="str">
        <f>IFERROR(VLOOKUP(D1268,'Team Data'!C:AB,22,FALSE),"")</f>
        <v/>
      </c>
      <c r="P1268" t="str">
        <f t="shared" si="41"/>
        <v/>
      </c>
      <c r="Q1268" t="str">
        <f>IFERROR(VLOOKUP(D1268,'Team Data'!C:AB,15,FALSE),"")</f>
        <v/>
      </c>
      <c r="R1268" t="str">
        <f>IFERROR(VLOOKUP('OB Format'!D1268,'Team Data'!C:AB,24,FALSE),"")</f>
        <v/>
      </c>
      <c r="S1268" t="str">
        <f>IFERROR(VLOOKUP('OB Format'!D1268,'Team Data'!C:AC,25,FALSE),"")</f>
        <v/>
      </c>
    </row>
    <row r="1269" spans="5:19" x14ac:dyDescent="0.25">
      <c r="E1269" t="str">
        <f>IFERROR(VLOOKUP(D1269,'Team Data'!C:AB,4,FALSE),"")</f>
        <v/>
      </c>
      <c r="F1269" t="str">
        <f>IFERROR(VLOOKUP(D1269,'Team Data'!C:AB,5,FALSE),"")</f>
        <v/>
      </c>
      <c r="G1269" t="str">
        <f>IFERROR(VLOOKUP('OB Format'!D1269,'Team Data'!C:AB,17,FALSE),"")</f>
        <v/>
      </c>
      <c r="H1269" t="str">
        <f>IFERROR(VLOOKUP(D1269,'Team Data'!C:AB,7,FALSE),"")</f>
        <v/>
      </c>
      <c r="I1269" t="str">
        <f>IFERROR(VLOOKUP(D1269,'Team Data'!C:AB,14,FALSE),"")</f>
        <v/>
      </c>
      <c r="J1269" t="str">
        <f>IFERROR(VLOOKUP(D1269,'Team Data'!C:AB,8,FALSE),"")</f>
        <v/>
      </c>
      <c r="K1269" t="str">
        <f>IFERROR(VLOOKUP(D1269,'Team Data'!C:AB,9,FALSE),"")</f>
        <v/>
      </c>
      <c r="L1269" t="str">
        <f>IFERROR(VLOOKUP(D1269,'Team Data'!C:AB,10,FALSE),"")</f>
        <v/>
      </c>
      <c r="M1269" t="str">
        <f t="shared" si="40"/>
        <v/>
      </c>
      <c r="N1269" t="str">
        <f>IFERROR(VLOOKUP(D1269,'Team Data'!C:AB,23,FALSE),"")</f>
        <v/>
      </c>
      <c r="O1269" t="str">
        <f>IFERROR(VLOOKUP(D1269,'Team Data'!C:AB,22,FALSE),"")</f>
        <v/>
      </c>
      <c r="P1269" t="str">
        <f t="shared" si="41"/>
        <v/>
      </c>
      <c r="Q1269" t="str">
        <f>IFERROR(VLOOKUP(D1269,'Team Data'!C:AB,15,FALSE),"")</f>
        <v/>
      </c>
      <c r="R1269" t="str">
        <f>IFERROR(VLOOKUP('OB Format'!D1269,'Team Data'!C:AB,24,FALSE),"")</f>
        <v/>
      </c>
      <c r="S1269" t="str">
        <f>IFERROR(VLOOKUP('OB Format'!D1269,'Team Data'!C:AC,25,FALSE),"")</f>
        <v/>
      </c>
    </row>
    <row r="1270" spans="5:19" x14ac:dyDescent="0.25">
      <c r="E1270" t="str">
        <f>IFERROR(VLOOKUP(D1270,'Team Data'!C:AB,4,FALSE),"")</f>
        <v/>
      </c>
      <c r="F1270" t="str">
        <f>IFERROR(VLOOKUP(D1270,'Team Data'!C:AB,5,FALSE),"")</f>
        <v/>
      </c>
      <c r="G1270" t="str">
        <f>IFERROR(VLOOKUP('OB Format'!D1270,'Team Data'!C:AB,17,FALSE),"")</f>
        <v/>
      </c>
      <c r="H1270" t="str">
        <f>IFERROR(VLOOKUP(D1270,'Team Data'!C:AB,7,FALSE),"")</f>
        <v/>
      </c>
      <c r="I1270" t="str">
        <f>IFERROR(VLOOKUP(D1270,'Team Data'!C:AB,14,FALSE),"")</f>
        <v/>
      </c>
      <c r="J1270" t="str">
        <f>IFERROR(VLOOKUP(D1270,'Team Data'!C:AB,8,FALSE),"")</f>
        <v/>
      </c>
      <c r="K1270" t="str">
        <f>IFERROR(VLOOKUP(D1270,'Team Data'!C:AB,9,FALSE),"")</f>
        <v/>
      </c>
      <c r="L1270" t="str">
        <f>IFERROR(VLOOKUP(D1270,'Team Data'!C:AB,10,FALSE),"")</f>
        <v/>
      </c>
      <c r="M1270" t="str">
        <f t="shared" si="40"/>
        <v/>
      </c>
      <c r="N1270" t="str">
        <f>IFERROR(VLOOKUP(D1270,'Team Data'!C:AB,23,FALSE),"")</f>
        <v/>
      </c>
      <c r="O1270" t="str">
        <f>IFERROR(VLOOKUP(D1270,'Team Data'!C:AB,22,FALSE),"")</f>
        <v/>
      </c>
      <c r="P1270" t="str">
        <f t="shared" si="41"/>
        <v/>
      </c>
      <c r="Q1270" t="str">
        <f>IFERROR(VLOOKUP(D1270,'Team Data'!C:AB,15,FALSE),"")</f>
        <v/>
      </c>
      <c r="R1270" t="str">
        <f>IFERROR(VLOOKUP('OB Format'!D1270,'Team Data'!C:AB,24,FALSE),"")</f>
        <v/>
      </c>
      <c r="S1270" t="str">
        <f>IFERROR(VLOOKUP('OB Format'!D1270,'Team Data'!C:AC,25,FALSE),"")</f>
        <v/>
      </c>
    </row>
    <row r="1271" spans="5:19" x14ac:dyDescent="0.25">
      <c r="E1271" t="str">
        <f>IFERROR(VLOOKUP(D1271,'Team Data'!C:AB,4,FALSE),"")</f>
        <v/>
      </c>
      <c r="F1271" t="str">
        <f>IFERROR(VLOOKUP(D1271,'Team Data'!C:AB,5,FALSE),"")</f>
        <v/>
      </c>
      <c r="G1271" t="str">
        <f>IFERROR(VLOOKUP('OB Format'!D1271,'Team Data'!C:AB,17,FALSE),"")</f>
        <v/>
      </c>
      <c r="H1271" t="str">
        <f>IFERROR(VLOOKUP(D1271,'Team Data'!C:AB,7,FALSE),"")</f>
        <v/>
      </c>
      <c r="I1271" t="str">
        <f>IFERROR(VLOOKUP(D1271,'Team Data'!C:AB,14,FALSE),"")</f>
        <v/>
      </c>
      <c r="J1271" t="str">
        <f>IFERROR(VLOOKUP(D1271,'Team Data'!C:AB,8,FALSE),"")</f>
        <v/>
      </c>
      <c r="K1271" t="str">
        <f>IFERROR(VLOOKUP(D1271,'Team Data'!C:AB,9,FALSE),"")</f>
        <v/>
      </c>
      <c r="L1271" t="str">
        <f>IFERROR(VLOOKUP(D1271,'Team Data'!C:AB,10,FALSE),"")</f>
        <v/>
      </c>
      <c r="M1271" t="str">
        <f t="shared" si="40"/>
        <v/>
      </c>
      <c r="N1271" t="str">
        <f>IFERROR(VLOOKUP(D1271,'Team Data'!C:AB,23,FALSE),"")</f>
        <v/>
      </c>
      <c r="O1271" t="str">
        <f>IFERROR(VLOOKUP(D1271,'Team Data'!C:AB,22,FALSE),"")</f>
        <v/>
      </c>
      <c r="P1271" t="str">
        <f t="shared" si="41"/>
        <v/>
      </c>
      <c r="Q1271" t="str">
        <f>IFERROR(VLOOKUP(D1271,'Team Data'!C:AB,15,FALSE),"")</f>
        <v/>
      </c>
      <c r="R1271" t="str">
        <f>IFERROR(VLOOKUP('OB Format'!D1271,'Team Data'!C:AB,24,FALSE),"")</f>
        <v/>
      </c>
      <c r="S1271" t="str">
        <f>IFERROR(VLOOKUP('OB Format'!D1271,'Team Data'!C:AC,25,FALSE),"")</f>
        <v/>
      </c>
    </row>
    <row r="1272" spans="5:19" x14ac:dyDescent="0.25">
      <c r="E1272" t="str">
        <f>IFERROR(VLOOKUP(D1272,'Team Data'!C:AB,4,FALSE),"")</f>
        <v/>
      </c>
      <c r="F1272" t="str">
        <f>IFERROR(VLOOKUP(D1272,'Team Data'!C:AB,5,FALSE),"")</f>
        <v/>
      </c>
      <c r="G1272" t="str">
        <f>IFERROR(VLOOKUP('OB Format'!D1272,'Team Data'!C:AB,17,FALSE),"")</f>
        <v/>
      </c>
      <c r="H1272" t="str">
        <f>IFERROR(VLOOKUP(D1272,'Team Data'!C:AB,7,FALSE),"")</f>
        <v/>
      </c>
      <c r="I1272" t="str">
        <f>IFERROR(VLOOKUP(D1272,'Team Data'!C:AB,14,FALSE),"")</f>
        <v/>
      </c>
      <c r="J1272" t="str">
        <f>IFERROR(VLOOKUP(D1272,'Team Data'!C:AB,8,FALSE),"")</f>
        <v/>
      </c>
      <c r="K1272" t="str">
        <f>IFERROR(VLOOKUP(D1272,'Team Data'!C:AB,9,FALSE),"")</f>
        <v/>
      </c>
      <c r="L1272" t="str">
        <f>IFERROR(VLOOKUP(D1272,'Team Data'!C:AB,10,FALSE),"")</f>
        <v/>
      </c>
      <c r="M1272" t="str">
        <f t="shared" si="40"/>
        <v/>
      </c>
      <c r="N1272" t="str">
        <f>IFERROR(VLOOKUP(D1272,'Team Data'!C:AB,23,FALSE),"")</f>
        <v/>
      </c>
      <c r="O1272" t="str">
        <f>IFERROR(VLOOKUP(D1272,'Team Data'!C:AB,22,FALSE),"")</f>
        <v/>
      </c>
      <c r="P1272" t="str">
        <f t="shared" si="41"/>
        <v/>
      </c>
      <c r="Q1272" t="str">
        <f>IFERROR(VLOOKUP(D1272,'Team Data'!C:AB,15,FALSE),"")</f>
        <v/>
      </c>
      <c r="R1272" t="str">
        <f>IFERROR(VLOOKUP('OB Format'!D1272,'Team Data'!C:AB,24,FALSE),"")</f>
        <v/>
      </c>
      <c r="S1272" t="str">
        <f>IFERROR(VLOOKUP('OB Format'!D1272,'Team Data'!C:AC,25,FALSE),"")</f>
        <v/>
      </c>
    </row>
    <row r="1273" spans="5:19" x14ac:dyDescent="0.25">
      <c r="E1273" t="str">
        <f>IFERROR(VLOOKUP(D1273,'Team Data'!C:AB,4,FALSE),"")</f>
        <v/>
      </c>
      <c r="F1273" t="str">
        <f>IFERROR(VLOOKUP(D1273,'Team Data'!C:AB,5,FALSE),"")</f>
        <v/>
      </c>
      <c r="G1273" t="str">
        <f>IFERROR(VLOOKUP('OB Format'!D1273,'Team Data'!C:AB,17,FALSE),"")</f>
        <v/>
      </c>
      <c r="H1273" t="str">
        <f>IFERROR(VLOOKUP(D1273,'Team Data'!C:AB,7,FALSE),"")</f>
        <v/>
      </c>
      <c r="I1273" t="str">
        <f>IFERROR(VLOOKUP(D1273,'Team Data'!C:AB,14,FALSE),"")</f>
        <v/>
      </c>
      <c r="J1273" t="str">
        <f>IFERROR(VLOOKUP(D1273,'Team Data'!C:AB,8,FALSE),"")</f>
        <v/>
      </c>
      <c r="K1273" t="str">
        <f>IFERROR(VLOOKUP(D1273,'Team Data'!C:AB,9,FALSE),"")</f>
        <v/>
      </c>
      <c r="L1273" t="str">
        <f>IFERROR(VLOOKUP(D1273,'Team Data'!C:AB,10,FALSE),"")</f>
        <v/>
      </c>
      <c r="M1273" t="str">
        <f t="shared" si="40"/>
        <v/>
      </c>
      <c r="N1273" t="str">
        <f>IFERROR(VLOOKUP(D1273,'Team Data'!C:AB,23,FALSE),"")</f>
        <v/>
      </c>
      <c r="O1273" t="str">
        <f>IFERROR(VLOOKUP(D1273,'Team Data'!C:AB,22,FALSE),"")</f>
        <v/>
      </c>
      <c r="P1273" t="str">
        <f t="shared" si="41"/>
        <v/>
      </c>
      <c r="Q1273" t="str">
        <f>IFERROR(VLOOKUP(D1273,'Team Data'!C:AB,15,FALSE),"")</f>
        <v/>
      </c>
      <c r="R1273" t="str">
        <f>IFERROR(VLOOKUP('OB Format'!D1273,'Team Data'!C:AB,24,FALSE),"")</f>
        <v/>
      </c>
      <c r="S1273" t="str">
        <f>IFERROR(VLOOKUP('OB Format'!D1273,'Team Data'!C:AC,25,FALSE),"")</f>
        <v/>
      </c>
    </row>
    <row r="1274" spans="5:19" x14ac:dyDescent="0.25">
      <c r="E1274" t="str">
        <f>IFERROR(VLOOKUP(D1274,'Team Data'!C:AB,4,FALSE),"")</f>
        <v/>
      </c>
      <c r="F1274" t="str">
        <f>IFERROR(VLOOKUP(D1274,'Team Data'!C:AB,5,FALSE),"")</f>
        <v/>
      </c>
      <c r="G1274" t="str">
        <f>IFERROR(VLOOKUP('OB Format'!D1274,'Team Data'!C:AB,17,FALSE),"")</f>
        <v/>
      </c>
      <c r="H1274" t="str">
        <f>IFERROR(VLOOKUP(D1274,'Team Data'!C:AB,7,FALSE),"")</f>
        <v/>
      </c>
      <c r="I1274" t="str">
        <f>IFERROR(VLOOKUP(D1274,'Team Data'!C:AB,14,FALSE),"")</f>
        <v/>
      </c>
      <c r="J1274" t="str">
        <f>IFERROR(VLOOKUP(D1274,'Team Data'!C:AB,8,FALSE),"")</f>
        <v/>
      </c>
      <c r="K1274" t="str">
        <f>IFERROR(VLOOKUP(D1274,'Team Data'!C:AB,9,FALSE),"")</f>
        <v/>
      </c>
      <c r="L1274" t="str">
        <f>IFERROR(VLOOKUP(D1274,'Team Data'!C:AB,10,FALSE),"")</f>
        <v/>
      </c>
      <c r="M1274" t="str">
        <f t="shared" si="40"/>
        <v/>
      </c>
      <c r="N1274" t="str">
        <f>IFERROR(VLOOKUP(D1274,'Team Data'!C:AB,23,FALSE),"")</f>
        <v/>
      </c>
      <c r="O1274" t="str">
        <f>IFERROR(VLOOKUP(D1274,'Team Data'!C:AB,22,FALSE),"")</f>
        <v/>
      </c>
      <c r="P1274" t="str">
        <f t="shared" si="41"/>
        <v/>
      </c>
      <c r="Q1274" t="str">
        <f>IFERROR(VLOOKUP(D1274,'Team Data'!C:AB,15,FALSE),"")</f>
        <v/>
      </c>
      <c r="R1274" t="str">
        <f>IFERROR(VLOOKUP('OB Format'!D1274,'Team Data'!C:AB,24,FALSE),"")</f>
        <v/>
      </c>
      <c r="S1274" t="str">
        <f>IFERROR(VLOOKUP('OB Format'!D1274,'Team Data'!C:AC,25,FALSE),"")</f>
        <v/>
      </c>
    </row>
    <row r="1275" spans="5:19" x14ac:dyDescent="0.25">
      <c r="E1275" t="str">
        <f>IFERROR(VLOOKUP(D1275,'Team Data'!C:AB,4,FALSE),"")</f>
        <v/>
      </c>
      <c r="F1275" t="str">
        <f>IFERROR(VLOOKUP(D1275,'Team Data'!C:AB,5,FALSE),"")</f>
        <v/>
      </c>
      <c r="G1275" t="str">
        <f>IFERROR(VLOOKUP('OB Format'!D1275,'Team Data'!C:AB,17,FALSE),"")</f>
        <v/>
      </c>
      <c r="H1275" t="str">
        <f>IFERROR(VLOOKUP(D1275,'Team Data'!C:AB,7,FALSE),"")</f>
        <v/>
      </c>
      <c r="I1275" t="str">
        <f>IFERROR(VLOOKUP(D1275,'Team Data'!C:AB,14,FALSE),"")</f>
        <v/>
      </c>
      <c r="J1275" t="str">
        <f>IFERROR(VLOOKUP(D1275,'Team Data'!C:AB,8,FALSE),"")</f>
        <v/>
      </c>
      <c r="K1275" t="str">
        <f>IFERROR(VLOOKUP(D1275,'Team Data'!C:AB,9,FALSE),"")</f>
        <v/>
      </c>
      <c r="L1275" t="str">
        <f>IFERROR(VLOOKUP(D1275,'Team Data'!C:AB,10,FALSE),"")</f>
        <v/>
      </c>
      <c r="M1275" t="str">
        <f t="shared" si="40"/>
        <v/>
      </c>
      <c r="N1275" t="str">
        <f>IFERROR(VLOOKUP(D1275,'Team Data'!C:AB,23,FALSE),"")</f>
        <v/>
      </c>
      <c r="O1275" t="str">
        <f>IFERROR(VLOOKUP(D1275,'Team Data'!C:AB,22,FALSE),"")</f>
        <v/>
      </c>
      <c r="P1275" t="str">
        <f t="shared" si="41"/>
        <v/>
      </c>
      <c r="Q1275" t="str">
        <f>IFERROR(VLOOKUP(D1275,'Team Data'!C:AB,15,FALSE),"")</f>
        <v/>
      </c>
      <c r="R1275" t="str">
        <f>IFERROR(VLOOKUP('OB Format'!D1275,'Team Data'!C:AB,24,FALSE),"")</f>
        <v/>
      </c>
      <c r="S1275" t="str">
        <f>IFERROR(VLOOKUP('OB Format'!D1275,'Team Data'!C:AC,25,FALSE),"")</f>
        <v/>
      </c>
    </row>
    <row r="1276" spans="5:19" x14ac:dyDescent="0.25">
      <c r="E1276" t="str">
        <f>IFERROR(VLOOKUP(D1276,'Team Data'!C:AB,4,FALSE),"")</f>
        <v/>
      </c>
      <c r="F1276" t="str">
        <f>IFERROR(VLOOKUP(D1276,'Team Data'!C:AB,5,FALSE),"")</f>
        <v/>
      </c>
      <c r="G1276" t="str">
        <f>IFERROR(VLOOKUP('OB Format'!D1276,'Team Data'!C:AB,17,FALSE),"")</f>
        <v/>
      </c>
      <c r="H1276" t="str">
        <f>IFERROR(VLOOKUP(D1276,'Team Data'!C:AB,7,FALSE),"")</f>
        <v/>
      </c>
      <c r="I1276" t="str">
        <f>IFERROR(VLOOKUP(D1276,'Team Data'!C:AB,14,FALSE),"")</f>
        <v/>
      </c>
      <c r="J1276" t="str">
        <f>IFERROR(VLOOKUP(D1276,'Team Data'!C:AB,8,FALSE),"")</f>
        <v/>
      </c>
      <c r="K1276" t="str">
        <f>IFERROR(VLOOKUP(D1276,'Team Data'!C:AB,9,FALSE),"")</f>
        <v/>
      </c>
      <c r="L1276" t="str">
        <f>IFERROR(VLOOKUP(D1276,'Team Data'!C:AB,10,FALSE),"")</f>
        <v/>
      </c>
      <c r="M1276" t="str">
        <f t="shared" si="40"/>
        <v/>
      </c>
      <c r="N1276" t="str">
        <f>IFERROR(VLOOKUP(D1276,'Team Data'!C:AB,23,FALSE),"")</f>
        <v/>
      </c>
      <c r="O1276" t="str">
        <f>IFERROR(VLOOKUP(D1276,'Team Data'!C:AB,22,FALSE),"")</f>
        <v/>
      </c>
      <c r="P1276" t="str">
        <f t="shared" si="41"/>
        <v/>
      </c>
      <c r="Q1276" t="str">
        <f>IFERROR(VLOOKUP(D1276,'Team Data'!C:AB,15,FALSE),"")</f>
        <v/>
      </c>
      <c r="R1276" t="str">
        <f>IFERROR(VLOOKUP('OB Format'!D1276,'Team Data'!C:AB,24,FALSE),"")</f>
        <v/>
      </c>
      <c r="S1276" t="str">
        <f>IFERROR(VLOOKUP('OB Format'!D1276,'Team Data'!C:AC,25,FALSE),"")</f>
        <v/>
      </c>
    </row>
    <row r="1277" spans="5:19" x14ac:dyDescent="0.25">
      <c r="E1277" t="str">
        <f>IFERROR(VLOOKUP(D1277,'Team Data'!C:AB,4,FALSE),"")</f>
        <v/>
      </c>
      <c r="F1277" t="str">
        <f>IFERROR(VLOOKUP(D1277,'Team Data'!C:AB,5,FALSE),"")</f>
        <v/>
      </c>
      <c r="G1277" t="str">
        <f>IFERROR(VLOOKUP('OB Format'!D1277,'Team Data'!C:AB,17,FALSE),"")</f>
        <v/>
      </c>
      <c r="H1277" t="str">
        <f>IFERROR(VLOOKUP(D1277,'Team Data'!C:AB,7,FALSE),"")</f>
        <v/>
      </c>
      <c r="I1277" t="str">
        <f>IFERROR(VLOOKUP(D1277,'Team Data'!C:AB,14,FALSE),"")</f>
        <v/>
      </c>
      <c r="J1277" t="str">
        <f>IFERROR(VLOOKUP(D1277,'Team Data'!C:AB,8,FALSE),"")</f>
        <v/>
      </c>
      <c r="K1277" t="str">
        <f>IFERROR(VLOOKUP(D1277,'Team Data'!C:AB,9,FALSE),"")</f>
        <v/>
      </c>
      <c r="L1277" t="str">
        <f>IFERROR(VLOOKUP(D1277,'Team Data'!C:AB,10,FALSE),"")</f>
        <v/>
      </c>
      <c r="M1277" t="str">
        <f t="shared" si="40"/>
        <v/>
      </c>
      <c r="N1277" t="str">
        <f>IFERROR(VLOOKUP(D1277,'Team Data'!C:AB,23,FALSE),"")</f>
        <v/>
      </c>
      <c r="O1277" t="str">
        <f>IFERROR(VLOOKUP(D1277,'Team Data'!C:AB,22,FALSE),"")</f>
        <v/>
      </c>
      <c r="P1277" t="str">
        <f t="shared" si="41"/>
        <v/>
      </c>
      <c r="Q1277" t="str">
        <f>IFERROR(VLOOKUP(D1277,'Team Data'!C:AB,15,FALSE),"")</f>
        <v/>
      </c>
      <c r="R1277" t="str">
        <f>IFERROR(VLOOKUP('OB Format'!D1277,'Team Data'!C:AB,24,FALSE),"")</f>
        <v/>
      </c>
      <c r="S1277" t="str">
        <f>IFERROR(VLOOKUP('OB Format'!D1277,'Team Data'!C:AC,25,FALSE),"")</f>
        <v/>
      </c>
    </row>
    <row r="1278" spans="5:19" x14ac:dyDescent="0.25">
      <c r="E1278" t="str">
        <f>IFERROR(VLOOKUP(D1278,'Team Data'!C:AB,4,FALSE),"")</f>
        <v/>
      </c>
      <c r="F1278" t="str">
        <f>IFERROR(VLOOKUP(D1278,'Team Data'!C:AB,5,FALSE),"")</f>
        <v/>
      </c>
      <c r="G1278" t="str">
        <f>IFERROR(VLOOKUP('OB Format'!D1278,'Team Data'!C:AB,17,FALSE),"")</f>
        <v/>
      </c>
      <c r="H1278" t="str">
        <f>IFERROR(VLOOKUP(D1278,'Team Data'!C:AB,7,FALSE),"")</f>
        <v/>
      </c>
      <c r="I1278" t="str">
        <f>IFERROR(VLOOKUP(D1278,'Team Data'!C:AB,14,FALSE),"")</f>
        <v/>
      </c>
      <c r="J1278" t="str">
        <f>IFERROR(VLOOKUP(D1278,'Team Data'!C:AB,8,FALSE),"")</f>
        <v/>
      </c>
      <c r="K1278" t="str">
        <f>IFERROR(VLOOKUP(D1278,'Team Data'!C:AB,9,FALSE),"")</f>
        <v/>
      </c>
      <c r="L1278" t="str">
        <f>IFERROR(VLOOKUP(D1278,'Team Data'!C:AB,10,FALSE),"")</f>
        <v/>
      </c>
      <c r="M1278" t="str">
        <f t="shared" si="40"/>
        <v/>
      </c>
      <c r="N1278" t="str">
        <f>IFERROR(VLOOKUP(D1278,'Team Data'!C:AB,23,FALSE),"")</f>
        <v/>
      </c>
      <c r="O1278" t="str">
        <f>IFERROR(VLOOKUP(D1278,'Team Data'!C:AB,22,FALSE),"")</f>
        <v/>
      </c>
      <c r="P1278" t="str">
        <f t="shared" si="41"/>
        <v/>
      </c>
      <c r="Q1278" t="str">
        <f>IFERROR(VLOOKUP(D1278,'Team Data'!C:AB,15,FALSE),"")</f>
        <v/>
      </c>
      <c r="R1278" t="str">
        <f>IFERROR(VLOOKUP('OB Format'!D1278,'Team Data'!C:AB,24,FALSE),"")</f>
        <v/>
      </c>
      <c r="S1278" t="str">
        <f>IFERROR(VLOOKUP('OB Format'!D1278,'Team Data'!C:AC,25,FALSE),"")</f>
        <v/>
      </c>
    </row>
    <row r="1279" spans="5:19" x14ac:dyDescent="0.25">
      <c r="E1279" t="str">
        <f>IFERROR(VLOOKUP(D1279,'Team Data'!C:AB,4,FALSE),"")</f>
        <v/>
      </c>
      <c r="F1279" t="str">
        <f>IFERROR(VLOOKUP(D1279,'Team Data'!C:AB,5,FALSE),"")</f>
        <v/>
      </c>
      <c r="G1279" t="str">
        <f>IFERROR(VLOOKUP('OB Format'!D1279,'Team Data'!C:AB,17,FALSE),"")</f>
        <v/>
      </c>
      <c r="H1279" t="str">
        <f>IFERROR(VLOOKUP(D1279,'Team Data'!C:AB,7,FALSE),"")</f>
        <v/>
      </c>
      <c r="I1279" t="str">
        <f>IFERROR(VLOOKUP(D1279,'Team Data'!C:AB,14,FALSE),"")</f>
        <v/>
      </c>
      <c r="J1279" t="str">
        <f>IFERROR(VLOOKUP(D1279,'Team Data'!C:AB,8,FALSE),"")</f>
        <v/>
      </c>
      <c r="K1279" t="str">
        <f>IFERROR(VLOOKUP(D1279,'Team Data'!C:AB,9,FALSE),"")</f>
        <v/>
      </c>
      <c r="L1279" t="str">
        <f>IFERROR(VLOOKUP(D1279,'Team Data'!C:AB,10,FALSE),"")</f>
        <v/>
      </c>
      <c r="M1279" t="str">
        <f t="shared" si="40"/>
        <v/>
      </c>
      <c r="N1279" t="str">
        <f>IFERROR(VLOOKUP(D1279,'Team Data'!C:AB,23,FALSE),"")</f>
        <v/>
      </c>
      <c r="O1279" t="str">
        <f>IFERROR(VLOOKUP(D1279,'Team Data'!C:AB,22,FALSE),"")</f>
        <v/>
      </c>
      <c r="P1279" t="str">
        <f t="shared" si="41"/>
        <v/>
      </c>
      <c r="Q1279" t="str">
        <f>IFERROR(VLOOKUP(D1279,'Team Data'!C:AB,15,FALSE),"")</f>
        <v/>
      </c>
      <c r="R1279" t="str">
        <f>IFERROR(VLOOKUP('OB Format'!D1279,'Team Data'!C:AB,24,FALSE),"")</f>
        <v/>
      </c>
      <c r="S1279" t="str">
        <f>IFERROR(VLOOKUP('OB Format'!D1279,'Team Data'!C:AC,25,FALSE),"")</f>
        <v/>
      </c>
    </row>
    <row r="1280" spans="5:19" x14ac:dyDescent="0.25">
      <c r="E1280" t="str">
        <f>IFERROR(VLOOKUP(D1280,'Team Data'!C:AB,4,FALSE),"")</f>
        <v/>
      </c>
      <c r="F1280" t="str">
        <f>IFERROR(VLOOKUP(D1280,'Team Data'!C:AB,5,FALSE),"")</f>
        <v/>
      </c>
      <c r="G1280" t="str">
        <f>IFERROR(VLOOKUP('OB Format'!D1280,'Team Data'!C:AB,17,FALSE),"")</f>
        <v/>
      </c>
      <c r="H1280" t="str">
        <f>IFERROR(VLOOKUP(D1280,'Team Data'!C:AB,7,FALSE),"")</f>
        <v/>
      </c>
      <c r="I1280" t="str">
        <f>IFERROR(VLOOKUP(D1280,'Team Data'!C:AB,14,FALSE),"")</f>
        <v/>
      </c>
      <c r="J1280" t="str">
        <f>IFERROR(VLOOKUP(D1280,'Team Data'!C:AB,8,FALSE),"")</f>
        <v/>
      </c>
      <c r="K1280" t="str">
        <f>IFERROR(VLOOKUP(D1280,'Team Data'!C:AB,9,FALSE),"")</f>
        <v/>
      </c>
      <c r="L1280" t="str">
        <f>IFERROR(VLOOKUP(D1280,'Team Data'!C:AB,10,FALSE),"")</f>
        <v/>
      </c>
      <c r="M1280" t="str">
        <f t="shared" si="40"/>
        <v/>
      </c>
      <c r="N1280" t="str">
        <f>IFERROR(VLOOKUP(D1280,'Team Data'!C:AB,23,FALSE),"")</f>
        <v/>
      </c>
      <c r="O1280" t="str">
        <f>IFERROR(VLOOKUP(D1280,'Team Data'!C:AB,22,FALSE),"")</f>
        <v/>
      </c>
      <c r="P1280" t="str">
        <f t="shared" si="41"/>
        <v/>
      </c>
      <c r="Q1280" t="str">
        <f>IFERROR(VLOOKUP(D1280,'Team Data'!C:AB,15,FALSE),"")</f>
        <v/>
      </c>
      <c r="R1280" t="str">
        <f>IFERROR(VLOOKUP('OB Format'!D1280,'Team Data'!C:AB,24,FALSE),"")</f>
        <v/>
      </c>
      <c r="S1280" t="str">
        <f>IFERROR(VLOOKUP('OB Format'!D1280,'Team Data'!C:AC,25,FALSE),"")</f>
        <v/>
      </c>
    </row>
    <row r="1281" spans="5:19" x14ac:dyDescent="0.25">
      <c r="E1281" t="str">
        <f>IFERROR(VLOOKUP(D1281,'Team Data'!C:AB,4,FALSE),"")</f>
        <v/>
      </c>
      <c r="F1281" t="str">
        <f>IFERROR(VLOOKUP(D1281,'Team Data'!C:AB,5,FALSE),"")</f>
        <v/>
      </c>
      <c r="G1281" t="str">
        <f>IFERROR(VLOOKUP('OB Format'!D1281,'Team Data'!C:AB,17,FALSE),"")</f>
        <v/>
      </c>
      <c r="H1281" t="str">
        <f>IFERROR(VLOOKUP(D1281,'Team Data'!C:AB,7,FALSE),"")</f>
        <v/>
      </c>
      <c r="I1281" t="str">
        <f>IFERROR(VLOOKUP(D1281,'Team Data'!C:AB,14,FALSE),"")</f>
        <v/>
      </c>
      <c r="J1281" t="str">
        <f>IFERROR(VLOOKUP(D1281,'Team Data'!C:AB,8,FALSE),"")</f>
        <v/>
      </c>
      <c r="K1281" t="str">
        <f>IFERROR(VLOOKUP(D1281,'Team Data'!C:AB,9,FALSE),"")</f>
        <v/>
      </c>
      <c r="L1281" t="str">
        <f>IFERROR(VLOOKUP(D1281,'Team Data'!C:AB,10,FALSE),"")</f>
        <v/>
      </c>
      <c r="M1281" t="str">
        <f t="shared" si="40"/>
        <v/>
      </c>
      <c r="N1281" t="str">
        <f>IFERROR(VLOOKUP(D1281,'Team Data'!C:AB,23,FALSE),"")</f>
        <v/>
      </c>
      <c r="O1281" t="str">
        <f>IFERROR(VLOOKUP(D1281,'Team Data'!C:AB,22,FALSE),"")</f>
        <v/>
      </c>
      <c r="P1281" t="str">
        <f t="shared" si="41"/>
        <v/>
      </c>
      <c r="Q1281" t="str">
        <f>IFERROR(VLOOKUP(D1281,'Team Data'!C:AB,15,FALSE),"")</f>
        <v/>
      </c>
      <c r="R1281" t="str">
        <f>IFERROR(VLOOKUP('OB Format'!D1281,'Team Data'!C:AB,24,FALSE),"")</f>
        <v/>
      </c>
      <c r="S1281" t="str">
        <f>IFERROR(VLOOKUP('OB Format'!D1281,'Team Data'!C:AC,25,FALSE),"")</f>
        <v/>
      </c>
    </row>
    <row r="1282" spans="5:19" x14ac:dyDescent="0.25">
      <c r="E1282" t="str">
        <f>IFERROR(VLOOKUP(D1282,'Team Data'!C:AB,4,FALSE),"")</f>
        <v/>
      </c>
      <c r="F1282" t="str">
        <f>IFERROR(VLOOKUP(D1282,'Team Data'!C:AB,5,FALSE),"")</f>
        <v/>
      </c>
      <c r="G1282" t="str">
        <f>IFERROR(VLOOKUP('OB Format'!D1282,'Team Data'!C:AB,17,FALSE),"")</f>
        <v/>
      </c>
      <c r="H1282" t="str">
        <f>IFERROR(VLOOKUP(D1282,'Team Data'!C:AB,7,FALSE),"")</f>
        <v/>
      </c>
      <c r="I1282" t="str">
        <f>IFERROR(VLOOKUP(D1282,'Team Data'!C:AB,14,FALSE),"")</f>
        <v/>
      </c>
      <c r="J1282" t="str">
        <f>IFERROR(VLOOKUP(D1282,'Team Data'!C:AB,8,FALSE),"")</f>
        <v/>
      </c>
      <c r="K1282" t="str">
        <f>IFERROR(VLOOKUP(D1282,'Team Data'!C:AB,9,FALSE),"")</f>
        <v/>
      </c>
      <c r="L1282" t="str">
        <f>IFERROR(VLOOKUP(D1282,'Team Data'!C:AB,10,FALSE),"")</f>
        <v/>
      </c>
      <c r="M1282" t="str">
        <f t="shared" si="40"/>
        <v/>
      </c>
      <c r="N1282" t="str">
        <f>IFERROR(VLOOKUP(D1282,'Team Data'!C:AB,23,FALSE),"")</f>
        <v/>
      </c>
      <c r="O1282" t="str">
        <f>IFERROR(VLOOKUP(D1282,'Team Data'!C:AB,22,FALSE),"")</f>
        <v/>
      </c>
      <c r="P1282" t="str">
        <f t="shared" si="41"/>
        <v/>
      </c>
      <c r="Q1282" t="str">
        <f>IFERROR(VLOOKUP(D1282,'Team Data'!C:AB,15,FALSE),"")</f>
        <v/>
      </c>
      <c r="R1282" t="str">
        <f>IFERROR(VLOOKUP('OB Format'!D1282,'Team Data'!C:AB,24,FALSE),"")</f>
        <v/>
      </c>
      <c r="S1282" t="str">
        <f>IFERROR(VLOOKUP('OB Format'!D1282,'Team Data'!C:AC,25,FALSE),"")</f>
        <v/>
      </c>
    </row>
    <row r="1283" spans="5:19" x14ac:dyDescent="0.25">
      <c r="E1283" t="str">
        <f>IFERROR(VLOOKUP(D1283,'Team Data'!C:AB,4,FALSE),"")</f>
        <v/>
      </c>
      <c r="F1283" t="str">
        <f>IFERROR(VLOOKUP(D1283,'Team Data'!C:AB,5,FALSE),"")</f>
        <v/>
      </c>
      <c r="G1283" t="str">
        <f>IFERROR(VLOOKUP('OB Format'!D1283,'Team Data'!C:AB,17,FALSE),"")</f>
        <v/>
      </c>
      <c r="H1283" t="str">
        <f>IFERROR(VLOOKUP(D1283,'Team Data'!C:AB,7,FALSE),"")</f>
        <v/>
      </c>
      <c r="I1283" t="str">
        <f>IFERROR(VLOOKUP(D1283,'Team Data'!C:AB,14,FALSE),"")</f>
        <v/>
      </c>
      <c r="J1283" t="str">
        <f>IFERROR(VLOOKUP(D1283,'Team Data'!C:AB,8,FALSE),"")</f>
        <v/>
      </c>
      <c r="K1283" t="str">
        <f>IFERROR(VLOOKUP(D1283,'Team Data'!C:AB,9,FALSE),"")</f>
        <v/>
      </c>
      <c r="L1283" t="str">
        <f>IFERROR(VLOOKUP(D1283,'Team Data'!C:AB,10,FALSE),"")</f>
        <v/>
      </c>
      <c r="M1283" t="str">
        <f t="shared" si="40"/>
        <v/>
      </c>
      <c r="N1283" t="str">
        <f>IFERROR(VLOOKUP(D1283,'Team Data'!C:AB,23,FALSE),"")</f>
        <v/>
      </c>
      <c r="O1283" t="str">
        <f>IFERROR(VLOOKUP(D1283,'Team Data'!C:AB,22,FALSE),"")</f>
        <v/>
      </c>
      <c r="P1283" t="str">
        <f t="shared" si="41"/>
        <v/>
      </c>
      <c r="Q1283" t="str">
        <f>IFERROR(VLOOKUP(D1283,'Team Data'!C:AB,15,FALSE),"")</f>
        <v/>
      </c>
      <c r="R1283" t="str">
        <f>IFERROR(VLOOKUP('OB Format'!D1283,'Team Data'!C:AB,24,FALSE),"")</f>
        <v/>
      </c>
      <c r="S1283" t="str">
        <f>IFERROR(VLOOKUP('OB Format'!D1283,'Team Data'!C:AC,25,FALSE),"")</f>
        <v/>
      </c>
    </row>
    <row r="1284" spans="5:19" x14ac:dyDescent="0.25">
      <c r="E1284" t="str">
        <f>IFERROR(VLOOKUP(D1284,'Team Data'!C:AB,4,FALSE),"")</f>
        <v/>
      </c>
      <c r="F1284" t="str">
        <f>IFERROR(VLOOKUP(D1284,'Team Data'!C:AB,5,FALSE),"")</f>
        <v/>
      </c>
      <c r="G1284" t="str">
        <f>IFERROR(VLOOKUP('OB Format'!D1284,'Team Data'!C:AB,17,FALSE),"")</f>
        <v/>
      </c>
      <c r="H1284" t="str">
        <f>IFERROR(VLOOKUP(D1284,'Team Data'!C:AB,7,FALSE),"")</f>
        <v/>
      </c>
      <c r="I1284" t="str">
        <f>IFERROR(VLOOKUP(D1284,'Team Data'!C:AB,14,FALSE),"")</f>
        <v/>
      </c>
      <c r="J1284" t="str">
        <f>IFERROR(VLOOKUP(D1284,'Team Data'!C:AB,8,FALSE),"")</f>
        <v/>
      </c>
      <c r="K1284" t="str">
        <f>IFERROR(VLOOKUP(D1284,'Team Data'!C:AB,9,FALSE),"")</f>
        <v/>
      </c>
      <c r="L1284" t="str">
        <f>IFERROR(VLOOKUP(D1284,'Team Data'!C:AB,10,FALSE),"")</f>
        <v/>
      </c>
      <c r="M1284" t="str">
        <f t="shared" si="40"/>
        <v/>
      </c>
      <c r="N1284" t="str">
        <f>IFERROR(VLOOKUP(D1284,'Team Data'!C:AB,23,FALSE),"")</f>
        <v/>
      </c>
      <c r="O1284" t="str">
        <f>IFERROR(VLOOKUP(D1284,'Team Data'!C:AB,22,FALSE),"")</f>
        <v/>
      </c>
      <c r="P1284" t="str">
        <f t="shared" si="41"/>
        <v/>
      </c>
      <c r="Q1284" t="str">
        <f>IFERROR(VLOOKUP(D1284,'Team Data'!C:AB,15,FALSE),"")</f>
        <v/>
      </c>
      <c r="R1284" t="str">
        <f>IFERROR(VLOOKUP('OB Format'!D1284,'Team Data'!C:AB,24,FALSE),"")</f>
        <v/>
      </c>
      <c r="S1284" t="str">
        <f>IFERROR(VLOOKUP('OB Format'!D1284,'Team Data'!C:AC,25,FALSE),"")</f>
        <v/>
      </c>
    </row>
    <row r="1285" spans="5:19" x14ac:dyDescent="0.25">
      <c r="E1285" t="str">
        <f>IFERROR(VLOOKUP(D1285,'Team Data'!C:AB,4,FALSE),"")</f>
        <v/>
      </c>
      <c r="F1285" t="str">
        <f>IFERROR(VLOOKUP(D1285,'Team Data'!C:AB,5,FALSE),"")</f>
        <v/>
      </c>
      <c r="G1285" t="str">
        <f>IFERROR(VLOOKUP('OB Format'!D1285,'Team Data'!C:AB,17,FALSE),"")</f>
        <v/>
      </c>
      <c r="H1285" t="str">
        <f>IFERROR(VLOOKUP(D1285,'Team Data'!C:AB,7,FALSE),"")</f>
        <v/>
      </c>
      <c r="I1285" t="str">
        <f>IFERROR(VLOOKUP(D1285,'Team Data'!C:AB,14,FALSE),"")</f>
        <v/>
      </c>
      <c r="J1285" t="str">
        <f>IFERROR(VLOOKUP(D1285,'Team Data'!C:AB,8,FALSE),"")</f>
        <v/>
      </c>
      <c r="K1285" t="str">
        <f>IFERROR(VLOOKUP(D1285,'Team Data'!C:AB,9,FALSE),"")</f>
        <v/>
      </c>
      <c r="L1285" t="str">
        <f>IFERROR(VLOOKUP(D1285,'Team Data'!C:AB,10,FALSE),"")</f>
        <v/>
      </c>
      <c r="M1285" t="str">
        <f t="shared" si="40"/>
        <v/>
      </c>
      <c r="N1285" t="str">
        <f>IFERROR(VLOOKUP(D1285,'Team Data'!C:AB,23,FALSE),"")</f>
        <v/>
      </c>
      <c r="O1285" t="str">
        <f>IFERROR(VLOOKUP(D1285,'Team Data'!C:AB,22,FALSE),"")</f>
        <v/>
      </c>
      <c r="P1285" t="str">
        <f t="shared" si="41"/>
        <v/>
      </c>
      <c r="Q1285" t="str">
        <f>IFERROR(VLOOKUP(D1285,'Team Data'!C:AB,15,FALSE),"")</f>
        <v/>
      </c>
      <c r="R1285" t="str">
        <f>IFERROR(VLOOKUP('OB Format'!D1285,'Team Data'!C:AB,24,FALSE),"")</f>
        <v/>
      </c>
      <c r="S1285" t="str">
        <f>IFERROR(VLOOKUP('OB Format'!D1285,'Team Data'!C:AC,25,FALSE),"")</f>
        <v/>
      </c>
    </row>
    <row r="1286" spans="5:19" x14ac:dyDescent="0.25">
      <c r="E1286" t="str">
        <f>IFERROR(VLOOKUP(D1286,'Team Data'!C:AB,4,FALSE),"")</f>
        <v/>
      </c>
      <c r="F1286" t="str">
        <f>IFERROR(VLOOKUP(D1286,'Team Data'!C:AB,5,FALSE),"")</f>
        <v/>
      </c>
      <c r="G1286" t="str">
        <f>IFERROR(VLOOKUP('OB Format'!D1286,'Team Data'!C:AB,17,FALSE),"")</f>
        <v/>
      </c>
      <c r="H1286" t="str">
        <f>IFERROR(VLOOKUP(D1286,'Team Data'!C:AB,7,FALSE),"")</f>
        <v/>
      </c>
      <c r="I1286" t="str">
        <f>IFERROR(VLOOKUP(D1286,'Team Data'!C:AB,14,FALSE),"")</f>
        <v/>
      </c>
      <c r="J1286" t="str">
        <f>IFERROR(VLOOKUP(D1286,'Team Data'!C:AB,8,FALSE),"")</f>
        <v/>
      </c>
      <c r="K1286" t="str">
        <f>IFERROR(VLOOKUP(D1286,'Team Data'!C:AB,9,FALSE),"")</f>
        <v/>
      </c>
      <c r="L1286" t="str">
        <f>IFERROR(VLOOKUP(D1286,'Team Data'!C:AB,10,FALSE),"")</f>
        <v/>
      </c>
      <c r="M1286" t="str">
        <f t="shared" si="40"/>
        <v/>
      </c>
      <c r="N1286" t="str">
        <f>IFERROR(VLOOKUP(D1286,'Team Data'!C:AB,23,FALSE),"")</f>
        <v/>
      </c>
      <c r="O1286" t="str">
        <f>IFERROR(VLOOKUP(D1286,'Team Data'!C:AB,22,FALSE),"")</f>
        <v/>
      </c>
      <c r="P1286" t="str">
        <f t="shared" si="41"/>
        <v/>
      </c>
      <c r="Q1286" t="str">
        <f>IFERROR(VLOOKUP(D1286,'Team Data'!C:AB,15,FALSE),"")</f>
        <v/>
      </c>
      <c r="R1286" t="str">
        <f>IFERROR(VLOOKUP('OB Format'!D1286,'Team Data'!C:AB,24,FALSE),"")</f>
        <v/>
      </c>
      <c r="S1286" t="str">
        <f>IFERROR(VLOOKUP('OB Format'!D1286,'Team Data'!C:AC,25,FALSE),"")</f>
        <v/>
      </c>
    </row>
    <row r="1287" spans="5:19" x14ac:dyDescent="0.25">
      <c r="E1287" t="str">
        <f>IFERROR(VLOOKUP(D1287,'Team Data'!C:AB,4,FALSE),"")</f>
        <v/>
      </c>
      <c r="F1287" t="str">
        <f>IFERROR(VLOOKUP(D1287,'Team Data'!C:AB,5,FALSE),"")</f>
        <v/>
      </c>
      <c r="G1287" t="str">
        <f>IFERROR(VLOOKUP('OB Format'!D1287,'Team Data'!C:AB,17,FALSE),"")</f>
        <v/>
      </c>
      <c r="H1287" t="str">
        <f>IFERROR(VLOOKUP(D1287,'Team Data'!C:AB,7,FALSE),"")</f>
        <v/>
      </c>
      <c r="I1287" t="str">
        <f>IFERROR(VLOOKUP(D1287,'Team Data'!C:AB,14,FALSE),"")</f>
        <v/>
      </c>
      <c r="J1287" t="str">
        <f>IFERROR(VLOOKUP(D1287,'Team Data'!C:AB,8,FALSE),"")</f>
        <v/>
      </c>
      <c r="K1287" t="str">
        <f>IFERROR(VLOOKUP(D1287,'Team Data'!C:AB,9,FALSE),"")</f>
        <v/>
      </c>
      <c r="L1287" t="str">
        <f>IFERROR(VLOOKUP(D1287,'Team Data'!C:AB,10,FALSE),"")</f>
        <v/>
      </c>
      <c r="M1287" t="str">
        <f t="shared" si="40"/>
        <v/>
      </c>
      <c r="N1287" t="str">
        <f>IFERROR(VLOOKUP(D1287,'Team Data'!C:AB,23,FALSE),"")</f>
        <v/>
      </c>
      <c r="O1287" t="str">
        <f>IFERROR(VLOOKUP(D1287,'Team Data'!C:AB,22,FALSE),"")</f>
        <v/>
      </c>
      <c r="P1287" t="str">
        <f t="shared" si="41"/>
        <v/>
      </c>
      <c r="Q1287" t="str">
        <f>IFERROR(VLOOKUP(D1287,'Team Data'!C:AB,15,FALSE),"")</f>
        <v/>
      </c>
      <c r="R1287" t="str">
        <f>IFERROR(VLOOKUP('OB Format'!D1287,'Team Data'!C:AB,24,FALSE),"")</f>
        <v/>
      </c>
      <c r="S1287" t="str">
        <f>IFERROR(VLOOKUP('OB Format'!D1287,'Team Data'!C:AC,25,FALSE),"")</f>
        <v/>
      </c>
    </row>
    <row r="1288" spans="5:19" x14ac:dyDescent="0.25">
      <c r="E1288" t="str">
        <f>IFERROR(VLOOKUP(D1288,'Team Data'!C:AB,4,FALSE),"")</f>
        <v/>
      </c>
      <c r="F1288" t="str">
        <f>IFERROR(VLOOKUP(D1288,'Team Data'!C:AB,5,FALSE),"")</f>
        <v/>
      </c>
      <c r="G1288" t="str">
        <f>IFERROR(VLOOKUP('OB Format'!D1288,'Team Data'!C:AB,17,FALSE),"")</f>
        <v/>
      </c>
      <c r="H1288" t="str">
        <f>IFERROR(VLOOKUP(D1288,'Team Data'!C:AB,7,FALSE),"")</f>
        <v/>
      </c>
      <c r="I1288" t="str">
        <f>IFERROR(VLOOKUP(D1288,'Team Data'!C:AB,14,FALSE),"")</f>
        <v/>
      </c>
      <c r="J1288" t="str">
        <f>IFERROR(VLOOKUP(D1288,'Team Data'!C:AB,8,FALSE),"")</f>
        <v/>
      </c>
      <c r="K1288" t="str">
        <f>IFERROR(VLOOKUP(D1288,'Team Data'!C:AB,9,FALSE),"")</f>
        <v/>
      </c>
      <c r="L1288" t="str">
        <f>IFERROR(VLOOKUP(D1288,'Team Data'!C:AB,10,FALSE),"")</f>
        <v/>
      </c>
      <c r="M1288" t="str">
        <f t="shared" si="40"/>
        <v/>
      </c>
      <c r="N1288" t="str">
        <f>IFERROR(VLOOKUP(D1288,'Team Data'!C:AB,23,FALSE),"")</f>
        <v/>
      </c>
      <c r="O1288" t="str">
        <f>IFERROR(VLOOKUP(D1288,'Team Data'!C:AB,22,FALSE),"")</f>
        <v/>
      </c>
      <c r="P1288" t="str">
        <f t="shared" si="41"/>
        <v/>
      </c>
      <c r="Q1288" t="str">
        <f>IFERROR(VLOOKUP(D1288,'Team Data'!C:AB,15,FALSE),"")</f>
        <v/>
      </c>
      <c r="R1288" t="str">
        <f>IFERROR(VLOOKUP('OB Format'!D1288,'Team Data'!C:AB,24,FALSE),"")</f>
        <v/>
      </c>
      <c r="S1288" t="str">
        <f>IFERROR(VLOOKUP('OB Format'!D1288,'Team Data'!C:AC,25,FALSE),"")</f>
        <v/>
      </c>
    </row>
    <row r="1289" spans="5:19" x14ac:dyDescent="0.25">
      <c r="E1289" t="str">
        <f>IFERROR(VLOOKUP(D1289,'Team Data'!C:AB,4,FALSE),"")</f>
        <v/>
      </c>
      <c r="F1289" t="str">
        <f>IFERROR(VLOOKUP(D1289,'Team Data'!C:AB,5,FALSE),"")</f>
        <v/>
      </c>
      <c r="G1289" t="str">
        <f>IFERROR(VLOOKUP('OB Format'!D1289,'Team Data'!C:AB,17,FALSE),"")</f>
        <v/>
      </c>
      <c r="H1289" t="str">
        <f>IFERROR(VLOOKUP(D1289,'Team Data'!C:AB,7,FALSE),"")</f>
        <v/>
      </c>
      <c r="I1289" t="str">
        <f>IFERROR(VLOOKUP(D1289,'Team Data'!C:AB,14,FALSE),"")</f>
        <v/>
      </c>
      <c r="J1289" t="str">
        <f>IFERROR(VLOOKUP(D1289,'Team Data'!C:AB,8,FALSE),"")</f>
        <v/>
      </c>
      <c r="K1289" t="str">
        <f>IFERROR(VLOOKUP(D1289,'Team Data'!C:AB,9,FALSE),"")</f>
        <v/>
      </c>
      <c r="L1289" t="str">
        <f>IFERROR(VLOOKUP(D1289,'Team Data'!C:AB,10,FALSE),"")</f>
        <v/>
      </c>
      <c r="M1289" t="str">
        <f t="shared" si="40"/>
        <v/>
      </c>
      <c r="N1289" t="str">
        <f>IFERROR(VLOOKUP(D1289,'Team Data'!C:AB,23,FALSE),"")</f>
        <v/>
      </c>
      <c r="O1289" t="str">
        <f>IFERROR(VLOOKUP(D1289,'Team Data'!C:AB,22,FALSE),"")</f>
        <v/>
      </c>
      <c r="P1289" t="str">
        <f t="shared" si="41"/>
        <v/>
      </c>
      <c r="Q1289" t="str">
        <f>IFERROR(VLOOKUP(D1289,'Team Data'!C:AB,15,FALSE),"")</f>
        <v/>
      </c>
      <c r="R1289" t="str">
        <f>IFERROR(VLOOKUP('OB Format'!D1289,'Team Data'!C:AB,24,FALSE),"")</f>
        <v/>
      </c>
      <c r="S1289" t="str">
        <f>IFERROR(VLOOKUP('OB Format'!D1289,'Team Data'!C:AC,25,FALSE),"")</f>
        <v/>
      </c>
    </row>
    <row r="1290" spans="5:19" x14ac:dyDescent="0.25">
      <c r="E1290" t="str">
        <f>IFERROR(VLOOKUP(D1290,'Team Data'!C:AB,4,FALSE),"")</f>
        <v/>
      </c>
      <c r="F1290" t="str">
        <f>IFERROR(VLOOKUP(D1290,'Team Data'!C:AB,5,FALSE),"")</f>
        <v/>
      </c>
      <c r="G1290" t="str">
        <f>IFERROR(VLOOKUP('OB Format'!D1290,'Team Data'!C:AB,17,FALSE),"")</f>
        <v/>
      </c>
      <c r="H1290" t="str">
        <f>IFERROR(VLOOKUP(D1290,'Team Data'!C:AB,7,FALSE),"")</f>
        <v/>
      </c>
      <c r="I1290" t="str">
        <f>IFERROR(VLOOKUP(D1290,'Team Data'!C:AB,14,FALSE),"")</f>
        <v/>
      </c>
      <c r="J1290" t="str">
        <f>IFERROR(VLOOKUP(D1290,'Team Data'!C:AB,8,FALSE),"")</f>
        <v/>
      </c>
      <c r="K1290" t="str">
        <f>IFERROR(VLOOKUP(D1290,'Team Data'!C:AB,9,FALSE),"")</f>
        <v/>
      </c>
      <c r="L1290" t="str">
        <f>IFERROR(VLOOKUP(D1290,'Team Data'!C:AB,10,FALSE),"")</f>
        <v/>
      </c>
      <c r="M1290" t="str">
        <f t="shared" si="40"/>
        <v/>
      </c>
      <c r="N1290" t="str">
        <f>IFERROR(VLOOKUP(D1290,'Team Data'!C:AB,23,FALSE),"")</f>
        <v/>
      </c>
      <c r="O1290" t="str">
        <f>IFERROR(VLOOKUP(D1290,'Team Data'!C:AB,22,FALSE),"")</f>
        <v/>
      </c>
      <c r="P1290" t="str">
        <f t="shared" si="41"/>
        <v/>
      </c>
      <c r="Q1290" t="str">
        <f>IFERROR(VLOOKUP(D1290,'Team Data'!C:AB,15,FALSE),"")</f>
        <v/>
      </c>
      <c r="R1290" t="str">
        <f>IFERROR(VLOOKUP('OB Format'!D1290,'Team Data'!C:AB,24,FALSE),"")</f>
        <v/>
      </c>
      <c r="S1290" t="str">
        <f>IFERROR(VLOOKUP('OB Format'!D1290,'Team Data'!C:AC,25,FALSE),"")</f>
        <v/>
      </c>
    </row>
    <row r="1291" spans="5:19" x14ac:dyDescent="0.25">
      <c r="E1291" t="str">
        <f>IFERROR(VLOOKUP(D1291,'Team Data'!C:AB,4,FALSE),"")</f>
        <v/>
      </c>
      <c r="F1291" t="str">
        <f>IFERROR(VLOOKUP(D1291,'Team Data'!C:AB,5,FALSE),"")</f>
        <v/>
      </c>
      <c r="G1291" t="str">
        <f>IFERROR(VLOOKUP('OB Format'!D1291,'Team Data'!C:AB,17,FALSE),"")</f>
        <v/>
      </c>
      <c r="H1291" t="str">
        <f>IFERROR(VLOOKUP(D1291,'Team Data'!C:AB,7,FALSE),"")</f>
        <v/>
      </c>
      <c r="I1291" t="str">
        <f>IFERROR(VLOOKUP(D1291,'Team Data'!C:AB,14,FALSE),"")</f>
        <v/>
      </c>
      <c r="J1291" t="str">
        <f>IFERROR(VLOOKUP(D1291,'Team Data'!C:AB,8,FALSE),"")</f>
        <v/>
      </c>
      <c r="K1291" t="str">
        <f>IFERROR(VLOOKUP(D1291,'Team Data'!C:AB,9,FALSE),"")</f>
        <v/>
      </c>
      <c r="L1291" t="str">
        <f>IFERROR(VLOOKUP(D1291,'Team Data'!C:AB,10,FALSE),"")</f>
        <v/>
      </c>
      <c r="M1291" t="str">
        <f t="shared" si="40"/>
        <v/>
      </c>
      <c r="N1291" t="str">
        <f>IFERROR(VLOOKUP(D1291,'Team Data'!C:AB,23,FALSE),"")</f>
        <v/>
      </c>
      <c r="O1291" t="str">
        <f>IFERROR(VLOOKUP(D1291,'Team Data'!C:AB,22,FALSE),"")</f>
        <v/>
      </c>
      <c r="P1291" t="str">
        <f t="shared" si="41"/>
        <v/>
      </c>
      <c r="Q1291" t="str">
        <f>IFERROR(VLOOKUP(D1291,'Team Data'!C:AB,15,FALSE),"")</f>
        <v/>
      </c>
      <c r="R1291" t="str">
        <f>IFERROR(VLOOKUP('OB Format'!D1291,'Team Data'!C:AB,24,FALSE),"")</f>
        <v/>
      </c>
      <c r="S1291" t="str">
        <f>IFERROR(VLOOKUP('OB Format'!D1291,'Team Data'!C:AC,25,FALSE),"")</f>
        <v/>
      </c>
    </row>
    <row r="1292" spans="5:19" x14ac:dyDescent="0.25">
      <c r="E1292" t="str">
        <f>IFERROR(VLOOKUP(D1292,'Team Data'!C:AB,4,FALSE),"")</f>
        <v/>
      </c>
      <c r="F1292" t="str">
        <f>IFERROR(VLOOKUP(D1292,'Team Data'!C:AB,5,FALSE),"")</f>
        <v/>
      </c>
      <c r="G1292" t="str">
        <f>IFERROR(VLOOKUP('OB Format'!D1292,'Team Data'!C:AB,17,FALSE),"")</f>
        <v/>
      </c>
      <c r="H1292" t="str">
        <f>IFERROR(VLOOKUP(D1292,'Team Data'!C:AB,7,FALSE),"")</f>
        <v/>
      </c>
      <c r="I1292" t="str">
        <f>IFERROR(VLOOKUP(D1292,'Team Data'!C:AB,14,FALSE),"")</f>
        <v/>
      </c>
      <c r="J1292" t="str">
        <f>IFERROR(VLOOKUP(D1292,'Team Data'!C:AB,8,FALSE),"")</f>
        <v/>
      </c>
      <c r="K1292" t="str">
        <f>IFERROR(VLOOKUP(D1292,'Team Data'!C:AB,9,FALSE),"")</f>
        <v/>
      </c>
      <c r="L1292" t="str">
        <f>IFERROR(VLOOKUP(D1292,'Team Data'!C:AB,10,FALSE),"")</f>
        <v/>
      </c>
      <c r="M1292" t="str">
        <f t="shared" si="40"/>
        <v/>
      </c>
      <c r="N1292" t="str">
        <f>IFERROR(VLOOKUP(D1292,'Team Data'!C:AB,23,FALSE),"")</f>
        <v/>
      </c>
      <c r="O1292" t="str">
        <f>IFERROR(VLOOKUP(D1292,'Team Data'!C:AB,22,FALSE),"")</f>
        <v/>
      </c>
      <c r="P1292" t="str">
        <f t="shared" si="41"/>
        <v/>
      </c>
      <c r="Q1292" t="str">
        <f>IFERROR(VLOOKUP(D1292,'Team Data'!C:AB,15,FALSE),"")</f>
        <v/>
      </c>
      <c r="R1292" t="str">
        <f>IFERROR(VLOOKUP('OB Format'!D1292,'Team Data'!C:AB,24,FALSE),"")</f>
        <v/>
      </c>
      <c r="S1292" t="str">
        <f>IFERROR(VLOOKUP('OB Format'!D1292,'Team Data'!C:AC,25,FALSE),"")</f>
        <v/>
      </c>
    </row>
    <row r="1293" spans="5:19" x14ac:dyDescent="0.25">
      <c r="E1293" t="str">
        <f>IFERROR(VLOOKUP(D1293,'Team Data'!C:AB,4,FALSE),"")</f>
        <v/>
      </c>
      <c r="F1293" t="str">
        <f>IFERROR(VLOOKUP(D1293,'Team Data'!C:AB,5,FALSE),"")</f>
        <v/>
      </c>
      <c r="G1293" t="str">
        <f>IFERROR(VLOOKUP('OB Format'!D1293,'Team Data'!C:AB,17,FALSE),"")</f>
        <v/>
      </c>
      <c r="H1293" t="str">
        <f>IFERROR(VLOOKUP(D1293,'Team Data'!C:AB,7,FALSE),"")</f>
        <v/>
      </c>
      <c r="I1293" t="str">
        <f>IFERROR(VLOOKUP(D1293,'Team Data'!C:AB,14,FALSE),"")</f>
        <v/>
      </c>
      <c r="J1293" t="str">
        <f>IFERROR(VLOOKUP(D1293,'Team Data'!C:AB,8,FALSE),"")</f>
        <v/>
      </c>
      <c r="K1293" t="str">
        <f>IFERROR(VLOOKUP(D1293,'Team Data'!C:AB,9,FALSE),"")</f>
        <v/>
      </c>
      <c r="L1293" t="str">
        <f>IFERROR(VLOOKUP(D1293,'Team Data'!C:AB,10,FALSE),"")</f>
        <v/>
      </c>
      <c r="M1293" t="str">
        <f t="shared" ref="M1293:M1356" si="42">IFERROR(H1293-(J1293+L1293+K1293),"")</f>
        <v/>
      </c>
      <c r="N1293" t="str">
        <f>IFERROR(VLOOKUP(D1293,'Team Data'!C:AB,23,FALSE),"")</f>
        <v/>
      </c>
      <c r="O1293" t="str">
        <f>IFERROR(VLOOKUP(D1293,'Team Data'!C:AB,22,FALSE),"")</f>
        <v/>
      </c>
      <c r="P1293" t="str">
        <f t="shared" ref="P1293:P1356" si="43">IFERROR(E1293-(H1293+N1293+Q1293+I1293+O1293),"")</f>
        <v/>
      </c>
      <c r="Q1293" t="str">
        <f>IFERROR(VLOOKUP(D1293,'Team Data'!C:AB,15,FALSE),"")</f>
        <v/>
      </c>
      <c r="R1293" t="str">
        <f>IFERROR(VLOOKUP('OB Format'!D1293,'Team Data'!C:AB,24,FALSE),"")</f>
        <v/>
      </c>
      <c r="S1293" t="str">
        <f>IFERROR(VLOOKUP('OB Format'!D1293,'Team Data'!C:AC,25,FALSE),"")</f>
        <v/>
      </c>
    </row>
    <row r="1294" spans="5:19" x14ac:dyDescent="0.25">
      <c r="E1294" t="str">
        <f>IFERROR(VLOOKUP(D1294,'Team Data'!C:AB,4,FALSE),"")</f>
        <v/>
      </c>
      <c r="F1294" t="str">
        <f>IFERROR(VLOOKUP(D1294,'Team Data'!C:AB,5,FALSE),"")</f>
        <v/>
      </c>
      <c r="G1294" t="str">
        <f>IFERROR(VLOOKUP('OB Format'!D1294,'Team Data'!C:AB,17,FALSE),"")</f>
        <v/>
      </c>
      <c r="H1294" t="str">
        <f>IFERROR(VLOOKUP(D1294,'Team Data'!C:AB,7,FALSE),"")</f>
        <v/>
      </c>
      <c r="I1294" t="str">
        <f>IFERROR(VLOOKUP(D1294,'Team Data'!C:AB,14,FALSE),"")</f>
        <v/>
      </c>
      <c r="J1294" t="str">
        <f>IFERROR(VLOOKUP(D1294,'Team Data'!C:AB,8,FALSE),"")</f>
        <v/>
      </c>
      <c r="K1294" t="str">
        <f>IFERROR(VLOOKUP(D1294,'Team Data'!C:AB,9,FALSE),"")</f>
        <v/>
      </c>
      <c r="L1294" t="str">
        <f>IFERROR(VLOOKUP(D1294,'Team Data'!C:AB,10,FALSE),"")</f>
        <v/>
      </c>
      <c r="M1294" t="str">
        <f t="shared" si="42"/>
        <v/>
      </c>
      <c r="N1294" t="str">
        <f>IFERROR(VLOOKUP(D1294,'Team Data'!C:AB,23,FALSE),"")</f>
        <v/>
      </c>
      <c r="O1294" t="str">
        <f>IFERROR(VLOOKUP(D1294,'Team Data'!C:AB,22,FALSE),"")</f>
        <v/>
      </c>
      <c r="P1294" t="str">
        <f t="shared" si="43"/>
        <v/>
      </c>
      <c r="Q1294" t="str">
        <f>IFERROR(VLOOKUP(D1294,'Team Data'!C:AB,15,FALSE),"")</f>
        <v/>
      </c>
      <c r="R1294" t="str">
        <f>IFERROR(VLOOKUP('OB Format'!D1294,'Team Data'!C:AB,24,FALSE),"")</f>
        <v/>
      </c>
      <c r="S1294" t="str">
        <f>IFERROR(VLOOKUP('OB Format'!D1294,'Team Data'!C:AC,25,FALSE),"")</f>
        <v/>
      </c>
    </row>
    <row r="1295" spans="5:19" x14ac:dyDescent="0.25">
      <c r="E1295" t="str">
        <f>IFERROR(VLOOKUP(D1295,'Team Data'!C:AB,4,FALSE),"")</f>
        <v/>
      </c>
      <c r="F1295" t="str">
        <f>IFERROR(VLOOKUP(D1295,'Team Data'!C:AB,5,FALSE),"")</f>
        <v/>
      </c>
      <c r="G1295" t="str">
        <f>IFERROR(VLOOKUP('OB Format'!D1295,'Team Data'!C:AB,17,FALSE),"")</f>
        <v/>
      </c>
      <c r="H1295" t="str">
        <f>IFERROR(VLOOKUP(D1295,'Team Data'!C:AB,7,FALSE),"")</f>
        <v/>
      </c>
      <c r="I1295" t="str">
        <f>IFERROR(VLOOKUP(D1295,'Team Data'!C:AB,14,FALSE),"")</f>
        <v/>
      </c>
      <c r="J1295" t="str">
        <f>IFERROR(VLOOKUP(D1295,'Team Data'!C:AB,8,FALSE),"")</f>
        <v/>
      </c>
      <c r="K1295" t="str">
        <f>IFERROR(VLOOKUP(D1295,'Team Data'!C:AB,9,FALSE),"")</f>
        <v/>
      </c>
      <c r="L1295" t="str">
        <f>IFERROR(VLOOKUP(D1295,'Team Data'!C:AB,10,FALSE),"")</f>
        <v/>
      </c>
      <c r="M1295" t="str">
        <f t="shared" si="42"/>
        <v/>
      </c>
      <c r="N1295" t="str">
        <f>IFERROR(VLOOKUP(D1295,'Team Data'!C:AB,23,FALSE),"")</f>
        <v/>
      </c>
      <c r="O1295" t="str">
        <f>IFERROR(VLOOKUP(D1295,'Team Data'!C:AB,22,FALSE),"")</f>
        <v/>
      </c>
      <c r="P1295" t="str">
        <f t="shared" si="43"/>
        <v/>
      </c>
      <c r="Q1295" t="str">
        <f>IFERROR(VLOOKUP(D1295,'Team Data'!C:AB,15,FALSE),"")</f>
        <v/>
      </c>
      <c r="R1295" t="str">
        <f>IFERROR(VLOOKUP('OB Format'!D1295,'Team Data'!C:AB,24,FALSE),"")</f>
        <v/>
      </c>
      <c r="S1295" t="str">
        <f>IFERROR(VLOOKUP('OB Format'!D1295,'Team Data'!C:AC,25,FALSE),"")</f>
        <v/>
      </c>
    </row>
    <row r="1296" spans="5:19" x14ac:dyDescent="0.25">
      <c r="E1296" t="str">
        <f>IFERROR(VLOOKUP(D1296,'Team Data'!C:AB,4,FALSE),"")</f>
        <v/>
      </c>
      <c r="F1296" t="str">
        <f>IFERROR(VLOOKUP(D1296,'Team Data'!C:AB,5,FALSE),"")</f>
        <v/>
      </c>
      <c r="G1296" t="str">
        <f>IFERROR(VLOOKUP('OB Format'!D1296,'Team Data'!C:AB,17,FALSE),"")</f>
        <v/>
      </c>
      <c r="H1296" t="str">
        <f>IFERROR(VLOOKUP(D1296,'Team Data'!C:AB,7,FALSE),"")</f>
        <v/>
      </c>
      <c r="I1296" t="str">
        <f>IFERROR(VLOOKUP(D1296,'Team Data'!C:AB,14,FALSE),"")</f>
        <v/>
      </c>
      <c r="J1296" t="str">
        <f>IFERROR(VLOOKUP(D1296,'Team Data'!C:AB,8,FALSE),"")</f>
        <v/>
      </c>
      <c r="K1296" t="str">
        <f>IFERROR(VLOOKUP(D1296,'Team Data'!C:AB,9,FALSE),"")</f>
        <v/>
      </c>
      <c r="L1296" t="str">
        <f>IFERROR(VLOOKUP(D1296,'Team Data'!C:AB,10,FALSE),"")</f>
        <v/>
      </c>
      <c r="M1296" t="str">
        <f t="shared" si="42"/>
        <v/>
      </c>
      <c r="N1296" t="str">
        <f>IFERROR(VLOOKUP(D1296,'Team Data'!C:AB,23,FALSE),"")</f>
        <v/>
      </c>
      <c r="O1296" t="str">
        <f>IFERROR(VLOOKUP(D1296,'Team Data'!C:AB,22,FALSE),"")</f>
        <v/>
      </c>
      <c r="P1296" t="str">
        <f t="shared" si="43"/>
        <v/>
      </c>
      <c r="Q1296" t="str">
        <f>IFERROR(VLOOKUP(D1296,'Team Data'!C:AB,15,FALSE),"")</f>
        <v/>
      </c>
      <c r="R1296" t="str">
        <f>IFERROR(VLOOKUP('OB Format'!D1296,'Team Data'!C:AB,24,FALSE),"")</f>
        <v/>
      </c>
      <c r="S1296" t="str">
        <f>IFERROR(VLOOKUP('OB Format'!D1296,'Team Data'!C:AC,25,FALSE),"")</f>
        <v/>
      </c>
    </row>
    <row r="1297" spans="5:19" x14ac:dyDescent="0.25">
      <c r="E1297" t="str">
        <f>IFERROR(VLOOKUP(D1297,'Team Data'!C:AB,4,FALSE),"")</f>
        <v/>
      </c>
      <c r="F1297" t="str">
        <f>IFERROR(VLOOKUP(D1297,'Team Data'!C:AB,5,FALSE),"")</f>
        <v/>
      </c>
      <c r="G1297" t="str">
        <f>IFERROR(VLOOKUP('OB Format'!D1297,'Team Data'!C:AB,17,FALSE),"")</f>
        <v/>
      </c>
      <c r="H1297" t="str">
        <f>IFERROR(VLOOKUP(D1297,'Team Data'!C:AB,7,FALSE),"")</f>
        <v/>
      </c>
      <c r="I1297" t="str">
        <f>IFERROR(VLOOKUP(D1297,'Team Data'!C:AB,14,FALSE),"")</f>
        <v/>
      </c>
      <c r="J1297" t="str">
        <f>IFERROR(VLOOKUP(D1297,'Team Data'!C:AB,8,FALSE),"")</f>
        <v/>
      </c>
      <c r="K1297" t="str">
        <f>IFERROR(VLOOKUP(D1297,'Team Data'!C:AB,9,FALSE),"")</f>
        <v/>
      </c>
      <c r="L1297" t="str">
        <f>IFERROR(VLOOKUP(D1297,'Team Data'!C:AB,10,FALSE),"")</f>
        <v/>
      </c>
      <c r="M1297" t="str">
        <f t="shared" si="42"/>
        <v/>
      </c>
      <c r="N1297" t="str">
        <f>IFERROR(VLOOKUP(D1297,'Team Data'!C:AB,23,FALSE),"")</f>
        <v/>
      </c>
      <c r="O1297" t="str">
        <f>IFERROR(VLOOKUP(D1297,'Team Data'!C:AB,22,FALSE),"")</f>
        <v/>
      </c>
      <c r="P1297" t="str">
        <f t="shared" si="43"/>
        <v/>
      </c>
      <c r="Q1297" t="str">
        <f>IFERROR(VLOOKUP(D1297,'Team Data'!C:AB,15,FALSE),"")</f>
        <v/>
      </c>
      <c r="R1297" t="str">
        <f>IFERROR(VLOOKUP('OB Format'!D1297,'Team Data'!C:AB,24,FALSE),"")</f>
        <v/>
      </c>
      <c r="S1297" t="str">
        <f>IFERROR(VLOOKUP('OB Format'!D1297,'Team Data'!C:AC,25,FALSE),"")</f>
        <v/>
      </c>
    </row>
    <row r="1298" spans="5:19" x14ac:dyDescent="0.25">
      <c r="E1298" t="str">
        <f>IFERROR(VLOOKUP(D1298,'Team Data'!C:AB,4,FALSE),"")</f>
        <v/>
      </c>
      <c r="F1298" t="str">
        <f>IFERROR(VLOOKUP(D1298,'Team Data'!C:AB,5,FALSE),"")</f>
        <v/>
      </c>
      <c r="G1298" t="str">
        <f>IFERROR(VLOOKUP('OB Format'!D1298,'Team Data'!C:AB,17,FALSE),"")</f>
        <v/>
      </c>
      <c r="H1298" t="str">
        <f>IFERROR(VLOOKUP(D1298,'Team Data'!C:AB,7,FALSE),"")</f>
        <v/>
      </c>
      <c r="I1298" t="str">
        <f>IFERROR(VLOOKUP(D1298,'Team Data'!C:AB,14,FALSE),"")</f>
        <v/>
      </c>
      <c r="J1298" t="str">
        <f>IFERROR(VLOOKUP(D1298,'Team Data'!C:AB,8,FALSE),"")</f>
        <v/>
      </c>
      <c r="K1298" t="str">
        <f>IFERROR(VLOOKUP(D1298,'Team Data'!C:AB,9,FALSE),"")</f>
        <v/>
      </c>
      <c r="L1298" t="str">
        <f>IFERROR(VLOOKUP(D1298,'Team Data'!C:AB,10,FALSE),"")</f>
        <v/>
      </c>
      <c r="M1298" t="str">
        <f t="shared" si="42"/>
        <v/>
      </c>
      <c r="N1298" t="str">
        <f>IFERROR(VLOOKUP(D1298,'Team Data'!C:AB,23,FALSE),"")</f>
        <v/>
      </c>
      <c r="O1298" t="str">
        <f>IFERROR(VLOOKUP(D1298,'Team Data'!C:AB,22,FALSE),"")</f>
        <v/>
      </c>
      <c r="P1298" t="str">
        <f t="shared" si="43"/>
        <v/>
      </c>
      <c r="Q1298" t="str">
        <f>IFERROR(VLOOKUP(D1298,'Team Data'!C:AB,15,FALSE),"")</f>
        <v/>
      </c>
      <c r="R1298" t="str">
        <f>IFERROR(VLOOKUP('OB Format'!D1298,'Team Data'!C:AB,24,FALSE),"")</f>
        <v/>
      </c>
      <c r="S1298" t="str">
        <f>IFERROR(VLOOKUP('OB Format'!D1298,'Team Data'!C:AC,25,FALSE),"")</f>
        <v/>
      </c>
    </row>
    <row r="1299" spans="5:19" x14ac:dyDescent="0.25">
      <c r="E1299" t="str">
        <f>IFERROR(VLOOKUP(D1299,'Team Data'!C:AB,4,FALSE),"")</f>
        <v/>
      </c>
      <c r="F1299" t="str">
        <f>IFERROR(VLOOKUP(D1299,'Team Data'!C:AB,5,FALSE),"")</f>
        <v/>
      </c>
      <c r="G1299" t="str">
        <f>IFERROR(VLOOKUP('OB Format'!D1299,'Team Data'!C:AB,17,FALSE),"")</f>
        <v/>
      </c>
      <c r="H1299" t="str">
        <f>IFERROR(VLOOKUP(D1299,'Team Data'!C:AB,7,FALSE),"")</f>
        <v/>
      </c>
      <c r="I1299" t="str">
        <f>IFERROR(VLOOKUP(D1299,'Team Data'!C:AB,14,FALSE),"")</f>
        <v/>
      </c>
      <c r="J1299" t="str">
        <f>IFERROR(VLOOKUP(D1299,'Team Data'!C:AB,8,FALSE),"")</f>
        <v/>
      </c>
      <c r="K1299" t="str">
        <f>IFERROR(VLOOKUP(D1299,'Team Data'!C:AB,9,FALSE),"")</f>
        <v/>
      </c>
      <c r="L1299" t="str">
        <f>IFERROR(VLOOKUP(D1299,'Team Data'!C:AB,10,FALSE),"")</f>
        <v/>
      </c>
      <c r="M1299" t="str">
        <f t="shared" si="42"/>
        <v/>
      </c>
      <c r="N1299" t="str">
        <f>IFERROR(VLOOKUP(D1299,'Team Data'!C:AB,23,FALSE),"")</f>
        <v/>
      </c>
      <c r="O1299" t="str">
        <f>IFERROR(VLOOKUP(D1299,'Team Data'!C:AB,22,FALSE),"")</f>
        <v/>
      </c>
      <c r="P1299" t="str">
        <f t="shared" si="43"/>
        <v/>
      </c>
      <c r="Q1299" t="str">
        <f>IFERROR(VLOOKUP(D1299,'Team Data'!C:AB,15,FALSE),"")</f>
        <v/>
      </c>
      <c r="R1299" t="str">
        <f>IFERROR(VLOOKUP('OB Format'!D1299,'Team Data'!C:AB,24,FALSE),"")</f>
        <v/>
      </c>
      <c r="S1299" t="str">
        <f>IFERROR(VLOOKUP('OB Format'!D1299,'Team Data'!C:AC,25,FALSE),"")</f>
        <v/>
      </c>
    </row>
    <row r="1300" spans="5:19" x14ac:dyDescent="0.25">
      <c r="E1300" t="str">
        <f>IFERROR(VLOOKUP(D1300,'Team Data'!C:AB,4,FALSE),"")</f>
        <v/>
      </c>
      <c r="F1300" t="str">
        <f>IFERROR(VLOOKUP(D1300,'Team Data'!C:AB,5,FALSE),"")</f>
        <v/>
      </c>
      <c r="G1300" t="str">
        <f>IFERROR(VLOOKUP('OB Format'!D1300,'Team Data'!C:AB,17,FALSE),"")</f>
        <v/>
      </c>
      <c r="H1300" t="str">
        <f>IFERROR(VLOOKUP(D1300,'Team Data'!C:AB,7,FALSE),"")</f>
        <v/>
      </c>
      <c r="I1300" t="str">
        <f>IFERROR(VLOOKUP(D1300,'Team Data'!C:AB,14,FALSE),"")</f>
        <v/>
      </c>
      <c r="J1300" t="str">
        <f>IFERROR(VLOOKUP(D1300,'Team Data'!C:AB,8,FALSE),"")</f>
        <v/>
      </c>
      <c r="K1300" t="str">
        <f>IFERROR(VLOOKUP(D1300,'Team Data'!C:AB,9,FALSE),"")</f>
        <v/>
      </c>
      <c r="L1300" t="str">
        <f>IFERROR(VLOOKUP(D1300,'Team Data'!C:AB,10,FALSE),"")</f>
        <v/>
      </c>
      <c r="M1300" t="str">
        <f t="shared" si="42"/>
        <v/>
      </c>
      <c r="N1300" t="str">
        <f>IFERROR(VLOOKUP(D1300,'Team Data'!C:AB,23,FALSE),"")</f>
        <v/>
      </c>
      <c r="O1300" t="str">
        <f>IFERROR(VLOOKUP(D1300,'Team Data'!C:AB,22,FALSE),"")</f>
        <v/>
      </c>
      <c r="P1300" t="str">
        <f t="shared" si="43"/>
        <v/>
      </c>
      <c r="Q1300" t="str">
        <f>IFERROR(VLOOKUP(D1300,'Team Data'!C:AB,15,FALSE),"")</f>
        <v/>
      </c>
      <c r="R1300" t="str">
        <f>IFERROR(VLOOKUP('OB Format'!D1300,'Team Data'!C:AB,24,FALSE),"")</f>
        <v/>
      </c>
      <c r="S1300" t="str">
        <f>IFERROR(VLOOKUP('OB Format'!D1300,'Team Data'!C:AC,25,FALSE),"")</f>
        <v/>
      </c>
    </row>
    <row r="1301" spans="5:19" x14ac:dyDescent="0.25">
      <c r="E1301" t="str">
        <f>IFERROR(VLOOKUP(D1301,'Team Data'!C:AB,4,FALSE),"")</f>
        <v/>
      </c>
      <c r="F1301" t="str">
        <f>IFERROR(VLOOKUP(D1301,'Team Data'!C:AB,5,FALSE),"")</f>
        <v/>
      </c>
      <c r="G1301" t="str">
        <f>IFERROR(VLOOKUP('OB Format'!D1301,'Team Data'!C:AB,17,FALSE),"")</f>
        <v/>
      </c>
      <c r="H1301" t="str">
        <f>IFERROR(VLOOKUP(D1301,'Team Data'!C:AB,7,FALSE),"")</f>
        <v/>
      </c>
      <c r="I1301" t="str">
        <f>IFERROR(VLOOKUP(D1301,'Team Data'!C:AB,14,FALSE),"")</f>
        <v/>
      </c>
      <c r="J1301" t="str">
        <f>IFERROR(VLOOKUP(D1301,'Team Data'!C:AB,8,FALSE),"")</f>
        <v/>
      </c>
      <c r="K1301" t="str">
        <f>IFERROR(VLOOKUP(D1301,'Team Data'!C:AB,9,FALSE),"")</f>
        <v/>
      </c>
      <c r="L1301" t="str">
        <f>IFERROR(VLOOKUP(D1301,'Team Data'!C:AB,10,FALSE),"")</f>
        <v/>
      </c>
      <c r="M1301" t="str">
        <f t="shared" si="42"/>
        <v/>
      </c>
      <c r="N1301" t="str">
        <f>IFERROR(VLOOKUP(D1301,'Team Data'!C:AB,23,FALSE),"")</f>
        <v/>
      </c>
      <c r="O1301" t="str">
        <f>IFERROR(VLOOKUP(D1301,'Team Data'!C:AB,22,FALSE),"")</f>
        <v/>
      </c>
      <c r="P1301" t="str">
        <f t="shared" si="43"/>
        <v/>
      </c>
      <c r="Q1301" t="str">
        <f>IFERROR(VLOOKUP(D1301,'Team Data'!C:AB,15,FALSE),"")</f>
        <v/>
      </c>
      <c r="R1301" t="str">
        <f>IFERROR(VLOOKUP('OB Format'!D1301,'Team Data'!C:AB,24,FALSE),"")</f>
        <v/>
      </c>
      <c r="S1301" t="str">
        <f>IFERROR(VLOOKUP('OB Format'!D1301,'Team Data'!C:AC,25,FALSE),"")</f>
        <v/>
      </c>
    </row>
    <row r="1302" spans="5:19" x14ac:dyDescent="0.25">
      <c r="E1302" t="str">
        <f>IFERROR(VLOOKUP(D1302,'Team Data'!C:AB,4,FALSE),"")</f>
        <v/>
      </c>
      <c r="F1302" t="str">
        <f>IFERROR(VLOOKUP(D1302,'Team Data'!C:AB,5,FALSE),"")</f>
        <v/>
      </c>
      <c r="G1302" t="str">
        <f>IFERROR(VLOOKUP('OB Format'!D1302,'Team Data'!C:AB,17,FALSE),"")</f>
        <v/>
      </c>
      <c r="H1302" t="str">
        <f>IFERROR(VLOOKUP(D1302,'Team Data'!C:AB,7,FALSE),"")</f>
        <v/>
      </c>
      <c r="I1302" t="str">
        <f>IFERROR(VLOOKUP(D1302,'Team Data'!C:AB,14,FALSE),"")</f>
        <v/>
      </c>
      <c r="J1302" t="str">
        <f>IFERROR(VLOOKUP(D1302,'Team Data'!C:AB,8,FALSE),"")</f>
        <v/>
      </c>
      <c r="K1302" t="str">
        <f>IFERROR(VLOOKUP(D1302,'Team Data'!C:AB,9,FALSE),"")</f>
        <v/>
      </c>
      <c r="L1302" t="str">
        <f>IFERROR(VLOOKUP(D1302,'Team Data'!C:AB,10,FALSE),"")</f>
        <v/>
      </c>
      <c r="M1302" t="str">
        <f t="shared" si="42"/>
        <v/>
      </c>
      <c r="N1302" t="str">
        <f>IFERROR(VLOOKUP(D1302,'Team Data'!C:AB,23,FALSE),"")</f>
        <v/>
      </c>
      <c r="O1302" t="str">
        <f>IFERROR(VLOOKUP(D1302,'Team Data'!C:AB,22,FALSE),"")</f>
        <v/>
      </c>
      <c r="P1302" t="str">
        <f t="shared" si="43"/>
        <v/>
      </c>
      <c r="Q1302" t="str">
        <f>IFERROR(VLOOKUP(D1302,'Team Data'!C:AB,15,FALSE),"")</f>
        <v/>
      </c>
      <c r="R1302" t="str">
        <f>IFERROR(VLOOKUP('OB Format'!D1302,'Team Data'!C:AB,24,FALSE),"")</f>
        <v/>
      </c>
      <c r="S1302" t="str">
        <f>IFERROR(VLOOKUP('OB Format'!D1302,'Team Data'!C:AC,25,FALSE),"")</f>
        <v/>
      </c>
    </row>
    <row r="1303" spans="5:19" x14ac:dyDescent="0.25">
      <c r="E1303" t="str">
        <f>IFERROR(VLOOKUP(D1303,'Team Data'!C:AB,4,FALSE),"")</f>
        <v/>
      </c>
      <c r="F1303" t="str">
        <f>IFERROR(VLOOKUP(D1303,'Team Data'!C:AB,5,FALSE),"")</f>
        <v/>
      </c>
      <c r="G1303" t="str">
        <f>IFERROR(VLOOKUP('OB Format'!D1303,'Team Data'!C:AB,17,FALSE),"")</f>
        <v/>
      </c>
      <c r="H1303" t="str">
        <f>IFERROR(VLOOKUP(D1303,'Team Data'!C:AB,7,FALSE),"")</f>
        <v/>
      </c>
      <c r="I1303" t="str">
        <f>IFERROR(VLOOKUP(D1303,'Team Data'!C:AB,14,FALSE),"")</f>
        <v/>
      </c>
      <c r="J1303" t="str">
        <f>IFERROR(VLOOKUP(D1303,'Team Data'!C:AB,8,FALSE),"")</f>
        <v/>
      </c>
      <c r="K1303" t="str">
        <f>IFERROR(VLOOKUP(D1303,'Team Data'!C:AB,9,FALSE),"")</f>
        <v/>
      </c>
      <c r="L1303" t="str">
        <f>IFERROR(VLOOKUP(D1303,'Team Data'!C:AB,10,FALSE),"")</f>
        <v/>
      </c>
      <c r="M1303" t="str">
        <f t="shared" si="42"/>
        <v/>
      </c>
      <c r="N1303" t="str">
        <f>IFERROR(VLOOKUP(D1303,'Team Data'!C:AB,23,FALSE),"")</f>
        <v/>
      </c>
      <c r="O1303" t="str">
        <f>IFERROR(VLOOKUP(D1303,'Team Data'!C:AB,22,FALSE),"")</f>
        <v/>
      </c>
      <c r="P1303" t="str">
        <f t="shared" si="43"/>
        <v/>
      </c>
      <c r="Q1303" t="str">
        <f>IFERROR(VLOOKUP(D1303,'Team Data'!C:AB,15,FALSE),"")</f>
        <v/>
      </c>
      <c r="R1303" t="str">
        <f>IFERROR(VLOOKUP('OB Format'!D1303,'Team Data'!C:AB,24,FALSE),"")</f>
        <v/>
      </c>
      <c r="S1303" t="str">
        <f>IFERROR(VLOOKUP('OB Format'!D1303,'Team Data'!C:AC,25,FALSE),"")</f>
        <v/>
      </c>
    </row>
    <row r="1304" spans="5:19" x14ac:dyDescent="0.25">
      <c r="E1304" t="str">
        <f>IFERROR(VLOOKUP(D1304,'Team Data'!C:AB,4,FALSE),"")</f>
        <v/>
      </c>
      <c r="F1304" t="str">
        <f>IFERROR(VLOOKUP(D1304,'Team Data'!C:AB,5,FALSE),"")</f>
        <v/>
      </c>
      <c r="G1304" t="str">
        <f>IFERROR(VLOOKUP('OB Format'!D1304,'Team Data'!C:AB,17,FALSE),"")</f>
        <v/>
      </c>
      <c r="H1304" t="str">
        <f>IFERROR(VLOOKUP(D1304,'Team Data'!C:AB,7,FALSE),"")</f>
        <v/>
      </c>
      <c r="I1304" t="str">
        <f>IFERROR(VLOOKUP(D1304,'Team Data'!C:AB,14,FALSE),"")</f>
        <v/>
      </c>
      <c r="J1304" t="str">
        <f>IFERROR(VLOOKUP(D1304,'Team Data'!C:AB,8,FALSE),"")</f>
        <v/>
      </c>
      <c r="K1304" t="str">
        <f>IFERROR(VLOOKUP(D1304,'Team Data'!C:AB,9,FALSE),"")</f>
        <v/>
      </c>
      <c r="L1304" t="str">
        <f>IFERROR(VLOOKUP(D1304,'Team Data'!C:AB,10,FALSE),"")</f>
        <v/>
      </c>
      <c r="M1304" t="str">
        <f t="shared" si="42"/>
        <v/>
      </c>
      <c r="N1304" t="str">
        <f>IFERROR(VLOOKUP(D1304,'Team Data'!C:AB,23,FALSE),"")</f>
        <v/>
      </c>
      <c r="O1304" t="str">
        <f>IFERROR(VLOOKUP(D1304,'Team Data'!C:AB,22,FALSE),"")</f>
        <v/>
      </c>
      <c r="P1304" t="str">
        <f t="shared" si="43"/>
        <v/>
      </c>
      <c r="Q1304" t="str">
        <f>IFERROR(VLOOKUP(D1304,'Team Data'!C:AB,15,FALSE),"")</f>
        <v/>
      </c>
      <c r="R1304" t="str">
        <f>IFERROR(VLOOKUP('OB Format'!D1304,'Team Data'!C:AB,24,FALSE),"")</f>
        <v/>
      </c>
      <c r="S1304" t="str">
        <f>IFERROR(VLOOKUP('OB Format'!D1304,'Team Data'!C:AC,25,FALSE),"")</f>
        <v/>
      </c>
    </row>
    <row r="1305" spans="5:19" x14ac:dyDescent="0.25">
      <c r="E1305" t="str">
        <f>IFERROR(VLOOKUP(D1305,'Team Data'!C:AB,4,FALSE),"")</f>
        <v/>
      </c>
      <c r="F1305" t="str">
        <f>IFERROR(VLOOKUP(D1305,'Team Data'!C:AB,5,FALSE),"")</f>
        <v/>
      </c>
      <c r="G1305" t="str">
        <f>IFERROR(VLOOKUP('OB Format'!D1305,'Team Data'!C:AB,17,FALSE),"")</f>
        <v/>
      </c>
      <c r="H1305" t="str">
        <f>IFERROR(VLOOKUP(D1305,'Team Data'!C:AB,7,FALSE),"")</f>
        <v/>
      </c>
      <c r="I1305" t="str">
        <f>IFERROR(VLOOKUP(D1305,'Team Data'!C:AB,14,FALSE),"")</f>
        <v/>
      </c>
      <c r="J1305" t="str">
        <f>IFERROR(VLOOKUP(D1305,'Team Data'!C:AB,8,FALSE),"")</f>
        <v/>
      </c>
      <c r="K1305" t="str">
        <f>IFERROR(VLOOKUP(D1305,'Team Data'!C:AB,9,FALSE),"")</f>
        <v/>
      </c>
      <c r="L1305" t="str">
        <f>IFERROR(VLOOKUP(D1305,'Team Data'!C:AB,10,FALSE),"")</f>
        <v/>
      </c>
      <c r="M1305" t="str">
        <f t="shared" si="42"/>
        <v/>
      </c>
      <c r="N1305" t="str">
        <f>IFERROR(VLOOKUP(D1305,'Team Data'!C:AB,23,FALSE),"")</f>
        <v/>
      </c>
      <c r="O1305" t="str">
        <f>IFERROR(VLOOKUP(D1305,'Team Data'!C:AB,22,FALSE),"")</f>
        <v/>
      </c>
      <c r="P1305" t="str">
        <f t="shared" si="43"/>
        <v/>
      </c>
      <c r="Q1305" t="str">
        <f>IFERROR(VLOOKUP(D1305,'Team Data'!C:AB,15,FALSE),"")</f>
        <v/>
      </c>
      <c r="R1305" t="str">
        <f>IFERROR(VLOOKUP('OB Format'!D1305,'Team Data'!C:AB,24,FALSE),"")</f>
        <v/>
      </c>
      <c r="S1305" t="str">
        <f>IFERROR(VLOOKUP('OB Format'!D1305,'Team Data'!C:AC,25,FALSE),"")</f>
        <v/>
      </c>
    </row>
    <row r="1306" spans="5:19" x14ac:dyDescent="0.25">
      <c r="E1306" t="str">
        <f>IFERROR(VLOOKUP(D1306,'Team Data'!C:AB,4,FALSE),"")</f>
        <v/>
      </c>
      <c r="F1306" t="str">
        <f>IFERROR(VLOOKUP(D1306,'Team Data'!C:AB,5,FALSE),"")</f>
        <v/>
      </c>
      <c r="G1306" t="str">
        <f>IFERROR(VLOOKUP('OB Format'!D1306,'Team Data'!C:AB,17,FALSE),"")</f>
        <v/>
      </c>
      <c r="H1306" t="str">
        <f>IFERROR(VLOOKUP(D1306,'Team Data'!C:AB,7,FALSE),"")</f>
        <v/>
      </c>
      <c r="I1306" t="str">
        <f>IFERROR(VLOOKUP(D1306,'Team Data'!C:AB,14,FALSE),"")</f>
        <v/>
      </c>
      <c r="J1306" t="str">
        <f>IFERROR(VLOOKUP(D1306,'Team Data'!C:AB,8,FALSE),"")</f>
        <v/>
      </c>
      <c r="K1306" t="str">
        <f>IFERROR(VLOOKUP(D1306,'Team Data'!C:AB,9,FALSE),"")</f>
        <v/>
      </c>
      <c r="L1306" t="str">
        <f>IFERROR(VLOOKUP(D1306,'Team Data'!C:AB,10,FALSE),"")</f>
        <v/>
      </c>
      <c r="M1306" t="str">
        <f t="shared" si="42"/>
        <v/>
      </c>
      <c r="N1306" t="str">
        <f>IFERROR(VLOOKUP(D1306,'Team Data'!C:AB,23,FALSE),"")</f>
        <v/>
      </c>
      <c r="O1306" t="str">
        <f>IFERROR(VLOOKUP(D1306,'Team Data'!C:AB,22,FALSE),"")</f>
        <v/>
      </c>
      <c r="P1306" t="str">
        <f t="shared" si="43"/>
        <v/>
      </c>
      <c r="Q1306" t="str">
        <f>IFERROR(VLOOKUP(D1306,'Team Data'!C:AB,15,FALSE),"")</f>
        <v/>
      </c>
      <c r="R1306" t="str">
        <f>IFERROR(VLOOKUP('OB Format'!D1306,'Team Data'!C:AB,24,FALSE),"")</f>
        <v/>
      </c>
      <c r="S1306" t="str">
        <f>IFERROR(VLOOKUP('OB Format'!D1306,'Team Data'!C:AC,25,FALSE),"")</f>
        <v/>
      </c>
    </row>
    <row r="1307" spans="5:19" x14ac:dyDescent="0.25">
      <c r="E1307" t="str">
        <f>IFERROR(VLOOKUP(D1307,'Team Data'!C:AB,4,FALSE),"")</f>
        <v/>
      </c>
      <c r="F1307" t="str">
        <f>IFERROR(VLOOKUP(D1307,'Team Data'!C:AB,5,FALSE),"")</f>
        <v/>
      </c>
      <c r="G1307" t="str">
        <f>IFERROR(VLOOKUP('OB Format'!D1307,'Team Data'!C:AB,17,FALSE),"")</f>
        <v/>
      </c>
      <c r="H1307" t="str">
        <f>IFERROR(VLOOKUP(D1307,'Team Data'!C:AB,7,FALSE),"")</f>
        <v/>
      </c>
      <c r="I1307" t="str">
        <f>IFERROR(VLOOKUP(D1307,'Team Data'!C:AB,14,FALSE),"")</f>
        <v/>
      </c>
      <c r="J1307" t="str">
        <f>IFERROR(VLOOKUP(D1307,'Team Data'!C:AB,8,FALSE),"")</f>
        <v/>
      </c>
      <c r="K1307" t="str">
        <f>IFERROR(VLOOKUP(D1307,'Team Data'!C:AB,9,FALSE),"")</f>
        <v/>
      </c>
      <c r="L1307" t="str">
        <f>IFERROR(VLOOKUP(D1307,'Team Data'!C:AB,10,FALSE),"")</f>
        <v/>
      </c>
      <c r="M1307" t="str">
        <f t="shared" si="42"/>
        <v/>
      </c>
      <c r="N1307" t="str">
        <f>IFERROR(VLOOKUP(D1307,'Team Data'!C:AB,23,FALSE),"")</f>
        <v/>
      </c>
      <c r="O1307" t="str">
        <f>IFERROR(VLOOKUP(D1307,'Team Data'!C:AB,22,FALSE),"")</f>
        <v/>
      </c>
      <c r="P1307" t="str">
        <f t="shared" si="43"/>
        <v/>
      </c>
      <c r="Q1307" t="str">
        <f>IFERROR(VLOOKUP(D1307,'Team Data'!C:AB,15,FALSE),"")</f>
        <v/>
      </c>
      <c r="R1307" t="str">
        <f>IFERROR(VLOOKUP('OB Format'!D1307,'Team Data'!C:AB,24,FALSE),"")</f>
        <v/>
      </c>
      <c r="S1307" t="str">
        <f>IFERROR(VLOOKUP('OB Format'!D1307,'Team Data'!C:AC,25,FALSE),"")</f>
        <v/>
      </c>
    </row>
    <row r="1308" spans="5:19" x14ac:dyDescent="0.25">
      <c r="E1308" t="str">
        <f>IFERROR(VLOOKUP(D1308,'Team Data'!C:AB,4,FALSE),"")</f>
        <v/>
      </c>
      <c r="F1308" t="str">
        <f>IFERROR(VLOOKUP(D1308,'Team Data'!C:AB,5,FALSE),"")</f>
        <v/>
      </c>
      <c r="G1308" t="str">
        <f>IFERROR(VLOOKUP('OB Format'!D1308,'Team Data'!C:AB,17,FALSE),"")</f>
        <v/>
      </c>
      <c r="H1308" t="str">
        <f>IFERROR(VLOOKUP(D1308,'Team Data'!C:AB,7,FALSE),"")</f>
        <v/>
      </c>
      <c r="I1308" t="str">
        <f>IFERROR(VLOOKUP(D1308,'Team Data'!C:AB,14,FALSE),"")</f>
        <v/>
      </c>
      <c r="J1308" t="str">
        <f>IFERROR(VLOOKUP(D1308,'Team Data'!C:AB,8,FALSE),"")</f>
        <v/>
      </c>
      <c r="K1308" t="str">
        <f>IFERROR(VLOOKUP(D1308,'Team Data'!C:AB,9,FALSE),"")</f>
        <v/>
      </c>
      <c r="L1308" t="str">
        <f>IFERROR(VLOOKUP(D1308,'Team Data'!C:AB,10,FALSE),"")</f>
        <v/>
      </c>
      <c r="M1308" t="str">
        <f t="shared" si="42"/>
        <v/>
      </c>
      <c r="N1308" t="str">
        <f>IFERROR(VLOOKUP(D1308,'Team Data'!C:AB,23,FALSE),"")</f>
        <v/>
      </c>
      <c r="O1308" t="str">
        <f>IFERROR(VLOOKUP(D1308,'Team Data'!C:AB,22,FALSE),"")</f>
        <v/>
      </c>
      <c r="P1308" t="str">
        <f t="shared" si="43"/>
        <v/>
      </c>
      <c r="Q1308" t="str">
        <f>IFERROR(VLOOKUP(D1308,'Team Data'!C:AB,15,FALSE),"")</f>
        <v/>
      </c>
      <c r="R1308" t="str">
        <f>IFERROR(VLOOKUP('OB Format'!D1308,'Team Data'!C:AB,24,FALSE),"")</f>
        <v/>
      </c>
      <c r="S1308" t="str">
        <f>IFERROR(VLOOKUP('OB Format'!D1308,'Team Data'!C:AC,25,FALSE),"")</f>
        <v/>
      </c>
    </row>
    <row r="1309" spans="5:19" x14ac:dyDescent="0.25">
      <c r="E1309" t="str">
        <f>IFERROR(VLOOKUP(D1309,'Team Data'!C:AB,4,FALSE),"")</f>
        <v/>
      </c>
      <c r="F1309" t="str">
        <f>IFERROR(VLOOKUP(D1309,'Team Data'!C:AB,5,FALSE),"")</f>
        <v/>
      </c>
      <c r="G1309" t="str">
        <f>IFERROR(VLOOKUP('OB Format'!D1309,'Team Data'!C:AB,17,FALSE),"")</f>
        <v/>
      </c>
      <c r="H1309" t="str">
        <f>IFERROR(VLOOKUP(D1309,'Team Data'!C:AB,7,FALSE),"")</f>
        <v/>
      </c>
      <c r="I1309" t="str">
        <f>IFERROR(VLOOKUP(D1309,'Team Data'!C:AB,14,FALSE),"")</f>
        <v/>
      </c>
      <c r="J1309" t="str">
        <f>IFERROR(VLOOKUP(D1309,'Team Data'!C:AB,8,FALSE),"")</f>
        <v/>
      </c>
      <c r="K1309" t="str">
        <f>IFERROR(VLOOKUP(D1309,'Team Data'!C:AB,9,FALSE),"")</f>
        <v/>
      </c>
      <c r="L1309" t="str">
        <f>IFERROR(VLOOKUP(D1309,'Team Data'!C:AB,10,FALSE),"")</f>
        <v/>
      </c>
      <c r="M1309" t="str">
        <f t="shared" si="42"/>
        <v/>
      </c>
      <c r="N1309" t="str">
        <f>IFERROR(VLOOKUP(D1309,'Team Data'!C:AB,23,FALSE),"")</f>
        <v/>
      </c>
      <c r="O1309" t="str">
        <f>IFERROR(VLOOKUP(D1309,'Team Data'!C:AB,22,FALSE),"")</f>
        <v/>
      </c>
      <c r="P1309" t="str">
        <f t="shared" si="43"/>
        <v/>
      </c>
      <c r="Q1309" t="str">
        <f>IFERROR(VLOOKUP(D1309,'Team Data'!C:AB,15,FALSE),"")</f>
        <v/>
      </c>
      <c r="R1309" t="str">
        <f>IFERROR(VLOOKUP('OB Format'!D1309,'Team Data'!C:AB,24,FALSE),"")</f>
        <v/>
      </c>
      <c r="S1309" t="str">
        <f>IFERROR(VLOOKUP('OB Format'!D1309,'Team Data'!C:AC,25,FALSE),"")</f>
        <v/>
      </c>
    </row>
    <row r="1310" spans="5:19" x14ac:dyDescent="0.25">
      <c r="E1310" t="str">
        <f>IFERROR(VLOOKUP(D1310,'Team Data'!C:AB,4,FALSE),"")</f>
        <v/>
      </c>
      <c r="F1310" t="str">
        <f>IFERROR(VLOOKUP(D1310,'Team Data'!C:AB,5,FALSE),"")</f>
        <v/>
      </c>
      <c r="G1310" t="str">
        <f>IFERROR(VLOOKUP('OB Format'!D1310,'Team Data'!C:AB,17,FALSE),"")</f>
        <v/>
      </c>
      <c r="H1310" t="str">
        <f>IFERROR(VLOOKUP(D1310,'Team Data'!C:AB,7,FALSE),"")</f>
        <v/>
      </c>
      <c r="I1310" t="str">
        <f>IFERROR(VLOOKUP(D1310,'Team Data'!C:AB,14,FALSE),"")</f>
        <v/>
      </c>
      <c r="J1310" t="str">
        <f>IFERROR(VLOOKUP(D1310,'Team Data'!C:AB,8,FALSE),"")</f>
        <v/>
      </c>
      <c r="K1310" t="str">
        <f>IFERROR(VLOOKUP(D1310,'Team Data'!C:AB,9,FALSE),"")</f>
        <v/>
      </c>
      <c r="L1310" t="str">
        <f>IFERROR(VLOOKUP(D1310,'Team Data'!C:AB,10,FALSE),"")</f>
        <v/>
      </c>
      <c r="M1310" t="str">
        <f t="shared" si="42"/>
        <v/>
      </c>
      <c r="N1310" t="str">
        <f>IFERROR(VLOOKUP(D1310,'Team Data'!C:AB,23,FALSE),"")</f>
        <v/>
      </c>
      <c r="O1310" t="str">
        <f>IFERROR(VLOOKUP(D1310,'Team Data'!C:AB,22,FALSE),"")</f>
        <v/>
      </c>
      <c r="P1310" t="str">
        <f t="shared" si="43"/>
        <v/>
      </c>
      <c r="Q1310" t="str">
        <f>IFERROR(VLOOKUP(D1310,'Team Data'!C:AB,15,FALSE),"")</f>
        <v/>
      </c>
      <c r="R1310" t="str">
        <f>IFERROR(VLOOKUP('OB Format'!D1310,'Team Data'!C:AB,24,FALSE),"")</f>
        <v/>
      </c>
      <c r="S1310" t="str">
        <f>IFERROR(VLOOKUP('OB Format'!D1310,'Team Data'!C:AC,25,FALSE),"")</f>
        <v/>
      </c>
    </row>
    <row r="1311" spans="5:19" x14ac:dyDescent="0.25">
      <c r="E1311" t="str">
        <f>IFERROR(VLOOKUP(D1311,'Team Data'!C:AB,4,FALSE),"")</f>
        <v/>
      </c>
      <c r="F1311" t="str">
        <f>IFERROR(VLOOKUP(D1311,'Team Data'!C:AB,5,FALSE),"")</f>
        <v/>
      </c>
      <c r="G1311" t="str">
        <f>IFERROR(VLOOKUP('OB Format'!D1311,'Team Data'!C:AB,17,FALSE),"")</f>
        <v/>
      </c>
      <c r="H1311" t="str">
        <f>IFERROR(VLOOKUP(D1311,'Team Data'!C:AB,7,FALSE),"")</f>
        <v/>
      </c>
      <c r="I1311" t="str">
        <f>IFERROR(VLOOKUP(D1311,'Team Data'!C:AB,14,FALSE),"")</f>
        <v/>
      </c>
      <c r="J1311" t="str">
        <f>IFERROR(VLOOKUP(D1311,'Team Data'!C:AB,8,FALSE),"")</f>
        <v/>
      </c>
      <c r="K1311" t="str">
        <f>IFERROR(VLOOKUP(D1311,'Team Data'!C:AB,9,FALSE),"")</f>
        <v/>
      </c>
      <c r="L1311" t="str">
        <f>IFERROR(VLOOKUP(D1311,'Team Data'!C:AB,10,FALSE),"")</f>
        <v/>
      </c>
      <c r="M1311" t="str">
        <f t="shared" si="42"/>
        <v/>
      </c>
      <c r="N1311" t="str">
        <f>IFERROR(VLOOKUP(D1311,'Team Data'!C:AB,23,FALSE),"")</f>
        <v/>
      </c>
      <c r="O1311" t="str">
        <f>IFERROR(VLOOKUP(D1311,'Team Data'!C:AB,22,FALSE),"")</f>
        <v/>
      </c>
      <c r="P1311" t="str">
        <f t="shared" si="43"/>
        <v/>
      </c>
      <c r="Q1311" t="str">
        <f>IFERROR(VLOOKUP(D1311,'Team Data'!C:AB,15,FALSE),"")</f>
        <v/>
      </c>
      <c r="R1311" t="str">
        <f>IFERROR(VLOOKUP('OB Format'!D1311,'Team Data'!C:AB,24,FALSE),"")</f>
        <v/>
      </c>
      <c r="S1311" t="str">
        <f>IFERROR(VLOOKUP('OB Format'!D1311,'Team Data'!C:AC,25,FALSE),"")</f>
        <v/>
      </c>
    </row>
    <row r="1312" spans="5:19" x14ac:dyDescent="0.25">
      <c r="E1312" t="str">
        <f>IFERROR(VLOOKUP(D1312,'Team Data'!C:AB,4,FALSE),"")</f>
        <v/>
      </c>
      <c r="F1312" t="str">
        <f>IFERROR(VLOOKUP(D1312,'Team Data'!C:AB,5,FALSE),"")</f>
        <v/>
      </c>
      <c r="G1312" t="str">
        <f>IFERROR(VLOOKUP('OB Format'!D1312,'Team Data'!C:AB,17,FALSE),"")</f>
        <v/>
      </c>
      <c r="H1312" t="str">
        <f>IFERROR(VLOOKUP(D1312,'Team Data'!C:AB,7,FALSE),"")</f>
        <v/>
      </c>
      <c r="I1312" t="str">
        <f>IFERROR(VLOOKUP(D1312,'Team Data'!C:AB,14,FALSE),"")</f>
        <v/>
      </c>
      <c r="J1312" t="str">
        <f>IFERROR(VLOOKUP(D1312,'Team Data'!C:AB,8,FALSE),"")</f>
        <v/>
      </c>
      <c r="K1312" t="str">
        <f>IFERROR(VLOOKUP(D1312,'Team Data'!C:AB,9,FALSE),"")</f>
        <v/>
      </c>
      <c r="L1312" t="str">
        <f>IFERROR(VLOOKUP(D1312,'Team Data'!C:AB,10,FALSE),"")</f>
        <v/>
      </c>
      <c r="M1312" t="str">
        <f t="shared" si="42"/>
        <v/>
      </c>
      <c r="N1312" t="str">
        <f>IFERROR(VLOOKUP(D1312,'Team Data'!C:AB,23,FALSE),"")</f>
        <v/>
      </c>
      <c r="O1312" t="str">
        <f>IFERROR(VLOOKUP(D1312,'Team Data'!C:AB,22,FALSE),"")</f>
        <v/>
      </c>
      <c r="P1312" t="str">
        <f t="shared" si="43"/>
        <v/>
      </c>
      <c r="Q1312" t="str">
        <f>IFERROR(VLOOKUP(D1312,'Team Data'!C:AB,15,FALSE),"")</f>
        <v/>
      </c>
      <c r="R1312" t="str">
        <f>IFERROR(VLOOKUP('OB Format'!D1312,'Team Data'!C:AB,24,FALSE),"")</f>
        <v/>
      </c>
      <c r="S1312" t="str">
        <f>IFERROR(VLOOKUP('OB Format'!D1312,'Team Data'!C:AC,25,FALSE),"")</f>
        <v/>
      </c>
    </row>
    <row r="1313" spans="5:19" x14ac:dyDescent="0.25">
      <c r="E1313" t="str">
        <f>IFERROR(VLOOKUP(D1313,'Team Data'!C:AB,4,FALSE),"")</f>
        <v/>
      </c>
      <c r="F1313" t="str">
        <f>IFERROR(VLOOKUP(D1313,'Team Data'!C:AB,5,FALSE),"")</f>
        <v/>
      </c>
      <c r="G1313" t="str">
        <f>IFERROR(VLOOKUP('OB Format'!D1313,'Team Data'!C:AB,17,FALSE),"")</f>
        <v/>
      </c>
      <c r="H1313" t="str">
        <f>IFERROR(VLOOKUP(D1313,'Team Data'!C:AB,7,FALSE),"")</f>
        <v/>
      </c>
      <c r="I1313" t="str">
        <f>IFERROR(VLOOKUP(D1313,'Team Data'!C:AB,14,FALSE),"")</f>
        <v/>
      </c>
      <c r="J1313" t="str">
        <f>IFERROR(VLOOKUP(D1313,'Team Data'!C:AB,8,FALSE),"")</f>
        <v/>
      </c>
      <c r="K1313" t="str">
        <f>IFERROR(VLOOKUP(D1313,'Team Data'!C:AB,9,FALSE),"")</f>
        <v/>
      </c>
      <c r="L1313" t="str">
        <f>IFERROR(VLOOKUP(D1313,'Team Data'!C:AB,10,FALSE),"")</f>
        <v/>
      </c>
      <c r="M1313" t="str">
        <f t="shared" si="42"/>
        <v/>
      </c>
      <c r="N1313" t="str">
        <f>IFERROR(VLOOKUP(D1313,'Team Data'!C:AB,23,FALSE),"")</f>
        <v/>
      </c>
      <c r="O1313" t="str">
        <f>IFERROR(VLOOKUP(D1313,'Team Data'!C:AB,22,FALSE),"")</f>
        <v/>
      </c>
      <c r="P1313" t="str">
        <f t="shared" si="43"/>
        <v/>
      </c>
      <c r="Q1313" t="str">
        <f>IFERROR(VLOOKUP(D1313,'Team Data'!C:AB,15,FALSE),"")</f>
        <v/>
      </c>
      <c r="R1313" t="str">
        <f>IFERROR(VLOOKUP('OB Format'!D1313,'Team Data'!C:AB,24,FALSE),"")</f>
        <v/>
      </c>
      <c r="S1313" t="str">
        <f>IFERROR(VLOOKUP('OB Format'!D1313,'Team Data'!C:AC,25,FALSE),"")</f>
        <v/>
      </c>
    </row>
    <row r="1314" spans="5:19" x14ac:dyDescent="0.25">
      <c r="E1314" t="str">
        <f>IFERROR(VLOOKUP(D1314,'Team Data'!C:AB,4,FALSE),"")</f>
        <v/>
      </c>
      <c r="F1314" t="str">
        <f>IFERROR(VLOOKUP(D1314,'Team Data'!C:AB,5,FALSE),"")</f>
        <v/>
      </c>
      <c r="G1314" t="str">
        <f>IFERROR(VLOOKUP('OB Format'!D1314,'Team Data'!C:AB,17,FALSE),"")</f>
        <v/>
      </c>
      <c r="H1314" t="str">
        <f>IFERROR(VLOOKUP(D1314,'Team Data'!C:AB,7,FALSE),"")</f>
        <v/>
      </c>
      <c r="I1314" t="str">
        <f>IFERROR(VLOOKUP(D1314,'Team Data'!C:AB,14,FALSE),"")</f>
        <v/>
      </c>
      <c r="J1314" t="str">
        <f>IFERROR(VLOOKUP(D1314,'Team Data'!C:AB,8,FALSE),"")</f>
        <v/>
      </c>
      <c r="K1314" t="str">
        <f>IFERROR(VLOOKUP(D1314,'Team Data'!C:AB,9,FALSE),"")</f>
        <v/>
      </c>
      <c r="L1314" t="str">
        <f>IFERROR(VLOOKUP(D1314,'Team Data'!C:AB,10,FALSE),"")</f>
        <v/>
      </c>
      <c r="M1314" t="str">
        <f t="shared" si="42"/>
        <v/>
      </c>
      <c r="N1314" t="str">
        <f>IFERROR(VLOOKUP(D1314,'Team Data'!C:AB,23,FALSE),"")</f>
        <v/>
      </c>
      <c r="O1314" t="str">
        <f>IFERROR(VLOOKUP(D1314,'Team Data'!C:AB,22,FALSE),"")</f>
        <v/>
      </c>
      <c r="P1314" t="str">
        <f t="shared" si="43"/>
        <v/>
      </c>
      <c r="Q1314" t="str">
        <f>IFERROR(VLOOKUP(D1314,'Team Data'!C:AB,15,FALSE),"")</f>
        <v/>
      </c>
      <c r="R1314" t="str">
        <f>IFERROR(VLOOKUP('OB Format'!D1314,'Team Data'!C:AB,24,FALSE),"")</f>
        <v/>
      </c>
      <c r="S1314" t="str">
        <f>IFERROR(VLOOKUP('OB Format'!D1314,'Team Data'!C:AC,25,FALSE),"")</f>
        <v/>
      </c>
    </row>
    <row r="1315" spans="5:19" x14ac:dyDescent="0.25">
      <c r="E1315" t="str">
        <f>IFERROR(VLOOKUP(D1315,'Team Data'!C:AB,4,FALSE),"")</f>
        <v/>
      </c>
      <c r="F1315" t="str">
        <f>IFERROR(VLOOKUP(D1315,'Team Data'!C:AB,5,FALSE),"")</f>
        <v/>
      </c>
      <c r="G1315" t="str">
        <f>IFERROR(VLOOKUP('OB Format'!D1315,'Team Data'!C:AB,17,FALSE),"")</f>
        <v/>
      </c>
      <c r="H1315" t="str">
        <f>IFERROR(VLOOKUP(D1315,'Team Data'!C:AB,7,FALSE),"")</f>
        <v/>
      </c>
      <c r="I1315" t="str">
        <f>IFERROR(VLOOKUP(D1315,'Team Data'!C:AB,14,FALSE),"")</f>
        <v/>
      </c>
      <c r="J1315" t="str">
        <f>IFERROR(VLOOKUP(D1315,'Team Data'!C:AB,8,FALSE),"")</f>
        <v/>
      </c>
      <c r="K1315" t="str">
        <f>IFERROR(VLOOKUP(D1315,'Team Data'!C:AB,9,FALSE),"")</f>
        <v/>
      </c>
      <c r="L1315" t="str">
        <f>IFERROR(VLOOKUP(D1315,'Team Data'!C:AB,10,FALSE),"")</f>
        <v/>
      </c>
      <c r="M1315" t="str">
        <f t="shared" si="42"/>
        <v/>
      </c>
      <c r="N1315" t="str">
        <f>IFERROR(VLOOKUP(D1315,'Team Data'!C:AB,23,FALSE),"")</f>
        <v/>
      </c>
      <c r="O1315" t="str">
        <f>IFERROR(VLOOKUP(D1315,'Team Data'!C:AB,22,FALSE),"")</f>
        <v/>
      </c>
      <c r="P1315" t="str">
        <f t="shared" si="43"/>
        <v/>
      </c>
      <c r="Q1315" t="str">
        <f>IFERROR(VLOOKUP(D1315,'Team Data'!C:AB,15,FALSE),"")</f>
        <v/>
      </c>
      <c r="R1315" t="str">
        <f>IFERROR(VLOOKUP('OB Format'!D1315,'Team Data'!C:AB,24,FALSE),"")</f>
        <v/>
      </c>
      <c r="S1315" t="str">
        <f>IFERROR(VLOOKUP('OB Format'!D1315,'Team Data'!C:AC,25,FALSE),"")</f>
        <v/>
      </c>
    </row>
    <row r="1316" spans="5:19" x14ac:dyDescent="0.25">
      <c r="E1316" t="str">
        <f>IFERROR(VLOOKUP(D1316,'Team Data'!C:AB,4,FALSE),"")</f>
        <v/>
      </c>
      <c r="F1316" t="str">
        <f>IFERROR(VLOOKUP(D1316,'Team Data'!C:AB,5,FALSE),"")</f>
        <v/>
      </c>
      <c r="G1316" t="str">
        <f>IFERROR(VLOOKUP('OB Format'!D1316,'Team Data'!C:AB,17,FALSE),"")</f>
        <v/>
      </c>
      <c r="H1316" t="str">
        <f>IFERROR(VLOOKUP(D1316,'Team Data'!C:AB,7,FALSE),"")</f>
        <v/>
      </c>
      <c r="I1316" t="str">
        <f>IFERROR(VLOOKUP(D1316,'Team Data'!C:AB,14,FALSE),"")</f>
        <v/>
      </c>
      <c r="J1316" t="str">
        <f>IFERROR(VLOOKUP(D1316,'Team Data'!C:AB,8,FALSE),"")</f>
        <v/>
      </c>
      <c r="K1316" t="str">
        <f>IFERROR(VLOOKUP(D1316,'Team Data'!C:AB,9,FALSE),"")</f>
        <v/>
      </c>
      <c r="L1316" t="str">
        <f>IFERROR(VLOOKUP(D1316,'Team Data'!C:AB,10,FALSE),"")</f>
        <v/>
      </c>
      <c r="M1316" t="str">
        <f t="shared" si="42"/>
        <v/>
      </c>
      <c r="N1316" t="str">
        <f>IFERROR(VLOOKUP(D1316,'Team Data'!C:AB,23,FALSE),"")</f>
        <v/>
      </c>
      <c r="O1316" t="str">
        <f>IFERROR(VLOOKUP(D1316,'Team Data'!C:AB,22,FALSE),"")</f>
        <v/>
      </c>
      <c r="P1316" t="str">
        <f t="shared" si="43"/>
        <v/>
      </c>
      <c r="Q1316" t="str">
        <f>IFERROR(VLOOKUP(D1316,'Team Data'!C:AB,15,FALSE),"")</f>
        <v/>
      </c>
      <c r="R1316" t="str">
        <f>IFERROR(VLOOKUP('OB Format'!D1316,'Team Data'!C:AB,24,FALSE),"")</f>
        <v/>
      </c>
      <c r="S1316" t="str">
        <f>IFERROR(VLOOKUP('OB Format'!D1316,'Team Data'!C:AC,25,FALSE),"")</f>
        <v/>
      </c>
    </row>
    <row r="1317" spans="5:19" x14ac:dyDescent="0.25">
      <c r="E1317" t="str">
        <f>IFERROR(VLOOKUP(D1317,'Team Data'!C:AB,4,FALSE),"")</f>
        <v/>
      </c>
      <c r="F1317" t="str">
        <f>IFERROR(VLOOKUP(D1317,'Team Data'!C:AB,5,FALSE),"")</f>
        <v/>
      </c>
      <c r="G1317" t="str">
        <f>IFERROR(VLOOKUP('OB Format'!D1317,'Team Data'!C:AB,17,FALSE),"")</f>
        <v/>
      </c>
      <c r="H1317" t="str">
        <f>IFERROR(VLOOKUP(D1317,'Team Data'!C:AB,7,FALSE),"")</f>
        <v/>
      </c>
      <c r="I1317" t="str">
        <f>IFERROR(VLOOKUP(D1317,'Team Data'!C:AB,14,FALSE),"")</f>
        <v/>
      </c>
      <c r="J1317" t="str">
        <f>IFERROR(VLOOKUP(D1317,'Team Data'!C:AB,8,FALSE),"")</f>
        <v/>
      </c>
      <c r="K1317" t="str">
        <f>IFERROR(VLOOKUP(D1317,'Team Data'!C:AB,9,FALSE),"")</f>
        <v/>
      </c>
      <c r="L1317" t="str">
        <f>IFERROR(VLOOKUP(D1317,'Team Data'!C:AB,10,FALSE),"")</f>
        <v/>
      </c>
      <c r="M1317" t="str">
        <f t="shared" si="42"/>
        <v/>
      </c>
      <c r="N1317" t="str">
        <f>IFERROR(VLOOKUP(D1317,'Team Data'!C:AB,23,FALSE),"")</f>
        <v/>
      </c>
      <c r="O1317" t="str">
        <f>IFERROR(VLOOKUP(D1317,'Team Data'!C:AB,22,FALSE),"")</f>
        <v/>
      </c>
      <c r="P1317" t="str">
        <f t="shared" si="43"/>
        <v/>
      </c>
      <c r="Q1317" t="str">
        <f>IFERROR(VLOOKUP(D1317,'Team Data'!C:AB,15,FALSE),"")</f>
        <v/>
      </c>
      <c r="R1317" t="str">
        <f>IFERROR(VLOOKUP('OB Format'!D1317,'Team Data'!C:AB,24,FALSE),"")</f>
        <v/>
      </c>
      <c r="S1317" t="str">
        <f>IFERROR(VLOOKUP('OB Format'!D1317,'Team Data'!C:AC,25,FALSE),"")</f>
        <v/>
      </c>
    </row>
    <row r="1318" spans="5:19" x14ac:dyDescent="0.25">
      <c r="E1318" t="str">
        <f>IFERROR(VLOOKUP(D1318,'Team Data'!C:AB,4,FALSE),"")</f>
        <v/>
      </c>
      <c r="F1318" t="str">
        <f>IFERROR(VLOOKUP(D1318,'Team Data'!C:AB,5,FALSE),"")</f>
        <v/>
      </c>
      <c r="G1318" t="str">
        <f>IFERROR(VLOOKUP('OB Format'!D1318,'Team Data'!C:AB,17,FALSE),"")</f>
        <v/>
      </c>
      <c r="H1318" t="str">
        <f>IFERROR(VLOOKUP(D1318,'Team Data'!C:AB,7,FALSE),"")</f>
        <v/>
      </c>
      <c r="I1318" t="str">
        <f>IFERROR(VLOOKUP(D1318,'Team Data'!C:AB,14,FALSE),"")</f>
        <v/>
      </c>
      <c r="J1318" t="str">
        <f>IFERROR(VLOOKUP(D1318,'Team Data'!C:AB,8,FALSE),"")</f>
        <v/>
      </c>
      <c r="K1318" t="str">
        <f>IFERROR(VLOOKUP(D1318,'Team Data'!C:AB,9,FALSE),"")</f>
        <v/>
      </c>
      <c r="L1318" t="str">
        <f>IFERROR(VLOOKUP(D1318,'Team Data'!C:AB,10,FALSE),"")</f>
        <v/>
      </c>
      <c r="M1318" t="str">
        <f t="shared" si="42"/>
        <v/>
      </c>
      <c r="N1318" t="str">
        <f>IFERROR(VLOOKUP(D1318,'Team Data'!C:AB,23,FALSE),"")</f>
        <v/>
      </c>
      <c r="O1318" t="str">
        <f>IFERROR(VLOOKUP(D1318,'Team Data'!C:AB,22,FALSE),"")</f>
        <v/>
      </c>
      <c r="P1318" t="str">
        <f t="shared" si="43"/>
        <v/>
      </c>
      <c r="Q1318" t="str">
        <f>IFERROR(VLOOKUP(D1318,'Team Data'!C:AB,15,FALSE),"")</f>
        <v/>
      </c>
      <c r="R1318" t="str">
        <f>IFERROR(VLOOKUP('OB Format'!D1318,'Team Data'!C:AB,24,FALSE),"")</f>
        <v/>
      </c>
      <c r="S1318" t="str">
        <f>IFERROR(VLOOKUP('OB Format'!D1318,'Team Data'!C:AC,25,FALSE),"")</f>
        <v/>
      </c>
    </row>
    <row r="1319" spans="5:19" x14ac:dyDescent="0.25">
      <c r="E1319" t="str">
        <f>IFERROR(VLOOKUP(D1319,'Team Data'!C:AB,4,FALSE),"")</f>
        <v/>
      </c>
      <c r="F1319" t="str">
        <f>IFERROR(VLOOKUP(D1319,'Team Data'!C:AB,5,FALSE),"")</f>
        <v/>
      </c>
      <c r="G1319" t="str">
        <f>IFERROR(VLOOKUP('OB Format'!D1319,'Team Data'!C:AB,17,FALSE),"")</f>
        <v/>
      </c>
      <c r="H1319" t="str">
        <f>IFERROR(VLOOKUP(D1319,'Team Data'!C:AB,7,FALSE),"")</f>
        <v/>
      </c>
      <c r="I1319" t="str">
        <f>IFERROR(VLOOKUP(D1319,'Team Data'!C:AB,14,FALSE),"")</f>
        <v/>
      </c>
      <c r="J1319" t="str">
        <f>IFERROR(VLOOKUP(D1319,'Team Data'!C:AB,8,FALSE),"")</f>
        <v/>
      </c>
      <c r="K1319" t="str">
        <f>IFERROR(VLOOKUP(D1319,'Team Data'!C:AB,9,FALSE),"")</f>
        <v/>
      </c>
      <c r="L1319" t="str">
        <f>IFERROR(VLOOKUP(D1319,'Team Data'!C:AB,10,FALSE),"")</f>
        <v/>
      </c>
      <c r="M1319" t="str">
        <f t="shared" si="42"/>
        <v/>
      </c>
      <c r="N1319" t="str">
        <f>IFERROR(VLOOKUP(D1319,'Team Data'!C:AB,23,FALSE),"")</f>
        <v/>
      </c>
      <c r="O1319" t="str">
        <f>IFERROR(VLOOKUP(D1319,'Team Data'!C:AB,22,FALSE),"")</f>
        <v/>
      </c>
      <c r="P1319" t="str">
        <f t="shared" si="43"/>
        <v/>
      </c>
      <c r="Q1319" t="str">
        <f>IFERROR(VLOOKUP(D1319,'Team Data'!C:AB,15,FALSE),"")</f>
        <v/>
      </c>
      <c r="R1319" t="str">
        <f>IFERROR(VLOOKUP('OB Format'!D1319,'Team Data'!C:AB,24,FALSE),"")</f>
        <v/>
      </c>
      <c r="S1319" t="str">
        <f>IFERROR(VLOOKUP('OB Format'!D1319,'Team Data'!C:AC,25,FALSE),"")</f>
        <v/>
      </c>
    </row>
    <row r="1320" spans="5:19" x14ac:dyDescent="0.25">
      <c r="E1320" t="str">
        <f>IFERROR(VLOOKUP(D1320,'Team Data'!C:AB,4,FALSE),"")</f>
        <v/>
      </c>
      <c r="F1320" t="str">
        <f>IFERROR(VLOOKUP(D1320,'Team Data'!C:AB,5,FALSE),"")</f>
        <v/>
      </c>
      <c r="G1320" t="str">
        <f>IFERROR(VLOOKUP('OB Format'!D1320,'Team Data'!C:AB,17,FALSE),"")</f>
        <v/>
      </c>
      <c r="H1320" t="str">
        <f>IFERROR(VLOOKUP(D1320,'Team Data'!C:AB,7,FALSE),"")</f>
        <v/>
      </c>
      <c r="I1320" t="str">
        <f>IFERROR(VLOOKUP(D1320,'Team Data'!C:AB,14,FALSE),"")</f>
        <v/>
      </c>
      <c r="J1320" t="str">
        <f>IFERROR(VLOOKUP(D1320,'Team Data'!C:AB,8,FALSE),"")</f>
        <v/>
      </c>
      <c r="K1320" t="str">
        <f>IFERROR(VLOOKUP(D1320,'Team Data'!C:AB,9,FALSE),"")</f>
        <v/>
      </c>
      <c r="L1320" t="str">
        <f>IFERROR(VLOOKUP(D1320,'Team Data'!C:AB,10,FALSE),"")</f>
        <v/>
      </c>
      <c r="M1320" t="str">
        <f t="shared" si="42"/>
        <v/>
      </c>
      <c r="N1320" t="str">
        <f>IFERROR(VLOOKUP(D1320,'Team Data'!C:AB,23,FALSE),"")</f>
        <v/>
      </c>
      <c r="O1320" t="str">
        <f>IFERROR(VLOOKUP(D1320,'Team Data'!C:AB,22,FALSE),"")</f>
        <v/>
      </c>
      <c r="P1320" t="str">
        <f t="shared" si="43"/>
        <v/>
      </c>
      <c r="Q1320" t="str">
        <f>IFERROR(VLOOKUP(D1320,'Team Data'!C:AB,15,FALSE),"")</f>
        <v/>
      </c>
      <c r="R1320" t="str">
        <f>IFERROR(VLOOKUP('OB Format'!D1320,'Team Data'!C:AB,24,FALSE),"")</f>
        <v/>
      </c>
      <c r="S1320" t="str">
        <f>IFERROR(VLOOKUP('OB Format'!D1320,'Team Data'!C:AC,25,FALSE),"")</f>
        <v/>
      </c>
    </row>
    <row r="1321" spans="5:19" x14ac:dyDescent="0.25">
      <c r="E1321" t="str">
        <f>IFERROR(VLOOKUP(D1321,'Team Data'!C:AB,4,FALSE),"")</f>
        <v/>
      </c>
      <c r="F1321" t="str">
        <f>IFERROR(VLOOKUP(D1321,'Team Data'!C:AB,5,FALSE),"")</f>
        <v/>
      </c>
      <c r="G1321" t="str">
        <f>IFERROR(VLOOKUP('OB Format'!D1321,'Team Data'!C:AB,17,FALSE),"")</f>
        <v/>
      </c>
      <c r="H1321" t="str">
        <f>IFERROR(VLOOKUP(D1321,'Team Data'!C:AB,7,FALSE),"")</f>
        <v/>
      </c>
      <c r="I1321" t="str">
        <f>IFERROR(VLOOKUP(D1321,'Team Data'!C:AB,14,FALSE),"")</f>
        <v/>
      </c>
      <c r="J1321" t="str">
        <f>IFERROR(VLOOKUP(D1321,'Team Data'!C:AB,8,FALSE),"")</f>
        <v/>
      </c>
      <c r="K1321" t="str">
        <f>IFERROR(VLOOKUP(D1321,'Team Data'!C:AB,9,FALSE),"")</f>
        <v/>
      </c>
      <c r="L1321" t="str">
        <f>IFERROR(VLOOKUP(D1321,'Team Data'!C:AB,10,FALSE),"")</f>
        <v/>
      </c>
      <c r="M1321" t="str">
        <f t="shared" si="42"/>
        <v/>
      </c>
      <c r="N1321" t="str">
        <f>IFERROR(VLOOKUP(D1321,'Team Data'!C:AB,23,FALSE),"")</f>
        <v/>
      </c>
      <c r="O1321" t="str">
        <f>IFERROR(VLOOKUP(D1321,'Team Data'!C:AB,22,FALSE),"")</f>
        <v/>
      </c>
      <c r="P1321" t="str">
        <f t="shared" si="43"/>
        <v/>
      </c>
      <c r="Q1321" t="str">
        <f>IFERROR(VLOOKUP(D1321,'Team Data'!C:AB,15,FALSE),"")</f>
        <v/>
      </c>
      <c r="R1321" t="str">
        <f>IFERROR(VLOOKUP('OB Format'!D1321,'Team Data'!C:AB,24,FALSE),"")</f>
        <v/>
      </c>
      <c r="S1321" t="str">
        <f>IFERROR(VLOOKUP('OB Format'!D1321,'Team Data'!C:AC,25,FALSE),"")</f>
        <v/>
      </c>
    </row>
    <row r="1322" spans="5:19" x14ac:dyDescent="0.25">
      <c r="E1322" t="str">
        <f>IFERROR(VLOOKUP(D1322,'Team Data'!C:AB,4,FALSE),"")</f>
        <v/>
      </c>
      <c r="F1322" t="str">
        <f>IFERROR(VLOOKUP(D1322,'Team Data'!C:AB,5,FALSE),"")</f>
        <v/>
      </c>
      <c r="G1322" t="str">
        <f>IFERROR(VLOOKUP('OB Format'!D1322,'Team Data'!C:AB,17,FALSE),"")</f>
        <v/>
      </c>
      <c r="H1322" t="str">
        <f>IFERROR(VLOOKUP(D1322,'Team Data'!C:AB,7,FALSE),"")</f>
        <v/>
      </c>
      <c r="I1322" t="str">
        <f>IFERROR(VLOOKUP(D1322,'Team Data'!C:AB,14,FALSE),"")</f>
        <v/>
      </c>
      <c r="J1322" t="str">
        <f>IFERROR(VLOOKUP(D1322,'Team Data'!C:AB,8,FALSE),"")</f>
        <v/>
      </c>
      <c r="K1322" t="str">
        <f>IFERROR(VLOOKUP(D1322,'Team Data'!C:AB,9,FALSE),"")</f>
        <v/>
      </c>
      <c r="L1322" t="str">
        <f>IFERROR(VLOOKUP(D1322,'Team Data'!C:AB,10,FALSE),"")</f>
        <v/>
      </c>
      <c r="M1322" t="str">
        <f t="shared" si="42"/>
        <v/>
      </c>
      <c r="N1322" t="str">
        <f>IFERROR(VLOOKUP(D1322,'Team Data'!C:AB,23,FALSE),"")</f>
        <v/>
      </c>
      <c r="O1322" t="str">
        <f>IFERROR(VLOOKUP(D1322,'Team Data'!C:AB,22,FALSE),"")</f>
        <v/>
      </c>
      <c r="P1322" t="str">
        <f t="shared" si="43"/>
        <v/>
      </c>
      <c r="Q1322" t="str">
        <f>IFERROR(VLOOKUP(D1322,'Team Data'!C:AB,15,FALSE),"")</f>
        <v/>
      </c>
      <c r="R1322" t="str">
        <f>IFERROR(VLOOKUP('OB Format'!D1322,'Team Data'!C:AB,24,FALSE),"")</f>
        <v/>
      </c>
      <c r="S1322" t="str">
        <f>IFERROR(VLOOKUP('OB Format'!D1322,'Team Data'!C:AC,25,FALSE),"")</f>
        <v/>
      </c>
    </row>
    <row r="1323" spans="5:19" x14ac:dyDescent="0.25">
      <c r="E1323" t="str">
        <f>IFERROR(VLOOKUP(D1323,'Team Data'!C:AB,4,FALSE),"")</f>
        <v/>
      </c>
      <c r="F1323" t="str">
        <f>IFERROR(VLOOKUP(D1323,'Team Data'!C:AB,5,FALSE),"")</f>
        <v/>
      </c>
      <c r="G1323" t="str">
        <f>IFERROR(VLOOKUP('OB Format'!D1323,'Team Data'!C:AB,17,FALSE),"")</f>
        <v/>
      </c>
      <c r="H1323" t="str">
        <f>IFERROR(VLOOKUP(D1323,'Team Data'!C:AB,7,FALSE),"")</f>
        <v/>
      </c>
      <c r="I1323" t="str">
        <f>IFERROR(VLOOKUP(D1323,'Team Data'!C:AB,14,FALSE),"")</f>
        <v/>
      </c>
      <c r="J1323" t="str">
        <f>IFERROR(VLOOKUP(D1323,'Team Data'!C:AB,8,FALSE),"")</f>
        <v/>
      </c>
      <c r="K1323" t="str">
        <f>IFERROR(VLOOKUP(D1323,'Team Data'!C:AB,9,FALSE),"")</f>
        <v/>
      </c>
      <c r="L1323" t="str">
        <f>IFERROR(VLOOKUP(D1323,'Team Data'!C:AB,10,FALSE),"")</f>
        <v/>
      </c>
      <c r="M1323" t="str">
        <f t="shared" si="42"/>
        <v/>
      </c>
      <c r="N1323" t="str">
        <f>IFERROR(VLOOKUP(D1323,'Team Data'!C:AB,23,FALSE),"")</f>
        <v/>
      </c>
      <c r="O1323" t="str">
        <f>IFERROR(VLOOKUP(D1323,'Team Data'!C:AB,22,FALSE),"")</f>
        <v/>
      </c>
      <c r="P1323" t="str">
        <f t="shared" si="43"/>
        <v/>
      </c>
      <c r="Q1323" t="str">
        <f>IFERROR(VLOOKUP(D1323,'Team Data'!C:AB,15,FALSE),"")</f>
        <v/>
      </c>
      <c r="R1323" t="str">
        <f>IFERROR(VLOOKUP('OB Format'!D1323,'Team Data'!C:AB,24,FALSE),"")</f>
        <v/>
      </c>
      <c r="S1323" t="str">
        <f>IFERROR(VLOOKUP('OB Format'!D1323,'Team Data'!C:AC,25,FALSE),"")</f>
        <v/>
      </c>
    </row>
    <row r="1324" spans="5:19" x14ac:dyDescent="0.25">
      <c r="E1324" t="str">
        <f>IFERROR(VLOOKUP(D1324,'Team Data'!C:AB,4,FALSE),"")</f>
        <v/>
      </c>
      <c r="F1324" t="str">
        <f>IFERROR(VLOOKUP(D1324,'Team Data'!C:AB,5,FALSE),"")</f>
        <v/>
      </c>
      <c r="G1324" t="str">
        <f>IFERROR(VLOOKUP('OB Format'!D1324,'Team Data'!C:AB,17,FALSE),"")</f>
        <v/>
      </c>
      <c r="H1324" t="str">
        <f>IFERROR(VLOOKUP(D1324,'Team Data'!C:AB,7,FALSE),"")</f>
        <v/>
      </c>
      <c r="I1324" t="str">
        <f>IFERROR(VLOOKUP(D1324,'Team Data'!C:AB,14,FALSE),"")</f>
        <v/>
      </c>
      <c r="J1324" t="str">
        <f>IFERROR(VLOOKUP(D1324,'Team Data'!C:AB,8,FALSE),"")</f>
        <v/>
      </c>
      <c r="K1324" t="str">
        <f>IFERROR(VLOOKUP(D1324,'Team Data'!C:AB,9,FALSE),"")</f>
        <v/>
      </c>
      <c r="L1324" t="str">
        <f>IFERROR(VLOOKUP(D1324,'Team Data'!C:AB,10,FALSE),"")</f>
        <v/>
      </c>
      <c r="M1324" t="str">
        <f t="shared" si="42"/>
        <v/>
      </c>
      <c r="N1324" t="str">
        <f>IFERROR(VLOOKUP(D1324,'Team Data'!C:AB,23,FALSE),"")</f>
        <v/>
      </c>
      <c r="O1324" t="str">
        <f>IFERROR(VLOOKUP(D1324,'Team Data'!C:AB,22,FALSE),"")</f>
        <v/>
      </c>
      <c r="P1324" t="str">
        <f t="shared" si="43"/>
        <v/>
      </c>
      <c r="Q1324" t="str">
        <f>IFERROR(VLOOKUP(D1324,'Team Data'!C:AB,15,FALSE),"")</f>
        <v/>
      </c>
      <c r="R1324" t="str">
        <f>IFERROR(VLOOKUP('OB Format'!D1324,'Team Data'!C:AB,24,FALSE),"")</f>
        <v/>
      </c>
      <c r="S1324" t="str">
        <f>IFERROR(VLOOKUP('OB Format'!D1324,'Team Data'!C:AC,25,FALSE),"")</f>
        <v/>
      </c>
    </row>
    <row r="1325" spans="5:19" x14ac:dyDescent="0.25">
      <c r="E1325" t="str">
        <f>IFERROR(VLOOKUP(D1325,'Team Data'!C:AB,4,FALSE),"")</f>
        <v/>
      </c>
      <c r="F1325" t="str">
        <f>IFERROR(VLOOKUP(D1325,'Team Data'!C:AB,5,FALSE),"")</f>
        <v/>
      </c>
      <c r="G1325" t="str">
        <f>IFERROR(VLOOKUP('OB Format'!D1325,'Team Data'!C:AB,17,FALSE),"")</f>
        <v/>
      </c>
      <c r="H1325" t="str">
        <f>IFERROR(VLOOKUP(D1325,'Team Data'!C:AB,7,FALSE),"")</f>
        <v/>
      </c>
      <c r="I1325" t="str">
        <f>IFERROR(VLOOKUP(D1325,'Team Data'!C:AB,14,FALSE),"")</f>
        <v/>
      </c>
      <c r="J1325" t="str">
        <f>IFERROR(VLOOKUP(D1325,'Team Data'!C:AB,8,FALSE),"")</f>
        <v/>
      </c>
      <c r="K1325" t="str">
        <f>IFERROR(VLOOKUP(D1325,'Team Data'!C:AB,9,FALSE),"")</f>
        <v/>
      </c>
      <c r="L1325" t="str">
        <f>IFERROR(VLOOKUP(D1325,'Team Data'!C:AB,10,FALSE),"")</f>
        <v/>
      </c>
      <c r="M1325" t="str">
        <f t="shared" si="42"/>
        <v/>
      </c>
      <c r="N1325" t="str">
        <f>IFERROR(VLOOKUP(D1325,'Team Data'!C:AB,23,FALSE),"")</f>
        <v/>
      </c>
      <c r="O1325" t="str">
        <f>IFERROR(VLOOKUP(D1325,'Team Data'!C:AB,22,FALSE),"")</f>
        <v/>
      </c>
      <c r="P1325" t="str">
        <f t="shared" si="43"/>
        <v/>
      </c>
      <c r="Q1325" t="str">
        <f>IFERROR(VLOOKUP(D1325,'Team Data'!C:AB,15,FALSE),"")</f>
        <v/>
      </c>
      <c r="R1325" t="str">
        <f>IFERROR(VLOOKUP('OB Format'!D1325,'Team Data'!C:AB,24,FALSE),"")</f>
        <v/>
      </c>
      <c r="S1325" t="str">
        <f>IFERROR(VLOOKUP('OB Format'!D1325,'Team Data'!C:AC,25,FALSE),"")</f>
        <v/>
      </c>
    </row>
    <row r="1326" spans="5:19" x14ac:dyDescent="0.25">
      <c r="E1326" t="str">
        <f>IFERROR(VLOOKUP(D1326,'Team Data'!C:AB,4,FALSE),"")</f>
        <v/>
      </c>
      <c r="F1326" t="str">
        <f>IFERROR(VLOOKUP(D1326,'Team Data'!C:AB,5,FALSE),"")</f>
        <v/>
      </c>
      <c r="G1326" t="str">
        <f>IFERROR(VLOOKUP('OB Format'!D1326,'Team Data'!C:AB,17,FALSE),"")</f>
        <v/>
      </c>
      <c r="H1326" t="str">
        <f>IFERROR(VLOOKUP(D1326,'Team Data'!C:AB,7,FALSE),"")</f>
        <v/>
      </c>
      <c r="I1326" t="str">
        <f>IFERROR(VLOOKUP(D1326,'Team Data'!C:AB,14,FALSE),"")</f>
        <v/>
      </c>
      <c r="J1326" t="str">
        <f>IFERROR(VLOOKUP(D1326,'Team Data'!C:AB,8,FALSE),"")</f>
        <v/>
      </c>
      <c r="K1326" t="str">
        <f>IFERROR(VLOOKUP(D1326,'Team Data'!C:AB,9,FALSE),"")</f>
        <v/>
      </c>
      <c r="L1326" t="str">
        <f>IFERROR(VLOOKUP(D1326,'Team Data'!C:AB,10,FALSE),"")</f>
        <v/>
      </c>
      <c r="M1326" t="str">
        <f t="shared" si="42"/>
        <v/>
      </c>
      <c r="N1326" t="str">
        <f>IFERROR(VLOOKUP(D1326,'Team Data'!C:AB,23,FALSE),"")</f>
        <v/>
      </c>
      <c r="O1326" t="str">
        <f>IFERROR(VLOOKUP(D1326,'Team Data'!C:AB,22,FALSE),"")</f>
        <v/>
      </c>
      <c r="P1326" t="str">
        <f t="shared" si="43"/>
        <v/>
      </c>
      <c r="Q1326" t="str">
        <f>IFERROR(VLOOKUP(D1326,'Team Data'!C:AB,15,FALSE),"")</f>
        <v/>
      </c>
      <c r="R1326" t="str">
        <f>IFERROR(VLOOKUP('OB Format'!D1326,'Team Data'!C:AB,24,FALSE),"")</f>
        <v/>
      </c>
      <c r="S1326" t="str">
        <f>IFERROR(VLOOKUP('OB Format'!D1326,'Team Data'!C:AC,25,FALSE),"")</f>
        <v/>
      </c>
    </row>
    <row r="1327" spans="5:19" x14ac:dyDescent="0.25">
      <c r="E1327" t="str">
        <f>IFERROR(VLOOKUP(D1327,'Team Data'!C:AB,4,FALSE),"")</f>
        <v/>
      </c>
      <c r="F1327" t="str">
        <f>IFERROR(VLOOKUP(D1327,'Team Data'!C:AB,5,FALSE),"")</f>
        <v/>
      </c>
      <c r="G1327" t="str">
        <f>IFERROR(VLOOKUP('OB Format'!D1327,'Team Data'!C:AB,17,FALSE),"")</f>
        <v/>
      </c>
      <c r="H1327" t="str">
        <f>IFERROR(VLOOKUP(D1327,'Team Data'!C:AB,7,FALSE),"")</f>
        <v/>
      </c>
      <c r="I1327" t="str">
        <f>IFERROR(VLOOKUP(D1327,'Team Data'!C:AB,14,FALSE),"")</f>
        <v/>
      </c>
      <c r="J1327" t="str">
        <f>IFERROR(VLOOKUP(D1327,'Team Data'!C:AB,8,FALSE),"")</f>
        <v/>
      </c>
      <c r="K1327" t="str">
        <f>IFERROR(VLOOKUP(D1327,'Team Data'!C:AB,9,FALSE),"")</f>
        <v/>
      </c>
      <c r="L1327" t="str">
        <f>IFERROR(VLOOKUP(D1327,'Team Data'!C:AB,10,FALSE),"")</f>
        <v/>
      </c>
      <c r="M1327" t="str">
        <f t="shared" si="42"/>
        <v/>
      </c>
      <c r="N1327" t="str">
        <f>IFERROR(VLOOKUP(D1327,'Team Data'!C:AB,23,FALSE),"")</f>
        <v/>
      </c>
      <c r="O1327" t="str">
        <f>IFERROR(VLOOKUP(D1327,'Team Data'!C:AB,22,FALSE),"")</f>
        <v/>
      </c>
      <c r="P1327" t="str">
        <f t="shared" si="43"/>
        <v/>
      </c>
      <c r="Q1327" t="str">
        <f>IFERROR(VLOOKUP(D1327,'Team Data'!C:AB,15,FALSE),"")</f>
        <v/>
      </c>
      <c r="R1327" t="str">
        <f>IFERROR(VLOOKUP('OB Format'!D1327,'Team Data'!C:AB,24,FALSE),"")</f>
        <v/>
      </c>
      <c r="S1327" t="str">
        <f>IFERROR(VLOOKUP('OB Format'!D1327,'Team Data'!C:AC,25,FALSE),"")</f>
        <v/>
      </c>
    </row>
    <row r="1328" spans="5:19" x14ac:dyDescent="0.25">
      <c r="E1328" t="str">
        <f>IFERROR(VLOOKUP(D1328,'Team Data'!C:AB,4,FALSE),"")</f>
        <v/>
      </c>
      <c r="F1328" t="str">
        <f>IFERROR(VLOOKUP(D1328,'Team Data'!C:AB,5,FALSE),"")</f>
        <v/>
      </c>
      <c r="G1328" t="str">
        <f>IFERROR(VLOOKUP('OB Format'!D1328,'Team Data'!C:AB,17,FALSE),"")</f>
        <v/>
      </c>
      <c r="H1328" t="str">
        <f>IFERROR(VLOOKUP(D1328,'Team Data'!C:AB,7,FALSE),"")</f>
        <v/>
      </c>
      <c r="I1328" t="str">
        <f>IFERROR(VLOOKUP(D1328,'Team Data'!C:AB,14,FALSE),"")</f>
        <v/>
      </c>
      <c r="J1328" t="str">
        <f>IFERROR(VLOOKUP(D1328,'Team Data'!C:AB,8,FALSE),"")</f>
        <v/>
      </c>
      <c r="K1328" t="str">
        <f>IFERROR(VLOOKUP(D1328,'Team Data'!C:AB,9,FALSE),"")</f>
        <v/>
      </c>
      <c r="L1328" t="str">
        <f>IFERROR(VLOOKUP(D1328,'Team Data'!C:AB,10,FALSE),"")</f>
        <v/>
      </c>
      <c r="M1328" t="str">
        <f t="shared" si="42"/>
        <v/>
      </c>
      <c r="N1328" t="str">
        <f>IFERROR(VLOOKUP(D1328,'Team Data'!C:AB,23,FALSE),"")</f>
        <v/>
      </c>
      <c r="O1328" t="str">
        <f>IFERROR(VLOOKUP(D1328,'Team Data'!C:AB,22,FALSE),"")</f>
        <v/>
      </c>
      <c r="P1328" t="str">
        <f t="shared" si="43"/>
        <v/>
      </c>
      <c r="Q1328" t="str">
        <f>IFERROR(VLOOKUP(D1328,'Team Data'!C:AB,15,FALSE),"")</f>
        <v/>
      </c>
      <c r="R1328" t="str">
        <f>IFERROR(VLOOKUP('OB Format'!D1328,'Team Data'!C:AB,24,FALSE),"")</f>
        <v/>
      </c>
      <c r="S1328" t="str">
        <f>IFERROR(VLOOKUP('OB Format'!D1328,'Team Data'!C:AC,25,FALSE),"")</f>
        <v/>
      </c>
    </row>
    <row r="1329" spans="5:19" x14ac:dyDescent="0.25">
      <c r="E1329" t="str">
        <f>IFERROR(VLOOKUP(D1329,'Team Data'!C:AB,4,FALSE),"")</f>
        <v/>
      </c>
      <c r="F1329" t="str">
        <f>IFERROR(VLOOKUP(D1329,'Team Data'!C:AB,5,FALSE),"")</f>
        <v/>
      </c>
      <c r="G1329" t="str">
        <f>IFERROR(VLOOKUP('OB Format'!D1329,'Team Data'!C:AB,17,FALSE),"")</f>
        <v/>
      </c>
      <c r="H1329" t="str">
        <f>IFERROR(VLOOKUP(D1329,'Team Data'!C:AB,7,FALSE),"")</f>
        <v/>
      </c>
      <c r="I1329" t="str">
        <f>IFERROR(VLOOKUP(D1329,'Team Data'!C:AB,14,FALSE),"")</f>
        <v/>
      </c>
      <c r="J1329" t="str">
        <f>IFERROR(VLOOKUP(D1329,'Team Data'!C:AB,8,FALSE),"")</f>
        <v/>
      </c>
      <c r="K1329" t="str">
        <f>IFERROR(VLOOKUP(D1329,'Team Data'!C:AB,9,FALSE),"")</f>
        <v/>
      </c>
      <c r="L1329" t="str">
        <f>IFERROR(VLOOKUP(D1329,'Team Data'!C:AB,10,FALSE),"")</f>
        <v/>
      </c>
      <c r="M1329" t="str">
        <f t="shared" si="42"/>
        <v/>
      </c>
      <c r="N1329" t="str">
        <f>IFERROR(VLOOKUP(D1329,'Team Data'!C:AB,23,FALSE),"")</f>
        <v/>
      </c>
      <c r="O1329" t="str">
        <f>IFERROR(VLOOKUP(D1329,'Team Data'!C:AB,22,FALSE),"")</f>
        <v/>
      </c>
      <c r="P1329" t="str">
        <f t="shared" si="43"/>
        <v/>
      </c>
      <c r="Q1329" t="str">
        <f>IFERROR(VLOOKUP(D1329,'Team Data'!C:AB,15,FALSE),"")</f>
        <v/>
      </c>
      <c r="R1329" t="str">
        <f>IFERROR(VLOOKUP('OB Format'!D1329,'Team Data'!C:AB,24,FALSE),"")</f>
        <v/>
      </c>
      <c r="S1329" t="str">
        <f>IFERROR(VLOOKUP('OB Format'!D1329,'Team Data'!C:AC,25,FALSE),"")</f>
        <v/>
      </c>
    </row>
    <row r="1330" spans="5:19" x14ac:dyDescent="0.25">
      <c r="E1330" t="str">
        <f>IFERROR(VLOOKUP(D1330,'Team Data'!C:AB,4,FALSE),"")</f>
        <v/>
      </c>
      <c r="F1330" t="str">
        <f>IFERROR(VLOOKUP(D1330,'Team Data'!C:AB,5,FALSE),"")</f>
        <v/>
      </c>
      <c r="G1330" t="str">
        <f>IFERROR(VLOOKUP('OB Format'!D1330,'Team Data'!C:AB,17,FALSE),"")</f>
        <v/>
      </c>
      <c r="H1330" t="str">
        <f>IFERROR(VLOOKUP(D1330,'Team Data'!C:AB,7,FALSE),"")</f>
        <v/>
      </c>
      <c r="I1330" t="str">
        <f>IFERROR(VLOOKUP(D1330,'Team Data'!C:AB,14,FALSE),"")</f>
        <v/>
      </c>
      <c r="J1330" t="str">
        <f>IFERROR(VLOOKUP(D1330,'Team Data'!C:AB,8,FALSE),"")</f>
        <v/>
      </c>
      <c r="K1330" t="str">
        <f>IFERROR(VLOOKUP(D1330,'Team Data'!C:AB,9,FALSE),"")</f>
        <v/>
      </c>
      <c r="L1330" t="str">
        <f>IFERROR(VLOOKUP(D1330,'Team Data'!C:AB,10,FALSE),"")</f>
        <v/>
      </c>
      <c r="M1330" t="str">
        <f t="shared" si="42"/>
        <v/>
      </c>
      <c r="N1330" t="str">
        <f>IFERROR(VLOOKUP(D1330,'Team Data'!C:AB,23,FALSE),"")</f>
        <v/>
      </c>
      <c r="O1330" t="str">
        <f>IFERROR(VLOOKUP(D1330,'Team Data'!C:AB,22,FALSE),"")</f>
        <v/>
      </c>
      <c r="P1330" t="str">
        <f t="shared" si="43"/>
        <v/>
      </c>
      <c r="Q1330" t="str">
        <f>IFERROR(VLOOKUP(D1330,'Team Data'!C:AB,15,FALSE),"")</f>
        <v/>
      </c>
      <c r="R1330" t="str">
        <f>IFERROR(VLOOKUP('OB Format'!D1330,'Team Data'!C:AB,24,FALSE),"")</f>
        <v/>
      </c>
      <c r="S1330" t="str">
        <f>IFERROR(VLOOKUP('OB Format'!D1330,'Team Data'!C:AC,25,FALSE),"")</f>
        <v/>
      </c>
    </row>
    <row r="1331" spans="5:19" x14ac:dyDescent="0.25">
      <c r="E1331" t="str">
        <f>IFERROR(VLOOKUP(D1331,'Team Data'!C:AB,4,FALSE),"")</f>
        <v/>
      </c>
      <c r="F1331" t="str">
        <f>IFERROR(VLOOKUP(D1331,'Team Data'!C:AB,5,FALSE),"")</f>
        <v/>
      </c>
      <c r="G1331" t="str">
        <f>IFERROR(VLOOKUP('OB Format'!D1331,'Team Data'!C:AB,17,FALSE),"")</f>
        <v/>
      </c>
      <c r="H1331" t="str">
        <f>IFERROR(VLOOKUP(D1331,'Team Data'!C:AB,7,FALSE),"")</f>
        <v/>
      </c>
      <c r="I1331" t="str">
        <f>IFERROR(VLOOKUP(D1331,'Team Data'!C:AB,14,FALSE),"")</f>
        <v/>
      </c>
      <c r="J1331" t="str">
        <f>IFERROR(VLOOKUP(D1331,'Team Data'!C:AB,8,FALSE),"")</f>
        <v/>
      </c>
      <c r="K1331" t="str">
        <f>IFERROR(VLOOKUP(D1331,'Team Data'!C:AB,9,FALSE),"")</f>
        <v/>
      </c>
      <c r="L1331" t="str">
        <f>IFERROR(VLOOKUP(D1331,'Team Data'!C:AB,10,FALSE),"")</f>
        <v/>
      </c>
      <c r="M1331" t="str">
        <f t="shared" si="42"/>
        <v/>
      </c>
      <c r="N1331" t="str">
        <f>IFERROR(VLOOKUP(D1331,'Team Data'!C:AB,23,FALSE),"")</f>
        <v/>
      </c>
      <c r="O1331" t="str">
        <f>IFERROR(VLOOKUP(D1331,'Team Data'!C:AB,22,FALSE),"")</f>
        <v/>
      </c>
      <c r="P1331" t="str">
        <f t="shared" si="43"/>
        <v/>
      </c>
      <c r="Q1331" t="str">
        <f>IFERROR(VLOOKUP(D1331,'Team Data'!C:AB,15,FALSE),"")</f>
        <v/>
      </c>
      <c r="R1331" t="str">
        <f>IFERROR(VLOOKUP('OB Format'!D1331,'Team Data'!C:AB,24,FALSE),"")</f>
        <v/>
      </c>
      <c r="S1331" t="str">
        <f>IFERROR(VLOOKUP('OB Format'!D1331,'Team Data'!C:AC,25,FALSE),"")</f>
        <v/>
      </c>
    </row>
    <row r="1332" spans="5:19" x14ac:dyDescent="0.25">
      <c r="E1332" t="str">
        <f>IFERROR(VLOOKUP(D1332,'Team Data'!C:AB,4,FALSE),"")</f>
        <v/>
      </c>
      <c r="F1332" t="str">
        <f>IFERROR(VLOOKUP(D1332,'Team Data'!C:AB,5,FALSE),"")</f>
        <v/>
      </c>
      <c r="G1332" t="str">
        <f>IFERROR(VLOOKUP('OB Format'!D1332,'Team Data'!C:AB,17,FALSE),"")</f>
        <v/>
      </c>
      <c r="H1332" t="str">
        <f>IFERROR(VLOOKUP(D1332,'Team Data'!C:AB,7,FALSE),"")</f>
        <v/>
      </c>
      <c r="I1332" t="str">
        <f>IFERROR(VLOOKUP(D1332,'Team Data'!C:AB,14,FALSE),"")</f>
        <v/>
      </c>
      <c r="J1332" t="str">
        <f>IFERROR(VLOOKUP(D1332,'Team Data'!C:AB,8,FALSE),"")</f>
        <v/>
      </c>
      <c r="K1332" t="str">
        <f>IFERROR(VLOOKUP(D1332,'Team Data'!C:AB,9,FALSE),"")</f>
        <v/>
      </c>
      <c r="L1332" t="str">
        <f>IFERROR(VLOOKUP(D1332,'Team Data'!C:AB,10,FALSE),"")</f>
        <v/>
      </c>
      <c r="M1332" t="str">
        <f t="shared" si="42"/>
        <v/>
      </c>
      <c r="N1332" t="str">
        <f>IFERROR(VLOOKUP(D1332,'Team Data'!C:AB,23,FALSE),"")</f>
        <v/>
      </c>
      <c r="O1332" t="str">
        <f>IFERROR(VLOOKUP(D1332,'Team Data'!C:AB,22,FALSE),"")</f>
        <v/>
      </c>
      <c r="P1332" t="str">
        <f t="shared" si="43"/>
        <v/>
      </c>
      <c r="Q1332" t="str">
        <f>IFERROR(VLOOKUP(D1332,'Team Data'!C:AB,15,FALSE),"")</f>
        <v/>
      </c>
      <c r="R1332" t="str">
        <f>IFERROR(VLOOKUP('OB Format'!D1332,'Team Data'!C:AB,24,FALSE),"")</f>
        <v/>
      </c>
      <c r="S1332" t="str">
        <f>IFERROR(VLOOKUP('OB Format'!D1332,'Team Data'!C:AC,25,FALSE),"")</f>
        <v/>
      </c>
    </row>
    <row r="1333" spans="5:19" x14ac:dyDescent="0.25">
      <c r="E1333" t="str">
        <f>IFERROR(VLOOKUP(D1333,'Team Data'!C:AB,4,FALSE),"")</f>
        <v/>
      </c>
      <c r="F1333" t="str">
        <f>IFERROR(VLOOKUP(D1333,'Team Data'!C:AB,5,FALSE),"")</f>
        <v/>
      </c>
      <c r="G1333" t="str">
        <f>IFERROR(VLOOKUP('OB Format'!D1333,'Team Data'!C:AB,17,FALSE),"")</f>
        <v/>
      </c>
      <c r="H1333" t="str">
        <f>IFERROR(VLOOKUP(D1333,'Team Data'!C:AB,7,FALSE),"")</f>
        <v/>
      </c>
      <c r="I1333" t="str">
        <f>IFERROR(VLOOKUP(D1333,'Team Data'!C:AB,14,FALSE),"")</f>
        <v/>
      </c>
      <c r="J1333" t="str">
        <f>IFERROR(VLOOKUP(D1333,'Team Data'!C:AB,8,FALSE),"")</f>
        <v/>
      </c>
      <c r="K1333" t="str">
        <f>IFERROR(VLOOKUP(D1333,'Team Data'!C:AB,9,FALSE),"")</f>
        <v/>
      </c>
      <c r="L1333" t="str">
        <f>IFERROR(VLOOKUP(D1333,'Team Data'!C:AB,10,FALSE),"")</f>
        <v/>
      </c>
      <c r="M1333" t="str">
        <f t="shared" si="42"/>
        <v/>
      </c>
      <c r="N1333" t="str">
        <f>IFERROR(VLOOKUP(D1333,'Team Data'!C:AB,23,FALSE),"")</f>
        <v/>
      </c>
      <c r="O1333" t="str">
        <f>IFERROR(VLOOKUP(D1333,'Team Data'!C:AB,22,FALSE),"")</f>
        <v/>
      </c>
      <c r="P1333" t="str">
        <f t="shared" si="43"/>
        <v/>
      </c>
      <c r="Q1333" t="str">
        <f>IFERROR(VLOOKUP(D1333,'Team Data'!C:AB,15,FALSE),"")</f>
        <v/>
      </c>
      <c r="R1333" t="str">
        <f>IFERROR(VLOOKUP('OB Format'!D1333,'Team Data'!C:AB,24,FALSE),"")</f>
        <v/>
      </c>
      <c r="S1333" t="str">
        <f>IFERROR(VLOOKUP('OB Format'!D1333,'Team Data'!C:AC,25,FALSE),"")</f>
        <v/>
      </c>
    </row>
    <row r="1334" spans="5:19" x14ac:dyDescent="0.25">
      <c r="E1334" t="str">
        <f>IFERROR(VLOOKUP(D1334,'Team Data'!C:AB,4,FALSE),"")</f>
        <v/>
      </c>
      <c r="F1334" t="str">
        <f>IFERROR(VLOOKUP(D1334,'Team Data'!C:AB,5,FALSE),"")</f>
        <v/>
      </c>
      <c r="G1334" t="str">
        <f>IFERROR(VLOOKUP('OB Format'!D1334,'Team Data'!C:AB,17,FALSE),"")</f>
        <v/>
      </c>
      <c r="H1334" t="str">
        <f>IFERROR(VLOOKUP(D1334,'Team Data'!C:AB,7,FALSE),"")</f>
        <v/>
      </c>
      <c r="I1334" t="str">
        <f>IFERROR(VLOOKUP(D1334,'Team Data'!C:AB,14,FALSE),"")</f>
        <v/>
      </c>
      <c r="J1334" t="str">
        <f>IFERROR(VLOOKUP(D1334,'Team Data'!C:AB,8,FALSE),"")</f>
        <v/>
      </c>
      <c r="K1334" t="str">
        <f>IFERROR(VLOOKUP(D1334,'Team Data'!C:AB,9,FALSE),"")</f>
        <v/>
      </c>
      <c r="L1334" t="str">
        <f>IFERROR(VLOOKUP(D1334,'Team Data'!C:AB,10,FALSE),"")</f>
        <v/>
      </c>
      <c r="M1334" t="str">
        <f t="shared" si="42"/>
        <v/>
      </c>
      <c r="N1334" t="str">
        <f>IFERROR(VLOOKUP(D1334,'Team Data'!C:AB,23,FALSE),"")</f>
        <v/>
      </c>
      <c r="O1334" t="str">
        <f>IFERROR(VLOOKUP(D1334,'Team Data'!C:AB,22,FALSE),"")</f>
        <v/>
      </c>
      <c r="P1334" t="str">
        <f t="shared" si="43"/>
        <v/>
      </c>
      <c r="Q1334" t="str">
        <f>IFERROR(VLOOKUP(D1334,'Team Data'!C:AB,15,FALSE),"")</f>
        <v/>
      </c>
      <c r="R1334" t="str">
        <f>IFERROR(VLOOKUP('OB Format'!D1334,'Team Data'!C:AB,24,FALSE),"")</f>
        <v/>
      </c>
      <c r="S1334" t="str">
        <f>IFERROR(VLOOKUP('OB Format'!D1334,'Team Data'!C:AC,25,FALSE),"")</f>
        <v/>
      </c>
    </row>
    <row r="1335" spans="5:19" x14ac:dyDescent="0.25">
      <c r="E1335" t="str">
        <f>IFERROR(VLOOKUP(D1335,'Team Data'!C:AB,4,FALSE),"")</f>
        <v/>
      </c>
      <c r="F1335" t="str">
        <f>IFERROR(VLOOKUP(D1335,'Team Data'!C:AB,5,FALSE),"")</f>
        <v/>
      </c>
      <c r="G1335" t="str">
        <f>IFERROR(VLOOKUP('OB Format'!D1335,'Team Data'!C:AB,17,FALSE),"")</f>
        <v/>
      </c>
      <c r="H1335" t="str">
        <f>IFERROR(VLOOKUP(D1335,'Team Data'!C:AB,7,FALSE),"")</f>
        <v/>
      </c>
      <c r="I1335" t="str">
        <f>IFERROR(VLOOKUP(D1335,'Team Data'!C:AB,14,FALSE),"")</f>
        <v/>
      </c>
      <c r="J1335" t="str">
        <f>IFERROR(VLOOKUP(D1335,'Team Data'!C:AB,8,FALSE),"")</f>
        <v/>
      </c>
      <c r="K1335" t="str">
        <f>IFERROR(VLOOKUP(D1335,'Team Data'!C:AB,9,FALSE),"")</f>
        <v/>
      </c>
      <c r="L1335" t="str">
        <f>IFERROR(VLOOKUP(D1335,'Team Data'!C:AB,10,FALSE),"")</f>
        <v/>
      </c>
      <c r="M1335" t="str">
        <f t="shared" si="42"/>
        <v/>
      </c>
      <c r="N1335" t="str">
        <f>IFERROR(VLOOKUP(D1335,'Team Data'!C:AB,23,FALSE),"")</f>
        <v/>
      </c>
      <c r="O1335" t="str">
        <f>IFERROR(VLOOKUP(D1335,'Team Data'!C:AB,22,FALSE),"")</f>
        <v/>
      </c>
      <c r="P1335" t="str">
        <f t="shared" si="43"/>
        <v/>
      </c>
      <c r="Q1335" t="str">
        <f>IFERROR(VLOOKUP(D1335,'Team Data'!C:AB,15,FALSE),"")</f>
        <v/>
      </c>
      <c r="R1335" t="str">
        <f>IFERROR(VLOOKUP('OB Format'!D1335,'Team Data'!C:AB,24,FALSE),"")</f>
        <v/>
      </c>
      <c r="S1335" t="str">
        <f>IFERROR(VLOOKUP('OB Format'!D1335,'Team Data'!C:AC,25,FALSE),"")</f>
        <v/>
      </c>
    </row>
    <row r="1336" spans="5:19" x14ac:dyDescent="0.25">
      <c r="E1336" t="str">
        <f>IFERROR(VLOOKUP(D1336,'Team Data'!C:AB,4,FALSE),"")</f>
        <v/>
      </c>
      <c r="F1336" t="str">
        <f>IFERROR(VLOOKUP(D1336,'Team Data'!C:AB,5,FALSE),"")</f>
        <v/>
      </c>
      <c r="G1336" t="str">
        <f>IFERROR(VLOOKUP('OB Format'!D1336,'Team Data'!C:AB,17,FALSE),"")</f>
        <v/>
      </c>
      <c r="H1336" t="str">
        <f>IFERROR(VLOOKUP(D1336,'Team Data'!C:AB,7,FALSE),"")</f>
        <v/>
      </c>
      <c r="I1336" t="str">
        <f>IFERROR(VLOOKUP(D1336,'Team Data'!C:AB,14,FALSE),"")</f>
        <v/>
      </c>
      <c r="J1336" t="str">
        <f>IFERROR(VLOOKUP(D1336,'Team Data'!C:AB,8,FALSE),"")</f>
        <v/>
      </c>
      <c r="K1336" t="str">
        <f>IFERROR(VLOOKUP(D1336,'Team Data'!C:AB,9,FALSE),"")</f>
        <v/>
      </c>
      <c r="L1336" t="str">
        <f>IFERROR(VLOOKUP(D1336,'Team Data'!C:AB,10,FALSE),"")</f>
        <v/>
      </c>
      <c r="M1336" t="str">
        <f t="shared" si="42"/>
        <v/>
      </c>
      <c r="N1336" t="str">
        <f>IFERROR(VLOOKUP(D1336,'Team Data'!C:AB,23,FALSE),"")</f>
        <v/>
      </c>
      <c r="O1336" t="str">
        <f>IFERROR(VLOOKUP(D1336,'Team Data'!C:AB,22,FALSE),"")</f>
        <v/>
      </c>
      <c r="P1336" t="str">
        <f t="shared" si="43"/>
        <v/>
      </c>
      <c r="Q1336" t="str">
        <f>IFERROR(VLOOKUP(D1336,'Team Data'!C:AB,15,FALSE),"")</f>
        <v/>
      </c>
      <c r="R1336" t="str">
        <f>IFERROR(VLOOKUP('OB Format'!D1336,'Team Data'!C:AB,24,FALSE),"")</f>
        <v/>
      </c>
      <c r="S1336" t="str">
        <f>IFERROR(VLOOKUP('OB Format'!D1336,'Team Data'!C:AC,25,FALSE),"")</f>
        <v/>
      </c>
    </row>
    <row r="1337" spans="5:19" x14ac:dyDescent="0.25">
      <c r="E1337" t="str">
        <f>IFERROR(VLOOKUP(D1337,'Team Data'!C:AB,4,FALSE),"")</f>
        <v/>
      </c>
      <c r="F1337" t="str">
        <f>IFERROR(VLOOKUP(D1337,'Team Data'!C:AB,5,FALSE),"")</f>
        <v/>
      </c>
      <c r="G1337" t="str">
        <f>IFERROR(VLOOKUP('OB Format'!D1337,'Team Data'!C:AB,17,FALSE),"")</f>
        <v/>
      </c>
      <c r="H1337" t="str">
        <f>IFERROR(VLOOKUP(D1337,'Team Data'!C:AB,7,FALSE),"")</f>
        <v/>
      </c>
      <c r="I1337" t="str">
        <f>IFERROR(VLOOKUP(D1337,'Team Data'!C:AB,14,FALSE),"")</f>
        <v/>
      </c>
      <c r="J1337" t="str">
        <f>IFERROR(VLOOKUP(D1337,'Team Data'!C:AB,8,FALSE),"")</f>
        <v/>
      </c>
      <c r="K1337" t="str">
        <f>IFERROR(VLOOKUP(D1337,'Team Data'!C:AB,9,FALSE),"")</f>
        <v/>
      </c>
      <c r="L1337" t="str">
        <f>IFERROR(VLOOKUP(D1337,'Team Data'!C:AB,10,FALSE),"")</f>
        <v/>
      </c>
      <c r="M1337" t="str">
        <f t="shared" si="42"/>
        <v/>
      </c>
      <c r="N1337" t="str">
        <f>IFERROR(VLOOKUP(D1337,'Team Data'!C:AB,23,FALSE),"")</f>
        <v/>
      </c>
      <c r="O1337" t="str">
        <f>IFERROR(VLOOKUP(D1337,'Team Data'!C:AB,22,FALSE),"")</f>
        <v/>
      </c>
      <c r="P1337" t="str">
        <f t="shared" si="43"/>
        <v/>
      </c>
      <c r="Q1337" t="str">
        <f>IFERROR(VLOOKUP(D1337,'Team Data'!C:AB,15,FALSE),"")</f>
        <v/>
      </c>
      <c r="R1337" t="str">
        <f>IFERROR(VLOOKUP('OB Format'!D1337,'Team Data'!C:AB,24,FALSE),"")</f>
        <v/>
      </c>
      <c r="S1337" t="str">
        <f>IFERROR(VLOOKUP('OB Format'!D1337,'Team Data'!C:AC,25,FALSE),"")</f>
        <v/>
      </c>
    </row>
    <row r="1338" spans="5:19" x14ac:dyDescent="0.25">
      <c r="E1338" t="str">
        <f>IFERROR(VLOOKUP(D1338,'Team Data'!C:AB,4,FALSE),"")</f>
        <v/>
      </c>
      <c r="F1338" t="str">
        <f>IFERROR(VLOOKUP(D1338,'Team Data'!C:AB,5,FALSE),"")</f>
        <v/>
      </c>
      <c r="G1338" t="str">
        <f>IFERROR(VLOOKUP('OB Format'!D1338,'Team Data'!C:AB,17,FALSE),"")</f>
        <v/>
      </c>
      <c r="H1338" t="str">
        <f>IFERROR(VLOOKUP(D1338,'Team Data'!C:AB,7,FALSE),"")</f>
        <v/>
      </c>
      <c r="I1338" t="str">
        <f>IFERROR(VLOOKUP(D1338,'Team Data'!C:AB,14,FALSE),"")</f>
        <v/>
      </c>
      <c r="J1338" t="str">
        <f>IFERROR(VLOOKUP(D1338,'Team Data'!C:AB,8,FALSE),"")</f>
        <v/>
      </c>
      <c r="K1338" t="str">
        <f>IFERROR(VLOOKUP(D1338,'Team Data'!C:AB,9,FALSE),"")</f>
        <v/>
      </c>
      <c r="L1338" t="str">
        <f>IFERROR(VLOOKUP(D1338,'Team Data'!C:AB,10,FALSE),"")</f>
        <v/>
      </c>
      <c r="M1338" t="str">
        <f t="shared" si="42"/>
        <v/>
      </c>
      <c r="N1338" t="str">
        <f>IFERROR(VLOOKUP(D1338,'Team Data'!C:AB,23,FALSE),"")</f>
        <v/>
      </c>
      <c r="O1338" t="str">
        <f>IFERROR(VLOOKUP(D1338,'Team Data'!C:AB,22,FALSE),"")</f>
        <v/>
      </c>
      <c r="P1338" t="str">
        <f t="shared" si="43"/>
        <v/>
      </c>
      <c r="Q1338" t="str">
        <f>IFERROR(VLOOKUP(D1338,'Team Data'!C:AB,15,FALSE),"")</f>
        <v/>
      </c>
      <c r="R1338" t="str">
        <f>IFERROR(VLOOKUP('OB Format'!D1338,'Team Data'!C:AB,24,FALSE),"")</f>
        <v/>
      </c>
      <c r="S1338" t="str">
        <f>IFERROR(VLOOKUP('OB Format'!D1338,'Team Data'!C:AC,25,FALSE),"")</f>
        <v/>
      </c>
    </row>
    <row r="1339" spans="5:19" x14ac:dyDescent="0.25">
      <c r="E1339" t="str">
        <f>IFERROR(VLOOKUP(D1339,'Team Data'!C:AB,4,FALSE),"")</f>
        <v/>
      </c>
      <c r="F1339" t="str">
        <f>IFERROR(VLOOKUP(D1339,'Team Data'!C:AB,5,FALSE),"")</f>
        <v/>
      </c>
      <c r="G1339" t="str">
        <f>IFERROR(VLOOKUP('OB Format'!D1339,'Team Data'!C:AB,17,FALSE),"")</f>
        <v/>
      </c>
      <c r="H1339" t="str">
        <f>IFERROR(VLOOKUP(D1339,'Team Data'!C:AB,7,FALSE),"")</f>
        <v/>
      </c>
      <c r="I1339" t="str">
        <f>IFERROR(VLOOKUP(D1339,'Team Data'!C:AB,14,FALSE),"")</f>
        <v/>
      </c>
      <c r="J1339" t="str">
        <f>IFERROR(VLOOKUP(D1339,'Team Data'!C:AB,8,FALSE),"")</f>
        <v/>
      </c>
      <c r="K1339" t="str">
        <f>IFERROR(VLOOKUP(D1339,'Team Data'!C:AB,9,FALSE),"")</f>
        <v/>
      </c>
      <c r="L1339" t="str">
        <f>IFERROR(VLOOKUP(D1339,'Team Data'!C:AB,10,FALSE),"")</f>
        <v/>
      </c>
      <c r="M1339" t="str">
        <f t="shared" si="42"/>
        <v/>
      </c>
      <c r="N1339" t="str">
        <f>IFERROR(VLOOKUP(D1339,'Team Data'!C:AB,23,FALSE),"")</f>
        <v/>
      </c>
      <c r="O1339" t="str">
        <f>IFERROR(VLOOKUP(D1339,'Team Data'!C:AB,22,FALSE),"")</f>
        <v/>
      </c>
      <c r="P1339" t="str">
        <f t="shared" si="43"/>
        <v/>
      </c>
      <c r="Q1339" t="str">
        <f>IFERROR(VLOOKUP(D1339,'Team Data'!C:AB,15,FALSE),"")</f>
        <v/>
      </c>
      <c r="R1339" t="str">
        <f>IFERROR(VLOOKUP('OB Format'!D1339,'Team Data'!C:AB,24,FALSE),"")</f>
        <v/>
      </c>
      <c r="S1339" t="str">
        <f>IFERROR(VLOOKUP('OB Format'!D1339,'Team Data'!C:AC,25,FALSE),"")</f>
        <v/>
      </c>
    </row>
    <row r="1340" spans="5:19" x14ac:dyDescent="0.25">
      <c r="E1340" t="str">
        <f>IFERROR(VLOOKUP(D1340,'Team Data'!C:AB,4,FALSE),"")</f>
        <v/>
      </c>
      <c r="F1340" t="str">
        <f>IFERROR(VLOOKUP(D1340,'Team Data'!C:AB,5,FALSE),"")</f>
        <v/>
      </c>
      <c r="G1340" t="str">
        <f>IFERROR(VLOOKUP('OB Format'!D1340,'Team Data'!C:AB,17,FALSE),"")</f>
        <v/>
      </c>
      <c r="H1340" t="str">
        <f>IFERROR(VLOOKUP(D1340,'Team Data'!C:AB,7,FALSE),"")</f>
        <v/>
      </c>
      <c r="I1340" t="str">
        <f>IFERROR(VLOOKUP(D1340,'Team Data'!C:AB,14,FALSE),"")</f>
        <v/>
      </c>
      <c r="J1340" t="str">
        <f>IFERROR(VLOOKUP(D1340,'Team Data'!C:AB,8,FALSE),"")</f>
        <v/>
      </c>
      <c r="K1340" t="str">
        <f>IFERROR(VLOOKUP(D1340,'Team Data'!C:AB,9,FALSE),"")</f>
        <v/>
      </c>
      <c r="L1340" t="str">
        <f>IFERROR(VLOOKUP(D1340,'Team Data'!C:AB,10,FALSE),"")</f>
        <v/>
      </c>
      <c r="M1340" t="str">
        <f t="shared" si="42"/>
        <v/>
      </c>
      <c r="N1340" t="str">
        <f>IFERROR(VLOOKUP(D1340,'Team Data'!C:AB,23,FALSE),"")</f>
        <v/>
      </c>
      <c r="O1340" t="str">
        <f>IFERROR(VLOOKUP(D1340,'Team Data'!C:AB,22,FALSE),"")</f>
        <v/>
      </c>
      <c r="P1340" t="str">
        <f t="shared" si="43"/>
        <v/>
      </c>
      <c r="Q1340" t="str">
        <f>IFERROR(VLOOKUP(D1340,'Team Data'!C:AB,15,FALSE),"")</f>
        <v/>
      </c>
      <c r="R1340" t="str">
        <f>IFERROR(VLOOKUP('OB Format'!D1340,'Team Data'!C:AB,24,FALSE),"")</f>
        <v/>
      </c>
      <c r="S1340" t="str">
        <f>IFERROR(VLOOKUP('OB Format'!D1340,'Team Data'!C:AC,25,FALSE),"")</f>
        <v/>
      </c>
    </row>
    <row r="1341" spans="5:19" x14ac:dyDescent="0.25">
      <c r="E1341" t="str">
        <f>IFERROR(VLOOKUP(D1341,'Team Data'!C:AB,4,FALSE),"")</f>
        <v/>
      </c>
      <c r="F1341" t="str">
        <f>IFERROR(VLOOKUP(D1341,'Team Data'!C:AB,5,FALSE),"")</f>
        <v/>
      </c>
      <c r="G1341" t="str">
        <f>IFERROR(VLOOKUP('OB Format'!D1341,'Team Data'!C:AB,17,FALSE),"")</f>
        <v/>
      </c>
      <c r="H1341" t="str">
        <f>IFERROR(VLOOKUP(D1341,'Team Data'!C:AB,7,FALSE),"")</f>
        <v/>
      </c>
      <c r="I1341" t="str">
        <f>IFERROR(VLOOKUP(D1341,'Team Data'!C:AB,14,FALSE),"")</f>
        <v/>
      </c>
      <c r="J1341" t="str">
        <f>IFERROR(VLOOKUP(D1341,'Team Data'!C:AB,8,FALSE),"")</f>
        <v/>
      </c>
      <c r="K1341" t="str">
        <f>IFERROR(VLOOKUP(D1341,'Team Data'!C:AB,9,FALSE),"")</f>
        <v/>
      </c>
      <c r="L1341" t="str">
        <f>IFERROR(VLOOKUP(D1341,'Team Data'!C:AB,10,FALSE),"")</f>
        <v/>
      </c>
      <c r="M1341" t="str">
        <f t="shared" si="42"/>
        <v/>
      </c>
      <c r="N1341" t="str">
        <f>IFERROR(VLOOKUP(D1341,'Team Data'!C:AB,23,FALSE),"")</f>
        <v/>
      </c>
      <c r="O1341" t="str">
        <f>IFERROR(VLOOKUP(D1341,'Team Data'!C:AB,22,FALSE),"")</f>
        <v/>
      </c>
      <c r="P1341" t="str">
        <f t="shared" si="43"/>
        <v/>
      </c>
      <c r="Q1341" t="str">
        <f>IFERROR(VLOOKUP(D1341,'Team Data'!C:AB,15,FALSE),"")</f>
        <v/>
      </c>
      <c r="R1341" t="str">
        <f>IFERROR(VLOOKUP('OB Format'!D1341,'Team Data'!C:AB,24,FALSE),"")</f>
        <v/>
      </c>
      <c r="S1341" t="str">
        <f>IFERROR(VLOOKUP('OB Format'!D1341,'Team Data'!C:AC,25,FALSE),"")</f>
        <v/>
      </c>
    </row>
    <row r="1342" spans="5:19" x14ac:dyDescent="0.25">
      <c r="E1342" t="str">
        <f>IFERROR(VLOOKUP(D1342,'Team Data'!C:AB,4,FALSE),"")</f>
        <v/>
      </c>
      <c r="F1342" t="str">
        <f>IFERROR(VLOOKUP(D1342,'Team Data'!C:AB,5,FALSE),"")</f>
        <v/>
      </c>
      <c r="G1342" t="str">
        <f>IFERROR(VLOOKUP('OB Format'!D1342,'Team Data'!C:AB,17,FALSE),"")</f>
        <v/>
      </c>
      <c r="H1342" t="str">
        <f>IFERROR(VLOOKUP(D1342,'Team Data'!C:AB,7,FALSE),"")</f>
        <v/>
      </c>
      <c r="I1342" t="str">
        <f>IFERROR(VLOOKUP(D1342,'Team Data'!C:AB,14,FALSE),"")</f>
        <v/>
      </c>
      <c r="J1342" t="str">
        <f>IFERROR(VLOOKUP(D1342,'Team Data'!C:AB,8,FALSE),"")</f>
        <v/>
      </c>
      <c r="K1342" t="str">
        <f>IFERROR(VLOOKUP(D1342,'Team Data'!C:AB,9,FALSE),"")</f>
        <v/>
      </c>
      <c r="L1342" t="str">
        <f>IFERROR(VLOOKUP(D1342,'Team Data'!C:AB,10,FALSE),"")</f>
        <v/>
      </c>
      <c r="M1342" t="str">
        <f t="shared" si="42"/>
        <v/>
      </c>
      <c r="N1342" t="str">
        <f>IFERROR(VLOOKUP(D1342,'Team Data'!C:AB,23,FALSE),"")</f>
        <v/>
      </c>
      <c r="O1342" t="str">
        <f>IFERROR(VLOOKUP(D1342,'Team Data'!C:AB,22,FALSE),"")</f>
        <v/>
      </c>
      <c r="P1342" t="str">
        <f t="shared" si="43"/>
        <v/>
      </c>
      <c r="Q1342" t="str">
        <f>IFERROR(VLOOKUP(D1342,'Team Data'!C:AB,15,FALSE),"")</f>
        <v/>
      </c>
      <c r="R1342" t="str">
        <f>IFERROR(VLOOKUP('OB Format'!D1342,'Team Data'!C:AB,24,FALSE),"")</f>
        <v/>
      </c>
      <c r="S1342" t="str">
        <f>IFERROR(VLOOKUP('OB Format'!D1342,'Team Data'!C:AC,25,FALSE),"")</f>
        <v/>
      </c>
    </row>
    <row r="1343" spans="5:19" x14ac:dyDescent="0.25">
      <c r="E1343" t="str">
        <f>IFERROR(VLOOKUP(D1343,'Team Data'!C:AB,4,FALSE),"")</f>
        <v/>
      </c>
      <c r="F1343" t="str">
        <f>IFERROR(VLOOKUP(D1343,'Team Data'!C:AB,5,FALSE),"")</f>
        <v/>
      </c>
      <c r="G1343" t="str">
        <f>IFERROR(VLOOKUP('OB Format'!D1343,'Team Data'!C:AB,17,FALSE),"")</f>
        <v/>
      </c>
      <c r="H1343" t="str">
        <f>IFERROR(VLOOKUP(D1343,'Team Data'!C:AB,7,FALSE),"")</f>
        <v/>
      </c>
      <c r="I1343" t="str">
        <f>IFERROR(VLOOKUP(D1343,'Team Data'!C:AB,14,FALSE),"")</f>
        <v/>
      </c>
      <c r="J1343" t="str">
        <f>IFERROR(VLOOKUP(D1343,'Team Data'!C:AB,8,FALSE),"")</f>
        <v/>
      </c>
      <c r="K1343" t="str">
        <f>IFERROR(VLOOKUP(D1343,'Team Data'!C:AB,9,FALSE),"")</f>
        <v/>
      </c>
      <c r="L1343" t="str">
        <f>IFERROR(VLOOKUP(D1343,'Team Data'!C:AB,10,FALSE),"")</f>
        <v/>
      </c>
      <c r="M1343" t="str">
        <f t="shared" si="42"/>
        <v/>
      </c>
      <c r="N1343" t="str">
        <f>IFERROR(VLOOKUP(D1343,'Team Data'!C:AB,23,FALSE),"")</f>
        <v/>
      </c>
      <c r="O1343" t="str">
        <f>IFERROR(VLOOKUP(D1343,'Team Data'!C:AB,22,FALSE),"")</f>
        <v/>
      </c>
      <c r="P1343" t="str">
        <f t="shared" si="43"/>
        <v/>
      </c>
      <c r="Q1343" t="str">
        <f>IFERROR(VLOOKUP(D1343,'Team Data'!C:AB,15,FALSE),"")</f>
        <v/>
      </c>
      <c r="R1343" t="str">
        <f>IFERROR(VLOOKUP('OB Format'!D1343,'Team Data'!C:AB,24,FALSE),"")</f>
        <v/>
      </c>
      <c r="S1343" t="str">
        <f>IFERROR(VLOOKUP('OB Format'!D1343,'Team Data'!C:AC,25,FALSE),"")</f>
        <v/>
      </c>
    </row>
    <row r="1344" spans="5:19" x14ac:dyDescent="0.25">
      <c r="E1344" t="str">
        <f>IFERROR(VLOOKUP(D1344,'Team Data'!C:AB,4,FALSE),"")</f>
        <v/>
      </c>
      <c r="F1344" t="str">
        <f>IFERROR(VLOOKUP(D1344,'Team Data'!C:AB,5,FALSE),"")</f>
        <v/>
      </c>
      <c r="G1344" t="str">
        <f>IFERROR(VLOOKUP('OB Format'!D1344,'Team Data'!C:AB,17,FALSE),"")</f>
        <v/>
      </c>
      <c r="H1344" t="str">
        <f>IFERROR(VLOOKUP(D1344,'Team Data'!C:AB,7,FALSE),"")</f>
        <v/>
      </c>
      <c r="I1344" t="str">
        <f>IFERROR(VLOOKUP(D1344,'Team Data'!C:AB,14,FALSE),"")</f>
        <v/>
      </c>
      <c r="J1344" t="str">
        <f>IFERROR(VLOOKUP(D1344,'Team Data'!C:AB,8,FALSE),"")</f>
        <v/>
      </c>
      <c r="K1344" t="str">
        <f>IFERROR(VLOOKUP(D1344,'Team Data'!C:AB,9,FALSE),"")</f>
        <v/>
      </c>
      <c r="L1344" t="str">
        <f>IFERROR(VLOOKUP(D1344,'Team Data'!C:AB,10,FALSE),"")</f>
        <v/>
      </c>
      <c r="M1344" t="str">
        <f t="shared" si="42"/>
        <v/>
      </c>
      <c r="N1344" t="str">
        <f>IFERROR(VLOOKUP(D1344,'Team Data'!C:AB,23,FALSE),"")</f>
        <v/>
      </c>
      <c r="O1344" t="str">
        <f>IFERROR(VLOOKUP(D1344,'Team Data'!C:AB,22,FALSE),"")</f>
        <v/>
      </c>
      <c r="P1344" t="str">
        <f t="shared" si="43"/>
        <v/>
      </c>
      <c r="Q1344" t="str">
        <f>IFERROR(VLOOKUP(D1344,'Team Data'!C:AB,15,FALSE),"")</f>
        <v/>
      </c>
      <c r="R1344" t="str">
        <f>IFERROR(VLOOKUP('OB Format'!D1344,'Team Data'!C:AB,24,FALSE),"")</f>
        <v/>
      </c>
      <c r="S1344" t="str">
        <f>IFERROR(VLOOKUP('OB Format'!D1344,'Team Data'!C:AC,25,FALSE),"")</f>
        <v/>
      </c>
    </row>
    <row r="1345" spans="5:19" x14ac:dyDescent="0.25">
      <c r="E1345" t="str">
        <f>IFERROR(VLOOKUP(D1345,'Team Data'!C:AB,4,FALSE),"")</f>
        <v/>
      </c>
      <c r="F1345" t="str">
        <f>IFERROR(VLOOKUP(D1345,'Team Data'!C:AB,5,FALSE),"")</f>
        <v/>
      </c>
      <c r="G1345" t="str">
        <f>IFERROR(VLOOKUP('OB Format'!D1345,'Team Data'!C:AB,17,FALSE),"")</f>
        <v/>
      </c>
      <c r="H1345" t="str">
        <f>IFERROR(VLOOKUP(D1345,'Team Data'!C:AB,7,FALSE),"")</f>
        <v/>
      </c>
      <c r="I1345" t="str">
        <f>IFERROR(VLOOKUP(D1345,'Team Data'!C:AB,14,FALSE),"")</f>
        <v/>
      </c>
      <c r="J1345" t="str">
        <f>IFERROR(VLOOKUP(D1345,'Team Data'!C:AB,8,FALSE),"")</f>
        <v/>
      </c>
      <c r="K1345" t="str">
        <f>IFERROR(VLOOKUP(D1345,'Team Data'!C:AB,9,FALSE),"")</f>
        <v/>
      </c>
      <c r="L1345" t="str">
        <f>IFERROR(VLOOKUP(D1345,'Team Data'!C:AB,10,FALSE),"")</f>
        <v/>
      </c>
      <c r="M1345" t="str">
        <f t="shared" si="42"/>
        <v/>
      </c>
      <c r="N1345" t="str">
        <f>IFERROR(VLOOKUP(D1345,'Team Data'!C:AB,23,FALSE),"")</f>
        <v/>
      </c>
      <c r="O1345" t="str">
        <f>IFERROR(VLOOKUP(D1345,'Team Data'!C:AB,22,FALSE),"")</f>
        <v/>
      </c>
      <c r="P1345" t="str">
        <f t="shared" si="43"/>
        <v/>
      </c>
      <c r="Q1345" t="str">
        <f>IFERROR(VLOOKUP(D1345,'Team Data'!C:AB,15,FALSE),"")</f>
        <v/>
      </c>
      <c r="R1345" t="str">
        <f>IFERROR(VLOOKUP('OB Format'!D1345,'Team Data'!C:AB,24,FALSE),"")</f>
        <v/>
      </c>
      <c r="S1345" t="str">
        <f>IFERROR(VLOOKUP('OB Format'!D1345,'Team Data'!C:AC,25,FALSE),"")</f>
        <v/>
      </c>
    </row>
    <row r="1346" spans="5:19" x14ac:dyDescent="0.25">
      <c r="E1346" t="str">
        <f>IFERROR(VLOOKUP(D1346,'Team Data'!C:AB,4,FALSE),"")</f>
        <v/>
      </c>
      <c r="F1346" t="str">
        <f>IFERROR(VLOOKUP(D1346,'Team Data'!C:AB,5,FALSE),"")</f>
        <v/>
      </c>
      <c r="G1346" t="str">
        <f>IFERROR(VLOOKUP('OB Format'!D1346,'Team Data'!C:AB,17,FALSE),"")</f>
        <v/>
      </c>
      <c r="H1346" t="str">
        <f>IFERROR(VLOOKUP(D1346,'Team Data'!C:AB,7,FALSE),"")</f>
        <v/>
      </c>
      <c r="I1346" t="str">
        <f>IFERROR(VLOOKUP(D1346,'Team Data'!C:AB,14,FALSE),"")</f>
        <v/>
      </c>
      <c r="J1346" t="str">
        <f>IFERROR(VLOOKUP(D1346,'Team Data'!C:AB,8,FALSE),"")</f>
        <v/>
      </c>
      <c r="K1346" t="str">
        <f>IFERROR(VLOOKUP(D1346,'Team Data'!C:AB,9,FALSE),"")</f>
        <v/>
      </c>
      <c r="L1346" t="str">
        <f>IFERROR(VLOOKUP(D1346,'Team Data'!C:AB,10,FALSE),"")</f>
        <v/>
      </c>
      <c r="M1346" t="str">
        <f t="shared" si="42"/>
        <v/>
      </c>
      <c r="N1346" t="str">
        <f>IFERROR(VLOOKUP(D1346,'Team Data'!C:AB,23,FALSE),"")</f>
        <v/>
      </c>
      <c r="O1346" t="str">
        <f>IFERROR(VLOOKUP(D1346,'Team Data'!C:AB,22,FALSE),"")</f>
        <v/>
      </c>
      <c r="P1346" t="str">
        <f t="shared" si="43"/>
        <v/>
      </c>
      <c r="Q1346" t="str">
        <f>IFERROR(VLOOKUP(D1346,'Team Data'!C:AB,15,FALSE),"")</f>
        <v/>
      </c>
      <c r="R1346" t="str">
        <f>IFERROR(VLOOKUP('OB Format'!D1346,'Team Data'!C:AB,24,FALSE),"")</f>
        <v/>
      </c>
      <c r="S1346" t="str">
        <f>IFERROR(VLOOKUP('OB Format'!D1346,'Team Data'!C:AC,25,FALSE),"")</f>
        <v/>
      </c>
    </row>
    <row r="1347" spans="5:19" x14ac:dyDescent="0.25">
      <c r="E1347" t="str">
        <f>IFERROR(VLOOKUP(D1347,'Team Data'!C:AB,4,FALSE),"")</f>
        <v/>
      </c>
      <c r="F1347" t="str">
        <f>IFERROR(VLOOKUP(D1347,'Team Data'!C:AB,5,FALSE),"")</f>
        <v/>
      </c>
      <c r="G1347" t="str">
        <f>IFERROR(VLOOKUP('OB Format'!D1347,'Team Data'!C:AB,17,FALSE),"")</f>
        <v/>
      </c>
      <c r="H1347" t="str">
        <f>IFERROR(VLOOKUP(D1347,'Team Data'!C:AB,7,FALSE),"")</f>
        <v/>
      </c>
      <c r="I1347" t="str">
        <f>IFERROR(VLOOKUP(D1347,'Team Data'!C:AB,14,FALSE),"")</f>
        <v/>
      </c>
      <c r="J1347" t="str">
        <f>IFERROR(VLOOKUP(D1347,'Team Data'!C:AB,8,FALSE),"")</f>
        <v/>
      </c>
      <c r="K1347" t="str">
        <f>IFERROR(VLOOKUP(D1347,'Team Data'!C:AB,9,FALSE),"")</f>
        <v/>
      </c>
      <c r="L1347" t="str">
        <f>IFERROR(VLOOKUP(D1347,'Team Data'!C:AB,10,FALSE),"")</f>
        <v/>
      </c>
      <c r="M1347" t="str">
        <f t="shared" si="42"/>
        <v/>
      </c>
      <c r="N1347" t="str">
        <f>IFERROR(VLOOKUP(D1347,'Team Data'!C:AB,23,FALSE),"")</f>
        <v/>
      </c>
      <c r="O1347" t="str">
        <f>IFERROR(VLOOKUP(D1347,'Team Data'!C:AB,22,FALSE),"")</f>
        <v/>
      </c>
      <c r="P1347" t="str">
        <f t="shared" si="43"/>
        <v/>
      </c>
      <c r="Q1347" t="str">
        <f>IFERROR(VLOOKUP(D1347,'Team Data'!C:AB,15,FALSE),"")</f>
        <v/>
      </c>
      <c r="R1347" t="str">
        <f>IFERROR(VLOOKUP('OB Format'!D1347,'Team Data'!C:AB,24,FALSE),"")</f>
        <v/>
      </c>
      <c r="S1347" t="str">
        <f>IFERROR(VLOOKUP('OB Format'!D1347,'Team Data'!C:AC,25,FALSE),"")</f>
        <v/>
      </c>
    </row>
    <row r="1348" spans="5:19" x14ac:dyDescent="0.25">
      <c r="E1348" t="str">
        <f>IFERROR(VLOOKUP(D1348,'Team Data'!C:AB,4,FALSE),"")</f>
        <v/>
      </c>
      <c r="F1348" t="str">
        <f>IFERROR(VLOOKUP(D1348,'Team Data'!C:AB,5,FALSE),"")</f>
        <v/>
      </c>
      <c r="G1348" t="str">
        <f>IFERROR(VLOOKUP('OB Format'!D1348,'Team Data'!C:AB,17,FALSE),"")</f>
        <v/>
      </c>
      <c r="H1348" t="str">
        <f>IFERROR(VLOOKUP(D1348,'Team Data'!C:AB,7,FALSE),"")</f>
        <v/>
      </c>
      <c r="I1348" t="str">
        <f>IFERROR(VLOOKUP(D1348,'Team Data'!C:AB,14,FALSE),"")</f>
        <v/>
      </c>
      <c r="J1348" t="str">
        <f>IFERROR(VLOOKUP(D1348,'Team Data'!C:AB,8,FALSE),"")</f>
        <v/>
      </c>
      <c r="K1348" t="str">
        <f>IFERROR(VLOOKUP(D1348,'Team Data'!C:AB,9,FALSE),"")</f>
        <v/>
      </c>
      <c r="L1348" t="str">
        <f>IFERROR(VLOOKUP(D1348,'Team Data'!C:AB,10,FALSE),"")</f>
        <v/>
      </c>
      <c r="M1348" t="str">
        <f t="shared" si="42"/>
        <v/>
      </c>
      <c r="N1348" t="str">
        <f>IFERROR(VLOOKUP(D1348,'Team Data'!C:AB,23,FALSE),"")</f>
        <v/>
      </c>
      <c r="O1348" t="str">
        <f>IFERROR(VLOOKUP(D1348,'Team Data'!C:AB,22,FALSE),"")</f>
        <v/>
      </c>
      <c r="P1348" t="str">
        <f t="shared" si="43"/>
        <v/>
      </c>
      <c r="Q1348" t="str">
        <f>IFERROR(VLOOKUP(D1348,'Team Data'!C:AB,15,FALSE),"")</f>
        <v/>
      </c>
      <c r="R1348" t="str">
        <f>IFERROR(VLOOKUP('OB Format'!D1348,'Team Data'!C:AB,24,FALSE),"")</f>
        <v/>
      </c>
      <c r="S1348" t="str">
        <f>IFERROR(VLOOKUP('OB Format'!D1348,'Team Data'!C:AC,25,FALSE),"")</f>
        <v/>
      </c>
    </row>
    <row r="1349" spans="5:19" x14ac:dyDescent="0.25">
      <c r="E1349" t="str">
        <f>IFERROR(VLOOKUP(D1349,'Team Data'!C:AB,4,FALSE),"")</f>
        <v/>
      </c>
      <c r="F1349" t="str">
        <f>IFERROR(VLOOKUP(D1349,'Team Data'!C:AB,5,FALSE),"")</f>
        <v/>
      </c>
      <c r="G1349" t="str">
        <f>IFERROR(VLOOKUP('OB Format'!D1349,'Team Data'!C:AB,17,FALSE),"")</f>
        <v/>
      </c>
      <c r="H1349" t="str">
        <f>IFERROR(VLOOKUP(D1349,'Team Data'!C:AB,7,FALSE),"")</f>
        <v/>
      </c>
      <c r="I1349" t="str">
        <f>IFERROR(VLOOKUP(D1349,'Team Data'!C:AB,14,FALSE),"")</f>
        <v/>
      </c>
      <c r="J1349" t="str">
        <f>IFERROR(VLOOKUP(D1349,'Team Data'!C:AB,8,FALSE),"")</f>
        <v/>
      </c>
      <c r="K1349" t="str">
        <f>IFERROR(VLOOKUP(D1349,'Team Data'!C:AB,9,FALSE),"")</f>
        <v/>
      </c>
      <c r="L1349" t="str">
        <f>IFERROR(VLOOKUP(D1349,'Team Data'!C:AB,10,FALSE),"")</f>
        <v/>
      </c>
      <c r="M1349" t="str">
        <f t="shared" si="42"/>
        <v/>
      </c>
      <c r="N1349" t="str">
        <f>IFERROR(VLOOKUP(D1349,'Team Data'!C:AB,23,FALSE),"")</f>
        <v/>
      </c>
      <c r="O1349" t="str">
        <f>IFERROR(VLOOKUP(D1349,'Team Data'!C:AB,22,FALSE),"")</f>
        <v/>
      </c>
      <c r="P1349" t="str">
        <f t="shared" si="43"/>
        <v/>
      </c>
      <c r="Q1349" t="str">
        <f>IFERROR(VLOOKUP(D1349,'Team Data'!C:AB,15,FALSE),"")</f>
        <v/>
      </c>
      <c r="R1349" t="str">
        <f>IFERROR(VLOOKUP('OB Format'!D1349,'Team Data'!C:AB,24,FALSE),"")</f>
        <v/>
      </c>
      <c r="S1349" t="str">
        <f>IFERROR(VLOOKUP('OB Format'!D1349,'Team Data'!C:AC,25,FALSE),"")</f>
        <v/>
      </c>
    </row>
    <row r="1350" spans="5:19" x14ac:dyDescent="0.25">
      <c r="E1350" t="str">
        <f>IFERROR(VLOOKUP(D1350,'Team Data'!C:AB,4,FALSE),"")</f>
        <v/>
      </c>
      <c r="F1350" t="str">
        <f>IFERROR(VLOOKUP(D1350,'Team Data'!C:AB,5,FALSE),"")</f>
        <v/>
      </c>
      <c r="G1350" t="str">
        <f>IFERROR(VLOOKUP('OB Format'!D1350,'Team Data'!C:AB,17,FALSE),"")</f>
        <v/>
      </c>
      <c r="H1350" t="str">
        <f>IFERROR(VLOOKUP(D1350,'Team Data'!C:AB,7,FALSE),"")</f>
        <v/>
      </c>
      <c r="I1350" t="str">
        <f>IFERROR(VLOOKUP(D1350,'Team Data'!C:AB,14,FALSE),"")</f>
        <v/>
      </c>
      <c r="J1350" t="str">
        <f>IFERROR(VLOOKUP(D1350,'Team Data'!C:AB,8,FALSE),"")</f>
        <v/>
      </c>
      <c r="K1350" t="str">
        <f>IFERROR(VLOOKUP(D1350,'Team Data'!C:AB,9,FALSE),"")</f>
        <v/>
      </c>
      <c r="L1350" t="str">
        <f>IFERROR(VLOOKUP(D1350,'Team Data'!C:AB,10,FALSE),"")</f>
        <v/>
      </c>
      <c r="M1350" t="str">
        <f t="shared" si="42"/>
        <v/>
      </c>
      <c r="N1350" t="str">
        <f>IFERROR(VLOOKUP(D1350,'Team Data'!C:AB,23,FALSE),"")</f>
        <v/>
      </c>
      <c r="O1350" t="str">
        <f>IFERROR(VLOOKUP(D1350,'Team Data'!C:AB,22,FALSE),"")</f>
        <v/>
      </c>
      <c r="P1350" t="str">
        <f t="shared" si="43"/>
        <v/>
      </c>
      <c r="Q1350" t="str">
        <f>IFERROR(VLOOKUP(D1350,'Team Data'!C:AB,15,FALSE),"")</f>
        <v/>
      </c>
      <c r="R1350" t="str">
        <f>IFERROR(VLOOKUP('OB Format'!D1350,'Team Data'!C:AB,24,FALSE),"")</f>
        <v/>
      </c>
      <c r="S1350" t="str">
        <f>IFERROR(VLOOKUP('OB Format'!D1350,'Team Data'!C:AC,25,FALSE),"")</f>
        <v/>
      </c>
    </row>
    <row r="1351" spans="5:19" x14ac:dyDescent="0.25">
      <c r="E1351" t="str">
        <f>IFERROR(VLOOKUP(D1351,'Team Data'!C:AB,4,FALSE),"")</f>
        <v/>
      </c>
      <c r="F1351" t="str">
        <f>IFERROR(VLOOKUP(D1351,'Team Data'!C:AB,5,FALSE),"")</f>
        <v/>
      </c>
      <c r="G1351" t="str">
        <f>IFERROR(VLOOKUP('OB Format'!D1351,'Team Data'!C:AB,17,FALSE),"")</f>
        <v/>
      </c>
      <c r="H1351" t="str">
        <f>IFERROR(VLOOKUP(D1351,'Team Data'!C:AB,7,FALSE),"")</f>
        <v/>
      </c>
      <c r="I1351" t="str">
        <f>IFERROR(VLOOKUP(D1351,'Team Data'!C:AB,14,FALSE),"")</f>
        <v/>
      </c>
      <c r="J1351" t="str">
        <f>IFERROR(VLOOKUP(D1351,'Team Data'!C:AB,8,FALSE),"")</f>
        <v/>
      </c>
      <c r="K1351" t="str">
        <f>IFERROR(VLOOKUP(D1351,'Team Data'!C:AB,9,FALSE),"")</f>
        <v/>
      </c>
      <c r="L1351" t="str">
        <f>IFERROR(VLOOKUP(D1351,'Team Data'!C:AB,10,FALSE),"")</f>
        <v/>
      </c>
      <c r="M1351" t="str">
        <f t="shared" si="42"/>
        <v/>
      </c>
      <c r="N1351" t="str">
        <f>IFERROR(VLOOKUP(D1351,'Team Data'!C:AB,23,FALSE),"")</f>
        <v/>
      </c>
      <c r="O1351" t="str">
        <f>IFERROR(VLOOKUP(D1351,'Team Data'!C:AB,22,FALSE),"")</f>
        <v/>
      </c>
      <c r="P1351" t="str">
        <f t="shared" si="43"/>
        <v/>
      </c>
      <c r="Q1351" t="str">
        <f>IFERROR(VLOOKUP(D1351,'Team Data'!C:AB,15,FALSE),"")</f>
        <v/>
      </c>
      <c r="R1351" t="str">
        <f>IFERROR(VLOOKUP('OB Format'!D1351,'Team Data'!C:AB,24,FALSE),"")</f>
        <v/>
      </c>
      <c r="S1351" t="str">
        <f>IFERROR(VLOOKUP('OB Format'!D1351,'Team Data'!C:AC,25,FALSE),"")</f>
        <v/>
      </c>
    </row>
    <row r="1352" spans="5:19" x14ac:dyDescent="0.25">
      <c r="E1352" t="str">
        <f>IFERROR(VLOOKUP(D1352,'Team Data'!C:AB,4,FALSE),"")</f>
        <v/>
      </c>
      <c r="F1352" t="str">
        <f>IFERROR(VLOOKUP(D1352,'Team Data'!C:AB,5,FALSE),"")</f>
        <v/>
      </c>
      <c r="G1352" t="str">
        <f>IFERROR(VLOOKUP('OB Format'!D1352,'Team Data'!C:AB,17,FALSE),"")</f>
        <v/>
      </c>
      <c r="H1352" t="str">
        <f>IFERROR(VLOOKUP(D1352,'Team Data'!C:AB,7,FALSE),"")</f>
        <v/>
      </c>
      <c r="I1352" t="str">
        <f>IFERROR(VLOOKUP(D1352,'Team Data'!C:AB,14,FALSE),"")</f>
        <v/>
      </c>
      <c r="J1352" t="str">
        <f>IFERROR(VLOOKUP(D1352,'Team Data'!C:AB,8,FALSE),"")</f>
        <v/>
      </c>
      <c r="K1352" t="str">
        <f>IFERROR(VLOOKUP(D1352,'Team Data'!C:AB,9,FALSE),"")</f>
        <v/>
      </c>
      <c r="L1352" t="str">
        <f>IFERROR(VLOOKUP(D1352,'Team Data'!C:AB,10,FALSE),"")</f>
        <v/>
      </c>
      <c r="M1352" t="str">
        <f t="shared" si="42"/>
        <v/>
      </c>
      <c r="N1352" t="str">
        <f>IFERROR(VLOOKUP(D1352,'Team Data'!C:AB,23,FALSE),"")</f>
        <v/>
      </c>
      <c r="O1352" t="str">
        <f>IFERROR(VLOOKUP(D1352,'Team Data'!C:AB,22,FALSE),"")</f>
        <v/>
      </c>
      <c r="P1352" t="str">
        <f t="shared" si="43"/>
        <v/>
      </c>
      <c r="Q1352" t="str">
        <f>IFERROR(VLOOKUP(D1352,'Team Data'!C:AB,15,FALSE),"")</f>
        <v/>
      </c>
      <c r="R1352" t="str">
        <f>IFERROR(VLOOKUP('OB Format'!D1352,'Team Data'!C:AB,24,FALSE),"")</f>
        <v/>
      </c>
      <c r="S1352" t="str">
        <f>IFERROR(VLOOKUP('OB Format'!D1352,'Team Data'!C:AC,25,FALSE),"")</f>
        <v/>
      </c>
    </row>
    <row r="1353" spans="5:19" x14ac:dyDescent="0.25">
      <c r="E1353" t="str">
        <f>IFERROR(VLOOKUP(D1353,'Team Data'!C:AB,4,FALSE),"")</f>
        <v/>
      </c>
      <c r="F1353" t="str">
        <f>IFERROR(VLOOKUP(D1353,'Team Data'!C:AB,5,FALSE),"")</f>
        <v/>
      </c>
      <c r="G1353" t="str">
        <f>IFERROR(VLOOKUP('OB Format'!D1353,'Team Data'!C:AB,17,FALSE),"")</f>
        <v/>
      </c>
      <c r="H1353" t="str">
        <f>IFERROR(VLOOKUP(D1353,'Team Data'!C:AB,7,FALSE),"")</f>
        <v/>
      </c>
      <c r="I1353" t="str">
        <f>IFERROR(VLOOKUP(D1353,'Team Data'!C:AB,14,FALSE),"")</f>
        <v/>
      </c>
      <c r="J1353" t="str">
        <f>IFERROR(VLOOKUP(D1353,'Team Data'!C:AB,8,FALSE),"")</f>
        <v/>
      </c>
      <c r="K1353" t="str">
        <f>IFERROR(VLOOKUP(D1353,'Team Data'!C:AB,9,FALSE),"")</f>
        <v/>
      </c>
      <c r="L1353" t="str">
        <f>IFERROR(VLOOKUP(D1353,'Team Data'!C:AB,10,FALSE),"")</f>
        <v/>
      </c>
      <c r="M1353" t="str">
        <f t="shared" si="42"/>
        <v/>
      </c>
      <c r="N1353" t="str">
        <f>IFERROR(VLOOKUP(D1353,'Team Data'!C:AB,23,FALSE),"")</f>
        <v/>
      </c>
      <c r="O1353" t="str">
        <f>IFERROR(VLOOKUP(D1353,'Team Data'!C:AB,22,FALSE),"")</f>
        <v/>
      </c>
      <c r="P1353" t="str">
        <f t="shared" si="43"/>
        <v/>
      </c>
      <c r="Q1353" t="str">
        <f>IFERROR(VLOOKUP(D1353,'Team Data'!C:AB,15,FALSE),"")</f>
        <v/>
      </c>
      <c r="R1353" t="str">
        <f>IFERROR(VLOOKUP('OB Format'!D1353,'Team Data'!C:AB,24,FALSE),"")</f>
        <v/>
      </c>
      <c r="S1353" t="str">
        <f>IFERROR(VLOOKUP('OB Format'!D1353,'Team Data'!C:AC,25,FALSE),"")</f>
        <v/>
      </c>
    </row>
    <row r="1354" spans="5:19" x14ac:dyDescent="0.25">
      <c r="E1354" t="str">
        <f>IFERROR(VLOOKUP(D1354,'Team Data'!C:AB,4,FALSE),"")</f>
        <v/>
      </c>
      <c r="F1354" t="str">
        <f>IFERROR(VLOOKUP(D1354,'Team Data'!C:AB,5,FALSE),"")</f>
        <v/>
      </c>
      <c r="G1354" t="str">
        <f>IFERROR(VLOOKUP('OB Format'!D1354,'Team Data'!C:AB,17,FALSE),"")</f>
        <v/>
      </c>
      <c r="H1354" t="str">
        <f>IFERROR(VLOOKUP(D1354,'Team Data'!C:AB,7,FALSE),"")</f>
        <v/>
      </c>
      <c r="I1354" t="str">
        <f>IFERROR(VLOOKUP(D1354,'Team Data'!C:AB,14,FALSE),"")</f>
        <v/>
      </c>
      <c r="J1354" t="str">
        <f>IFERROR(VLOOKUP(D1354,'Team Data'!C:AB,8,FALSE),"")</f>
        <v/>
      </c>
      <c r="K1354" t="str">
        <f>IFERROR(VLOOKUP(D1354,'Team Data'!C:AB,9,FALSE),"")</f>
        <v/>
      </c>
      <c r="L1354" t="str">
        <f>IFERROR(VLOOKUP(D1354,'Team Data'!C:AB,10,FALSE),"")</f>
        <v/>
      </c>
      <c r="M1354" t="str">
        <f t="shared" si="42"/>
        <v/>
      </c>
      <c r="N1354" t="str">
        <f>IFERROR(VLOOKUP(D1354,'Team Data'!C:AB,23,FALSE),"")</f>
        <v/>
      </c>
      <c r="O1354" t="str">
        <f>IFERROR(VLOOKUP(D1354,'Team Data'!C:AB,22,FALSE),"")</f>
        <v/>
      </c>
      <c r="P1354" t="str">
        <f t="shared" si="43"/>
        <v/>
      </c>
      <c r="Q1354" t="str">
        <f>IFERROR(VLOOKUP(D1354,'Team Data'!C:AB,15,FALSE),"")</f>
        <v/>
      </c>
      <c r="R1354" t="str">
        <f>IFERROR(VLOOKUP('OB Format'!D1354,'Team Data'!C:AB,24,FALSE),"")</f>
        <v/>
      </c>
      <c r="S1354" t="str">
        <f>IFERROR(VLOOKUP('OB Format'!D1354,'Team Data'!C:AC,25,FALSE),"")</f>
        <v/>
      </c>
    </row>
    <row r="1355" spans="5:19" x14ac:dyDescent="0.25">
      <c r="E1355" t="str">
        <f>IFERROR(VLOOKUP(D1355,'Team Data'!C:AB,4,FALSE),"")</f>
        <v/>
      </c>
      <c r="F1355" t="str">
        <f>IFERROR(VLOOKUP(D1355,'Team Data'!C:AB,5,FALSE),"")</f>
        <v/>
      </c>
      <c r="G1355" t="str">
        <f>IFERROR(VLOOKUP('OB Format'!D1355,'Team Data'!C:AB,17,FALSE),"")</f>
        <v/>
      </c>
      <c r="H1355" t="str">
        <f>IFERROR(VLOOKUP(D1355,'Team Data'!C:AB,7,FALSE),"")</f>
        <v/>
      </c>
      <c r="I1355" t="str">
        <f>IFERROR(VLOOKUP(D1355,'Team Data'!C:AB,14,FALSE),"")</f>
        <v/>
      </c>
      <c r="J1355" t="str">
        <f>IFERROR(VLOOKUP(D1355,'Team Data'!C:AB,8,FALSE),"")</f>
        <v/>
      </c>
      <c r="K1355" t="str">
        <f>IFERROR(VLOOKUP(D1355,'Team Data'!C:AB,9,FALSE),"")</f>
        <v/>
      </c>
      <c r="L1355" t="str">
        <f>IFERROR(VLOOKUP(D1355,'Team Data'!C:AB,10,FALSE),"")</f>
        <v/>
      </c>
      <c r="M1355" t="str">
        <f t="shared" si="42"/>
        <v/>
      </c>
      <c r="N1355" t="str">
        <f>IFERROR(VLOOKUP(D1355,'Team Data'!C:AB,23,FALSE),"")</f>
        <v/>
      </c>
      <c r="O1355" t="str">
        <f>IFERROR(VLOOKUP(D1355,'Team Data'!C:AB,22,FALSE),"")</f>
        <v/>
      </c>
      <c r="P1355" t="str">
        <f t="shared" si="43"/>
        <v/>
      </c>
      <c r="Q1355" t="str">
        <f>IFERROR(VLOOKUP(D1355,'Team Data'!C:AB,15,FALSE),"")</f>
        <v/>
      </c>
      <c r="R1355" t="str">
        <f>IFERROR(VLOOKUP('OB Format'!D1355,'Team Data'!C:AB,24,FALSE),"")</f>
        <v/>
      </c>
      <c r="S1355" t="str">
        <f>IFERROR(VLOOKUP('OB Format'!D1355,'Team Data'!C:AC,25,FALSE),"")</f>
        <v/>
      </c>
    </row>
    <row r="1356" spans="5:19" x14ac:dyDescent="0.25">
      <c r="E1356" t="str">
        <f>IFERROR(VLOOKUP(D1356,'Team Data'!C:AB,4,FALSE),"")</f>
        <v/>
      </c>
      <c r="F1356" t="str">
        <f>IFERROR(VLOOKUP(D1356,'Team Data'!C:AB,5,FALSE),"")</f>
        <v/>
      </c>
      <c r="G1356" t="str">
        <f>IFERROR(VLOOKUP('OB Format'!D1356,'Team Data'!C:AB,17,FALSE),"")</f>
        <v/>
      </c>
      <c r="H1356" t="str">
        <f>IFERROR(VLOOKUP(D1356,'Team Data'!C:AB,7,FALSE),"")</f>
        <v/>
      </c>
      <c r="I1356" t="str">
        <f>IFERROR(VLOOKUP(D1356,'Team Data'!C:AB,14,FALSE),"")</f>
        <v/>
      </c>
      <c r="J1356" t="str">
        <f>IFERROR(VLOOKUP(D1356,'Team Data'!C:AB,8,FALSE),"")</f>
        <v/>
      </c>
      <c r="K1356" t="str">
        <f>IFERROR(VLOOKUP(D1356,'Team Data'!C:AB,9,FALSE),"")</f>
        <v/>
      </c>
      <c r="L1356" t="str">
        <f>IFERROR(VLOOKUP(D1356,'Team Data'!C:AB,10,FALSE),"")</f>
        <v/>
      </c>
      <c r="M1356" t="str">
        <f t="shared" si="42"/>
        <v/>
      </c>
      <c r="N1356" t="str">
        <f>IFERROR(VLOOKUP(D1356,'Team Data'!C:AB,23,FALSE),"")</f>
        <v/>
      </c>
      <c r="O1356" t="str">
        <f>IFERROR(VLOOKUP(D1356,'Team Data'!C:AB,22,FALSE),"")</f>
        <v/>
      </c>
      <c r="P1356" t="str">
        <f t="shared" si="43"/>
        <v/>
      </c>
      <c r="Q1356" t="str">
        <f>IFERROR(VLOOKUP(D1356,'Team Data'!C:AB,15,FALSE),"")</f>
        <v/>
      </c>
      <c r="R1356" t="str">
        <f>IFERROR(VLOOKUP('OB Format'!D1356,'Team Data'!C:AB,24,FALSE),"")</f>
        <v/>
      </c>
      <c r="S1356" t="str">
        <f>IFERROR(VLOOKUP('OB Format'!D1356,'Team Data'!C:AC,25,FALSE),"")</f>
        <v/>
      </c>
    </row>
    <row r="1357" spans="5:19" x14ac:dyDescent="0.25">
      <c r="E1357" t="str">
        <f>IFERROR(VLOOKUP(D1357,'Team Data'!C:AB,4,FALSE),"")</f>
        <v/>
      </c>
      <c r="F1357" t="str">
        <f>IFERROR(VLOOKUP(D1357,'Team Data'!C:AB,5,FALSE),"")</f>
        <v/>
      </c>
      <c r="G1357" t="str">
        <f>IFERROR(VLOOKUP('OB Format'!D1357,'Team Data'!C:AB,17,FALSE),"")</f>
        <v/>
      </c>
      <c r="H1357" t="str">
        <f>IFERROR(VLOOKUP(D1357,'Team Data'!C:AB,7,FALSE),"")</f>
        <v/>
      </c>
      <c r="I1357" t="str">
        <f>IFERROR(VLOOKUP(D1357,'Team Data'!C:AB,14,FALSE),"")</f>
        <v/>
      </c>
      <c r="J1357" t="str">
        <f>IFERROR(VLOOKUP(D1357,'Team Data'!C:AB,8,FALSE),"")</f>
        <v/>
      </c>
      <c r="K1357" t="str">
        <f>IFERROR(VLOOKUP(D1357,'Team Data'!C:AB,9,FALSE),"")</f>
        <v/>
      </c>
      <c r="L1357" t="str">
        <f>IFERROR(VLOOKUP(D1357,'Team Data'!C:AB,10,FALSE),"")</f>
        <v/>
      </c>
      <c r="M1357" t="str">
        <f t="shared" ref="M1357:M1420" si="44">IFERROR(H1357-(J1357+L1357+K1357),"")</f>
        <v/>
      </c>
      <c r="N1357" t="str">
        <f>IFERROR(VLOOKUP(D1357,'Team Data'!C:AB,23,FALSE),"")</f>
        <v/>
      </c>
      <c r="O1357" t="str">
        <f>IFERROR(VLOOKUP(D1357,'Team Data'!C:AB,22,FALSE),"")</f>
        <v/>
      </c>
      <c r="P1357" t="str">
        <f t="shared" ref="P1357:P1420" si="45">IFERROR(E1357-(H1357+N1357+Q1357+I1357+O1357),"")</f>
        <v/>
      </c>
      <c r="Q1357" t="str">
        <f>IFERROR(VLOOKUP(D1357,'Team Data'!C:AB,15,FALSE),"")</f>
        <v/>
      </c>
      <c r="R1357" t="str">
        <f>IFERROR(VLOOKUP('OB Format'!D1357,'Team Data'!C:AB,24,FALSE),"")</f>
        <v/>
      </c>
      <c r="S1357" t="str">
        <f>IFERROR(VLOOKUP('OB Format'!D1357,'Team Data'!C:AC,25,FALSE),"")</f>
        <v/>
      </c>
    </row>
    <row r="1358" spans="5:19" x14ac:dyDescent="0.25">
      <c r="E1358" t="str">
        <f>IFERROR(VLOOKUP(D1358,'Team Data'!C:AB,4,FALSE),"")</f>
        <v/>
      </c>
      <c r="F1358" t="str">
        <f>IFERROR(VLOOKUP(D1358,'Team Data'!C:AB,5,FALSE),"")</f>
        <v/>
      </c>
      <c r="G1358" t="str">
        <f>IFERROR(VLOOKUP('OB Format'!D1358,'Team Data'!C:AB,17,FALSE),"")</f>
        <v/>
      </c>
      <c r="H1358" t="str">
        <f>IFERROR(VLOOKUP(D1358,'Team Data'!C:AB,7,FALSE),"")</f>
        <v/>
      </c>
      <c r="I1358" t="str">
        <f>IFERROR(VLOOKUP(D1358,'Team Data'!C:AB,14,FALSE),"")</f>
        <v/>
      </c>
      <c r="J1358" t="str">
        <f>IFERROR(VLOOKUP(D1358,'Team Data'!C:AB,8,FALSE),"")</f>
        <v/>
      </c>
      <c r="K1358" t="str">
        <f>IFERROR(VLOOKUP(D1358,'Team Data'!C:AB,9,FALSE),"")</f>
        <v/>
      </c>
      <c r="L1358" t="str">
        <f>IFERROR(VLOOKUP(D1358,'Team Data'!C:AB,10,FALSE),"")</f>
        <v/>
      </c>
      <c r="M1358" t="str">
        <f t="shared" si="44"/>
        <v/>
      </c>
      <c r="N1358" t="str">
        <f>IFERROR(VLOOKUP(D1358,'Team Data'!C:AB,23,FALSE),"")</f>
        <v/>
      </c>
      <c r="O1358" t="str">
        <f>IFERROR(VLOOKUP(D1358,'Team Data'!C:AB,22,FALSE),"")</f>
        <v/>
      </c>
      <c r="P1358" t="str">
        <f t="shared" si="45"/>
        <v/>
      </c>
      <c r="Q1358" t="str">
        <f>IFERROR(VLOOKUP(D1358,'Team Data'!C:AB,15,FALSE),"")</f>
        <v/>
      </c>
      <c r="R1358" t="str">
        <f>IFERROR(VLOOKUP('OB Format'!D1358,'Team Data'!C:AB,24,FALSE),"")</f>
        <v/>
      </c>
      <c r="S1358" t="str">
        <f>IFERROR(VLOOKUP('OB Format'!D1358,'Team Data'!C:AC,25,FALSE),"")</f>
        <v/>
      </c>
    </row>
    <row r="1359" spans="5:19" x14ac:dyDescent="0.25">
      <c r="E1359" t="str">
        <f>IFERROR(VLOOKUP(D1359,'Team Data'!C:AB,4,FALSE),"")</f>
        <v/>
      </c>
      <c r="F1359" t="str">
        <f>IFERROR(VLOOKUP(D1359,'Team Data'!C:AB,5,FALSE),"")</f>
        <v/>
      </c>
      <c r="G1359" t="str">
        <f>IFERROR(VLOOKUP('OB Format'!D1359,'Team Data'!C:AB,17,FALSE),"")</f>
        <v/>
      </c>
      <c r="H1359" t="str">
        <f>IFERROR(VLOOKUP(D1359,'Team Data'!C:AB,7,FALSE),"")</f>
        <v/>
      </c>
      <c r="I1359" t="str">
        <f>IFERROR(VLOOKUP(D1359,'Team Data'!C:AB,14,FALSE),"")</f>
        <v/>
      </c>
      <c r="J1359" t="str">
        <f>IFERROR(VLOOKUP(D1359,'Team Data'!C:AB,8,FALSE),"")</f>
        <v/>
      </c>
      <c r="K1359" t="str">
        <f>IFERROR(VLOOKUP(D1359,'Team Data'!C:AB,9,FALSE),"")</f>
        <v/>
      </c>
      <c r="L1359" t="str">
        <f>IFERROR(VLOOKUP(D1359,'Team Data'!C:AB,10,FALSE),"")</f>
        <v/>
      </c>
      <c r="M1359" t="str">
        <f t="shared" si="44"/>
        <v/>
      </c>
      <c r="N1359" t="str">
        <f>IFERROR(VLOOKUP(D1359,'Team Data'!C:AB,23,FALSE),"")</f>
        <v/>
      </c>
      <c r="O1359" t="str">
        <f>IFERROR(VLOOKUP(D1359,'Team Data'!C:AB,22,FALSE),"")</f>
        <v/>
      </c>
      <c r="P1359" t="str">
        <f t="shared" si="45"/>
        <v/>
      </c>
      <c r="Q1359" t="str">
        <f>IFERROR(VLOOKUP(D1359,'Team Data'!C:AB,15,FALSE),"")</f>
        <v/>
      </c>
      <c r="R1359" t="str">
        <f>IFERROR(VLOOKUP('OB Format'!D1359,'Team Data'!C:AB,24,FALSE),"")</f>
        <v/>
      </c>
      <c r="S1359" t="str">
        <f>IFERROR(VLOOKUP('OB Format'!D1359,'Team Data'!C:AC,25,FALSE),"")</f>
        <v/>
      </c>
    </row>
    <row r="1360" spans="5:19" x14ac:dyDescent="0.25">
      <c r="E1360" t="str">
        <f>IFERROR(VLOOKUP(D1360,'Team Data'!C:AB,4,FALSE),"")</f>
        <v/>
      </c>
      <c r="F1360" t="str">
        <f>IFERROR(VLOOKUP(D1360,'Team Data'!C:AB,5,FALSE),"")</f>
        <v/>
      </c>
      <c r="G1360" t="str">
        <f>IFERROR(VLOOKUP('OB Format'!D1360,'Team Data'!C:AB,17,FALSE),"")</f>
        <v/>
      </c>
      <c r="H1360" t="str">
        <f>IFERROR(VLOOKUP(D1360,'Team Data'!C:AB,7,FALSE),"")</f>
        <v/>
      </c>
      <c r="I1360" t="str">
        <f>IFERROR(VLOOKUP(D1360,'Team Data'!C:AB,14,FALSE),"")</f>
        <v/>
      </c>
      <c r="J1360" t="str">
        <f>IFERROR(VLOOKUP(D1360,'Team Data'!C:AB,8,FALSE),"")</f>
        <v/>
      </c>
      <c r="K1360" t="str">
        <f>IFERROR(VLOOKUP(D1360,'Team Data'!C:AB,9,FALSE),"")</f>
        <v/>
      </c>
      <c r="L1360" t="str">
        <f>IFERROR(VLOOKUP(D1360,'Team Data'!C:AB,10,FALSE),"")</f>
        <v/>
      </c>
      <c r="M1360" t="str">
        <f t="shared" si="44"/>
        <v/>
      </c>
      <c r="N1360" t="str">
        <f>IFERROR(VLOOKUP(D1360,'Team Data'!C:AB,23,FALSE),"")</f>
        <v/>
      </c>
      <c r="O1360" t="str">
        <f>IFERROR(VLOOKUP(D1360,'Team Data'!C:AB,22,FALSE),"")</f>
        <v/>
      </c>
      <c r="P1360" t="str">
        <f t="shared" si="45"/>
        <v/>
      </c>
      <c r="Q1360" t="str">
        <f>IFERROR(VLOOKUP(D1360,'Team Data'!C:AB,15,FALSE),"")</f>
        <v/>
      </c>
      <c r="R1360" t="str">
        <f>IFERROR(VLOOKUP('OB Format'!D1360,'Team Data'!C:AB,24,FALSE),"")</f>
        <v/>
      </c>
      <c r="S1360" t="str">
        <f>IFERROR(VLOOKUP('OB Format'!D1360,'Team Data'!C:AC,25,FALSE),"")</f>
        <v/>
      </c>
    </row>
    <row r="1361" spans="5:19" x14ac:dyDescent="0.25">
      <c r="E1361" t="str">
        <f>IFERROR(VLOOKUP(D1361,'Team Data'!C:AB,4,FALSE),"")</f>
        <v/>
      </c>
      <c r="F1361" t="str">
        <f>IFERROR(VLOOKUP(D1361,'Team Data'!C:AB,5,FALSE),"")</f>
        <v/>
      </c>
      <c r="G1361" t="str">
        <f>IFERROR(VLOOKUP('OB Format'!D1361,'Team Data'!C:AB,17,FALSE),"")</f>
        <v/>
      </c>
      <c r="H1361" t="str">
        <f>IFERROR(VLOOKUP(D1361,'Team Data'!C:AB,7,FALSE),"")</f>
        <v/>
      </c>
      <c r="I1361" t="str">
        <f>IFERROR(VLOOKUP(D1361,'Team Data'!C:AB,14,FALSE),"")</f>
        <v/>
      </c>
      <c r="J1361" t="str">
        <f>IFERROR(VLOOKUP(D1361,'Team Data'!C:AB,8,FALSE),"")</f>
        <v/>
      </c>
      <c r="K1361" t="str">
        <f>IFERROR(VLOOKUP(D1361,'Team Data'!C:AB,9,FALSE),"")</f>
        <v/>
      </c>
      <c r="L1361" t="str">
        <f>IFERROR(VLOOKUP(D1361,'Team Data'!C:AB,10,FALSE),"")</f>
        <v/>
      </c>
      <c r="M1361" t="str">
        <f t="shared" si="44"/>
        <v/>
      </c>
      <c r="N1361" t="str">
        <f>IFERROR(VLOOKUP(D1361,'Team Data'!C:AB,23,FALSE),"")</f>
        <v/>
      </c>
      <c r="O1361" t="str">
        <f>IFERROR(VLOOKUP(D1361,'Team Data'!C:AB,22,FALSE),"")</f>
        <v/>
      </c>
      <c r="P1361" t="str">
        <f t="shared" si="45"/>
        <v/>
      </c>
      <c r="Q1361" t="str">
        <f>IFERROR(VLOOKUP(D1361,'Team Data'!C:AB,15,FALSE),"")</f>
        <v/>
      </c>
      <c r="R1361" t="str">
        <f>IFERROR(VLOOKUP('OB Format'!D1361,'Team Data'!C:AB,24,FALSE),"")</f>
        <v/>
      </c>
      <c r="S1361" t="str">
        <f>IFERROR(VLOOKUP('OB Format'!D1361,'Team Data'!C:AC,25,FALSE),"")</f>
        <v/>
      </c>
    </row>
    <row r="1362" spans="5:19" x14ac:dyDescent="0.25">
      <c r="E1362" t="str">
        <f>IFERROR(VLOOKUP(D1362,'Team Data'!C:AB,4,FALSE),"")</f>
        <v/>
      </c>
      <c r="F1362" t="str">
        <f>IFERROR(VLOOKUP(D1362,'Team Data'!C:AB,5,FALSE),"")</f>
        <v/>
      </c>
      <c r="G1362" t="str">
        <f>IFERROR(VLOOKUP('OB Format'!D1362,'Team Data'!C:AB,17,FALSE),"")</f>
        <v/>
      </c>
      <c r="H1362" t="str">
        <f>IFERROR(VLOOKUP(D1362,'Team Data'!C:AB,7,FALSE),"")</f>
        <v/>
      </c>
      <c r="I1362" t="str">
        <f>IFERROR(VLOOKUP(D1362,'Team Data'!C:AB,14,FALSE),"")</f>
        <v/>
      </c>
      <c r="J1362" t="str">
        <f>IFERROR(VLOOKUP(D1362,'Team Data'!C:AB,8,FALSE),"")</f>
        <v/>
      </c>
      <c r="K1362" t="str">
        <f>IFERROR(VLOOKUP(D1362,'Team Data'!C:AB,9,FALSE),"")</f>
        <v/>
      </c>
      <c r="L1362" t="str">
        <f>IFERROR(VLOOKUP(D1362,'Team Data'!C:AB,10,FALSE),"")</f>
        <v/>
      </c>
      <c r="M1362" t="str">
        <f t="shared" si="44"/>
        <v/>
      </c>
      <c r="N1362" t="str">
        <f>IFERROR(VLOOKUP(D1362,'Team Data'!C:AB,23,FALSE),"")</f>
        <v/>
      </c>
      <c r="O1362" t="str">
        <f>IFERROR(VLOOKUP(D1362,'Team Data'!C:AB,22,FALSE),"")</f>
        <v/>
      </c>
      <c r="P1362" t="str">
        <f t="shared" si="45"/>
        <v/>
      </c>
      <c r="Q1362" t="str">
        <f>IFERROR(VLOOKUP(D1362,'Team Data'!C:AB,15,FALSE),"")</f>
        <v/>
      </c>
      <c r="R1362" t="str">
        <f>IFERROR(VLOOKUP('OB Format'!D1362,'Team Data'!C:AB,24,FALSE),"")</f>
        <v/>
      </c>
      <c r="S1362" t="str">
        <f>IFERROR(VLOOKUP('OB Format'!D1362,'Team Data'!C:AC,25,FALSE),"")</f>
        <v/>
      </c>
    </row>
    <row r="1363" spans="5:19" x14ac:dyDescent="0.25">
      <c r="E1363" t="str">
        <f>IFERROR(VLOOKUP(D1363,'Team Data'!C:AB,4,FALSE),"")</f>
        <v/>
      </c>
      <c r="F1363" t="str">
        <f>IFERROR(VLOOKUP(D1363,'Team Data'!C:AB,5,FALSE),"")</f>
        <v/>
      </c>
      <c r="G1363" t="str">
        <f>IFERROR(VLOOKUP('OB Format'!D1363,'Team Data'!C:AB,17,FALSE),"")</f>
        <v/>
      </c>
      <c r="H1363" t="str">
        <f>IFERROR(VLOOKUP(D1363,'Team Data'!C:AB,7,FALSE),"")</f>
        <v/>
      </c>
      <c r="I1363" t="str">
        <f>IFERROR(VLOOKUP(D1363,'Team Data'!C:AB,14,FALSE),"")</f>
        <v/>
      </c>
      <c r="J1363" t="str">
        <f>IFERROR(VLOOKUP(D1363,'Team Data'!C:AB,8,FALSE),"")</f>
        <v/>
      </c>
      <c r="K1363" t="str">
        <f>IFERROR(VLOOKUP(D1363,'Team Data'!C:AB,9,FALSE),"")</f>
        <v/>
      </c>
      <c r="L1363" t="str">
        <f>IFERROR(VLOOKUP(D1363,'Team Data'!C:AB,10,FALSE),"")</f>
        <v/>
      </c>
      <c r="M1363" t="str">
        <f t="shared" si="44"/>
        <v/>
      </c>
      <c r="N1363" t="str">
        <f>IFERROR(VLOOKUP(D1363,'Team Data'!C:AB,23,FALSE),"")</f>
        <v/>
      </c>
      <c r="O1363" t="str">
        <f>IFERROR(VLOOKUP(D1363,'Team Data'!C:AB,22,FALSE),"")</f>
        <v/>
      </c>
      <c r="P1363" t="str">
        <f t="shared" si="45"/>
        <v/>
      </c>
      <c r="Q1363" t="str">
        <f>IFERROR(VLOOKUP(D1363,'Team Data'!C:AB,15,FALSE),"")</f>
        <v/>
      </c>
      <c r="R1363" t="str">
        <f>IFERROR(VLOOKUP('OB Format'!D1363,'Team Data'!C:AB,24,FALSE),"")</f>
        <v/>
      </c>
      <c r="S1363" t="str">
        <f>IFERROR(VLOOKUP('OB Format'!D1363,'Team Data'!C:AC,25,FALSE),"")</f>
        <v/>
      </c>
    </row>
    <row r="1364" spans="5:19" x14ac:dyDescent="0.25">
      <c r="E1364" t="str">
        <f>IFERROR(VLOOKUP(D1364,'Team Data'!C:AB,4,FALSE),"")</f>
        <v/>
      </c>
      <c r="F1364" t="str">
        <f>IFERROR(VLOOKUP(D1364,'Team Data'!C:AB,5,FALSE),"")</f>
        <v/>
      </c>
      <c r="G1364" t="str">
        <f>IFERROR(VLOOKUP('OB Format'!D1364,'Team Data'!C:AB,17,FALSE),"")</f>
        <v/>
      </c>
      <c r="H1364" t="str">
        <f>IFERROR(VLOOKUP(D1364,'Team Data'!C:AB,7,FALSE),"")</f>
        <v/>
      </c>
      <c r="I1364" t="str">
        <f>IFERROR(VLOOKUP(D1364,'Team Data'!C:AB,14,FALSE),"")</f>
        <v/>
      </c>
      <c r="J1364" t="str">
        <f>IFERROR(VLOOKUP(D1364,'Team Data'!C:AB,8,FALSE),"")</f>
        <v/>
      </c>
      <c r="K1364" t="str">
        <f>IFERROR(VLOOKUP(D1364,'Team Data'!C:AB,9,FALSE),"")</f>
        <v/>
      </c>
      <c r="L1364" t="str">
        <f>IFERROR(VLOOKUP(D1364,'Team Data'!C:AB,10,FALSE),"")</f>
        <v/>
      </c>
      <c r="M1364" t="str">
        <f t="shared" si="44"/>
        <v/>
      </c>
      <c r="N1364" t="str">
        <f>IFERROR(VLOOKUP(D1364,'Team Data'!C:AB,23,FALSE),"")</f>
        <v/>
      </c>
      <c r="O1364" t="str">
        <f>IFERROR(VLOOKUP(D1364,'Team Data'!C:AB,22,FALSE),"")</f>
        <v/>
      </c>
      <c r="P1364" t="str">
        <f t="shared" si="45"/>
        <v/>
      </c>
      <c r="Q1364" t="str">
        <f>IFERROR(VLOOKUP(D1364,'Team Data'!C:AB,15,FALSE),"")</f>
        <v/>
      </c>
      <c r="R1364" t="str">
        <f>IFERROR(VLOOKUP('OB Format'!D1364,'Team Data'!C:AB,24,FALSE),"")</f>
        <v/>
      </c>
      <c r="S1364" t="str">
        <f>IFERROR(VLOOKUP('OB Format'!D1364,'Team Data'!C:AC,25,FALSE),"")</f>
        <v/>
      </c>
    </row>
    <row r="1365" spans="5:19" x14ac:dyDescent="0.25">
      <c r="E1365" t="str">
        <f>IFERROR(VLOOKUP(D1365,'Team Data'!C:AB,4,FALSE),"")</f>
        <v/>
      </c>
      <c r="F1365" t="str">
        <f>IFERROR(VLOOKUP(D1365,'Team Data'!C:AB,5,FALSE),"")</f>
        <v/>
      </c>
      <c r="G1365" t="str">
        <f>IFERROR(VLOOKUP('OB Format'!D1365,'Team Data'!C:AB,17,FALSE),"")</f>
        <v/>
      </c>
      <c r="H1365" t="str">
        <f>IFERROR(VLOOKUP(D1365,'Team Data'!C:AB,7,FALSE),"")</f>
        <v/>
      </c>
      <c r="I1365" t="str">
        <f>IFERROR(VLOOKUP(D1365,'Team Data'!C:AB,14,FALSE),"")</f>
        <v/>
      </c>
      <c r="J1365" t="str">
        <f>IFERROR(VLOOKUP(D1365,'Team Data'!C:AB,8,FALSE),"")</f>
        <v/>
      </c>
      <c r="K1365" t="str">
        <f>IFERROR(VLOOKUP(D1365,'Team Data'!C:AB,9,FALSE),"")</f>
        <v/>
      </c>
      <c r="L1365" t="str">
        <f>IFERROR(VLOOKUP(D1365,'Team Data'!C:AB,10,FALSE),"")</f>
        <v/>
      </c>
      <c r="M1365" t="str">
        <f t="shared" si="44"/>
        <v/>
      </c>
      <c r="N1365" t="str">
        <f>IFERROR(VLOOKUP(D1365,'Team Data'!C:AB,23,FALSE),"")</f>
        <v/>
      </c>
      <c r="O1365" t="str">
        <f>IFERROR(VLOOKUP(D1365,'Team Data'!C:AB,22,FALSE),"")</f>
        <v/>
      </c>
      <c r="P1365" t="str">
        <f t="shared" si="45"/>
        <v/>
      </c>
      <c r="Q1365" t="str">
        <f>IFERROR(VLOOKUP(D1365,'Team Data'!C:AB,15,FALSE),"")</f>
        <v/>
      </c>
      <c r="R1365" t="str">
        <f>IFERROR(VLOOKUP('OB Format'!D1365,'Team Data'!C:AB,24,FALSE),"")</f>
        <v/>
      </c>
      <c r="S1365" t="str">
        <f>IFERROR(VLOOKUP('OB Format'!D1365,'Team Data'!C:AC,25,FALSE),"")</f>
        <v/>
      </c>
    </row>
    <row r="1366" spans="5:19" x14ac:dyDescent="0.25">
      <c r="E1366" t="str">
        <f>IFERROR(VLOOKUP(D1366,'Team Data'!C:AB,4,FALSE),"")</f>
        <v/>
      </c>
      <c r="F1366" t="str">
        <f>IFERROR(VLOOKUP(D1366,'Team Data'!C:AB,5,FALSE),"")</f>
        <v/>
      </c>
      <c r="G1366" t="str">
        <f>IFERROR(VLOOKUP('OB Format'!D1366,'Team Data'!C:AB,17,FALSE),"")</f>
        <v/>
      </c>
      <c r="H1366" t="str">
        <f>IFERROR(VLOOKUP(D1366,'Team Data'!C:AB,7,FALSE),"")</f>
        <v/>
      </c>
      <c r="I1366" t="str">
        <f>IFERROR(VLOOKUP(D1366,'Team Data'!C:AB,14,FALSE),"")</f>
        <v/>
      </c>
      <c r="J1366" t="str">
        <f>IFERROR(VLOOKUP(D1366,'Team Data'!C:AB,8,FALSE),"")</f>
        <v/>
      </c>
      <c r="K1366" t="str">
        <f>IFERROR(VLOOKUP(D1366,'Team Data'!C:AB,9,FALSE),"")</f>
        <v/>
      </c>
      <c r="L1366" t="str">
        <f>IFERROR(VLOOKUP(D1366,'Team Data'!C:AB,10,FALSE),"")</f>
        <v/>
      </c>
      <c r="M1366" t="str">
        <f t="shared" si="44"/>
        <v/>
      </c>
      <c r="N1366" t="str">
        <f>IFERROR(VLOOKUP(D1366,'Team Data'!C:AB,23,FALSE),"")</f>
        <v/>
      </c>
      <c r="O1366" t="str">
        <f>IFERROR(VLOOKUP(D1366,'Team Data'!C:AB,22,FALSE),"")</f>
        <v/>
      </c>
      <c r="P1366" t="str">
        <f t="shared" si="45"/>
        <v/>
      </c>
      <c r="Q1366" t="str">
        <f>IFERROR(VLOOKUP(D1366,'Team Data'!C:AB,15,FALSE),"")</f>
        <v/>
      </c>
      <c r="R1366" t="str">
        <f>IFERROR(VLOOKUP('OB Format'!D1366,'Team Data'!C:AB,24,FALSE),"")</f>
        <v/>
      </c>
      <c r="S1366" t="str">
        <f>IFERROR(VLOOKUP('OB Format'!D1366,'Team Data'!C:AC,25,FALSE),"")</f>
        <v/>
      </c>
    </row>
    <row r="1367" spans="5:19" x14ac:dyDescent="0.25">
      <c r="E1367" t="str">
        <f>IFERROR(VLOOKUP(D1367,'Team Data'!C:AB,4,FALSE),"")</f>
        <v/>
      </c>
      <c r="F1367" t="str">
        <f>IFERROR(VLOOKUP(D1367,'Team Data'!C:AB,5,FALSE),"")</f>
        <v/>
      </c>
      <c r="G1367" t="str">
        <f>IFERROR(VLOOKUP('OB Format'!D1367,'Team Data'!C:AB,17,FALSE),"")</f>
        <v/>
      </c>
      <c r="H1367" t="str">
        <f>IFERROR(VLOOKUP(D1367,'Team Data'!C:AB,7,FALSE),"")</f>
        <v/>
      </c>
      <c r="I1367" t="str">
        <f>IFERROR(VLOOKUP(D1367,'Team Data'!C:AB,14,FALSE),"")</f>
        <v/>
      </c>
      <c r="J1367" t="str">
        <f>IFERROR(VLOOKUP(D1367,'Team Data'!C:AB,8,FALSE),"")</f>
        <v/>
      </c>
      <c r="K1367" t="str">
        <f>IFERROR(VLOOKUP(D1367,'Team Data'!C:AB,9,FALSE),"")</f>
        <v/>
      </c>
      <c r="L1367" t="str">
        <f>IFERROR(VLOOKUP(D1367,'Team Data'!C:AB,10,FALSE),"")</f>
        <v/>
      </c>
      <c r="M1367" t="str">
        <f t="shared" si="44"/>
        <v/>
      </c>
      <c r="N1367" t="str">
        <f>IFERROR(VLOOKUP(D1367,'Team Data'!C:AB,23,FALSE),"")</f>
        <v/>
      </c>
      <c r="O1367" t="str">
        <f>IFERROR(VLOOKUP(D1367,'Team Data'!C:AB,22,FALSE),"")</f>
        <v/>
      </c>
      <c r="P1367" t="str">
        <f t="shared" si="45"/>
        <v/>
      </c>
      <c r="Q1367" t="str">
        <f>IFERROR(VLOOKUP(D1367,'Team Data'!C:AB,15,FALSE),"")</f>
        <v/>
      </c>
      <c r="R1367" t="str">
        <f>IFERROR(VLOOKUP('OB Format'!D1367,'Team Data'!C:AB,24,FALSE),"")</f>
        <v/>
      </c>
      <c r="S1367" t="str">
        <f>IFERROR(VLOOKUP('OB Format'!D1367,'Team Data'!C:AC,25,FALSE),"")</f>
        <v/>
      </c>
    </row>
    <row r="1368" spans="5:19" x14ac:dyDescent="0.25">
      <c r="E1368" t="str">
        <f>IFERROR(VLOOKUP(D1368,'Team Data'!C:AB,4,FALSE),"")</f>
        <v/>
      </c>
      <c r="F1368" t="str">
        <f>IFERROR(VLOOKUP(D1368,'Team Data'!C:AB,5,FALSE),"")</f>
        <v/>
      </c>
      <c r="G1368" t="str">
        <f>IFERROR(VLOOKUP('OB Format'!D1368,'Team Data'!C:AB,17,FALSE),"")</f>
        <v/>
      </c>
      <c r="H1368" t="str">
        <f>IFERROR(VLOOKUP(D1368,'Team Data'!C:AB,7,FALSE),"")</f>
        <v/>
      </c>
      <c r="I1368" t="str">
        <f>IFERROR(VLOOKUP(D1368,'Team Data'!C:AB,14,FALSE),"")</f>
        <v/>
      </c>
      <c r="J1368" t="str">
        <f>IFERROR(VLOOKUP(D1368,'Team Data'!C:AB,8,FALSE),"")</f>
        <v/>
      </c>
      <c r="K1368" t="str">
        <f>IFERROR(VLOOKUP(D1368,'Team Data'!C:AB,9,FALSE),"")</f>
        <v/>
      </c>
      <c r="L1368" t="str">
        <f>IFERROR(VLOOKUP(D1368,'Team Data'!C:AB,10,FALSE),"")</f>
        <v/>
      </c>
      <c r="M1368" t="str">
        <f t="shared" si="44"/>
        <v/>
      </c>
      <c r="N1368" t="str">
        <f>IFERROR(VLOOKUP(D1368,'Team Data'!C:AB,23,FALSE),"")</f>
        <v/>
      </c>
      <c r="O1368" t="str">
        <f>IFERROR(VLOOKUP(D1368,'Team Data'!C:AB,22,FALSE),"")</f>
        <v/>
      </c>
      <c r="P1368" t="str">
        <f t="shared" si="45"/>
        <v/>
      </c>
      <c r="Q1368" t="str">
        <f>IFERROR(VLOOKUP(D1368,'Team Data'!C:AB,15,FALSE),"")</f>
        <v/>
      </c>
      <c r="R1368" t="str">
        <f>IFERROR(VLOOKUP('OB Format'!D1368,'Team Data'!C:AB,24,FALSE),"")</f>
        <v/>
      </c>
      <c r="S1368" t="str">
        <f>IFERROR(VLOOKUP('OB Format'!D1368,'Team Data'!C:AC,25,FALSE),"")</f>
        <v/>
      </c>
    </row>
    <row r="1369" spans="5:19" x14ac:dyDescent="0.25">
      <c r="E1369" t="str">
        <f>IFERROR(VLOOKUP(D1369,'Team Data'!C:AB,4,FALSE),"")</f>
        <v/>
      </c>
      <c r="F1369" t="str">
        <f>IFERROR(VLOOKUP(D1369,'Team Data'!C:AB,5,FALSE),"")</f>
        <v/>
      </c>
      <c r="G1369" t="str">
        <f>IFERROR(VLOOKUP('OB Format'!D1369,'Team Data'!C:AB,17,FALSE),"")</f>
        <v/>
      </c>
      <c r="H1369" t="str">
        <f>IFERROR(VLOOKUP(D1369,'Team Data'!C:AB,7,FALSE),"")</f>
        <v/>
      </c>
      <c r="I1369" t="str">
        <f>IFERROR(VLOOKUP(D1369,'Team Data'!C:AB,14,FALSE),"")</f>
        <v/>
      </c>
      <c r="J1369" t="str">
        <f>IFERROR(VLOOKUP(D1369,'Team Data'!C:AB,8,FALSE),"")</f>
        <v/>
      </c>
      <c r="K1369" t="str">
        <f>IFERROR(VLOOKUP(D1369,'Team Data'!C:AB,9,FALSE),"")</f>
        <v/>
      </c>
      <c r="L1369" t="str">
        <f>IFERROR(VLOOKUP(D1369,'Team Data'!C:AB,10,FALSE),"")</f>
        <v/>
      </c>
      <c r="M1369" t="str">
        <f t="shared" si="44"/>
        <v/>
      </c>
      <c r="N1369" t="str">
        <f>IFERROR(VLOOKUP(D1369,'Team Data'!C:AB,23,FALSE),"")</f>
        <v/>
      </c>
      <c r="O1369" t="str">
        <f>IFERROR(VLOOKUP(D1369,'Team Data'!C:AB,22,FALSE),"")</f>
        <v/>
      </c>
      <c r="P1369" t="str">
        <f t="shared" si="45"/>
        <v/>
      </c>
      <c r="Q1369" t="str">
        <f>IFERROR(VLOOKUP(D1369,'Team Data'!C:AB,15,FALSE),"")</f>
        <v/>
      </c>
      <c r="R1369" t="str">
        <f>IFERROR(VLOOKUP('OB Format'!D1369,'Team Data'!C:AB,24,FALSE),"")</f>
        <v/>
      </c>
      <c r="S1369" t="str">
        <f>IFERROR(VLOOKUP('OB Format'!D1369,'Team Data'!C:AC,25,FALSE),"")</f>
        <v/>
      </c>
    </row>
    <row r="1370" spans="5:19" x14ac:dyDescent="0.25">
      <c r="E1370" t="str">
        <f>IFERROR(VLOOKUP(D1370,'Team Data'!C:AB,4,FALSE),"")</f>
        <v/>
      </c>
      <c r="F1370" t="str">
        <f>IFERROR(VLOOKUP(D1370,'Team Data'!C:AB,5,FALSE),"")</f>
        <v/>
      </c>
      <c r="G1370" t="str">
        <f>IFERROR(VLOOKUP('OB Format'!D1370,'Team Data'!C:AB,17,FALSE),"")</f>
        <v/>
      </c>
      <c r="H1370" t="str">
        <f>IFERROR(VLOOKUP(D1370,'Team Data'!C:AB,7,FALSE),"")</f>
        <v/>
      </c>
      <c r="I1370" t="str">
        <f>IFERROR(VLOOKUP(D1370,'Team Data'!C:AB,14,FALSE),"")</f>
        <v/>
      </c>
      <c r="J1370" t="str">
        <f>IFERROR(VLOOKUP(D1370,'Team Data'!C:AB,8,FALSE),"")</f>
        <v/>
      </c>
      <c r="K1370" t="str">
        <f>IFERROR(VLOOKUP(D1370,'Team Data'!C:AB,9,FALSE),"")</f>
        <v/>
      </c>
      <c r="L1370" t="str">
        <f>IFERROR(VLOOKUP(D1370,'Team Data'!C:AB,10,FALSE),"")</f>
        <v/>
      </c>
      <c r="M1370" t="str">
        <f t="shared" si="44"/>
        <v/>
      </c>
      <c r="N1370" t="str">
        <f>IFERROR(VLOOKUP(D1370,'Team Data'!C:AB,23,FALSE),"")</f>
        <v/>
      </c>
      <c r="O1370" t="str">
        <f>IFERROR(VLOOKUP(D1370,'Team Data'!C:AB,22,FALSE),"")</f>
        <v/>
      </c>
      <c r="P1370" t="str">
        <f t="shared" si="45"/>
        <v/>
      </c>
      <c r="Q1370" t="str">
        <f>IFERROR(VLOOKUP(D1370,'Team Data'!C:AB,15,FALSE),"")</f>
        <v/>
      </c>
      <c r="R1370" t="str">
        <f>IFERROR(VLOOKUP('OB Format'!D1370,'Team Data'!C:AB,24,FALSE),"")</f>
        <v/>
      </c>
      <c r="S1370" t="str">
        <f>IFERROR(VLOOKUP('OB Format'!D1370,'Team Data'!C:AC,25,FALSE),"")</f>
        <v/>
      </c>
    </row>
    <row r="1371" spans="5:19" x14ac:dyDescent="0.25">
      <c r="E1371" t="str">
        <f>IFERROR(VLOOKUP(D1371,'Team Data'!C:AB,4,FALSE),"")</f>
        <v/>
      </c>
      <c r="F1371" t="str">
        <f>IFERROR(VLOOKUP(D1371,'Team Data'!C:AB,5,FALSE),"")</f>
        <v/>
      </c>
      <c r="G1371" t="str">
        <f>IFERROR(VLOOKUP('OB Format'!D1371,'Team Data'!C:AB,17,FALSE),"")</f>
        <v/>
      </c>
      <c r="H1371" t="str">
        <f>IFERROR(VLOOKUP(D1371,'Team Data'!C:AB,7,FALSE),"")</f>
        <v/>
      </c>
      <c r="I1371" t="str">
        <f>IFERROR(VLOOKUP(D1371,'Team Data'!C:AB,14,FALSE),"")</f>
        <v/>
      </c>
      <c r="J1371" t="str">
        <f>IFERROR(VLOOKUP(D1371,'Team Data'!C:AB,8,FALSE),"")</f>
        <v/>
      </c>
      <c r="K1371" t="str">
        <f>IFERROR(VLOOKUP(D1371,'Team Data'!C:AB,9,FALSE),"")</f>
        <v/>
      </c>
      <c r="L1371" t="str">
        <f>IFERROR(VLOOKUP(D1371,'Team Data'!C:AB,10,FALSE),"")</f>
        <v/>
      </c>
      <c r="M1371" t="str">
        <f t="shared" si="44"/>
        <v/>
      </c>
      <c r="N1371" t="str">
        <f>IFERROR(VLOOKUP(D1371,'Team Data'!C:AB,23,FALSE),"")</f>
        <v/>
      </c>
      <c r="O1371" t="str">
        <f>IFERROR(VLOOKUP(D1371,'Team Data'!C:AB,22,FALSE),"")</f>
        <v/>
      </c>
      <c r="P1371" t="str">
        <f t="shared" si="45"/>
        <v/>
      </c>
      <c r="Q1371" t="str">
        <f>IFERROR(VLOOKUP(D1371,'Team Data'!C:AB,15,FALSE),"")</f>
        <v/>
      </c>
      <c r="R1371" t="str">
        <f>IFERROR(VLOOKUP('OB Format'!D1371,'Team Data'!C:AB,24,FALSE),"")</f>
        <v/>
      </c>
      <c r="S1371" t="str">
        <f>IFERROR(VLOOKUP('OB Format'!D1371,'Team Data'!C:AC,25,FALSE),"")</f>
        <v/>
      </c>
    </row>
    <row r="1372" spans="5:19" x14ac:dyDescent="0.25">
      <c r="E1372" t="str">
        <f>IFERROR(VLOOKUP(D1372,'Team Data'!C:AB,4,FALSE),"")</f>
        <v/>
      </c>
      <c r="F1372" t="str">
        <f>IFERROR(VLOOKUP(D1372,'Team Data'!C:AB,5,FALSE),"")</f>
        <v/>
      </c>
      <c r="G1372" t="str">
        <f>IFERROR(VLOOKUP('OB Format'!D1372,'Team Data'!C:AB,17,FALSE),"")</f>
        <v/>
      </c>
      <c r="H1372" t="str">
        <f>IFERROR(VLOOKUP(D1372,'Team Data'!C:AB,7,FALSE),"")</f>
        <v/>
      </c>
      <c r="I1372" t="str">
        <f>IFERROR(VLOOKUP(D1372,'Team Data'!C:AB,14,FALSE),"")</f>
        <v/>
      </c>
      <c r="J1372" t="str">
        <f>IFERROR(VLOOKUP(D1372,'Team Data'!C:AB,8,FALSE),"")</f>
        <v/>
      </c>
      <c r="K1372" t="str">
        <f>IFERROR(VLOOKUP(D1372,'Team Data'!C:AB,9,FALSE),"")</f>
        <v/>
      </c>
      <c r="L1372" t="str">
        <f>IFERROR(VLOOKUP(D1372,'Team Data'!C:AB,10,FALSE),"")</f>
        <v/>
      </c>
      <c r="M1372" t="str">
        <f t="shared" si="44"/>
        <v/>
      </c>
      <c r="N1372" t="str">
        <f>IFERROR(VLOOKUP(D1372,'Team Data'!C:AB,23,FALSE),"")</f>
        <v/>
      </c>
      <c r="O1372" t="str">
        <f>IFERROR(VLOOKUP(D1372,'Team Data'!C:AB,22,FALSE),"")</f>
        <v/>
      </c>
      <c r="P1372" t="str">
        <f t="shared" si="45"/>
        <v/>
      </c>
      <c r="Q1372" t="str">
        <f>IFERROR(VLOOKUP(D1372,'Team Data'!C:AB,15,FALSE),"")</f>
        <v/>
      </c>
      <c r="R1372" t="str">
        <f>IFERROR(VLOOKUP('OB Format'!D1372,'Team Data'!C:AB,24,FALSE),"")</f>
        <v/>
      </c>
      <c r="S1372" t="str">
        <f>IFERROR(VLOOKUP('OB Format'!D1372,'Team Data'!C:AC,25,FALSE),"")</f>
        <v/>
      </c>
    </row>
    <row r="1373" spans="5:19" x14ac:dyDescent="0.25">
      <c r="E1373" t="str">
        <f>IFERROR(VLOOKUP(D1373,'Team Data'!C:AB,4,FALSE),"")</f>
        <v/>
      </c>
      <c r="F1373" t="str">
        <f>IFERROR(VLOOKUP(D1373,'Team Data'!C:AB,5,FALSE),"")</f>
        <v/>
      </c>
      <c r="G1373" t="str">
        <f>IFERROR(VLOOKUP('OB Format'!D1373,'Team Data'!C:AB,17,FALSE),"")</f>
        <v/>
      </c>
      <c r="H1373" t="str">
        <f>IFERROR(VLOOKUP(D1373,'Team Data'!C:AB,7,FALSE),"")</f>
        <v/>
      </c>
      <c r="I1373" t="str">
        <f>IFERROR(VLOOKUP(D1373,'Team Data'!C:AB,14,FALSE),"")</f>
        <v/>
      </c>
      <c r="J1373" t="str">
        <f>IFERROR(VLOOKUP(D1373,'Team Data'!C:AB,8,FALSE),"")</f>
        <v/>
      </c>
      <c r="K1373" t="str">
        <f>IFERROR(VLOOKUP(D1373,'Team Data'!C:AB,9,FALSE),"")</f>
        <v/>
      </c>
      <c r="L1373" t="str">
        <f>IFERROR(VLOOKUP(D1373,'Team Data'!C:AB,10,FALSE),"")</f>
        <v/>
      </c>
      <c r="M1373" t="str">
        <f t="shared" si="44"/>
        <v/>
      </c>
      <c r="N1373" t="str">
        <f>IFERROR(VLOOKUP(D1373,'Team Data'!C:AB,23,FALSE),"")</f>
        <v/>
      </c>
      <c r="O1373" t="str">
        <f>IFERROR(VLOOKUP(D1373,'Team Data'!C:AB,22,FALSE),"")</f>
        <v/>
      </c>
      <c r="P1373" t="str">
        <f t="shared" si="45"/>
        <v/>
      </c>
      <c r="Q1373" t="str">
        <f>IFERROR(VLOOKUP(D1373,'Team Data'!C:AB,15,FALSE),"")</f>
        <v/>
      </c>
      <c r="R1373" t="str">
        <f>IFERROR(VLOOKUP('OB Format'!D1373,'Team Data'!C:AB,24,FALSE),"")</f>
        <v/>
      </c>
      <c r="S1373" t="str">
        <f>IFERROR(VLOOKUP('OB Format'!D1373,'Team Data'!C:AC,25,FALSE),"")</f>
        <v/>
      </c>
    </row>
    <row r="1374" spans="5:19" x14ac:dyDescent="0.25">
      <c r="E1374" t="str">
        <f>IFERROR(VLOOKUP(D1374,'Team Data'!C:AB,4,FALSE),"")</f>
        <v/>
      </c>
      <c r="F1374" t="str">
        <f>IFERROR(VLOOKUP(D1374,'Team Data'!C:AB,5,FALSE),"")</f>
        <v/>
      </c>
      <c r="G1374" t="str">
        <f>IFERROR(VLOOKUP('OB Format'!D1374,'Team Data'!C:AB,17,FALSE),"")</f>
        <v/>
      </c>
      <c r="H1374" t="str">
        <f>IFERROR(VLOOKUP(D1374,'Team Data'!C:AB,7,FALSE),"")</f>
        <v/>
      </c>
      <c r="I1374" t="str">
        <f>IFERROR(VLOOKUP(D1374,'Team Data'!C:AB,14,FALSE),"")</f>
        <v/>
      </c>
      <c r="J1374" t="str">
        <f>IFERROR(VLOOKUP(D1374,'Team Data'!C:AB,8,FALSE),"")</f>
        <v/>
      </c>
      <c r="K1374" t="str">
        <f>IFERROR(VLOOKUP(D1374,'Team Data'!C:AB,9,FALSE),"")</f>
        <v/>
      </c>
      <c r="L1374" t="str">
        <f>IFERROR(VLOOKUP(D1374,'Team Data'!C:AB,10,FALSE),"")</f>
        <v/>
      </c>
      <c r="M1374" t="str">
        <f t="shared" si="44"/>
        <v/>
      </c>
      <c r="N1374" t="str">
        <f>IFERROR(VLOOKUP(D1374,'Team Data'!C:AB,23,FALSE),"")</f>
        <v/>
      </c>
      <c r="O1374" t="str">
        <f>IFERROR(VLOOKUP(D1374,'Team Data'!C:AB,22,FALSE),"")</f>
        <v/>
      </c>
      <c r="P1374" t="str">
        <f t="shared" si="45"/>
        <v/>
      </c>
      <c r="Q1374" t="str">
        <f>IFERROR(VLOOKUP(D1374,'Team Data'!C:AB,15,FALSE),"")</f>
        <v/>
      </c>
      <c r="R1374" t="str">
        <f>IFERROR(VLOOKUP('OB Format'!D1374,'Team Data'!C:AB,24,FALSE),"")</f>
        <v/>
      </c>
      <c r="S1374" t="str">
        <f>IFERROR(VLOOKUP('OB Format'!D1374,'Team Data'!C:AC,25,FALSE),"")</f>
        <v/>
      </c>
    </row>
    <row r="1375" spans="5:19" x14ac:dyDescent="0.25">
      <c r="E1375" t="str">
        <f>IFERROR(VLOOKUP(D1375,'Team Data'!C:AB,4,FALSE),"")</f>
        <v/>
      </c>
      <c r="F1375" t="str">
        <f>IFERROR(VLOOKUP(D1375,'Team Data'!C:AB,5,FALSE),"")</f>
        <v/>
      </c>
      <c r="G1375" t="str">
        <f>IFERROR(VLOOKUP('OB Format'!D1375,'Team Data'!C:AB,17,FALSE),"")</f>
        <v/>
      </c>
      <c r="H1375" t="str">
        <f>IFERROR(VLOOKUP(D1375,'Team Data'!C:AB,7,FALSE),"")</f>
        <v/>
      </c>
      <c r="I1375" t="str">
        <f>IFERROR(VLOOKUP(D1375,'Team Data'!C:AB,14,FALSE),"")</f>
        <v/>
      </c>
      <c r="J1375" t="str">
        <f>IFERROR(VLOOKUP(D1375,'Team Data'!C:AB,8,FALSE),"")</f>
        <v/>
      </c>
      <c r="K1375" t="str">
        <f>IFERROR(VLOOKUP(D1375,'Team Data'!C:AB,9,FALSE),"")</f>
        <v/>
      </c>
      <c r="L1375" t="str">
        <f>IFERROR(VLOOKUP(D1375,'Team Data'!C:AB,10,FALSE),"")</f>
        <v/>
      </c>
      <c r="M1375" t="str">
        <f t="shared" si="44"/>
        <v/>
      </c>
      <c r="N1375" t="str">
        <f>IFERROR(VLOOKUP(D1375,'Team Data'!C:AB,23,FALSE),"")</f>
        <v/>
      </c>
      <c r="O1375" t="str">
        <f>IFERROR(VLOOKUP(D1375,'Team Data'!C:AB,22,FALSE),"")</f>
        <v/>
      </c>
      <c r="P1375" t="str">
        <f t="shared" si="45"/>
        <v/>
      </c>
      <c r="Q1375" t="str">
        <f>IFERROR(VLOOKUP(D1375,'Team Data'!C:AB,15,FALSE),"")</f>
        <v/>
      </c>
      <c r="R1375" t="str">
        <f>IFERROR(VLOOKUP('OB Format'!D1375,'Team Data'!C:AB,24,FALSE),"")</f>
        <v/>
      </c>
      <c r="S1375" t="str">
        <f>IFERROR(VLOOKUP('OB Format'!D1375,'Team Data'!C:AC,25,FALSE),"")</f>
        <v/>
      </c>
    </row>
    <row r="1376" spans="5:19" x14ac:dyDescent="0.25">
      <c r="E1376" t="str">
        <f>IFERROR(VLOOKUP(D1376,'Team Data'!C:AB,4,FALSE),"")</f>
        <v/>
      </c>
      <c r="F1376" t="str">
        <f>IFERROR(VLOOKUP(D1376,'Team Data'!C:AB,5,FALSE),"")</f>
        <v/>
      </c>
      <c r="G1376" t="str">
        <f>IFERROR(VLOOKUP('OB Format'!D1376,'Team Data'!C:AB,17,FALSE),"")</f>
        <v/>
      </c>
      <c r="H1376" t="str">
        <f>IFERROR(VLOOKUP(D1376,'Team Data'!C:AB,7,FALSE),"")</f>
        <v/>
      </c>
      <c r="I1376" t="str">
        <f>IFERROR(VLOOKUP(D1376,'Team Data'!C:AB,14,FALSE),"")</f>
        <v/>
      </c>
      <c r="J1376" t="str">
        <f>IFERROR(VLOOKUP(D1376,'Team Data'!C:AB,8,FALSE),"")</f>
        <v/>
      </c>
      <c r="K1376" t="str">
        <f>IFERROR(VLOOKUP(D1376,'Team Data'!C:AB,9,FALSE),"")</f>
        <v/>
      </c>
      <c r="L1376" t="str">
        <f>IFERROR(VLOOKUP(D1376,'Team Data'!C:AB,10,FALSE),"")</f>
        <v/>
      </c>
      <c r="M1376" t="str">
        <f t="shared" si="44"/>
        <v/>
      </c>
      <c r="N1376" t="str">
        <f>IFERROR(VLOOKUP(D1376,'Team Data'!C:AB,23,FALSE),"")</f>
        <v/>
      </c>
      <c r="O1376" t="str">
        <f>IFERROR(VLOOKUP(D1376,'Team Data'!C:AB,22,FALSE),"")</f>
        <v/>
      </c>
      <c r="P1376" t="str">
        <f t="shared" si="45"/>
        <v/>
      </c>
      <c r="Q1376" t="str">
        <f>IFERROR(VLOOKUP(D1376,'Team Data'!C:AB,15,FALSE),"")</f>
        <v/>
      </c>
      <c r="R1376" t="str">
        <f>IFERROR(VLOOKUP('OB Format'!D1376,'Team Data'!C:AB,24,FALSE),"")</f>
        <v/>
      </c>
      <c r="S1376" t="str">
        <f>IFERROR(VLOOKUP('OB Format'!D1376,'Team Data'!C:AC,25,FALSE),"")</f>
        <v/>
      </c>
    </row>
    <row r="1377" spans="5:19" x14ac:dyDescent="0.25">
      <c r="E1377" t="str">
        <f>IFERROR(VLOOKUP(D1377,'Team Data'!C:AB,4,FALSE),"")</f>
        <v/>
      </c>
      <c r="F1377" t="str">
        <f>IFERROR(VLOOKUP(D1377,'Team Data'!C:AB,5,FALSE),"")</f>
        <v/>
      </c>
      <c r="G1377" t="str">
        <f>IFERROR(VLOOKUP('OB Format'!D1377,'Team Data'!C:AB,17,FALSE),"")</f>
        <v/>
      </c>
      <c r="H1377" t="str">
        <f>IFERROR(VLOOKUP(D1377,'Team Data'!C:AB,7,FALSE),"")</f>
        <v/>
      </c>
      <c r="I1377" t="str">
        <f>IFERROR(VLOOKUP(D1377,'Team Data'!C:AB,14,FALSE),"")</f>
        <v/>
      </c>
      <c r="J1377" t="str">
        <f>IFERROR(VLOOKUP(D1377,'Team Data'!C:AB,8,FALSE),"")</f>
        <v/>
      </c>
      <c r="K1377" t="str">
        <f>IFERROR(VLOOKUP(D1377,'Team Data'!C:AB,9,FALSE),"")</f>
        <v/>
      </c>
      <c r="L1377" t="str">
        <f>IFERROR(VLOOKUP(D1377,'Team Data'!C:AB,10,FALSE),"")</f>
        <v/>
      </c>
      <c r="M1377" t="str">
        <f t="shared" si="44"/>
        <v/>
      </c>
      <c r="N1377" t="str">
        <f>IFERROR(VLOOKUP(D1377,'Team Data'!C:AB,23,FALSE),"")</f>
        <v/>
      </c>
      <c r="O1377" t="str">
        <f>IFERROR(VLOOKUP(D1377,'Team Data'!C:AB,22,FALSE),"")</f>
        <v/>
      </c>
      <c r="P1377" t="str">
        <f t="shared" si="45"/>
        <v/>
      </c>
      <c r="Q1377" t="str">
        <f>IFERROR(VLOOKUP(D1377,'Team Data'!C:AB,15,FALSE),"")</f>
        <v/>
      </c>
      <c r="R1377" t="str">
        <f>IFERROR(VLOOKUP('OB Format'!D1377,'Team Data'!C:AB,24,FALSE),"")</f>
        <v/>
      </c>
      <c r="S1377" t="str">
        <f>IFERROR(VLOOKUP('OB Format'!D1377,'Team Data'!C:AC,25,FALSE),"")</f>
        <v/>
      </c>
    </row>
    <row r="1378" spans="5:19" x14ac:dyDescent="0.25">
      <c r="E1378" t="str">
        <f>IFERROR(VLOOKUP(D1378,'Team Data'!C:AB,4,FALSE),"")</f>
        <v/>
      </c>
      <c r="F1378" t="str">
        <f>IFERROR(VLOOKUP(D1378,'Team Data'!C:AB,5,FALSE),"")</f>
        <v/>
      </c>
      <c r="G1378" t="str">
        <f>IFERROR(VLOOKUP('OB Format'!D1378,'Team Data'!C:AB,17,FALSE),"")</f>
        <v/>
      </c>
      <c r="H1378" t="str">
        <f>IFERROR(VLOOKUP(D1378,'Team Data'!C:AB,7,FALSE),"")</f>
        <v/>
      </c>
      <c r="I1378" t="str">
        <f>IFERROR(VLOOKUP(D1378,'Team Data'!C:AB,14,FALSE),"")</f>
        <v/>
      </c>
      <c r="J1378" t="str">
        <f>IFERROR(VLOOKUP(D1378,'Team Data'!C:AB,8,FALSE),"")</f>
        <v/>
      </c>
      <c r="K1378" t="str">
        <f>IFERROR(VLOOKUP(D1378,'Team Data'!C:AB,9,FALSE),"")</f>
        <v/>
      </c>
      <c r="L1378" t="str">
        <f>IFERROR(VLOOKUP(D1378,'Team Data'!C:AB,10,FALSE),"")</f>
        <v/>
      </c>
      <c r="M1378" t="str">
        <f t="shared" si="44"/>
        <v/>
      </c>
      <c r="N1378" t="str">
        <f>IFERROR(VLOOKUP(D1378,'Team Data'!C:AB,23,FALSE),"")</f>
        <v/>
      </c>
      <c r="O1378" t="str">
        <f>IFERROR(VLOOKUP(D1378,'Team Data'!C:AB,22,FALSE),"")</f>
        <v/>
      </c>
      <c r="P1378" t="str">
        <f t="shared" si="45"/>
        <v/>
      </c>
      <c r="Q1378" t="str">
        <f>IFERROR(VLOOKUP(D1378,'Team Data'!C:AB,15,FALSE),"")</f>
        <v/>
      </c>
      <c r="R1378" t="str">
        <f>IFERROR(VLOOKUP('OB Format'!D1378,'Team Data'!C:AB,24,FALSE),"")</f>
        <v/>
      </c>
      <c r="S1378" t="str">
        <f>IFERROR(VLOOKUP('OB Format'!D1378,'Team Data'!C:AC,25,FALSE),"")</f>
        <v/>
      </c>
    </row>
    <row r="1379" spans="5:19" x14ac:dyDescent="0.25">
      <c r="E1379" t="str">
        <f>IFERROR(VLOOKUP(D1379,'Team Data'!C:AB,4,FALSE),"")</f>
        <v/>
      </c>
      <c r="F1379" t="str">
        <f>IFERROR(VLOOKUP(D1379,'Team Data'!C:AB,5,FALSE),"")</f>
        <v/>
      </c>
      <c r="G1379" t="str">
        <f>IFERROR(VLOOKUP('OB Format'!D1379,'Team Data'!C:AB,17,FALSE),"")</f>
        <v/>
      </c>
      <c r="H1379" t="str">
        <f>IFERROR(VLOOKUP(D1379,'Team Data'!C:AB,7,FALSE),"")</f>
        <v/>
      </c>
      <c r="I1379" t="str">
        <f>IFERROR(VLOOKUP(D1379,'Team Data'!C:AB,14,FALSE),"")</f>
        <v/>
      </c>
      <c r="J1379" t="str">
        <f>IFERROR(VLOOKUP(D1379,'Team Data'!C:AB,8,FALSE),"")</f>
        <v/>
      </c>
      <c r="K1379" t="str">
        <f>IFERROR(VLOOKUP(D1379,'Team Data'!C:AB,9,FALSE),"")</f>
        <v/>
      </c>
      <c r="L1379" t="str">
        <f>IFERROR(VLOOKUP(D1379,'Team Data'!C:AB,10,FALSE),"")</f>
        <v/>
      </c>
      <c r="M1379" t="str">
        <f t="shared" si="44"/>
        <v/>
      </c>
      <c r="N1379" t="str">
        <f>IFERROR(VLOOKUP(D1379,'Team Data'!C:AB,23,FALSE),"")</f>
        <v/>
      </c>
      <c r="O1379" t="str">
        <f>IFERROR(VLOOKUP(D1379,'Team Data'!C:AB,22,FALSE),"")</f>
        <v/>
      </c>
      <c r="P1379" t="str">
        <f t="shared" si="45"/>
        <v/>
      </c>
      <c r="Q1379" t="str">
        <f>IFERROR(VLOOKUP(D1379,'Team Data'!C:AB,15,FALSE),"")</f>
        <v/>
      </c>
      <c r="R1379" t="str">
        <f>IFERROR(VLOOKUP('OB Format'!D1379,'Team Data'!C:AB,24,FALSE),"")</f>
        <v/>
      </c>
      <c r="S1379" t="str">
        <f>IFERROR(VLOOKUP('OB Format'!D1379,'Team Data'!C:AC,25,FALSE),"")</f>
        <v/>
      </c>
    </row>
    <row r="1380" spans="5:19" x14ac:dyDescent="0.25">
      <c r="E1380" t="str">
        <f>IFERROR(VLOOKUP(D1380,'Team Data'!C:AB,4,FALSE),"")</f>
        <v/>
      </c>
      <c r="F1380" t="str">
        <f>IFERROR(VLOOKUP(D1380,'Team Data'!C:AB,5,FALSE),"")</f>
        <v/>
      </c>
      <c r="G1380" t="str">
        <f>IFERROR(VLOOKUP('OB Format'!D1380,'Team Data'!C:AB,17,FALSE),"")</f>
        <v/>
      </c>
      <c r="H1380" t="str">
        <f>IFERROR(VLOOKUP(D1380,'Team Data'!C:AB,7,FALSE),"")</f>
        <v/>
      </c>
      <c r="I1380" t="str">
        <f>IFERROR(VLOOKUP(D1380,'Team Data'!C:AB,14,FALSE),"")</f>
        <v/>
      </c>
      <c r="J1380" t="str">
        <f>IFERROR(VLOOKUP(D1380,'Team Data'!C:AB,8,FALSE),"")</f>
        <v/>
      </c>
      <c r="K1380" t="str">
        <f>IFERROR(VLOOKUP(D1380,'Team Data'!C:AB,9,FALSE),"")</f>
        <v/>
      </c>
      <c r="L1380" t="str">
        <f>IFERROR(VLOOKUP(D1380,'Team Data'!C:AB,10,FALSE),"")</f>
        <v/>
      </c>
      <c r="M1380" t="str">
        <f t="shared" si="44"/>
        <v/>
      </c>
      <c r="N1380" t="str">
        <f>IFERROR(VLOOKUP(D1380,'Team Data'!C:AB,23,FALSE),"")</f>
        <v/>
      </c>
      <c r="O1380" t="str">
        <f>IFERROR(VLOOKUP(D1380,'Team Data'!C:AB,22,FALSE),"")</f>
        <v/>
      </c>
      <c r="P1380" t="str">
        <f t="shared" si="45"/>
        <v/>
      </c>
      <c r="Q1380" t="str">
        <f>IFERROR(VLOOKUP(D1380,'Team Data'!C:AB,15,FALSE),"")</f>
        <v/>
      </c>
      <c r="R1380" t="str">
        <f>IFERROR(VLOOKUP('OB Format'!D1380,'Team Data'!C:AB,24,FALSE),"")</f>
        <v/>
      </c>
      <c r="S1380" t="str">
        <f>IFERROR(VLOOKUP('OB Format'!D1380,'Team Data'!C:AC,25,FALSE),"")</f>
        <v/>
      </c>
    </row>
    <row r="1381" spans="5:19" x14ac:dyDescent="0.25">
      <c r="E1381" t="str">
        <f>IFERROR(VLOOKUP(D1381,'Team Data'!C:AB,4,FALSE),"")</f>
        <v/>
      </c>
      <c r="F1381" t="str">
        <f>IFERROR(VLOOKUP(D1381,'Team Data'!C:AB,5,FALSE),"")</f>
        <v/>
      </c>
      <c r="G1381" t="str">
        <f>IFERROR(VLOOKUP('OB Format'!D1381,'Team Data'!C:AB,17,FALSE),"")</f>
        <v/>
      </c>
      <c r="H1381" t="str">
        <f>IFERROR(VLOOKUP(D1381,'Team Data'!C:AB,7,FALSE),"")</f>
        <v/>
      </c>
      <c r="I1381" t="str">
        <f>IFERROR(VLOOKUP(D1381,'Team Data'!C:AB,14,FALSE),"")</f>
        <v/>
      </c>
      <c r="J1381" t="str">
        <f>IFERROR(VLOOKUP(D1381,'Team Data'!C:AB,8,FALSE),"")</f>
        <v/>
      </c>
      <c r="K1381" t="str">
        <f>IFERROR(VLOOKUP(D1381,'Team Data'!C:AB,9,FALSE),"")</f>
        <v/>
      </c>
      <c r="L1381" t="str">
        <f>IFERROR(VLOOKUP(D1381,'Team Data'!C:AB,10,FALSE),"")</f>
        <v/>
      </c>
      <c r="M1381" t="str">
        <f t="shared" si="44"/>
        <v/>
      </c>
      <c r="N1381" t="str">
        <f>IFERROR(VLOOKUP(D1381,'Team Data'!C:AB,23,FALSE),"")</f>
        <v/>
      </c>
      <c r="O1381" t="str">
        <f>IFERROR(VLOOKUP(D1381,'Team Data'!C:AB,22,FALSE),"")</f>
        <v/>
      </c>
      <c r="P1381" t="str">
        <f t="shared" si="45"/>
        <v/>
      </c>
      <c r="Q1381" t="str">
        <f>IFERROR(VLOOKUP(D1381,'Team Data'!C:AB,15,FALSE),"")</f>
        <v/>
      </c>
      <c r="R1381" t="str">
        <f>IFERROR(VLOOKUP('OB Format'!D1381,'Team Data'!C:AB,24,FALSE),"")</f>
        <v/>
      </c>
      <c r="S1381" t="str">
        <f>IFERROR(VLOOKUP('OB Format'!D1381,'Team Data'!C:AC,25,FALSE),"")</f>
        <v/>
      </c>
    </row>
    <row r="1382" spans="5:19" x14ac:dyDescent="0.25">
      <c r="E1382" t="str">
        <f>IFERROR(VLOOKUP(D1382,'Team Data'!C:AB,4,FALSE),"")</f>
        <v/>
      </c>
      <c r="F1382" t="str">
        <f>IFERROR(VLOOKUP(D1382,'Team Data'!C:AB,5,FALSE),"")</f>
        <v/>
      </c>
      <c r="G1382" t="str">
        <f>IFERROR(VLOOKUP('OB Format'!D1382,'Team Data'!C:AB,17,FALSE),"")</f>
        <v/>
      </c>
      <c r="H1382" t="str">
        <f>IFERROR(VLOOKUP(D1382,'Team Data'!C:AB,7,FALSE),"")</f>
        <v/>
      </c>
      <c r="I1382" t="str">
        <f>IFERROR(VLOOKUP(D1382,'Team Data'!C:AB,14,FALSE),"")</f>
        <v/>
      </c>
      <c r="J1382" t="str">
        <f>IFERROR(VLOOKUP(D1382,'Team Data'!C:AB,8,FALSE),"")</f>
        <v/>
      </c>
      <c r="K1382" t="str">
        <f>IFERROR(VLOOKUP(D1382,'Team Data'!C:AB,9,FALSE),"")</f>
        <v/>
      </c>
      <c r="L1382" t="str">
        <f>IFERROR(VLOOKUP(D1382,'Team Data'!C:AB,10,FALSE),"")</f>
        <v/>
      </c>
      <c r="M1382" t="str">
        <f t="shared" si="44"/>
        <v/>
      </c>
      <c r="N1382" t="str">
        <f>IFERROR(VLOOKUP(D1382,'Team Data'!C:AB,23,FALSE),"")</f>
        <v/>
      </c>
      <c r="O1382" t="str">
        <f>IFERROR(VLOOKUP(D1382,'Team Data'!C:AB,22,FALSE),"")</f>
        <v/>
      </c>
      <c r="P1382" t="str">
        <f t="shared" si="45"/>
        <v/>
      </c>
      <c r="Q1382" t="str">
        <f>IFERROR(VLOOKUP(D1382,'Team Data'!C:AB,15,FALSE),"")</f>
        <v/>
      </c>
      <c r="R1382" t="str">
        <f>IFERROR(VLOOKUP('OB Format'!D1382,'Team Data'!C:AB,24,FALSE),"")</f>
        <v/>
      </c>
      <c r="S1382" t="str">
        <f>IFERROR(VLOOKUP('OB Format'!D1382,'Team Data'!C:AC,25,FALSE),"")</f>
        <v/>
      </c>
    </row>
    <row r="1383" spans="5:19" x14ac:dyDescent="0.25">
      <c r="E1383" t="str">
        <f>IFERROR(VLOOKUP(D1383,'Team Data'!C:AB,4,FALSE),"")</f>
        <v/>
      </c>
      <c r="F1383" t="str">
        <f>IFERROR(VLOOKUP(D1383,'Team Data'!C:AB,5,FALSE),"")</f>
        <v/>
      </c>
      <c r="G1383" t="str">
        <f>IFERROR(VLOOKUP('OB Format'!D1383,'Team Data'!C:AB,17,FALSE),"")</f>
        <v/>
      </c>
      <c r="H1383" t="str">
        <f>IFERROR(VLOOKUP(D1383,'Team Data'!C:AB,7,FALSE),"")</f>
        <v/>
      </c>
      <c r="I1383" t="str">
        <f>IFERROR(VLOOKUP(D1383,'Team Data'!C:AB,14,FALSE),"")</f>
        <v/>
      </c>
      <c r="J1383" t="str">
        <f>IFERROR(VLOOKUP(D1383,'Team Data'!C:AB,8,FALSE),"")</f>
        <v/>
      </c>
      <c r="K1383" t="str">
        <f>IFERROR(VLOOKUP(D1383,'Team Data'!C:AB,9,FALSE),"")</f>
        <v/>
      </c>
      <c r="L1383" t="str">
        <f>IFERROR(VLOOKUP(D1383,'Team Data'!C:AB,10,FALSE),"")</f>
        <v/>
      </c>
      <c r="M1383" t="str">
        <f t="shared" si="44"/>
        <v/>
      </c>
      <c r="N1383" t="str">
        <f>IFERROR(VLOOKUP(D1383,'Team Data'!C:AB,23,FALSE),"")</f>
        <v/>
      </c>
      <c r="O1383" t="str">
        <f>IFERROR(VLOOKUP(D1383,'Team Data'!C:AB,22,FALSE),"")</f>
        <v/>
      </c>
      <c r="P1383" t="str">
        <f t="shared" si="45"/>
        <v/>
      </c>
      <c r="Q1383" t="str">
        <f>IFERROR(VLOOKUP(D1383,'Team Data'!C:AB,15,FALSE),"")</f>
        <v/>
      </c>
      <c r="R1383" t="str">
        <f>IFERROR(VLOOKUP('OB Format'!D1383,'Team Data'!C:AB,24,FALSE),"")</f>
        <v/>
      </c>
      <c r="S1383" t="str">
        <f>IFERROR(VLOOKUP('OB Format'!D1383,'Team Data'!C:AC,25,FALSE),"")</f>
        <v/>
      </c>
    </row>
    <row r="1384" spans="5:19" x14ac:dyDescent="0.25">
      <c r="E1384" t="str">
        <f>IFERROR(VLOOKUP(D1384,'Team Data'!C:AB,4,FALSE),"")</f>
        <v/>
      </c>
      <c r="F1384" t="str">
        <f>IFERROR(VLOOKUP(D1384,'Team Data'!C:AB,5,FALSE),"")</f>
        <v/>
      </c>
      <c r="G1384" t="str">
        <f>IFERROR(VLOOKUP('OB Format'!D1384,'Team Data'!C:AB,17,FALSE),"")</f>
        <v/>
      </c>
      <c r="H1384" t="str">
        <f>IFERROR(VLOOKUP(D1384,'Team Data'!C:AB,7,FALSE),"")</f>
        <v/>
      </c>
      <c r="I1384" t="str">
        <f>IFERROR(VLOOKUP(D1384,'Team Data'!C:AB,14,FALSE),"")</f>
        <v/>
      </c>
      <c r="J1384" t="str">
        <f>IFERROR(VLOOKUP(D1384,'Team Data'!C:AB,8,FALSE),"")</f>
        <v/>
      </c>
      <c r="K1384" t="str">
        <f>IFERROR(VLOOKUP(D1384,'Team Data'!C:AB,9,FALSE),"")</f>
        <v/>
      </c>
      <c r="L1384" t="str">
        <f>IFERROR(VLOOKUP(D1384,'Team Data'!C:AB,10,FALSE),"")</f>
        <v/>
      </c>
      <c r="M1384" t="str">
        <f t="shared" si="44"/>
        <v/>
      </c>
      <c r="N1384" t="str">
        <f>IFERROR(VLOOKUP(D1384,'Team Data'!C:AB,23,FALSE),"")</f>
        <v/>
      </c>
      <c r="O1384" t="str">
        <f>IFERROR(VLOOKUP(D1384,'Team Data'!C:AB,22,FALSE),"")</f>
        <v/>
      </c>
      <c r="P1384" t="str">
        <f t="shared" si="45"/>
        <v/>
      </c>
      <c r="Q1384" t="str">
        <f>IFERROR(VLOOKUP(D1384,'Team Data'!C:AB,15,FALSE),"")</f>
        <v/>
      </c>
      <c r="R1384" t="str">
        <f>IFERROR(VLOOKUP('OB Format'!D1384,'Team Data'!C:AB,24,FALSE),"")</f>
        <v/>
      </c>
      <c r="S1384" t="str">
        <f>IFERROR(VLOOKUP('OB Format'!D1384,'Team Data'!C:AC,25,FALSE),"")</f>
        <v/>
      </c>
    </row>
    <row r="1385" spans="5:19" x14ac:dyDescent="0.25">
      <c r="E1385" t="str">
        <f>IFERROR(VLOOKUP(D1385,'Team Data'!C:AB,4,FALSE),"")</f>
        <v/>
      </c>
      <c r="F1385" t="str">
        <f>IFERROR(VLOOKUP(D1385,'Team Data'!C:AB,5,FALSE),"")</f>
        <v/>
      </c>
      <c r="G1385" t="str">
        <f>IFERROR(VLOOKUP('OB Format'!D1385,'Team Data'!C:AB,17,FALSE),"")</f>
        <v/>
      </c>
      <c r="H1385" t="str">
        <f>IFERROR(VLOOKUP(D1385,'Team Data'!C:AB,7,FALSE),"")</f>
        <v/>
      </c>
      <c r="I1385" t="str">
        <f>IFERROR(VLOOKUP(D1385,'Team Data'!C:AB,14,FALSE),"")</f>
        <v/>
      </c>
      <c r="J1385" t="str">
        <f>IFERROR(VLOOKUP(D1385,'Team Data'!C:AB,8,FALSE),"")</f>
        <v/>
      </c>
      <c r="K1385" t="str">
        <f>IFERROR(VLOOKUP(D1385,'Team Data'!C:AB,9,FALSE),"")</f>
        <v/>
      </c>
      <c r="L1385" t="str">
        <f>IFERROR(VLOOKUP(D1385,'Team Data'!C:AB,10,FALSE),"")</f>
        <v/>
      </c>
      <c r="M1385" t="str">
        <f t="shared" si="44"/>
        <v/>
      </c>
      <c r="N1385" t="str">
        <f>IFERROR(VLOOKUP(D1385,'Team Data'!C:AB,23,FALSE),"")</f>
        <v/>
      </c>
      <c r="O1385" t="str">
        <f>IFERROR(VLOOKUP(D1385,'Team Data'!C:AB,22,FALSE),"")</f>
        <v/>
      </c>
      <c r="P1385" t="str">
        <f t="shared" si="45"/>
        <v/>
      </c>
      <c r="Q1385" t="str">
        <f>IFERROR(VLOOKUP(D1385,'Team Data'!C:AB,15,FALSE),"")</f>
        <v/>
      </c>
      <c r="R1385" t="str">
        <f>IFERROR(VLOOKUP('OB Format'!D1385,'Team Data'!C:AB,24,FALSE),"")</f>
        <v/>
      </c>
      <c r="S1385" t="str">
        <f>IFERROR(VLOOKUP('OB Format'!D1385,'Team Data'!C:AC,25,FALSE),"")</f>
        <v/>
      </c>
    </row>
    <row r="1386" spans="5:19" x14ac:dyDescent="0.25">
      <c r="E1386" t="str">
        <f>IFERROR(VLOOKUP(D1386,'Team Data'!C:AB,4,FALSE),"")</f>
        <v/>
      </c>
      <c r="F1386" t="str">
        <f>IFERROR(VLOOKUP(D1386,'Team Data'!C:AB,5,FALSE),"")</f>
        <v/>
      </c>
      <c r="G1386" t="str">
        <f>IFERROR(VLOOKUP('OB Format'!D1386,'Team Data'!C:AB,17,FALSE),"")</f>
        <v/>
      </c>
      <c r="H1386" t="str">
        <f>IFERROR(VLOOKUP(D1386,'Team Data'!C:AB,7,FALSE),"")</f>
        <v/>
      </c>
      <c r="I1386" t="str">
        <f>IFERROR(VLOOKUP(D1386,'Team Data'!C:AB,14,FALSE),"")</f>
        <v/>
      </c>
      <c r="J1386" t="str">
        <f>IFERROR(VLOOKUP(D1386,'Team Data'!C:AB,8,FALSE),"")</f>
        <v/>
      </c>
      <c r="K1386" t="str">
        <f>IFERROR(VLOOKUP(D1386,'Team Data'!C:AB,9,FALSE),"")</f>
        <v/>
      </c>
      <c r="L1386" t="str">
        <f>IFERROR(VLOOKUP(D1386,'Team Data'!C:AB,10,FALSE),"")</f>
        <v/>
      </c>
      <c r="M1386" t="str">
        <f t="shared" si="44"/>
        <v/>
      </c>
      <c r="N1386" t="str">
        <f>IFERROR(VLOOKUP(D1386,'Team Data'!C:AB,23,FALSE),"")</f>
        <v/>
      </c>
      <c r="O1386" t="str">
        <f>IFERROR(VLOOKUP(D1386,'Team Data'!C:AB,22,FALSE),"")</f>
        <v/>
      </c>
      <c r="P1386" t="str">
        <f t="shared" si="45"/>
        <v/>
      </c>
      <c r="Q1386" t="str">
        <f>IFERROR(VLOOKUP(D1386,'Team Data'!C:AB,15,FALSE),"")</f>
        <v/>
      </c>
      <c r="R1386" t="str">
        <f>IFERROR(VLOOKUP('OB Format'!D1386,'Team Data'!C:AB,24,FALSE),"")</f>
        <v/>
      </c>
      <c r="S1386" t="str">
        <f>IFERROR(VLOOKUP('OB Format'!D1386,'Team Data'!C:AC,25,FALSE),"")</f>
        <v/>
      </c>
    </row>
    <row r="1387" spans="5:19" x14ac:dyDescent="0.25">
      <c r="E1387" t="str">
        <f>IFERROR(VLOOKUP(D1387,'Team Data'!C:AB,4,FALSE),"")</f>
        <v/>
      </c>
      <c r="F1387" t="str">
        <f>IFERROR(VLOOKUP(D1387,'Team Data'!C:AB,5,FALSE),"")</f>
        <v/>
      </c>
      <c r="G1387" t="str">
        <f>IFERROR(VLOOKUP('OB Format'!D1387,'Team Data'!C:AB,17,FALSE),"")</f>
        <v/>
      </c>
      <c r="H1387" t="str">
        <f>IFERROR(VLOOKUP(D1387,'Team Data'!C:AB,7,FALSE),"")</f>
        <v/>
      </c>
      <c r="I1387" t="str">
        <f>IFERROR(VLOOKUP(D1387,'Team Data'!C:AB,14,FALSE),"")</f>
        <v/>
      </c>
      <c r="J1387" t="str">
        <f>IFERROR(VLOOKUP(D1387,'Team Data'!C:AB,8,FALSE),"")</f>
        <v/>
      </c>
      <c r="K1387" t="str">
        <f>IFERROR(VLOOKUP(D1387,'Team Data'!C:AB,9,FALSE),"")</f>
        <v/>
      </c>
      <c r="L1387" t="str">
        <f>IFERROR(VLOOKUP(D1387,'Team Data'!C:AB,10,FALSE),"")</f>
        <v/>
      </c>
      <c r="M1387" t="str">
        <f t="shared" si="44"/>
        <v/>
      </c>
      <c r="N1387" t="str">
        <f>IFERROR(VLOOKUP(D1387,'Team Data'!C:AB,23,FALSE),"")</f>
        <v/>
      </c>
      <c r="O1387" t="str">
        <f>IFERROR(VLOOKUP(D1387,'Team Data'!C:AB,22,FALSE),"")</f>
        <v/>
      </c>
      <c r="P1387" t="str">
        <f t="shared" si="45"/>
        <v/>
      </c>
      <c r="Q1387" t="str">
        <f>IFERROR(VLOOKUP(D1387,'Team Data'!C:AB,15,FALSE),"")</f>
        <v/>
      </c>
      <c r="R1387" t="str">
        <f>IFERROR(VLOOKUP('OB Format'!D1387,'Team Data'!C:AB,24,FALSE),"")</f>
        <v/>
      </c>
      <c r="S1387" t="str">
        <f>IFERROR(VLOOKUP('OB Format'!D1387,'Team Data'!C:AC,25,FALSE),"")</f>
        <v/>
      </c>
    </row>
    <row r="1388" spans="5:19" x14ac:dyDescent="0.25">
      <c r="E1388" t="str">
        <f>IFERROR(VLOOKUP(D1388,'Team Data'!C:AB,4,FALSE),"")</f>
        <v/>
      </c>
      <c r="F1388" t="str">
        <f>IFERROR(VLOOKUP(D1388,'Team Data'!C:AB,5,FALSE),"")</f>
        <v/>
      </c>
      <c r="G1388" t="str">
        <f>IFERROR(VLOOKUP('OB Format'!D1388,'Team Data'!C:AB,17,FALSE),"")</f>
        <v/>
      </c>
      <c r="H1388" t="str">
        <f>IFERROR(VLOOKUP(D1388,'Team Data'!C:AB,7,FALSE),"")</f>
        <v/>
      </c>
      <c r="I1388" t="str">
        <f>IFERROR(VLOOKUP(D1388,'Team Data'!C:AB,14,FALSE),"")</f>
        <v/>
      </c>
      <c r="J1388" t="str">
        <f>IFERROR(VLOOKUP(D1388,'Team Data'!C:AB,8,FALSE),"")</f>
        <v/>
      </c>
      <c r="K1388" t="str">
        <f>IFERROR(VLOOKUP(D1388,'Team Data'!C:AB,9,FALSE),"")</f>
        <v/>
      </c>
      <c r="L1388" t="str">
        <f>IFERROR(VLOOKUP(D1388,'Team Data'!C:AB,10,FALSE),"")</f>
        <v/>
      </c>
      <c r="M1388" t="str">
        <f t="shared" si="44"/>
        <v/>
      </c>
      <c r="N1388" t="str">
        <f>IFERROR(VLOOKUP(D1388,'Team Data'!C:AB,23,FALSE),"")</f>
        <v/>
      </c>
      <c r="O1388" t="str">
        <f>IFERROR(VLOOKUP(D1388,'Team Data'!C:AB,22,FALSE),"")</f>
        <v/>
      </c>
      <c r="P1388" t="str">
        <f t="shared" si="45"/>
        <v/>
      </c>
      <c r="Q1388" t="str">
        <f>IFERROR(VLOOKUP(D1388,'Team Data'!C:AB,15,FALSE),"")</f>
        <v/>
      </c>
      <c r="R1388" t="str">
        <f>IFERROR(VLOOKUP('OB Format'!D1388,'Team Data'!C:AB,24,FALSE),"")</f>
        <v/>
      </c>
      <c r="S1388" t="str">
        <f>IFERROR(VLOOKUP('OB Format'!D1388,'Team Data'!C:AC,25,FALSE),"")</f>
        <v/>
      </c>
    </row>
    <row r="1389" spans="5:19" x14ac:dyDescent="0.25">
      <c r="E1389" t="str">
        <f>IFERROR(VLOOKUP(D1389,'Team Data'!C:AB,4,FALSE),"")</f>
        <v/>
      </c>
      <c r="F1389" t="str">
        <f>IFERROR(VLOOKUP(D1389,'Team Data'!C:AB,5,FALSE),"")</f>
        <v/>
      </c>
      <c r="G1389" t="str">
        <f>IFERROR(VLOOKUP('OB Format'!D1389,'Team Data'!C:AB,17,FALSE),"")</f>
        <v/>
      </c>
      <c r="H1389" t="str">
        <f>IFERROR(VLOOKUP(D1389,'Team Data'!C:AB,7,FALSE),"")</f>
        <v/>
      </c>
      <c r="I1389" t="str">
        <f>IFERROR(VLOOKUP(D1389,'Team Data'!C:AB,14,FALSE),"")</f>
        <v/>
      </c>
      <c r="J1389" t="str">
        <f>IFERROR(VLOOKUP(D1389,'Team Data'!C:AB,8,FALSE),"")</f>
        <v/>
      </c>
      <c r="K1389" t="str">
        <f>IFERROR(VLOOKUP(D1389,'Team Data'!C:AB,9,FALSE),"")</f>
        <v/>
      </c>
      <c r="L1389" t="str">
        <f>IFERROR(VLOOKUP(D1389,'Team Data'!C:AB,10,FALSE),"")</f>
        <v/>
      </c>
      <c r="M1389" t="str">
        <f t="shared" si="44"/>
        <v/>
      </c>
      <c r="N1389" t="str">
        <f>IFERROR(VLOOKUP(D1389,'Team Data'!C:AB,23,FALSE),"")</f>
        <v/>
      </c>
      <c r="O1389" t="str">
        <f>IFERROR(VLOOKUP(D1389,'Team Data'!C:AB,22,FALSE),"")</f>
        <v/>
      </c>
      <c r="P1389" t="str">
        <f t="shared" si="45"/>
        <v/>
      </c>
      <c r="Q1389" t="str">
        <f>IFERROR(VLOOKUP(D1389,'Team Data'!C:AB,15,FALSE),"")</f>
        <v/>
      </c>
      <c r="R1389" t="str">
        <f>IFERROR(VLOOKUP('OB Format'!D1389,'Team Data'!C:AB,24,FALSE),"")</f>
        <v/>
      </c>
      <c r="S1389" t="str">
        <f>IFERROR(VLOOKUP('OB Format'!D1389,'Team Data'!C:AC,25,FALSE),"")</f>
        <v/>
      </c>
    </row>
    <row r="1390" spans="5:19" x14ac:dyDescent="0.25">
      <c r="E1390" t="str">
        <f>IFERROR(VLOOKUP(D1390,'Team Data'!C:AB,4,FALSE),"")</f>
        <v/>
      </c>
      <c r="F1390" t="str">
        <f>IFERROR(VLOOKUP(D1390,'Team Data'!C:AB,5,FALSE),"")</f>
        <v/>
      </c>
      <c r="G1390" t="str">
        <f>IFERROR(VLOOKUP('OB Format'!D1390,'Team Data'!C:AB,17,FALSE),"")</f>
        <v/>
      </c>
      <c r="H1390" t="str">
        <f>IFERROR(VLOOKUP(D1390,'Team Data'!C:AB,7,FALSE),"")</f>
        <v/>
      </c>
      <c r="I1390" t="str">
        <f>IFERROR(VLOOKUP(D1390,'Team Data'!C:AB,14,FALSE),"")</f>
        <v/>
      </c>
      <c r="J1390" t="str">
        <f>IFERROR(VLOOKUP(D1390,'Team Data'!C:AB,8,FALSE),"")</f>
        <v/>
      </c>
      <c r="K1390" t="str">
        <f>IFERROR(VLOOKUP(D1390,'Team Data'!C:AB,9,FALSE),"")</f>
        <v/>
      </c>
      <c r="L1390" t="str">
        <f>IFERROR(VLOOKUP(D1390,'Team Data'!C:AB,10,FALSE),"")</f>
        <v/>
      </c>
      <c r="M1390" t="str">
        <f t="shared" si="44"/>
        <v/>
      </c>
      <c r="N1390" t="str">
        <f>IFERROR(VLOOKUP(D1390,'Team Data'!C:AB,23,FALSE),"")</f>
        <v/>
      </c>
      <c r="O1390" t="str">
        <f>IFERROR(VLOOKUP(D1390,'Team Data'!C:AB,22,FALSE),"")</f>
        <v/>
      </c>
      <c r="P1390" t="str">
        <f t="shared" si="45"/>
        <v/>
      </c>
      <c r="Q1390" t="str">
        <f>IFERROR(VLOOKUP(D1390,'Team Data'!C:AB,15,FALSE),"")</f>
        <v/>
      </c>
      <c r="R1390" t="str">
        <f>IFERROR(VLOOKUP('OB Format'!D1390,'Team Data'!C:AB,24,FALSE),"")</f>
        <v/>
      </c>
      <c r="S1390" t="str">
        <f>IFERROR(VLOOKUP('OB Format'!D1390,'Team Data'!C:AC,25,FALSE),"")</f>
        <v/>
      </c>
    </row>
    <row r="1391" spans="5:19" x14ac:dyDescent="0.25">
      <c r="E1391" t="str">
        <f>IFERROR(VLOOKUP(D1391,'Team Data'!C:AB,4,FALSE),"")</f>
        <v/>
      </c>
      <c r="F1391" t="str">
        <f>IFERROR(VLOOKUP(D1391,'Team Data'!C:AB,5,FALSE),"")</f>
        <v/>
      </c>
      <c r="G1391" t="str">
        <f>IFERROR(VLOOKUP('OB Format'!D1391,'Team Data'!C:AB,17,FALSE),"")</f>
        <v/>
      </c>
      <c r="H1391" t="str">
        <f>IFERROR(VLOOKUP(D1391,'Team Data'!C:AB,7,FALSE),"")</f>
        <v/>
      </c>
      <c r="I1391" t="str">
        <f>IFERROR(VLOOKUP(D1391,'Team Data'!C:AB,14,FALSE),"")</f>
        <v/>
      </c>
      <c r="J1391" t="str">
        <f>IFERROR(VLOOKUP(D1391,'Team Data'!C:AB,8,FALSE),"")</f>
        <v/>
      </c>
      <c r="K1391" t="str">
        <f>IFERROR(VLOOKUP(D1391,'Team Data'!C:AB,9,FALSE),"")</f>
        <v/>
      </c>
      <c r="L1391" t="str">
        <f>IFERROR(VLOOKUP(D1391,'Team Data'!C:AB,10,FALSE),"")</f>
        <v/>
      </c>
      <c r="M1391" t="str">
        <f t="shared" si="44"/>
        <v/>
      </c>
      <c r="N1391" t="str">
        <f>IFERROR(VLOOKUP(D1391,'Team Data'!C:AB,23,FALSE),"")</f>
        <v/>
      </c>
      <c r="O1391" t="str">
        <f>IFERROR(VLOOKUP(D1391,'Team Data'!C:AB,22,FALSE),"")</f>
        <v/>
      </c>
      <c r="P1391" t="str">
        <f t="shared" si="45"/>
        <v/>
      </c>
      <c r="Q1391" t="str">
        <f>IFERROR(VLOOKUP(D1391,'Team Data'!C:AB,15,FALSE),"")</f>
        <v/>
      </c>
      <c r="R1391" t="str">
        <f>IFERROR(VLOOKUP('OB Format'!D1391,'Team Data'!C:AB,24,FALSE),"")</f>
        <v/>
      </c>
      <c r="S1391" t="str">
        <f>IFERROR(VLOOKUP('OB Format'!D1391,'Team Data'!C:AC,25,FALSE),"")</f>
        <v/>
      </c>
    </row>
    <row r="1392" spans="5:19" x14ac:dyDescent="0.25">
      <c r="E1392" t="str">
        <f>IFERROR(VLOOKUP(D1392,'Team Data'!C:AB,4,FALSE),"")</f>
        <v/>
      </c>
      <c r="F1392" t="str">
        <f>IFERROR(VLOOKUP(D1392,'Team Data'!C:AB,5,FALSE),"")</f>
        <v/>
      </c>
      <c r="G1392" t="str">
        <f>IFERROR(VLOOKUP('OB Format'!D1392,'Team Data'!C:AB,17,FALSE),"")</f>
        <v/>
      </c>
      <c r="H1392" t="str">
        <f>IFERROR(VLOOKUP(D1392,'Team Data'!C:AB,7,FALSE),"")</f>
        <v/>
      </c>
      <c r="I1392" t="str">
        <f>IFERROR(VLOOKUP(D1392,'Team Data'!C:AB,14,FALSE),"")</f>
        <v/>
      </c>
      <c r="J1392" t="str">
        <f>IFERROR(VLOOKUP(D1392,'Team Data'!C:AB,8,FALSE),"")</f>
        <v/>
      </c>
      <c r="K1392" t="str">
        <f>IFERROR(VLOOKUP(D1392,'Team Data'!C:AB,9,FALSE),"")</f>
        <v/>
      </c>
      <c r="L1392" t="str">
        <f>IFERROR(VLOOKUP(D1392,'Team Data'!C:AB,10,FALSE),"")</f>
        <v/>
      </c>
      <c r="M1392" t="str">
        <f t="shared" si="44"/>
        <v/>
      </c>
      <c r="N1392" t="str">
        <f>IFERROR(VLOOKUP(D1392,'Team Data'!C:AB,23,FALSE),"")</f>
        <v/>
      </c>
      <c r="O1392" t="str">
        <f>IFERROR(VLOOKUP(D1392,'Team Data'!C:AB,22,FALSE),"")</f>
        <v/>
      </c>
      <c r="P1392" t="str">
        <f t="shared" si="45"/>
        <v/>
      </c>
      <c r="Q1392" t="str">
        <f>IFERROR(VLOOKUP(D1392,'Team Data'!C:AB,15,FALSE),"")</f>
        <v/>
      </c>
      <c r="R1392" t="str">
        <f>IFERROR(VLOOKUP('OB Format'!D1392,'Team Data'!C:AB,24,FALSE),"")</f>
        <v/>
      </c>
      <c r="S1392" t="str">
        <f>IFERROR(VLOOKUP('OB Format'!D1392,'Team Data'!C:AC,25,FALSE),"")</f>
        <v/>
      </c>
    </row>
    <row r="1393" spans="5:19" x14ac:dyDescent="0.25">
      <c r="E1393" t="str">
        <f>IFERROR(VLOOKUP(D1393,'Team Data'!C:AB,4,FALSE),"")</f>
        <v/>
      </c>
      <c r="F1393" t="str">
        <f>IFERROR(VLOOKUP(D1393,'Team Data'!C:AB,5,FALSE),"")</f>
        <v/>
      </c>
      <c r="G1393" t="str">
        <f>IFERROR(VLOOKUP('OB Format'!D1393,'Team Data'!C:AB,17,FALSE),"")</f>
        <v/>
      </c>
      <c r="H1393" t="str">
        <f>IFERROR(VLOOKUP(D1393,'Team Data'!C:AB,7,FALSE),"")</f>
        <v/>
      </c>
      <c r="I1393" t="str">
        <f>IFERROR(VLOOKUP(D1393,'Team Data'!C:AB,14,FALSE),"")</f>
        <v/>
      </c>
      <c r="J1393" t="str">
        <f>IFERROR(VLOOKUP(D1393,'Team Data'!C:AB,8,FALSE),"")</f>
        <v/>
      </c>
      <c r="K1393" t="str">
        <f>IFERROR(VLOOKUP(D1393,'Team Data'!C:AB,9,FALSE),"")</f>
        <v/>
      </c>
      <c r="L1393" t="str">
        <f>IFERROR(VLOOKUP(D1393,'Team Data'!C:AB,10,FALSE),"")</f>
        <v/>
      </c>
      <c r="M1393" t="str">
        <f t="shared" si="44"/>
        <v/>
      </c>
      <c r="N1393" t="str">
        <f>IFERROR(VLOOKUP(D1393,'Team Data'!C:AB,23,FALSE),"")</f>
        <v/>
      </c>
      <c r="O1393" t="str">
        <f>IFERROR(VLOOKUP(D1393,'Team Data'!C:AB,22,FALSE),"")</f>
        <v/>
      </c>
      <c r="P1393" t="str">
        <f t="shared" si="45"/>
        <v/>
      </c>
      <c r="Q1393" t="str">
        <f>IFERROR(VLOOKUP(D1393,'Team Data'!C:AB,15,FALSE),"")</f>
        <v/>
      </c>
      <c r="R1393" t="str">
        <f>IFERROR(VLOOKUP('OB Format'!D1393,'Team Data'!C:AB,24,FALSE),"")</f>
        <v/>
      </c>
      <c r="S1393" t="str">
        <f>IFERROR(VLOOKUP('OB Format'!D1393,'Team Data'!C:AC,25,FALSE),"")</f>
        <v/>
      </c>
    </row>
    <row r="1394" spans="5:19" x14ac:dyDescent="0.25">
      <c r="E1394" t="str">
        <f>IFERROR(VLOOKUP(D1394,'Team Data'!C:AB,4,FALSE),"")</f>
        <v/>
      </c>
      <c r="F1394" t="str">
        <f>IFERROR(VLOOKUP(D1394,'Team Data'!C:AB,5,FALSE),"")</f>
        <v/>
      </c>
      <c r="G1394" t="str">
        <f>IFERROR(VLOOKUP('OB Format'!D1394,'Team Data'!C:AB,17,FALSE),"")</f>
        <v/>
      </c>
      <c r="H1394" t="str">
        <f>IFERROR(VLOOKUP(D1394,'Team Data'!C:AB,7,FALSE),"")</f>
        <v/>
      </c>
      <c r="I1394" t="str">
        <f>IFERROR(VLOOKUP(D1394,'Team Data'!C:AB,14,FALSE),"")</f>
        <v/>
      </c>
      <c r="J1394" t="str">
        <f>IFERROR(VLOOKUP(D1394,'Team Data'!C:AB,8,FALSE),"")</f>
        <v/>
      </c>
      <c r="K1394" t="str">
        <f>IFERROR(VLOOKUP(D1394,'Team Data'!C:AB,9,FALSE),"")</f>
        <v/>
      </c>
      <c r="L1394" t="str">
        <f>IFERROR(VLOOKUP(D1394,'Team Data'!C:AB,10,FALSE),"")</f>
        <v/>
      </c>
      <c r="M1394" t="str">
        <f t="shared" si="44"/>
        <v/>
      </c>
      <c r="N1394" t="str">
        <f>IFERROR(VLOOKUP(D1394,'Team Data'!C:AB,23,FALSE),"")</f>
        <v/>
      </c>
      <c r="O1394" t="str">
        <f>IFERROR(VLOOKUP(D1394,'Team Data'!C:AB,22,FALSE),"")</f>
        <v/>
      </c>
      <c r="P1394" t="str">
        <f t="shared" si="45"/>
        <v/>
      </c>
      <c r="Q1394" t="str">
        <f>IFERROR(VLOOKUP(D1394,'Team Data'!C:AB,15,FALSE),"")</f>
        <v/>
      </c>
      <c r="R1394" t="str">
        <f>IFERROR(VLOOKUP('OB Format'!D1394,'Team Data'!C:AB,24,FALSE),"")</f>
        <v/>
      </c>
      <c r="S1394" t="str">
        <f>IFERROR(VLOOKUP('OB Format'!D1394,'Team Data'!C:AC,25,FALSE),"")</f>
        <v/>
      </c>
    </row>
    <row r="1395" spans="5:19" x14ac:dyDescent="0.25">
      <c r="E1395" t="str">
        <f>IFERROR(VLOOKUP(D1395,'Team Data'!C:AB,4,FALSE),"")</f>
        <v/>
      </c>
      <c r="F1395" t="str">
        <f>IFERROR(VLOOKUP(D1395,'Team Data'!C:AB,5,FALSE),"")</f>
        <v/>
      </c>
      <c r="G1395" t="str">
        <f>IFERROR(VLOOKUP('OB Format'!D1395,'Team Data'!C:AB,17,FALSE),"")</f>
        <v/>
      </c>
      <c r="H1395" t="str">
        <f>IFERROR(VLOOKUP(D1395,'Team Data'!C:AB,7,FALSE),"")</f>
        <v/>
      </c>
      <c r="I1395" t="str">
        <f>IFERROR(VLOOKUP(D1395,'Team Data'!C:AB,14,FALSE),"")</f>
        <v/>
      </c>
      <c r="J1395" t="str">
        <f>IFERROR(VLOOKUP(D1395,'Team Data'!C:AB,8,FALSE),"")</f>
        <v/>
      </c>
      <c r="K1395" t="str">
        <f>IFERROR(VLOOKUP(D1395,'Team Data'!C:AB,9,FALSE),"")</f>
        <v/>
      </c>
      <c r="L1395" t="str">
        <f>IFERROR(VLOOKUP(D1395,'Team Data'!C:AB,10,FALSE),"")</f>
        <v/>
      </c>
      <c r="M1395" t="str">
        <f t="shared" si="44"/>
        <v/>
      </c>
      <c r="N1395" t="str">
        <f>IFERROR(VLOOKUP(D1395,'Team Data'!C:AB,23,FALSE),"")</f>
        <v/>
      </c>
      <c r="O1395" t="str">
        <f>IFERROR(VLOOKUP(D1395,'Team Data'!C:AB,22,FALSE),"")</f>
        <v/>
      </c>
      <c r="P1395" t="str">
        <f t="shared" si="45"/>
        <v/>
      </c>
      <c r="Q1395" t="str">
        <f>IFERROR(VLOOKUP(D1395,'Team Data'!C:AB,15,FALSE),"")</f>
        <v/>
      </c>
      <c r="R1395" t="str">
        <f>IFERROR(VLOOKUP('OB Format'!D1395,'Team Data'!C:AB,24,FALSE),"")</f>
        <v/>
      </c>
      <c r="S1395" t="str">
        <f>IFERROR(VLOOKUP('OB Format'!D1395,'Team Data'!C:AC,25,FALSE),"")</f>
        <v/>
      </c>
    </row>
    <row r="1396" spans="5:19" x14ac:dyDescent="0.25">
      <c r="E1396" t="str">
        <f>IFERROR(VLOOKUP(D1396,'Team Data'!C:AB,4,FALSE),"")</f>
        <v/>
      </c>
      <c r="F1396" t="str">
        <f>IFERROR(VLOOKUP(D1396,'Team Data'!C:AB,5,FALSE),"")</f>
        <v/>
      </c>
      <c r="G1396" t="str">
        <f>IFERROR(VLOOKUP('OB Format'!D1396,'Team Data'!C:AB,17,FALSE),"")</f>
        <v/>
      </c>
      <c r="H1396" t="str">
        <f>IFERROR(VLOOKUP(D1396,'Team Data'!C:AB,7,FALSE),"")</f>
        <v/>
      </c>
      <c r="I1396" t="str">
        <f>IFERROR(VLOOKUP(D1396,'Team Data'!C:AB,14,FALSE),"")</f>
        <v/>
      </c>
      <c r="J1396" t="str">
        <f>IFERROR(VLOOKUP(D1396,'Team Data'!C:AB,8,FALSE),"")</f>
        <v/>
      </c>
      <c r="K1396" t="str">
        <f>IFERROR(VLOOKUP(D1396,'Team Data'!C:AB,9,FALSE),"")</f>
        <v/>
      </c>
      <c r="L1396" t="str">
        <f>IFERROR(VLOOKUP(D1396,'Team Data'!C:AB,10,FALSE),"")</f>
        <v/>
      </c>
      <c r="M1396" t="str">
        <f t="shared" si="44"/>
        <v/>
      </c>
      <c r="N1396" t="str">
        <f>IFERROR(VLOOKUP(D1396,'Team Data'!C:AB,23,FALSE),"")</f>
        <v/>
      </c>
      <c r="O1396" t="str">
        <f>IFERROR(VLOOKUP(D1396,'Team Data'!C:AB,22,FALSE),"")</f>
        <v/>
      </c>
      <c r="P1396" t="str">
        <f t="shared" si="45"/>
        <v/>
      </c>
      <c r="Q1396" t="str">
        <f>IFERROR(VLOOKUP(D1396,'Team Data'!C:AB,15,FALSE),"")</f>
        <v/>
      </c>
      <c r="R1396" t="str">
        <f>IFERROR(VLOOKUP('OB Format'!D1396,'Team Data'!C:AB,24,FALSE),"")</f>
        <v/>
      </c>
      <c r="S1396" t="str">
        <f>IFERROR(VLOOKUP('OB Format'!D1396,'Team Data'!C:AC,25,FALSE),"")</f>
        <v/>
      </c>
    </row>
    <row r="1397" spans="5:19" x14ac:dyDescent="0.25">
      <c r="E1397" t="str">
        <f>IFERROR(VLOOKUP(D1397,'Team Data'!C:AB,4,FALSE),"")</f>
        <v/>
      </c>
      <c r="F1397" t="str">
        <f>IFERROR(VLOOKUP(D1397,'Team Data'!C:AB,5,FALSE),"")</f>
        <v/>
      </c>
      <c r="G1397" t="str">
        <f>IFERROR(VLOOKUP('OB Format'!D1397,'Team Data'!C:AB,17,FALSE),"")</f>
        <v/>
      </c>
      <c r="H1397" t="str">
        <f>IFERROR(VLOOKUP(D1397,'Team Data'!C:AB,7,FALSE),"")</f>
        <v/>
      </c>
      <c r="I1397" t="str">
        <f>IFERROR(VLOOKUP(D1397,'Team Data'!C:AB,14,FALSE),"")</f>
        <v/>
      </c>
      <c r="J1397" t="str">
        <f>IFERROR(VLOOKUP(D1397,'Team Data'!C:AB,8,FALSE),"")</f>
        <v/>
      </c>
      <c r="K1397" t="str">
        <f>IFERROR(VLOOKUP(D1397,'Team Data'!C:AB,9,FALSE),"")</f>
        <v/>
      </c>
      <c r="L1397" t="str">
        <f>IFERROR(VLOOKUP(D1397,'Team Data'!C:AB,10,FALSE),"")</f>
        <v/>
      </c>
      <c r="M1397" t="str">
        <f t="shared" si="44"/>
        <v/>
      </c>
      <c r="N1397" t="str">
        <f>IFERROR(VLOOKUP(D1397,'Team Data'!C:AB,23,FALSE),"")</f>
        <v/>
      </c>
      <c r="O1397" t="str">
        <f>IFERROR(VLOOKUP(D1397,'Team Data'!C:AB,22,FALSE),"")</f>
        <v/>
      </c>
      <c r="P1397" t="str">
        <f t="shared" si="45"/>
        <v/>
      </c>
      <c r="Q1397" t="str">
        <f>IFERROR(VLOOKUP(D1397,'Team Data'!C:AB,15,FALSE),"")</f>
        <v/>
      </c>
      <c r="R1397" t="str">
        <f>IFERROR(VLOOKUP('OB Format'!D1397,'Team Data'!C:AB,24,FALSE),"")</f>
        <v/>
      </c>
      <c r="S1397" t="str">
        <f>IFERROR(VLOOKUP('OB Format'!D1397,'Team Data'!C:AC,25,FALSE),"")</f>
        <v/>
      </c>
    </row>
    <row r="1398" spans="5:19" x14ac:dyDescent="0.25">
      <c r="E1398" t="str">
        <f>IFERROR(VLOOKUP(D1398,'Team Data'!C:AB,4,FALSE),"")</f>
        <v/>
      </c>
      <c r="F1398" t="str">
        <f>IFERROR(VLOOKUP(D1398,'Team Data'!C:AB,5,FALSE),"")</f>
        <v/>
      </c>
      <c r="G1398" t="str">
        <f>IFERROR(VLOOKUP('OB Format'!D1398,'Team Data'!C:AB,17,FALSE),"")</f>
        <v/>
      </c>
      <c r="H1398" t="str">
        <f>IFERROR(VLOOKUP(D1398,'Team Data'!C:AB,7,FALSE),"")</f>
        <v/>
      </c>
      <c r="I1398" t="str">
        <f>IFERROR(VLOOKUP(D1398,'Team Data'!C:AB,14,FALSE),"")</f>
        <v/>
      </c>
      <c r="J1398" t="str">
        <f>IFERROR(VLOOKUP(D1398,'Team Data'!C:AB,8,FALSE),"")</f>
        <v/>
      </c>
      <c r="K1398" t="str">
        <f>IFERROR(VLOOKUP(D1398,'Team Data'!C:AB,9,FALSE),"")</f>
        <v/>
      </c>
      <c r="L1398" t="str">
        <f>IFERROR(VLOOKUP(D1398,'Team Data'!C:AB,10,FALSE),"")</f>
        <v/>
      </c>
      <c r="M1398" t="str">
        <f t="shared" si="44"/>
        <v/>
      </c>
      <c r="N1398" t="str">
        <f>IFERROR(VLOOKUP(D1398,'Team Data'!C:AB,23,FALSE),"")</f>
        <v/>
      </c>
      <c r="O1398" t="str">
        <f>IFERROR(VLOOKUP(D1398,'Team Data'!C:AB,22,FALSE),"")</f>
        <v/>
      </c>
      <c r="P1398" t="str">
        <f t="shared" si="45"/>
        <v/>
      </c>
      <c r="Q1398" t="str">
        <f>IFERROR(VLOOKUP(D1398,'Team Data'!C:AB,15,FALSE),"")</f>
        <v/>
      </c>
      <c r="R1398" t="str">
        <f>IFERROR(VLOOKUP('OB Format'!D1398,'Team Data'!C:AB,24,FALSE),"")</f>
        <v/>
      </c>
      <c r="S1398" t="str">
        <f>IFERROR(VLOOKUP('OB Format'!D1398,'Team Data'!C:AC,25,FALSE),"")</f>
        <v/>
      </c>
    </row>
    <row r="1399" spans="5:19" x14ac:dyDescent="0.25">
      <c r="E1399" t="str">
        <f>IFERROR(VLOOKUP(D1399,'Team Data'!C:AB,4,FALSE),"")</f>
        <v/>
      </c>
      <c r="F1399" t="str">
        <f>IFERROR(VLOOKUP(D1399,'Team Data'!C:AB,5,FALSE),"")</f>
        <v/>
      </c>
      <c r="G1399" t="str">
        <f>IFERROR(VLOOKUP('OB Format'!D1399,'Team Data'!C:AB,17,FALSE),"")</f>
        <v/>
      </c>
      <c r="H1399" t="str">
        <f>IFERROR(VLOOKUP(D1399,'Team Data'!C:AB,7,FALSE),"")</f>
        <v/>
      </c>
      <c r="I1399" t="str">
        <f>IFERROR(VLOOKUP(D1399,'Team Data'!C:AB,14,FALSE),"")</f>
        <v/>
      </c>
      <c r="J1399" t="str">
        <f>IFERROR(VLOOKUP(D1399,'Team Data'!C:AB,8,FALSE),"")</f>
        <v/>
      </c>
      <c r="K1399" t="str">
        <f>IFERROR(VLOOKUP(D1399,'Team Data'!C:AB,9,FALSE),"")</f>
        <v/>
      </c>
      <c r="L1399" t="str">
        <f>IFERROR(VLOOKUP(D1399,'Team Data'!C:AB,10,FALSE),"")</f>
        <v/>
      </c>
      <c r="M1399" t="str">
        <f t="shared" si="44"/>
        <v/>
      </c>
      <c r="N1399" t="str">
        <f>IFERROR(VLOOKUP(D1399,'Team Data'!C:AB,23,FALSE),"")</f>
        <v/>
      </c>
      <c r="O1399" t="str">
        <f>IFERROR(VLOOKUP(D1399,'Team Data'!C:AB,22,FALSE),"")</f>
        <v/>
      </c>
      <c r="P1399" t="str">
        <f t="shared" si="45"/>
        <v/>
      </c>
      <c r="Q1399" t="str">
        <f>IFERROR(VLOOKUP(D1399,'Team Data'!C:AB,15,FALSE),"")</f>
        <v/>
      </c>
      <c r="R1399" t="str">
        <f>IFERROR(VLOOKUP('OB Format'!D1399,'Team Data'!C:AB,24,FALSE),"")</f>
        <v/>
      </c>
      <c r="S1399" t="str">
        <f>IFERROR(VLOOKUP('OB Format'!D1399,'Team Data'!C:AC,25,FALSE),"")</f>
        <v/>
      </c>
    </row>
    <row r="1400" spans="5:19" x14ac:dyDescent="0.25">
      <c r="E1400" t="str">
        <f>IFERROR(VLOOKUP(D1400,'Team Data'!C:AB,4,FALSE),"")</f>
        <v/>
      </c>
      <c r="F1400" t="str">
        <f>IFERROR(VLOOKUP(D1400,'Team Data'!C:AB,5,FALSE),"")</f>
        <v/>
      </c>
      <c r="G1400" t="str">
        <f>IFERROR(VLOOKUP('OB Format'!D1400,'Team Data'!C:AB,17,FALSE),"")</f>
        <v/>
      </c>
      <c r="H1400" t="str">
        <f>IFERROR(VLOOKUP(D1400,'Team Data'!C:AB,7,FALSE),"")</f>
        <v/>
      </c>
      <c r="I1400" t="str">
        <f>IFERROR(VLOOKUP(D1400,'Team Data'!C:AB,14,FALSE),"")</f>
        <v/>
      </c>
      <c r="J1400" t="str">
        <f>IFERROR(VLOOKUP(D1400,'Team Data'!C:AB,8,FALSE),"")</f>
        <v/>
      </c>
      <c r="K1400" t="str">
        <f>IFERROR(VLOOKUP(D1400,'Team Data'!C:AB,9,FALSE),"")</f>
        <v/>
      </c>
      <c r="L1400" t="str">
        <f>IFERROR(VLOOKUP(D1400,'Team Data'!C:AB,10,FALSE),"")</f>
        <v/>
      </c>
      <c r="M1400" t="str">
        <f t="shared" si="44"/>
        <v/>
      </c>
      <c r="N1400" t="str">
        <f>IFERROR(VLOOKUP(D1400,'Team Data'!C:AB,23,FALSE),"")</f>
        <v/>
      </c>
      <c r="O1400" t="str">
        <f>IFERROR(VLOOKUP(D1400,'Team Data'!C:AB,22,FALSE),"")</f>
        <v/>
      </c>
      <c r="P1400" t="str">
        <f t="shared" si="45"/>
        <v/>
      </c>
      <c r="Q1400" t="str">
        <f>IFERROR(VLOOKUP(D1400,'Team Data'!C:AB,15,FALSE),"")</f>
        <v/>
      </c>
      <c r="R1400" t="str">
        <f>IFERROR(VLOOKUP('OB Format'!D1400,'Team Data'!C:AB,24,FALSE),"")</f>
        <v/>
      </c>
      <c r="S1400" t="str">
        <f>IFERROR(VLOOKUP('OB Format'!D1400,'Team Data'!C:AC,25,FALSE),"")</f>
        <v/>
      </c>
    </row>
    <row r="1401" spans="5:19" x14ac:dyDescent="0.25">
      <c r="E1401" t="str">
        <f>IFERROR(VLOOKUP(D1401,'Team Data'!C:AB,4,FALSE),"")</f>
        <v/>
      </c>
      <c r="F1401" t="str">
        <f>IFERROR(VLOOKUP(D1401,'Team Data'!C:AB,5,FALSE),"")</f>
        <v/>
      </c>
      <c r="G1401" t="str">
        <f>IFERROR(VLOOKUP('OB Format'!D1401,'Team Data'!C:AB,17,FALSE),"")</f>
        <v/>
      </c>
      <c r="H1401" t="str">
        <f>IFERROR(VLOOKUP(D1401,'Team Data'!C:AB,7,FALSE),"")</f>
        <v/>
      </c>
      <c r="I1401" t="str">
        <f>IFERROR(VLOOKUP(D1401,'Team Data'!C:AB,14,FALSE),"")</f>
        <v/>
      </c>
      <c r="J1401" t="str">
        <f>IFERROR(VLOOKUP(D1401,'Team Data'!C:AB,8,FALSE),"")</f>
        <v/>
      </c>
      <c r="K1401" t="str">
        <f>IFERROR(VLOOKUP(D1401,'Team Data'!C:AB,9,FALSE),"")</f>
        <v/>
      </c>
      <c r="L1401" t="str">
        <f>IFERROR(VLOOKUP(D1401,'Team Data'!C:AB,10,FALSE),"")</f>
        <v/>
      </c>
      <c r="M1401" t="str">
        <f t="shared" si="44"/>
        <v/>
      </c>
      <c r="N1401" t="str">
        <f>IFERROR(VLOOKUP(D1401,'Team Data'!C:AB,23,FALSE),"")</f>
        <v/>
      </c>
      <c r="O1401" t="str">
        <f>IFERROR(VLOOKUP(D1401,'Team Data'!C:AB,22,FALSE),"")</f>
        <v/>
      </c>
      <c r="P1401" t="str">
        <f t="shared" si="45"/>
        <v/>
      </c>
      <c r="Q1401" t="str">
        <f>IFERROR(VLOOKUP(D1401,'Team Data'!C:AB,15,FALSE),"")</f>
        <v/>
      </c>
      <c r="R1401" t="str">
        <f>IFERROR(VLOOKUP('OB Format'!D1401,'Team Data'!C:AB,24,FALSE),"")</f>
        <v/>
      </c>
      <c r="S1401" t="str">
        <f>IFERROR(VLOOKUP('OB Format'!D1401,'Team Data'!C:AC,25,FALSE),"")</f>
        <v/>
      </c>
    </row>
    <row r="1402" spans="5:19" x14ac:dyDescent="0.25">
      <c r="E1402" t="str">
        <f>IFERROR(VLOOKUP(D1402,'Team Data'!C:AB,4,FALSE),"")</f>
        <v/>
      </c>
      <c r="F1402" t="str">
        <f>IFERROR(VLOOKUP(D1402,'Team Data'!C:AB,5,FALSE),"")</f>
        <v/>
      </c>
      <c r="G1402" t="str">
        <f>IFERROR(VLOOKUP('OB Format'!D1402,'Team Data'!C:AB,17,FALSE),"")</f>
        <v/>
      </c>
      <c r="H1402" t="str">
        <f>IFERROR(VLOOKUP(D1402,'Team Data'!C:AB,7,FALSE),"")</f>
        <v/>
      </c>
      <c r="I1402" t="str">
        <f>IFERROR(VLOOKUP(D1402,'Team Data'!C:AB,14,FALSE),"")</f>
        <v/>
      </c>
      <c r="J1402" t="str">
        <f>IFERROR(VLOOKUP(D1402,'Team Data'!C:AB,8,FALSE),"")</f>
        <v/>
      </c>
      <c r="K1402" t="str">
        <f>IFERROR(VLOOKUP(D1402,'Team Data'!C:AB,9,FALSE),"")</f>
        <v/>
      </c>
      <c r="L1402" t="str">
        <f>IFERROR(VLOOKUP(D1402,'Team Data'!C:AB,10,FALSE),"")</f>
        <v/>
      </c>
      <c r="M1402" t="str">
        <f t="shared" si="44"/>
        <v/>
      </c>
      <c r="N1402" t="str">
        <f>IFERROR(VLOOKUP(D1402,'Team Data'!C:AB,23,FALSE),"")</f>
        <v/>
      </c>
      <c r="O1402" t="str">
        <f>IFERROR(VLOOKUP(D1402,'Team Data'!C:AB,22,FALSE),"")</f>
        <v/>
      </c>
      <c r="P1402" t="str">
        <f t="shared" si="45"/>
        <v/>
      </c>
      <c r="Q1402" t="str">
        <f>IFERROR(VLOOKUP(D1402,'Team Data'!C:AB,15,FALSE),"")</f>
        <v/>
      </c>
      <c r="R1402" t="str">
        <f>IFERROR(VLOOKUP('OB Format'!D1402,'Team Data'!C:AB,24,FALSE),"")</f>
        <v/>
      </c>
      <c r="S1402" t="str">
        <f>IFERROR(VLOOKUP('OB Format'!D1402,'Team Data'!C:AC,25,FALSE),"")</f>
        <v/>
      </c>
    </row>
    <row r="1403" spans="5:19" x14ac:dyDescent="0.25">
      <c r="E1403" t="str">
        <f>IFERROR(VLOOKUP(D1403,'Team Data'!C:AB,4,FALSE),"")</f>
        <v/>
      </c>
      <c r="F1403" t="str">
        <f>IFERROR(VLOOKUP(D1403,'Team Data'!C:AB,5,FALSE),"")</f>
        <v/>
      </c>
      <c r="G1403" t="str">
        <f>IFERROR(VLOOKUP('OB Format'!D1403,'Team Data'!C:AB,17,FALSE),"")</f>
        <v/>
      </c>
      <c r="H1403" t="str">
        <f>IFERROR(VLOOKUP(D1403,'Team Data'!C:AB,7,FALSE),"")</f>
        <v/>
      </c>
      <c r="I1403" t="str">
        <f>IFERROR(VLOOKUP(D1403,'Team Data'!C:AB,14,FALSE),"")</f>
        <v/>
      </c>
      <c r="J1403" t="str">
        <f>IFERROR(VLOOKUP(D1403,'Team Data'!C:AB,8,FALSE),"")</f>
        <v/>
      </c>
      <c r="K1403" t="str">
        <f>IFERROR(VLOOKUP(D1403,'Team Data'!C:AB,9,FALSE),"")</f>
        <v/>
      </c>
      <c r="L1403" t="str">
        <f>IFERROR(VLOOKUP(D1403,'Team Data'!C:AB,10,FALSE),"")</f>
        <v/>
      </c>
      <c r="M1403" t="str">
        <f t="shared" si="44"/>
        <v/>
      </c>
      <c r="N1403" t="str">
        <f>IFERROR(VLOOKUP(D1403,'Team Data'!C:AB,23,FALSE),"")</f>
        <v/>
      </c>
      <c r="O1403" t="str">
        <f>IFERROR(VLOOKUP(D1403,'Team Data'!C:AB,22,FALSE),"")</f>
        <v/>
      </c>
      <c r="P1403" t="str">
        <f t="shared" si="45"/>
        <v/>
      </c>
      <c r="Q1403" t="str">
        <f>IFERROR(VLOOKUP(D1403,'Team Data'!C:AB,15,FALSE),"")</f>
        <v/>
      </c>
      <c r="R1403" t="str">
        <f>IFERROR(VLOOKUP('OB Format'!D1403,'Team Data'!C:AB,24,FALSE),"")</f>
        <v/>
      </c>
      <c r="S1403" t="str">
        <f>IFERROR(VLOOKUP('OB Format'!D1403,'Team Data'!C:AC,25,FALSE),"")</f>
        <v/>
      </c>
    </row>
    <row r="1404" spans="5:19" x14ac:dyDescent="0.25">
      <c r="E1404" t="str">
        <f>IFERROR(VLOOKUP(D1404,'Team Data'!C:AB,4,FALSE),"")</f>
        <v/>
      </c>
      <c r="F1404" t="str">
        <f>IFERROR(VLOOKUP(D1404,'Team Data'!C:AB,5,FALSE),"")</f>
        <v/>
      </c>
      <c r="G1404" t="str">
        <f>IFERROR(VLOOKUP('OB Format'!D1404,'Team Data'!C:AB,17,FALSE),"")</f>
        <v/>
      </c>
      <c r="H1404" t="str">
        <f>IFERROR(VLOOKUP(D1404,'Team Data'!C:AB,7,FALSE),"")</f>
        <v/>
      </c>
      <c r="I1404" t="str">
        <f>IFERROR(VLOOKUP(D1404,'Team Data'!C:AB,14,FALSE),"")</f>
        <v/>
      </c>
      <c r="J1404" t="str">
        <f>IFERROR(VLOOKUP(D1404,'Team Data'!C:AB,8,FALSE),"")</f>
        <v/>
      </c>
      <c r="K1404" t="str">
        <f>IFERROR(VLOOKUP(D1404,'Team Data'!C:AB,9,FALSE),"")</f>
        <v/>
      </c>
      <c r="L1404" t="str">
        <f>IFERROR(VLOOKUP(D1404,'Team Data'!C:AB,10,FALSE),"")</f>
        <v/>
      </c>
      <c r="M1404" t="str">
        <f t="shared" si="44"/>
        <v/>
      </c>
      <c r="N1404" t="str">
        <f>IFERROR(VLOOKUP(D1404,'Team Data'!C:AB,23,FALSE),"")</f>
        <v/>
      </c>
      <c r="O1404" t="str">
        <f>IFERROR(VLOOKUP(D1404,'Team Data'!C:AB,22,FALSE),"")</f>
        <v/>
      </c>
      <c r="P1404" t="str">
        <f t="shared" si="45"/>
        <v/>
      </c>
      <c r="Q1404" t="str">
        <f>IFERROR(VLOOKUP(D1404,'Team Data'!C:AB,15,FALSE),"")</f>
        <v/>
      </c>
      <c r="R1404" t="str">
        <f>IFERROR(VLOOKUP('OB Format'!D1404,'Team Data'!C:AB,24,FALSE),"")</f>
        <v/>
      </c>
      <c r="S1404" t="str">
        <f>IFERROR(VLOOKUP('OB Format'!D1404,'Team Data'!C:AC,25,FALSE),"")</f>
        <v/>
      </c>
    </row>
    <row r="1405" spans="5:19" x14ac:dyDescent="0.25">
      <c r="E1405" t="str">
        <f>IFERROR(VLOOKUP(D1405,'Team Data'!C:AB,4,FALSE),"")</f>
        <v/>
      </c>
      <c r="F1405" t="str">
        <f>IFERROR(VLOOKUP(D1405,'Team Data'!C:AB,5,FALSE),"")</f>
        <v/>
      </c>
      <c r="G1405" t="str">
        <f>IFERROR(VLOOKUP('OB Format'!D1405,'Team Data'!C:AB,17,FALSE),"")</f>
        <v/>
      </c>
      <c r="H1405" t="str">
        <f>IFERROR(VLOOKUP(D1405,'Team Data'!C:AB,7,FALSE),"")</f>
        <v/>
      </c>
      <c r="I1405" t="str">
        <f>IFERROR(VLOOKUP(D1405,'Team Data'!C:AB,14,FALSE),"")</f>
        <v/>
      </c>
      <c r="J1405" t="str">
        <f>IFERROR(VLOOKUP(D1405,'Team Data'!C:AB,8,FALSE),"")</f>
        <v/>
      </c>
      <c r="K1405" t="str">
        <f>IFERROR(VLOOKUP(D1405,'Team Data'!C:AB,9,FALSE),"")</f>
        <v/>
      </c>
      <c r="L1405" t="str">
        <f>IFERROR(VLOOKUP(D1405,'Team Data'!C:AB,10,FALSE),"")</f>
        <v/>
      </c>
      <c r="M1405" t="str">
        <f t="shared" si="44"/>
        <v/>
      </c>
      <c r="N1405" t="str">
        <f>IFERROR(VLOOKUP(D1405,'Team Data'!C:AB,23,FALSE),"")</f>
        <v/>
      </c>
      <c r="O1405" t="str">
        <f>IFERROR(VLOOKUP(D1405,'Team Data'!C:AB,22,FALSE),"")</f>
        <v/>
      </c>
      <c r="P1405" t="str">
        <f t="shared" si="45"/>
        <v/>
      </c>
      <c r="Q1405" t="str">
        <f>IFERROR(VLOOKUP(D1405,'Team Data'!C:AB,15,FALSE),"")</f>
        <v/>
      </c>
      <c r="R1405" t="str">
        <f>IFERROR(VLOOKUP('OB Format'!D1405,'Team Data'!C:AB,24,FALSE),"")</f>
        <v/>
      </c>
      <c r="S1405" t="str">
        <f>IFERROR(VLOOKUP('OB Format'!D1405,'Team Data'!C:AC,25,FALSE),"")</f>
        <v/>
      </c>
    </row>
    <row r="1406" spans="5:19" x14ac:dyDescent="0.25">
      <c r="E1406" t="str">
        <f>IFERROR(VLOOKUP(D1406,'Team Data'!C:AB,4,FALSE),"")</f>
        <v/>
      </c>
      <c r="F1406" t="str">
        <f>IFERROR(VLOOKUP(D1406,'Team Data'!C:AB,5,FALSE),"")</f>
        <v/>
      </c>
      <c r="G1406" t="str">
        <f>IFERROR(VLOOKUP('OB Format'!D1406,'Team Data'!C:AB,17,FALSE),"")</f>
        <v/>
      </c>
      <c r="H1406" t="str">
        <f>IFERROR(VLOOKUP(D1406,'Team Data'!C:AB,7,FALSE),"")</f>
        <v/>
      </c>
      <c r="I1406" t="str">
        <f>IFERROR(VLOOKUP(D1406,'Team Data'!C:AB,14,FALSE),"")</f>
        <v/>
      </c>
      <c r="J1406" t="str">
        <f>IFERROR(VLOOKUP(D1406,'Team Data'!C:AB,8,FALSE),"")</f>
        <v/>
      </c>
      <c r="K1406" t="str">
        <f>IFERROR(VLOOKUP(D1406,'Team Data'!C:AB,9,FALSE),"")</f>
        <v/>
      </c>
      <c r="L1406" t="str">
        <f>IFERROR(VLOOKUP(D1406,'Team Data'!C:AB,10,FALSE),"")</f>
        <v/>
      </c>
      <c r="M1406" t="str">
        <f t="shared" si="44"/>
        <v/>
      </c>
      <c r="N1406" t="str">
        <f>IFERROR(VLOOKUP(D1406,'Team Data'!C:AB,23,FALSE),"")</f>
        <v/>
      </c>
      <c r="O1406" t="str">
        <f>IFERROR(VLOOKUP(D1406,'Team Data'!C:AB,22,FALSE),"")</f>
        <v/>
      </c>
      <c r="P1406" t="str">
        <f t="shared" si="45"/>
        <v/>
      </c>
      <c r="Q1406" t="str">
        <f>IFERROR(VLOOKUP(D1406,'Team Data'!C:AB,15,FALSE),"")</f>
        <v/>
      </c>
      <c r="R1406" t="str">
        <f>IFERROR(VLOOKUP('OB Format'!D1406,'Team Data'!C:AB,24,FALSE),"")</f>
        <v/>
      </c>
      <c r="S1406" t="str">
        <f>IFERROR(VLOOKUP('OB Format'!D1406,'Team Data'!C:AC,25,FALSE),"")</f>
        <v/>
      </c>
    </row>
    <row r="1407" spans="5:19" x14ac:dyDescent="0.25">
      <c r="E1407" t="str">
        <f>IFERROR(VLOOKUP(D1407,'Team Data'!C:AB,4,FALSE),"")</f>
        <v/>
      </c>
      <c r="F1407" t="str">
        <f>IFERROR(VLOOKUP(D1407,'Team Data'!C:AB,5,FALSE),"")</f>
        <v/>
      </c>
      <c r="G1407" t="str">
        <f>IFERROR(VLOOKUP('OB Format'!D1407,'Team Data'!C:AB,17,FALSE),"")</f>
        <v/>
      </c>
      <c r="H1407" t="str">
        <f>IFERROR(VLOOKUP(D1407,'Team Data'!C:AB,7,FALSE),"")</f>
        <v/>
      </c>
      <c r="I1407" t="str">
        <f>IFERROR(VLOOKUP(D1407,'Team Data'!C:AB,14,FALSE),"")</f>
        <v/>
      </c>
      <c r="J1407" t="str">
        <f>IFERROR(VLOOKUP(D1407,'Team Data'!C:AB,8,FALSE),"")</f>
        <v/>
      </c>
      <c r="K1407" t="str">
        <f>IFERROR(VLOOKUP(D1407,'Team Data'!C:AB,9,FALSE),"")</f>
        <v/>
      </c>
      <c r="L1407" t="str">
        <f>IFERROR(VLOOKUP(D1407,'Team Data'!C:AB,10,FALSE),"")</f>
        <v/>
      </c>
      <c r="M1407" t="str">
        <f t="shared" si="44"/>
        <v/>
      </c>
      <c r="N1407" t="str">
        <f>IFERROR(VLOOKUP(D1407,'Team Data'!C:AB,23,FALSE),"")</f>
        <v/>
      </c>
      <c r="O1407" t="str">
        <f>IFERROR(VLOOKUP(D1407,'Team Data'!C:AB,22,FALSE),"")</f>
        <v/>
      </c>
      <c r="P1407" t="str">
        <f t="shared" si="45"/>
        <v/>
      </c>
      <c r="Q1407" t="str">
        <f>IFERROR(VLOOKUP(D1407,'Team Data'!C:AB,15,FALSE),"")</f>
        <v/>
      </c>
      <c r="R1407" t="str">
        <f>IFERROR(VLOOKUP('OB Format'!D1407,'Team Data'!C:AB,24,FALSE),"")</f>
        <v/>
      </c>
      <c r="S1407" t="str">
        <f>IFERROR(VLOOKUP('OB Format'!D1407,'Team Data'!C:AC,25,FALSE),"")</f>
        <v/>
      </c>
    </row>
    <row r="1408" spans="5:19" x14ac:dyDescent="0.25">
      <c r="E1408" t="str">
        <f>IFERROR(VLOOKUP(D1408,'Team Data'!C:AB,4,FALSE),"")</f>
        <v/>
      </c>
      <c r="F1408" t="str">
        <f>IFERROR(VLOOKUP(D1408,'Team Data'!C:AB,5,FALSE),"")</f>
        <v/>
      </c>
      <c r="G1408" t="str">
        <f>IFERROR(VLOOKUP('OB Format'!D1408,'Team Data'!C:AB,17,FALSE),"")</f>
        <v/>
      </c>
      <c r="H1408" t="str">
        <f>IFERROR(VLOOKUP(D1408,'Team Data'!C:AB,7,FALSE),"")</f>
        <v/>
      </c>
      <c r="I1408" t="str">
        <f>IFERROR(VLOOKUP(D1408,'Team Data'!C:AB,14,FALSE),"")</f>
        <v/>
      </c>
      <c r="J1408" t="str">
        <f>IFERROR(VLOOKUP(D1408,'Team Data'!C:AB,8,FALSE),"")</f>
        <v/>
      </c>
      <c r="K1408" t="str">
        <f>IFERROR(VLOOKUP(D1408,'Team Data'!C:AB,9,FALSE),"")</f>
        <v/>
      </c>
      <c r="L1408" t="str">
        <f>IFERROR(VLOOKUP(D1408,'Team Data'!C:AB,10,FALSE),"")</f>
        <v/>
      </c>
      <c r="M1408" t="str">
        <f t="shared" si="44"/>
        <v/>
      </c>
      <c r="N1408" t="str">
        <f>IFERROR(VLOOKUP(D1408,'Team Data'!C:AB,23,FALSE),"")</f>
        <v/>
      </c>
      <c r="O1408" t="str">
        <f>IFERROR(VLOOKUP(D1408,'Team Data'!C:AB,22,FALSE),"")</f>
        <v/>
      </c>
      <c r="P1408" t="str">
        <f t="shared" si="45"/>
        <v/>
      </c>
      <c r="Q1408" t="str">
        <f>IFERROR(VLOOKUP(D1408,'Team Data'!C:AB,15,FALSE),"")</f>
        <v/>
      </c>
      <c r="R1408" t="str">
        <f>IFERROR(VLOOKUP('OB Format'!D1408,'Team Data'!C:AB,24,FALSE),"")</f>
        <v/>
      </c>
      <c r="S1408" t="str">
        <f>IFERROR(VLOOKUP('OB Format'!D1408,'Team Data'!C:AC,25,FALSE),"")</f>
        <v/>
      </c>
    </row>
    <row r="1409" spans="5:19" x14ac:dyDescent="0.25">
      <c r="E1409" t="str">
        <f>IFERROR(VLOOKUP(D1409,'Team Data'!C:AB,4,FALSE),"")</f>
        <v/>
      </c>
      <c r="F1409" t="str">
        <f>IFERROR(VLOOKUP(D1409,'Team Data'!C:AB,5,FALSE),"")</f>
        <v/>
      </c>
      <c r="G1409" t="str">
        <f>IFERROR(VLOOKUP('OB Format'!D1409,'Team Data'!C:AB,17,FALSE),"")</f>
        <v/>
      </c>
      <c r="H1409" t="str">
        <f>IFERROR(VLOOKUP(D1409,'Team Data'!C:AB,7,FALSE),"")</f>
        <v/>
      </c>
      <c r="I1409" t="str">
        <f>IFERROR(VLOOKUP(D1409,'Team Data'!C:AB,14,FALSE),"")</f>
        <v/>
      </c>
      <c r="J1409" t="str">
        <f>IFERROR(VLOOKUP(D1409,'Team Data'!C:AB,8,FALSE),"")</f>
        <v/>
      </c>
      <c r="K1409" t="str">
        <f>IFERROR(VLOOKUP(D1409,'Team Data'!C:AB,9,FALSE),"")</f>
        <v/>
      </c>
      <c r="L1409" t="str">
        <f>IFERROR(VLOOKUP(D1409,'Team Data'!C:AB,10,FALSE),"")</f>
        <v/>
      </c>
      <c r="M1409" t="str">
        <f t="shared" si="44"/>
        <v/>
      </c>
      <c r="N1409" t="str">
        <f>IFERROR(VLOOKUP(D1409,'Team Data'!C:AB,23,FALSE),"")</f>
        <v/>
      </c>
      <c r="O1409" t="str">
        <f>IFERROR(VLOOKUP(D1409,'Team Data'!C:AB,22,FALSE),"")</f>
        <v/>
      </c>
      <c r="P1409" t="str">
        <f t="shared" si="45"/>
        <v/>
      </c>
      <c r="Q1409" t="str">
        <f>IFERROR(VLOOKUP(D1409,'Team Data'!C:AB,15,FALSE),"")</f>
        <v/>
      </c>
      <c r="R1409" t="str">
        <f>IFERROR(VLOOKUP('OB Format'!D1409,'Team Data'!C:AB,24,FALSE),"")</f>
        <v/>
      </c>
      <c r="S1409" t="str">
        <f>IFERROR(VLOOKUP('OB Format'!D1409,'Team Data'!C:AC,25,FALSE),"")</f>
        <v/>
      </c>
    </row>
    <row r="1410" spans="5:19" x14ac:dyDescent="0.25">
      <c r="E1410" t="str">
        <f>IFERROR(VLOOKUP(D1410,'Team Data'!C:AB,4,FALSE),"")</f>
        <v/>
      </c>
      <c r="F1410" t="str">
        <f>IFERROR(VLOOKUP(D1410,'Team Data'!C:AB,5,FALSE),"")</f>
        <v/>
      </c>
      <c r="G1410" t="str">
        <f>IFERROR(VLOOKUP('OB Format'!D1410,'Team Data'!C:AB,17,FALSE),"")</f>
        <v/>
      </c>
      <c r="H1410" t="str">
        <f>IFERROR(VLOOKUP(D1410,'Team Data'!C:AB,7,FALSE),"")</f>
        <v/>
      </c>
      <c r="I1410" t="str">
        <f>IFERROR(VLOOKUP(D1410,'Team Data'!C:AB,14,FALSE),"")</f>
        <v/>
      </c>
      <c r="J1410" t="str">
        <f>IFERROR(VLOOKUP(D1410,'Team Data'!C:AB,8,FALSE),"")</f>
        <v/>
      </c>
      <c r="K1410" t="str">
        <f>IFERROR(VLOOKUP(D1410,'Team Data'!C:AB,9,FALSE),"")</f>
        <v/>
      </c>
      <c r="L1410" t="str">
        <f>IFERROR(VLOOKUP(D1410,'Team Data'!C:AB,10,FALSE),"")</f>
        <v/>
      </c>
      <c r="M1410" t="str">
        <f t="shared" si="44"/>
        <v/>
      </c>
      <c r="N1410" t="str">
        <f>IFERROR(VLOOKUP(D1410,'Team Data'!C:AB,23,FALSE),"")</f>
        <v/>
      </c>
      <c r="O1410" t="str">
        <f>IFERROR(VLOOKUP(D1410,'Team Data'!C:AB,22,FALSE),"")</f>
        <v/>
      </c>
      <c r="P1410" t="str">
        <f t="shared" si="45"/>
        <v/>
      </c>
      <c r="Q1410" t="str">
        <f>IFERROR(VLOOKUP(D1410,'Team Data'!C:AB,15,FALSE),"")</f>
        <v/>
      </c>
      <c r="R1410" t="str">
        <f>IFERROR(VLOOKUP('OB Format'!D1410,'Team Data'!C:AB,24,FALSE),"")</f>
        <v/>
      </c>
      <c r="S1410" t="str">
        <f>IFERROR(VLOOKUP('OB Format'!D1410,'Team Data'!C:AC,25,FALSE),"")</f>
        <v/>
      </c>
    </row>
    <row r="1411" spans="5:19" x14ac:dyDescent="0.25">
      <c r="E1411" t="str">
        <f>IFERROR(VLOOKUP(D1411,'Team Data'!C:AB,4,FALSE),"")</f>
        <v/>
      </c>
      <c r="F1411" t="str">
        <f>IFERROR(VLOOKUP(D1411,'Team Data'!C:AB,5,FALSE),"")</f>
        <v/>
      </c>
      <c r="G1411" t="str">
        <f>IFERROR(VLOOKUP('OB Format'!D1411,'Team Data'!C:AB,17,FALSE),"")</f>
        <v/>
      </c>
      <c r="H1411" t="str">
        <f>IFERROR(VLOOKUP(D1411,'Team Data'!C:AB,7,FALSE),"")</f>
        <v/>
      </c>
      <c r="I1411" t="str">
        <f>IFERROR(VLOOKUP(D1411,'Team Data'!C:AB,14,FALSE),"")</f>
        <v/>
      </c>
      <c r="J1411" t="str">
        <f>IFERROR(VLOOKUP(D1411,'Team Data'!C:AB,8,FALSE),"")</f>
        <v/>
      </c>
      <c r="K1411" t="str">
        <f>IFERROR(VLOOKUP(D1411,'Team Data'!C:AB,9,FALSE),"")</f>
        <v/>
      </c>
      <c r="L1411" t="str">
        <f>IFERROR(VLOOKUP(D1411,'Team Data'!C:AB,10,FALSE),"")</f>
        <v/>
      </c>
      <c r="M1411" t="str">
        <f t="shared" si="44"/>
        <v/>
      </c>
      <c r="N1411" t="str">
        <f>IFERROR(VLOOKUP(D1411,'Team Data'!C:AB,23,FALSE),"")</f>
        <v/>
      </c>
      <c r="O1411" t="str">
        <f>IFERROR(VLOOKUP(D1411,'Team Data'!C:AB,22,FALSE),"")</f>
        <v/>
      </c>
      <c r="P1411" t="str">
        <f t="shared" si="45"/>
        <v/>
      </c>
      <c r="Q1411" t="str">
        <f>IFERROR(VLOOKUP(D1411,'Team Data'!C:AB,15,FALSE),"")</f>
        <v/>
      </c>
      <c r="R1411" t="str">
        <f>IFERROR(VLOOKUP('OB Format'!D1411,'Team Data'!C:AB,24,FALSE),"")</f>
        <v/>
      </c>
      <c r="S1411" t="str">
        <f>IFERROR(VLOOKUP('OB Format'!D1411,'Team Data'!C:AC,25,FALSE),"")</f>
        <v/>
      </c>
    </row>
    <row r="1412" spans="5:19" x14ac:dyDescent="0.25">
      <c r="E1412" t="str">
        <f>IFERROR(VLOOKUP(D1412,'Team Data'!C:AB,4,FALSE),"")</f>
        <v/>
      </c>
      <c r="F1412" t="str">
        <f>IFERROR(VLOOKUP(D1412,'Team Data'!C:AB,5,FALSE),"")</f>
        <v/>
      </c>
      <c r="G1412" t="str">
        <f>IFERROR(VLOOKUP('OB Format'!D1412,'Team Data'!C:AB,17,FALSE),"")</f>
        <v/>
      </c>
      <c r="H1412" t="str">
        <f>IFERROR(VLOOKUP(D1412,'Team Data'!C:AB,7,FALSE),"")</f>
        <v/>
      </c>
      <c r="I1412" t="str">
        <f>IFERROR(VLOOKUP(D1412,'Team Data'!C:AB,14,FALSE),"")</f>
        <v/>
      </c>
      <c r="J1412" t="str">
        <f>IFERROR(VLOOKUP(D1412,'Team Data'!C:AB,8,FALSE),"")</f>
        <v/>
      </c>
      <c r="K1412" t="str">
        <f>IFERROR(VLOOKUP(D1412,'Team Data'!C:AB,9,FALSE),"")</f>
        <v/>
      </c>
      <c r="L1412" t="str">
        <f>IFERROR(VLOOKUP(D1412,'Team Data'!C:AB,10,FALSE),"")</f>
        <v/>
      </c>
      <c r="M1412" t="str">
        <f t="shared" si="44"/>
        <v/>
      </c>
      <c r="N1412" t="str">
        <f>IFERROR(VLOOKUP(D1412,'Team Data'!C:AB,23,FALSE),"")</f>
        <v/>
      </c>
      <c r="O1412" t="str">
        <f>IFERROR(VLOOKUP(D1412,'Team Data'!C:AB,22,FALSE),"")</f>
        <v/>
      </c>
      <c r="P1412" t="str">
        <f t="shared" si="45"/>
        <v/>
      </c>
      <c r="Q1412" t="str">
        <f>IFERROR(VLOOKUP(D1412,'Team Data'!C:AB,15,FALSE),"")</f>
        <v/>
      </c>
      <c r="R1412" t="str">
        <f>IFERROR(VLOOKUP('OB Format'!D1412,'Team Data'!C:AB,24,FALSE),"")</f>
        <v/>
      </c>
      <c r="S1412" t="str">
        <f>IFERROR(VLOOKUP('OB Format'!D1412,'Team Data'!C:AC,25,FALSE),"")</f>
        <v/>
      </c>
    </row>
    <row r="1413" spans="5:19" x14ac:dyDescent="0.25">
      <c r="E1413" t="str">
        <f>IFERROR(VLOOKUP(D1413,'Team Data'!C:AB,4,FALSE),"")</f>
        <v/>
      </c>
      <c r="F1413" t="str">
        <f>IFERROR(VLOOKUP(D1413,'Team Data'!C:AB,5,FALSE),"")</f>
        <v/>
      </c>
      <c r="G1413" t="str">
        <f>IFERROR(VLOOKUP('OB Format'!D1413,'Team Data'!C:AB,17,FALSE),"")</f>
        <v/>
      </c>
      <c r="H1413" t="str">
        <f>IFERROR(VLOOKUP(D1413,'Team Data'!C:AB,7,FALSE),"")</f>
        <v/>
      </c>
      <c r="I1413" t="str">
        <f>IFERROR(VLOOKUP(D1413,'Team Data'!C:AB,14,FALSE),"")</f>
        <v/>
      </c>
      <c r="J1413" t="str">
        <f>IFERROR(VLOOKUP(D1413,'Team Data'!C:AB,8,FALSE),"")</f>
        <v/>
      </c>
      <c r="K1413" t="str">
        <f>IFERROR(VLOOKUP(D1413,'Team Data'!C:AB,9,FALSE),"")</f>
        <v/>
      </c>
      <c r="L1413" t="str">
        <f>IFERROR(VLOOKUP(D1413,'Team Data'!C:AB,10,FALSE),"")</f>
        <v/>
      </c>
      <c r="M1413" t="str">
        <f t="shared" si="44"/>
        <v/>
      </c>
      <c r="N1413" t="str">
        <f>IFERROR(VLOOKUP(D1413,'Team Data'!C:AB,23,FALSE),"")</f>
        <v/>
      </c>
      <c r="O1413" t="str">
        <f>IFERROR(VLOOKUP(D1413,'Team Data'!C:AB,22,FALSE),"")</f>
        <v/>
      </c>
      <c r="P1413" t="str">
        <f t="shared" si="45"/>
        <v/>
      </c>
      <c r="Q1413" t="str">
        <f>IFERROR(VLOOKUP(D1413,'Team Data'!C:AB,15,FALSE),"")</f>
        <v/>
      </c>
      <c r="R1413" t="str">
        <f>IFERROR(VLOOKUP('OB Format'!D1413,'Team Data'!C:AB,24,FALSE),"")</f>
        <v/>
      </c>
      <c r="S1413" t="str">
        <f>IFERROR(VLOOKUP('OB Format'!D1413,'Team Data'!C:AC,25,FALSE),"")</f>
        <v/>
      </c>
    </row>
    <row r="1414" spans="5:19" x14ac:dyDescent="0.25">
      <c r="E1414" t="str">
        <f>IFERROR(VLOOKUP(D1414,'Team Data'!C:AB,4,FALSE),"")</f>
        <v/>
      </c>
      <c r="F1414" t="str">
        <f>IFERROR(VLOOKUP(D1414,'Team Data'!C:AB,5,FALSE),"")</f>
        <v/>
      </c>
      <c r="G1414" t="str">
        <f>IFERROR(VLOOKUP('OB Format'!D1414,'Team Data'!C:AB,17,FALSE),"")</f>
        <v/>
      </c>
      <c r="H1414" t="str">
        <f>IFERROR(VLOOKUP(D1414,'Team Data'!C:AB,7,FALSE),"")</f>
        <v/>
      </c>
      <c r="I1414" t="str">
        <f>IFERROR(VLOOKUP(D1414,'Team Data'!C:AB,14,FALSE),"")</f>
        <v/>
      </c>
      <c r="J1414" t="str">
        <f>IFERROR(VLOOKUP(D1414,'Team Data'!C:AB,8,FALSE),"")</f>
        <v/>
      </c>
      <c r="K1414" t="str">
        <f>IFERROR(VLOOKUP(D1414,'Team Data'!C:AB,9,FALSE),"")</f>
        <v/>
      </c>
      <c r="L1414" t="str">
        <f>IFERROR(VLOOKUP(D1414,'Team Data'!C:AB,10,FALSE),"")</f>
        <v/>
      </c>
      <c r="M1414" t="str">
        <f t="shared" si="44"/>
        <v/>
      </c>
      <c r="N1414" t="str">
        <f>IFERROR(VLOOKUP(D1414,'Team Data'!C:AB,23,FALSE),"")</f>
        <v/>
      </c>
      <c r="O1414" t="str">
        <f>IFERROR(VLOOKUP(D1414,'Team Data'!C:AB,22,FALSE),"")</f>
        <v/>
      </c>
      <c r="P1414" t="str">
        <f t="shared" si="45"/>
        <v/>
      </c>
      <c r="Q1414" t="str">
        <f>IFERROR(VLOOKUP(D1414,'Team Data'!C:AB,15,FALSE),"")</f>
        <v/>
      </c>
      <c r="R1414" t="str">
        <f>IFERROR(VLOOKUP('OB Format'!D1414,'Team Data'!C:AB,24,FALSE),"")</f>
        <v/>
      </c>
      <c r="S1414" t="str">
        <f>IFERROR(VLOOKUP('OB Format'!D1414,'Team Data'!C:AC,25,FALSE),"")</f>
        <v/>
      </c>
    </row>
    <row r="1415" spans="5:19" x14ac:dyDescent="0.25">
      <c r="E1415" t="str">
        <f>IFERROR(VLOOKUP(D1415,'Team Data'!C:AB,4,FALSE),"")</f>
        <v/>
      </c>
      <c r="F1415" t="str">
        <f>IFERROR(VLOOKUP(D1415,'Team Data'!C:AB,5,FALSE),"")</f>
        <v/>
      </c>
      <c r="G1415" t="str">
        <f>IFERROR(VLOOKUP('OB Format'!D1415,'Team Data'!C:AB,17,FALSE),"")</f>
        <v/>
      </c>
      <c r="H1415" t="str">
        <f>IFERROR(VLOOKUP(D1415,'Team Data'!C:AB,7,FALSE),"")</f>
        <v/>
      </c>
      <c r="I1415" t="str">
        <f>IFERROR(VLOOKUP(D1415,'Team Data'!C:AB,14,FALSE),"")</f>
        <v/>
      </c>
      <c r="J1415" t="str">
        <f>IFERROR(VLOOKUP(D1415,'Team Data'!C:AB,8,FALSE),"")</f>
        <v/>
      </c>
      <c r="K1415" t="str">
        <f>IFERROR(VLOOKUP(D1415,'Team Data'!C:AB,9,FALSE),"")</f>
        <v/>
      </c>
      <c r="L1415" t="str">
        <f>IFERROR(VLOOKUP(D1415,'Team Data'!C:AB,10,FALSE),"")</f>
        <v/>
      </c>
      <c r="M1415" t="str">
        <f t="shared" si="44"/>
        <v/>
      </c>
      <c r="N1415" t="str">
        <f>IFERROR(VLOOKUP(D1415,'Team Data'!C:AB,23,FALSE),"")</f>
        <v/>
      </c>
      <c r="O1415" t="str">
        <f>IFERROR(VLOOKUP(D1415,'Team Data'!C:AB,22,FALSE),"")</f>
        <v/>
      </c>
      <c r="P1415" t="str">
        <f t="shared" si="45"/>
        <v/>
      </c>
      <c r="Q1415" t="str">
        <f>IFERROR(VLOOKUP(D1415,'Team Data'!C:AB,15,FALSE),"")</f>
        <v/>
      </c>
      <c r="R1415" t="str">
        <f>IFERROR(VLOOKUP('OB Format'!D1415,'Team Data'!C:AB,24,FALSE),"")</f>
        <v/>
      </c>
      <c r="S1415" t="str">
        <f>IFERROR(VLOOKUP('OB Format'!D1415,'Team Data'!C:AC,25,FALSE),"")</f>
        <v/>
      </c>
    </row>
    <row r="1416" spans="5:19" x14ac:dyDescent="0.25">
      <c r="E1416" t="str">
        <f>IFERROR(VLOOKUP(D1416,'Team Data'!C:AB,4,FALSE),"")</f>
        <v/>
      </c>
      <c r="F1416" t="str">
        <f>IFERROR(VLOOKUP(D1416,'Team Data'!C:AB,5,FALSE),"")</f>
        <v/>
      </c>
      <c r="G1416" t="str">
        <f>IFERROR(VLOOKUP('OB Format'!D1416,'Team Data'!C:AB,17,FALSE),"")</f>
        <v/>
      </c>
      <c r="H1416" t="str">
        <f>IFERROR(VLOOKUP(D1416,'Team Data'!C:AB,7,FALSE),"")</f>
        <v/>
      </c>
      <c r="I1416" t="str">
        <f>IFERROR(VLOOKUP(D1416,'Team Data'!C:AB,14,FALSE),"")</f>
        <v/>
      </c>
      <c r="J1416" t="str">
        <f>IFERROR(VLOOKUP(D1416,'Team Data'!C:AB,8,FALSE),"")</f>
        <v/>
      </c>
      <c r="K1416" t="str">
        <f>IFERROR(VLOOKUP(D1416,'Team Data'!C:AB,9,FALSE),"")</f>
        <v/>
      </c>
      <c r="L1416" t="str">
        <f>IFERROR(VLOOKUP(D1416,'Team Data'!C:AB,10,FALSE),"")</f>
        <v/>
      </c>
      <c r="M1416" t="str">
        <f t="shared" si="44"/>
        <v/>
      </c>
      <c r="N1416" t="str">
        <f>IFERROR(VLOOKUP(D1416,'Team Data'!C:AB,23,FALSE),"")</f>
        <v/>
      </c>
      <c r="O1416" t="str">
        <f>IFERROR(VLOOKUP(D1416,'Team Data'!C:AB,22,FALSE),"")</f>
        <v/>
      </c>
      <c r="P1416" t="str">
        <f t="shared" si="45"/>
        <v/>
      </c>
      <c r="Q1416" t="str">
        <f>IFERROR(VLOOKUP(D1416,'Team Data'!C:AB,15,FALSE),"")</f>
        <v/>
      </c>
      <c r="R1416" t="str">
        <f>IFERROR(VLOOKUP('OB Format'!D1416,'Team Data'!C:AB,24,FALSE),"")</f>
        <v/>
      </c>
      <c r="S1416" t="str">
        <f>IFERROR(VLOOKUP('OB Format'!D1416,'Team Data'!C:AC,25,FALSE),"")</f>
        <v/>
      </c>
    </row>
    <row r="1417" spans="5:19" x14ac:dyDescent="0.25">
      <c r="E1417" t="str">
        <f>IFERROR(VLOOKUP(D1417,'Team Data'!C:AB,4,FALSE),"")</f>
        <v/>
      </c>
      <c r="F1417" t="str">
        <f>IFERROR(VLOOKUP(D1417,'Team Data'!C:AB,5,FALSE),"")</f>
        <v/>
      </c>
      <c r="G1417" t="str">
        <f>IFERROR(VLOOKUP('OB Format'!D1417,'Team Data'!C:AB,17,FALSE),"")</f>
        <v/>
      </c>
      <c r="H1417" t="str">
        <f>IFERROR(VLOOKUP(D1417,'Team Data'!C:AB,7,FALSE),"")</f>
        <v/>
      </c>
      <c r="I1417" t="str">
        <f>IFERROR(VLOOKUP(D1417,'Team Data'!C:AB,14,FALSE),"")</f>
        <v/>
      </c>
      <c r="J1417" t="str">
        <f>IFERROR(VLOOKUP(D1417,'Team Data'!C:AB,8,FALSE),"")</f>
        <v/>
      </c>
      <c r="K1417" t="str">
        <f>IFERROR(VLOOKUP(D1417,'Team Data'!C:AB,9,FALSE),"")</f>
        <v/>
      </c>
      <c r="L1417" t="str">
        <f>IFERROR(VLOOKUP(D1417,'Team Data'!C:AB,10,FALSE),"")</f>
        <v/>
      </c>
      <c r="M1417" t="str">
        <f t="shared" si="44"/>
        <v/>
      </c>
      <c r="N1417" t="str">
        <f>IFERROR(VLOOKUP(D1417,'Team Data'!C:AB,23,FALSE),"")</f>
        <v/>
      </c>
      <c r="O1417" t="str">
        <f>IFERROR(VLOOKUP(D1417,'Team Data'!C:AB,22,FALSE),"")</f>
        <v/>
      </c>
      <c r="P1417" t="str">
        <f t="shared" si="45"/>
        <v/>
      </c>
      <c r="Q1417" t="str">
        <f>IFERROR(VLOOKUP(D1417,'Team Data'!C:AB,15,FALSE),"")</f>
        <v/>
      </c>
      <c r="R1417" t="str">
        <f>IFERROR(VLOOKUP('OB Format'!D1417,'Team Data'!C:AB,24,FALSE),"")</f>
        <v/>
      </c>
      <c r="S1417" t="str">
        <f>IFERROR(VLOOKUP('OB Format'!D1417,'Team Data'!C:AC,25,FALSE),"")</f>
        <v/>
      </c>
    </row>
    <row r="1418" spans="5:19" x14ac:dyDescent="0.25">
      <c r="E1418" t="str">
        <f>IFERROR(VLOOKUP(D1418,'Team Data'!C:AB,4,FALSE),"")</f>
        <v/>
      </c>
      <c r="F1418" t="str">
        <f>IFERROR(VLOOKUP(D1418,'Team Data'!C:AB,5,FALSE),"")</f>
        <v/>
      </c>
      <c r="G1418" t="str">
        <f>IFERROR(VLOOKUP('OB Format'!D1418,'Team Data'!C:AB,17,FALSE),"")</f>
        <v/>
      </c>
      <c r="H1418" t="str">
        <f>IFERROR(VLOOKUP(D1418,'Team Data'!C:AB,7,FALSE),"")</f>
        <v/>
      </c>
      <c r="I1418" t="str">
        <f>IFERROR(VLOOKUP(D1418,'Team Data'!C:AB,14,FALSE),"")</f>
        <v/>
      </c>
      <c r="J1418" t="str">
        <f>IFERROR(VLOOKUP(D1418,'Team Data'!C:AB,8,FALSE),"")</f>
        <v/>
      </c>
      <c r="K1418" t="str">
        <f>IFERROR(VLOOKUP(D1418,'Team Data'!C:AB,9,FALSE),"")</f>
        <v/>
      </c>
      <c r="L1418" t="str">
        <f>IFERROR(VLOOKUP(D1418,'Team Data'!C:AB,10,FALSE),"")</f>
        <v/>
      </c>
      <c r="M1418" t="str">
        <f t="shared" si="44"/>
        <v/>
      </c>
      <c r="N1418" t="str">
        <f>IFERROR(VLOOKUP(D1418,'Team Data'!C:AB,23,FALSE),"")</f>
        <v/>
      </c>
      <c r="O1418" t="str">
        <f>IFERROR(VLOOKUP(D1418,'Team Data'!C:AB,22,FALSE),"")</f>
        <v/>
      </c>
      <c r="P1418" t="str">
        <f t="shared" si="45"/>
        <v/>
      </c>
      <c r="Q1418" t="str">
        <f>IFERROR(VLOOKUP(D1418,'Team Data'!C:AB,15,FALSE),"")</f>
        <v/>
      </c>
      <c r="R1418" t="str">
        <f>IFERROR(VLOOKUP('OB Format'!D1418,'Team Data'!C:AB,24,FALSE),"")</f>
        <v/>
      </c>
      <c r="S1418" t="str">
        <f>IFERROR(VLOOKUP('OB Format'!D1418,'Team Data'!C:AC,25,FALSE),"")</f>
        <v/>
      </c>
    </row>
    <row r="1419" spans="5:19" x14ac:dyDescent="0.25">
      <c r="E1419" t="str">
        <f>IFERROR(VLOOKUP(D1419,'Team Data'!C:AB,4,FALSE),"")</f>
        <v/>
      </c>
      <c r="F1419" t="str">
        <f>IFERROR(VLOOKUP(D1419,'Team Data'!C:AB,5,FALSE),"")</f>
        <v/>
      </c>
      <c r="G1419" t="str">
        <f>IFERROR(VLOOKUP('OB Format'!D1419,'Team Data'!C:AB,17,FALSE),"")</f>
        <v/>
      </c>
      <c r="H1419" t="str">
        <f>IFERROR(VLOOKUP(D1419,'Team Data'!C:AB,7,FALSE),"")</f>
        <v/>
      </c>
      <c r="I1419" t="str">
        <f>IFERROR(VLOOKUP(D1419,'Team Data'!C:AB,14,FALSE),"")</f>
        <v/>
      </c>
      <c r="J1419" t="str">
        <f>IFERROR(VLOOKUP(D1419,'Team Data'!C:AB,8,FALSE),"")</f>
        <v/>
      </c>
      <c r="K1419" t="str">
        <f>IFERROR(VLOOKUP(D1419,'Team Data'!C:AB,9,FALSE),"")</f>
        <v/>
      </c>
      <c r="L1419" t="str">
        <f>IFERROR(VLOOKUP(D1419,'Team Data'!C:AB,10,FALSE),"")</f>
        <v/>
      </c>
      <c r="M1419" t="str">
        <f t="shared" si="44"/>
        <v/>
      </c>
      <c r="N1419" t="str">
        <f>IFERROR(VLOOKUP(D1419,'Team Data'!C:AB,23,FALSE),"")</f>
        <v/>
      </c>
      <c r="O1419" t="str">
        <f>IFERROR(VLOOKUP(D1419,'Team Data'!C:AB,22,FALSE),"")</f>
        <v/>
      </c>
      <c r="P1419" t="str">
        <f t="shared" si="45"/>
        <v/>
      </c>
      <c r="Q1419" t="str">
        <f>IFERROR(VLOOKUP(D1419,'Team Data'!C:AB,15,FALSE),"")</f>
        <v/>
      </c>
      <c r="R1419" t="str">
        <f>IFERROR(VLOOKUP('OB Format'!D1419,'Team Data'!C:AB,24,FALSE),"")</f>
        <v/>
      </c>
      <c r="S1419" t="str">
        <f>IFERROR(VLOOKUP('OB Format'!D1419,'Team Data'!C:AC,25,FALSE),"")</f>
        <v/>
      </c>
    </row>
    <row r="1420" spans="5:19" x14ac:dyDescent="0.25">
      <c r="E1420" t="str">
        <f>IFERROR(VLOOKUP(D1420,'Team Data'!C:AB,4,FALSE),"")</f>
        <v/>
      </c>
      <c r="F1420" t="str">
        <f>IFERROR(VLOOKUP(D1420,'Team Data'!C:AB,5,FALSE),"")</f>
        <v/>
      </c>
      <c r="G1420" t="str">
        <f>IFERROR(VLOOKUP('OB Format'!D1420,'Team Data'!C:AB,17,FALSE),"")</f>
        <v/>
      </c>
      <c r="H1420" t="str">
        <f>IFERROR(VLOOKUP(D1420,'Team Data'!C:AB,7,FALSE),"")</f>
        <v/>
      </c>
      <c r="I1420" t="str">
        <f>IFERROR(VLOOKUP(D1420,'Team Data'!C:AB,14,FALSE),"")</f>
        <v/>
      </c>
      <c r="J1420" t="str">
        <f>IFERROR(VLOOKUP(D1420,'Team Data'!C:AB,8,FALSE),"")</f>
        <v/>
      </c>
      <c r="K1420" t="str">
        <f>IFERROR(VLOOKUP(D1420,'Team Data'!C:AB,9,FALSE),"")</f>
        <v/>
      </c>
      <c r="L1420" t="str">
        <f>IFERROR(VLOOKUP(D1420,'Team Data'!C:AB,10,FALSE),"")</f>
        <v/>
      </c>
      <c r="M1420" t="str">
        <f t="shared" si="44"/>
        <v/>
      </c>
      <c r="N1420" t="str">
        <f>IFERROR(VLOOKUP(D1420,'Team Data'!C:AB,23,FALSE),"")</f>
        <v/>
      </c>
      <c r="O1420" t="str">
        <f>IFERROR(VLOOKUP(D1420,'Team Data'!C:AB,22,FALSE),"")</f>
        <v/>
      </c>
      <c r="P1420" t="str">
        <f t="shared" si="45"/>
        <v/>
      </c>
      <c r="Q1420" t="str">
        <f>IFERROR(VLOOKUP(D1420,'Team Data'!C:AB,15,FALSE),"")</f>
        <v/>
      </c>
      <c r="R1420" t="str">
        <f>IFERROR(VLOOKUP('OB Format'!D1420,'Team Data'!C:AB,24,FALSE),"")</f>
        <v/>
      </c>
      <c r="S1420" t="str">
        <f>IFERROR(VLOOKUP('OB Format'!D1420,'Team Data'!C:AC,25,FALSE),"")</f>
        <v/>
      </c>
    </row>
    <row r="1421" spans="5:19" x14ac:dyDescent="0.25">
      <c r="E1421" t="str">
        <f>IFERROR(VLOOKUP(D1421,'Team Data'!C:AB,4,FALSE),"")</f>
        <v/>
      </c>
      <c r="F1421" t="str">
        <f>IFERROR(VLOOKUP(D1421,'Team Data'!C:AB,5,FALSE),"")</f>
        <v/>
      </c>
      <c r="G1421" t="str">
        <f>IFERROR(VLOOKUP('OB Format'!D1421,'Team Data'!C:AB,17,FALSE),"")</f>
        <v/>
      </c>
      <c r="H1421" t="str">
        <f>IFERROR(VLOOKUP(D1421,'Team Data'!C:AB,7,FALSE),"")</f>
        <v/>
      </c>
      <c r="I1421" t="str">
        <f>IFERROR(VLOOKUP(D1421,'Team Data'!C:AB,14,FALSE),"")</f>
        <v/>
      </c>
      <c r="J1421" t="str">
        <f>IFERROR(VLOOKUP(D1421,'Team Data'!C:AB,8,FALSE),"")</f>
        <v/>
      </c>
      <c r="K1421" t="str">
        <f>IFERROR(VLOOKUP(D1421,'Team Data'!C:AB,9,FALSE),"")</f>
        <v/>
      </c>
      <c r="L1421" t="str">
        <f>IFERROR(VLOOKUP(D1421,'Team Data'!C:AB,10,FALSE),"")</f>
        <v/>
      </c>
      <c r="M1421" t="str">
        <f t="shared" ref="M1421:M1484" si="46">IFERROR(H1421-(J1421+L1421+K1421),"")</f>
        <v/>
      </c>
      <c r="N1421" t="str">
        <f>IFERROR(VLOOKUP(D1421,'Team Data'!C:AB,23,FALSE),"")</f>
        <v/>
      </c>
      <c r="O1421" t="str">
        <f>IFERROR(VLOOKUP(D1421,'Team Data'!C:AB,22,FALSE),"")</f>
        <v/>
      </c>
      <c r="P1421" t="str">
        <f t="shared" ref="P1421:P1484" si="47">IFERROR(E1421-(H1421+N1421+Q1421+I1421+O1421),"")</f>
        <v/>
      </c>
      <c r="Q1421" t="str">
        <f>IFERROR(VLOOKUP(D1421,'Team Data'!C:AB,15,FALSE),"")</f>
        <v/>
      </c>
      <c r="R1421" t="str">
        <f>IFERROR(VLOOKUP('OB Format'!D1421,'Team Data'!C:AB,24,FALSE),"")</f>
        <v/>
      </c>
      <c r="S1421" t="str">
        <f>IFERROR(VLOOKUP('OB Format'!D1421,'Team Data'!C:AC,25,FALSE),"")</f>
        <v/>
      </c>
    </row>
    <row r="1422" spans="5:19" x14ac:dyDescent="0.25">
      <c r="E1422" t="str">
        <f>IFERROR(VLOOKUP(D1422,'Team Data'!C:AB,4,FALSE),"")</f>
        <v/>
      </c>
      <c r="F1422" t="str">
        <f>IFERROR(VLOOKUP(D1422,'Team Data'!C:AB,5,FALSE),"")</f>
        <v/>
      </c>
      <c r="G1422" t="str">
        <f>IFERROR(VLOOKUP('OB Format'!D1422,'Team Data'!C:AB,17,FALSE),"")</f>
        <v/>
      </c>
      <c r="H1422" t="str">
        <f>IFERROR(VLOOKUP(D1422,'Team Data'!C:AB,7,FALSE),"")</f>
        <v/>
      </c>
      <c r="I1422" t="str">
        <f>IFERROR(VLOOKUP(D1422,'Team Data'!C:AB,14,FALSE),"")</f>
        <v/>
      </c>
      <c r="J1422" t="str">
        <f>IFERROR(VLOOKUP(D1422,'Team Data'!C:AB,8,FALSE),"")</f>
        <v/>
      </c>
      <c r="K1422" t="str">
        <f>IFERROR(VLOOKUP(D1422,'Team Data'!C:AB,9,FALSE),"")</f>
        <v/>
      </c>
      <c r="L1422" t="str">
        <f>IFERROR(VLOOKUP(D1422,'Team Data'!C:AB,10,FALSE),"")</f>
        <v/>
      </c>
      <c r="M1422" t="str">
        <f t="shared" si="46"/>
        <v/>
      </c>
      <c r="N1422" t="str">
        <f>IFERROR(VLOOKUP(D1422,'Team Data'!C:AB,23,FALSE),"")</f>
        <v/>
      </c>
      <c r="O1422" t="str">
        <f>IFERROR(VLOOKUP(D1422,'Team Data'!C:AB,22,FALSE),"")</f>
        <v/>
      </c>
      <c r="P1422" t="str">
        <f t="shared" si="47"/>
        <v/>
      </c>
      <c r="Q1422" t="str">
        <f>IFERROR(VLOOKUP(D1422,'Team Data'!C:AB,15,FALSE),"")</f>
        <v/>
      </c>
      <c r="R1422" t="str">
        <f>IFERROR(VLOOKUP('OB Format'!D1422,'Team Data'!C:AB,24,FALSE),"")</f>
        <v/>
      </c>
      <c r="S1422" t="str">
        <f>IFERROR(VLOOKUP('OB Format'!D1422,'Team Data'!C:AC,25,FALSE),"")</f>
        <v/>
      </c>
    </row>
    <row r="1423" spans="5:19" x14ac:dyDescent="0.25">
      <c r="E1423" t="str">
        <f>IFERROR(VLOOKUP(D1423,'Team Data'!C:AB,4,FALSE),"")</f>
        <v/>
      </c>
      <c r="F1423" t="str">
        <f>IFERROR(VLOOKUP(D1423,'Team Data'!C:AB,5,FALSE),"")</f>
        <v/>
      </c>
      <c r="G1423" t="str">
        <f>IFERROR(VLOOKUP('OB Format'!D1423,'Team Data'!C:AB,17,FALSE),"")</f>
        <v/>
      </c>
      <c r="H1423" t="str">
        <f>IFERROR(VLOOKUP(D1423,'Team Data'!C:AB,7,FALSE),"")</f>
        <v/>
      </c>
      <c r="I1423" t="str">
        <f>IFERROR(VLOOKUP(D1423,'Team Data'!C:AB,14,FALSE),"")</f>
        <v/>
      </c>
      <c r="J1423" t="str">
        <f>IFERROR(VLOOKUP(D1423,'Team Data'!C:AB,8,FALSE),"")</f>
        <v/>
      </c>
      <c r="K1423" t="str">
        <f>IFERROR(VLOOKUP(D1423,'Team Data'!C:AB,9,FALSE),"")</f>
        <v/>
      </c>
      <c r="L1423" t="str">
        <f>IFERROR(VLOOKUP(D1423,'Team Data'!C:AB,10,FALSE),"")</f>
        <v/>
      </c>
      <c r="M1423" t="str">
        <f t="shared" si="46"/>
        <v/>
      </c>
      <c r="N1423" t="str">
        <f>IFERROR(VLOOKUP(D1423,'Team Data'!C:AB,23,FALSE),"")</f>
        <v/>
      </c>
      <c r="O1423" t="str">
        <f>IFERROR(VLOOKUP(D1423,'Team Data'!C:AB,22,FALSE),"")</f>
        <v/>
      </c>
      <c r="P1423" t="str">
        <f t="shared" si="47"/>
        <v/>
      </c>
      <c r="Q1423" t="str">
        <f>IFERROR(VLOOKUP(D1423,'Team Data'!C:AB,15,FALSE),"")</f>
        <v/>
      </c>
      <c r="R1423" t="str">
        <f>IFERROR(VLOOKUP('OB Format'!D1423,'Team Data'!C:AB,24,FALSE),"")</f>
        <v/>
      </c>
      <c r="S1423" t="str">
        <f>IFERROR(VLOOKUP('OB Format'!D1423,'Team Data'!C:AC,25,FALSE),"")</f>
        <v/>
      </c>
    </row>
    <row r="1424" spans="5:19" x14ac:dyDescent="0.25">
      <c r="E1424" t="str">
        <f>IFERROR(VLOOKUP(D1424,'Team Data'!C:AB,4,FALSE),"")</f>
        <v/>
      </c>
      <c r="F1424" t="str">
        <f>IFERROR(VLOOKUP(D1424,'Team Data'!C:AB,5,FALSE),"")</f>
        <v/>
      </c>
      <c r="G1424" t="str">
        <f>IFERROR(VLOOKUP('OB Format'!D1424,'Team Data'!C:AB,17,FALSE),"")</f>
        <v/>
      </c>
      <c r="H1424" t="str">
        <f>IFERROR(VLOOKUP(D1424,'Team Data'!C:AB,7,FALSE),"")</f>
        <v/>
      </c>
      <c r="I1424" t="str">
        <f>IFERROR(VLOOKUP(D1424,'Team Data'!C:AB,14,FALSE),"")</f>
        <v/>
      </c>
      <c r="J1424" t="str">
        <f>IFERROR(VLOOKUP(D1424,'Team Data'!C:AB,8,FALSE),"")</f>
        <v/>
      </c>
      <c r="K1424" t="str">
        <f>IFERROR(VLOOKUP(D1424,'Team Data'!C:AB,9,FALSE),"")</f>
        <v/>
      </c>
      <c r="L1424" t="str">
        <f>IFERROR(VLOOKUP(D1424,'Team Data'!C:AB,10,FALSE),"")</f>
        <v/>
      </c>
      <c r="M1424" t="str">
        <f t="shared" si="46"/>
        <v/>
      </c>
      <c r="N1424" t="str">
        <f>IFERROR(VLOOKUP(D1424,'Team Data'!C:AB,23,FALSE),"")</f>
        <v/>
      </c>
      <c r="O1424" t="str">
        <f>IFERROR(VLOOKUP(D1424,'Team Data'!C:AB,22,FALSE),"")</f>
        <v/>
      </c>
      <c r="P1424" t="str">
        <f t="shared" si="47"/>
        <v/>
      </c>
      <c r="Q1424" t="str">
        <f>IFERROR(VLOOKUP(D1424,'Team Data'!C:AB,15,FALSE),"")</f>
        <v/>
      </c>
      <c r="R1424" t="str">
        <f>IFERROR(VLOOKUP('OB Format'!D1424,'Team Data'!C:AB,24,FALSE),"")</f>
        <v/>
      </c>
      <c r="S1424" t="str">
        <f>IFERROR(VLOOKUP('OB Format'!D1424,'Team Data'!C:AC,25,FALSE),"")</f>
        <v/>
      </c>
    </row>
    <row r="1425" spans="5:19" x14ac:dyDescent="0.25">
      <c r="E1425" t="str">
        <f>IFERROR(VLOOKUP(D1425,'Team Data'!C:AB,4,FALSE),"")</f>
        <v/>
      </c>
      <c r="F1425" t="str">
        <f>IFERROR(VLOOKUP(D1425,'Team Data'!C:AB,5,FALSE),"")</f>
        <v/>
      </c>
      <c r="G1425" t="str">
        <f>IFERROR(VLOOKUP('OB Format'!D1425,'Team Data'!C:AB,17,FALSE),"")</f>
        <v/>
      </c>
      <c r="H1425" t="str">
        <f>IFERROR(VLOOKUP(D1425,'Team Data'!C:AB,7,FALSE),"")</f>
        <v/>
      </c>
      <c r="I1425" t="str">
        <f>IFERROR(VLOOKUP(D1425,'Team Data'!C:AB,14,FALSE),"")</f>
        <v/>
      </c>
      <c r="J1425" t="str">
        <f>IFERROR(VLOOKUP(D1425,'Team Data'!C:AB,8,FALSE),"")</f>
        <v/>
      </c>
      <c r="K1425" t="str">
        <f>IFERROR(VLOOKUP(D1425,'Team Data'!C:AB,9,FALSE),"")</f>
        <v/>
      </c>
      <c r="L1425" t="str">
        <f>IFERROR(VLOOKUP(D1425,'Team Data'!C:AB,10,FALSE),"")</f>
        <v/>
      </c>
      <c r="M1425" t="str">
        <f t="shared" si="46"/>
        <v/>
      </c>
      <c r="N1425" t="str">
        <f>IFERROR(VLOOKUP(D1425,'Team Data'!C:AB,23,FALSE),"")</f>
        <v/>
      </c>
      <c r="O1425" t="str">
        <f>IFERROR(VLOOKUP(D1425,'Team Data'!C:AB,22,FALSE),"")</f>
        <v/>
      </c>
      <c r="P1425" t="str">
        <f t="shared" si="47"/>
        <v/>
      </c>
      <c r="Q1425" t="str">
        <f>IFERROR(VLOOKUP(D1425,'Team Data'!C:AB,15,FALSE),"")</f>
        <v/>
      </c>
      <c r="R1425" t="str">
        <f>IFERROR(VLOOKUP('OB Format'!D1425,'Team Data'!C:AB,24,FALSE),"")</f>
        <v/>
      </c>
      <c r="S1425" t="str">
        <f>IFERROR(VLOOKUP('OB Format'!D1425,'Team Data'!C:AC,25,FALSE),"")</f>
        <v/>
      </c>
    </row>
    <row r="1426" spans="5:19" x14ac:dyDescent="0.25">
      <c r="E1426" t="str">
        <f>IFERROR(VLOOKUP(D1426,'Team Data'!C:AB,4,FALSE),"")</f>
        <v/>
      </c>
      <c r="F1426" t="str">
        <f>IFERROR(VLOOKUP(D1426,'Team Data'!C:AB,5,FALSE),"")</f>
        <v/>
      </c>
      <c r="G1426" t="str">
        <f>IFERROR(VLOOKUP('OB Format'!D1426,'Team Data'!C:AB,17,FALSE),"")</f>
        <v/>
      </c>
      <c r="H1426" t="str">
        <f>IFERROR(VLOOKUP(D1426,'Team Data'!C:AB,7,FALSE),"")</f>
        <v/>
      </c>
      <c r="I1426" t="str">
        <f>IFERROR(VLOOKUP(D1426,'Team Data'!C:AB,14,FALSE),"")</f>
        <v/>
      </c>
      <c r="J1426" t="str">
        <f>IFERROR(VLOOKUP(D1426,'Team Data'!C:AB,8,FALSE),"")</f>
        <v/>
      </c>
      <c r="K1426" t="str">
        <f>IFERROR(VLOOKUP(D1426,'Team Data'!C:AB,9,FALSE),"")</f>
        <v/>
      </c>
      <c r="L1426" t="str">
        <f>IFERROR(VLOOKUP(D1426,'Team Data'!C:AB,10,FALSE),"")</f>
        <v/>
      </c>
      <c r="M1426" t="str">
        <f t="shared" si="46"/>
        <v/>
      </c>
      <c r="N1426" t="str">
        <f>IFERROR(VLOOKUP(D1426,'Team Data'!C:AB,23,FALSE),"")</f>
        <v/>
      </c>
      <c r="O1426" t="str">
        <f>IFERROR(VLOOKUP(D1426,'Team Data'!C:AB,22,FALSE),"")</f>
        <v/>
      </c>
      <c r="P1426" t="str">
        <f t="shared" si="47"/>
        <v/>
      </c>
      <c r="Q1426" t="str">
        <f>IFERROR(VLOOKUP(D1426,'Team Data'!C:AB,15,FALSE),"")</f>
        <v/>
      </c>
      <c r="R1426" t="str">
        <f>IFERROR(VLOOKUP('OB Format'!D1426,'Team Data'!C:AB,24,FALSE),"")</f>
        <v/>
      </c>
      <c r="S1426" t="str">
        <f>IFERROR(VLOOKUP('OB Format'!D1426,'Team Data'!C:AC,25,FALSE),"")</f>
        <v/>
      </c>
    </row>
    <row r="1427" spans="5:19" x14ac:dyDescent="0.25">
      <c r="E1427" t="str">
        <f>IFERROR(VLOOKUP(D1427,'Team Data'!C:AB,4,FALSE),"")</f>
        <v/>
      </c>
      <c r="F1427" t="str">
        <f>IFERROR(VLOOKUP(D1427,'Team Data'!C:AB,5,FALSE),"")</f>
        <v/>
      </c>
      <c r="G1427" t="str">
        <f>IFERROR(VLOOKUP('OB Format'!D1427,'Team Data'!C:AB,17,FALSE),"")</f>
        <v/>
      </c>
      <c r="H1427" t="str">
        <f>IFERROR(VLOOKUP(D1427,'Team Data'!C:AB,7,FALSE),"")</f>
        <v/>
      </c>
      <c r="I1427" t="str">
        <f>IFERROR(VLOOKUP(D1427,'Team Data'!C:AB,14,FALSE),"")</f>
        <v/>
      </c>
      <c r="J1427" t="str">
        <f>IFERROR(VLOOKUP(D1427,'Team Data'!C:AB,8,FALSE),"")</f>
        <v/>
      </c>
      <c r="K1427" t="str">
        <f>IFERROR(VLOOKUP(D1427,'Team Data'!C:AB,9,FALSE),"")</f>
        <v/>
      </c>
      <c r="L1427" t="str">
        <f>IFERROR(VLOOKUP(D1427,'Team Data'!C:AB,10,FALSE),"")</f>
        <v/>
      </c>
      <c r="M1427" t="str">
        <f t="shared" si="46"/>
        <v/>
      </c>
      <c r="N1427" t="str">
        <f>IFERROR(VLOOKUP(D1427,'Team Data'!C:AB,23,FALSE),"")</f>
        <v/>
      </c>
      <c r="O1427" t="str">
        <f>IFERROR(VLOOKUP(D1427,'Team Data'!C:AB,22,FALSE),"")</f>
        <v/>
      </c>
      <c r="P1427" t="str">
        <f t="shared" si="47"/>
        <v/>
      </c>
      <c r="Q1427" t="str">
        <f>IFERROR(VLOOKUP(D1427,'Team Data'!C:AB,15,FALSE),"")</f>
        <v/>
      </c>
      <c r="R1427" t="str">
        <f>IFERROR(VLOOKUP('OB Format'!D1427,'Team Data'!C:AB,24,FALSE),"")</f>
        <v/>
      </c>
      <c r="S1427" t="str">
        <f>IFERROR(VLOOKUP('OB Format'!D1427,'Team Data'!C:AC,25,FALSE),"")</f>
        <v/>
      </c>
    </row>
    <row r="1428" spans="5:19" x14ac:dyDescent="0.25">
      <c r="E1428" t="str">
        <f>IFERROR(VLOOKUP(D1428,'Team Data'!C:AB,4,FALSE),"")</f>
        <v/>
      </c>
      <c r="F1428" t="str">
        <f>IFERROR(VLOOKUP(D1428,'Team Data'!C:AB,5,FALSE),"")</f>
        <v/>
      </c>
      <c r="G1428" t="str">
        <f>IFERROR(VLOOKUP('OB Format'!D1428,'Team Data'!C:AB,17,FALSE),"")</f>
        <v/>
      </c>
      <c r="H1428" t="str">
        <f>IFERROR(VLOOKUP(D1428,'Team Data'!C:AB,7,FALSE),"")</f>
        <v/>
      </c>
      <c r="I1428" t="str">
        <f>IFERROR(VLOOKUP(D1428,'Team Data'!C:AB,14,FALSE),"")</f>
        <v/>
      </c>
      <c r="J1428" t="str">
        <f>IFERROR(VLOOKUP(D1428,'Team Data'!C:AB,8,FALSE),"")</f>
        <v/>
      </c>
      <c r="K1428" t="str">
        <f>IFERROR(VLOOKUP(D1428,'Team Data'!C:AB,9,FALSE),"")</f>
        <v/>
      </c>
      <c r="L1428" t="str">
        <f>IFERROR(VLOOKUP(D1428,'Team Data'!C:AB,10,FALSE),"")</f>
        <v/>
      </c>
      <c r="M1428" t="str">
        <f t="shared" si="46"/>
        <v/>
      </c>
      <c r="N1428" t="str">
        <f>IFERROR(VLOOKUP(D1428,'Team Data'!C:AB,23,FALSE),"")</f>
        <v/>
      </c>
      <c r="O1428" t="str">
        <f>IFERROR(VLOOKUP(D1428,'Team Data'!C:AB,22,FALSE),"")</f>
        <v/>
      </c>
      <c r="P1428" t="str">
        <f t="shared" si="47"/>
        <v/>
      </c>
      <c r="Q1428" t="str">
        <f>IFERROR(VLOOKUP(D1428,'Team Data'!C:AB,15,FALSE),"")</f>
        <v/>
      </c>
      <c r="R1428" t="str">
        <f>IFERROR(VLOOKUP('OB Format'!D1428,'Team Data'!C:AB,24,FALSE),"")</f>
        <v/>
      </c>
      <c r="S1428" t="str">
        <f>IFERROR(VLOOKUP('OB Format'!D1428,'Team Data'!C:AC,25,FALSE),"")</f>
        <v/>
      </c>
    </row>
    <row r="1429" spans="5:19" x14ac:dyDescent="0.25">
      <c r="E1429" t="str">
        <f>IFERROR(VLOOKUP(D1429,'Team Data'!C:AB,4,FALSE),"")</f>
        <v/>
      </c>
      <c r="F1429" t="str">
        <f>IFERROR(VLOOKUP(D1429,'Team Data'!C:AB,5,FALSE),"")</f>
        <v/>
      </c>
      <c r="G1429" t="str">
        <f>IFERROR(VLOOKUP('OB Format'!D1429,'Team Data'!C:AB,17,FALSE),"")</f>
        <v/>
      </c>
      <c r="H1429" t="str">
        <f>IFERROR(VLOOKUP(D1429,'Team Data'!C:AB,7,FALSE),"")</f>
        <v/>
      </c>
      <c r="I1429" t="str">
        <f>IFERROR(VLOOKUP(D1429,'Team Data'!C:AB,14,FALSE),"")</f>
        <v/>
      </c>
      <c r="J1429" t="str">
        <f>IFERROR(VLOOKUP(D1429,'Team Data'!C:AB,8,FALSE),"")</f>
        <v/>
      </c>
      <c r="K1429" t="str">
        <f>IFERROR(VLOOKUP(D1429,'Team Data'!C:AB,9,FALSE),"")</f>
        <v/>
      </c>
      <c r="L1429" t="str">
        <f>IFERROR(VLOOKUP(D1429,'Team Data'!C:AB,10,FALSE),"")</f>
        <v/>
      </c>
      <c r="M1429" t="str">
        <f t="shared" si="46"/>
        <v/>
      </c>
      <c r="N1429" t="str">
        <f>IFERROR(VLOOKUP(D1429,'Team Data'!C:AB,23,FALSE),"")</f>
        <v/>
      </c>
      <c r="O1429" t="str">
        <f>IFERROR(VLOOKUP(D1429,'Team Data'!C:AB,22,FALSE),"")</f>
        <v/>
      </c>
      <c r="P1429" t="str">
        <f t="shared" si="47"/>
        <v/>
      </c>
      <c r="Q1429" t="str">
        <f>IFERROR(VLOOKUP(D1429,'Team Data'!C:AB,15,FALSE),"")</f>
        <v/>
      </c>
      <c r="R1429" t="str">
        <f>IFERROR(VLOOKUP('OB Format'!D1429,'Team Data'!C:AB,24,FALSE),"")</f>
        <v/>
      </c>
      <c r="S1429" t="str">
        <f>IFERROR(VLOOKUP('OB Format'!D1429,'Team Data'!C:AC,25,FALSE),"")</f>
        <v/>
      </c>
    </row>
    <row r="1430" spans="5:19" x14ac:dyDescent="0.25">
      <c r="E1430" t="str">
        <f>IFERROR(VLOOKUP(D1430,'Team Data'!C:AB,4,FALSE),"")</f>
        <v/>
      </c>
      <c r="F1430" t="str">
        <f>IFERROR(VLOOKUP(D1430,'Team Data'!C:AB,5,FALSE),"")</f>
        <v/>
      </c>
      <c r="G1430" t="str">
        <f>IFERROR(VLOOKUP('OB Format'!D1430,'Team Data'!C:AB,17,FALSE),"")</f>
        <v/>
      </c>
      <c r="H1430" t="str">
        <f>IFERROR(VLOOKUP(D1430,'Team Data'!C:AB,7,FALSE),"")</f>
        <v/>
      </c>
      <c r="I1430" t="str">
        <f>IFERROR(VLOOKUP(D1430,'Team Data'!C:AB,14,FALSE),"")</f>
        <v/>
      </c>
      <c r="J1430" t="str">
        <f>IFERROR(VLOOKUP(D1430,'Team Data'!C:AB,8,FALSE),"")</f>
        <v/>
      </c>
      <c r="K1430" t="str">
        <f>IFERROR(VLOOKUP(D1430,'Team Data'!C:AB,9,FALSE),"")</f>
        <v/>
      </c>
      <c r="L1430" t="str">
        <f>IFERROR(VLOOKUP(D1430,'Team Data'!C:AB,10,FALSE),"")</f>
        <v/>
      </c>
      <c r="M1430" t="str">
        <f t="shared" si="46"/>
        <v/>
      </c>
      <c r="N1430" t="str">
        <f>IFERROR(VLOOKUP(D1430,'Team Data'!C:AB,23,FALSE),"")</f>
        <v/>
      </c>
      <c r="O1430" t="str">
        <f>IFERROR(VLOOKUP(D1430,'Team Data'!C:AB,22,FALSE),"")</f>
        <v/>
      </c>
      <c r="P1430" t="str">
        <f t="shared" si="47"/>
        <v/>
      </c>
      <c r="Q1430" t="str">
        <f>IFERROR(VLOOKUP(D1430,'Team Data'!C:AB,15,FALSE),"")</f>
        <v/>
      </c>
      <c r="R1430" t="str">
        <f>IFERROR(VLOOKUP('OB Format'!D1430,'Team Data'!C:AB,24,FALSE),"")</f>
        <v/>
      </c>
      <c r="S1430" t="str">
        <f>IFERROR(VLOOKUP('OB Format'!D1430,'Team Data'!C:AC,25,FALSE),"")</f>
        <v/>
      </c>
    </row>
    <row r="1431" spans="5:19" x14ac:dyDescent="0.25">
      <c r="E1431" t="str">
        <f>IFERROR(VLOOKUP(D1431,'Team Data'!C:AB,4,FALSE),"")</f>
        <v/>
      </c>
      <c r="F1431" t="str">
        <f>IFERROR(VLOOKUP(D1431,'Team Data'!C:AB,5,FALSE),"")</f>
        <v/>
      </c>
      <c r="G1431" t="str">
        <f>IFERROR(VLOOKUP('OB Format'!D1431,'Team Data'!C:AB,17,FALSE),"")</f>
        <v/>
      </c>
      <c r="H1431" t="str">
        <f>IFERROR(VLOOKUP(D1431,'Team Data'!C:AB,7,FALSE),"")</f>
        <v/>
      </c>
      <c r="I1431" t="str">
        <f>IFERROR(VLOOKUP(D1431,'Team Data'!C:AB,14,FALSE),"")</f>
        <v/>
      </c>
      <c r="J1431" t="str">
        <f>IFERROR(VLOOKUP(D1431,'Team Data'!C:AB,8,FALSE),"")</f>
        <v/>
      </c>
      <c r="K1431" t="str">
        <f>IFERROR(VLOOKUP(D1431,'Team Data'!C:AB,9,FALSE),"")</f>
        <v/>
      </c>
      <c r="L1431" t="str">
        <f>IFERROR(VLOOKUP(D1431,'Team Data'!C:AB,10,FALSE),"")</f>
        <v/>
      </c>
      <c r="M1431" t="str">
        <f t="shared" si="46"/>
        <v/>
      </c>
      <c r="N1431" t="str">
        <f>IFERROR(VLOOKUP(D1431,'Team Data'!C:AB,23,FALSE),"")</f>
        <v/>
      </c>
      <c r="O1431" t="str">
        <f>IFERROR(VLOOKUP(D1431,'Team Data'!C:AB,22,FALSE),"")</f>
        <v/>
      </c>
      <c r="P1431" t="str">
        <f t="shared" si="47"/>
        <v/>
      </c>
      <c r="Q1431" t="str">
        <f>IFERROR(VLOOKUP(D1431,'Team Data'!C:AB,15,FALSE),"")</f>
        <v/>
      </c>
      <c r="R1431" t="str">
        <f>IFERROR(VLOOKUP('OB Format'!D1431,'Team Data'!C:AB,24,FALSE),"")</f>
        <v/>
      </c>
      <c r="S1431" t="str">
        <f>IFERROR(VLOOKUP('OB Format'!D1431,'Team Data'!C:AC,25,FALSE),"")</f>
        <v/>
      </c>
    </row>
    <row r="1432" spans="5:19" x14ac:dyDescent="0.25">
      <c r="E1432" t="str">
        <f>IFERROR(VLOOKUP(D1432,'Team Data'!C:AB,4,FALSE),"")</f>
        <v/>
      </c>
      <c r="F1432" t="str">
        <f>IFERROR(VLOOKUP(D1432,'Team Data'!C:AB,5,FALSE),"")</f>
        <v/>
      </c>
      <c r="G1432" t="str">
        <f>IFERROR(VLOOKUP('OB Format'!D1432,'Team Data'!C:AB,17,FALSE),"")</f>
        <v/>
      </c>
      <c r="H1432" t="str">
        <f>IFERROR(VLOOKUP(D1432,'Team Data'!C:AB,7,FALSE),"")</f>
        <v/>
      </c>
      <c r="I1432" t="str">
        <f>IFERROR(VLOOKUP(D1432,'Team Data'!C:AB,14,FALSE),"")</f>
        <v/>
      </c>
      <c r="J1432" t="str">
        <f>IFERROR(VLOOKUP(D1432,'Team Data'!C:AB,8,FALSE),"")</f>
        <v/>
      </c>
      <c r="K1432" t="str">
        <f>IFERROR(VLOOKUP(D1432,'Team Data'!C:AB,9,FALSE),"")</f>
        <v/>
      </c>
      <c r="L1432" t="str">
        <f>IFERROR(VLOOKUP(D1432,'Team Data'!C:AB,10,FALSE),"")</f>
        <v/>
      </c>
      <c r="M1432" t="str">
        <f t="shared" si="46"/>
        <v/>
      </c>
      <c r="N1432" t="str">
        <f>IFERROR(VLOOKUP(D1432,'Team Data'!C:AB,23,FALSE),"")</f>
        <v/>
      </c>
      <c r="O1432" t="str">
        <f>IFERROR(VLOOKUP(D1432,'Team Data'!C:AB,22,FALSE),"")</f>
        <v/>
      </c>
      <c r="P1432" t="str">
        <f t="shared" si="47"/>
        <v/>
      </c>
      <c r="Q1432" t="str">
        <f>IFERROR(VLOOKUP(D1432,'Team Data'!C:AB,15,FALSE),"")</f>
        <v/>
      </c>
      <c r="R1432" t="str">
        <f>IFERROR(VLOOKUP('OB Format'!D1432,'Team Data'!C:AB,24,FALSE),"")</f>
        <v/>
      </c>
      <c r="S1432" t="str">
        <f>IFERROR(VLOOKUP('OB Format'!D1432,'Team Data'!C:AC,25,FALSE),"")</f>
        <v/>
      </c>
    </row>
    <row r="1433" spans="5:19" x14ac:dyDescent="0.25">
      <c r="E1433" t="str">
        <f>IFERROR(VLOOKUP(D1433,'Team Data'!C:AB,4,FALSE),"")</f>
        <v/>
      </c>
      <c r="F1433" t="str">
        <f>IFERROR(VLOOKUP(D1433,'Team Data'!C:AB,5,FALSE),"")</f>
        <v/>
      </c>
      <c r="G1433" t="str">
        <f>IFERROR(VLOOKUP('OB Format'!D1433,'Team Data'!C:AB,17,FALSE),"")</f>
        <v/>
      </c>
      <c r="H1433" t="str">
        <f>IFERROR(VLOOKUP(D1433,'Team Data'!C:AB,7,FALSE),"")</f>
        <v/>
      </c>
      <c r="I1433" t="str">
        <f>IFERROR(VLOOKUP(D1433,'Team Data'!C:AB,14,FALSE),"")</f>
        <v/>
      </c>
      <c r="J1433" t="str">
        <f>IFERROR(VLOOKUP(D1433,'Team Data'!C:AB,8,FALSE),"")</f>
        <v/>
      </c>
      <c r="K1433" t="str">
        <f>IFERROR(VLOOKUP(D1433,'Team Data'!C:AB,9,FALSE),"")</f>
        <v/>
      </c>
      <c r="L1433" t="str">
        <f>IFERROR(VLOOKUP(D1433,'Team Data'!C:AB,10,FALSE),"")</f>
        <v/>
      </c>
      <c r="M1433" t="str">
        <f t="shared" si="46"/>
        <v/>
      </c>
      <c r="N1433" t="str">
        <f>IFERROR(VLOOKUP(D1433,'Team Data'!C:AB,23,FALSE),"")</f>
        <v/>
      </c>
      <c r="O1433" t="str">
        <f>IFERROR(VLOOKUP(D1433,'Team Data'!C:AB,22,FALSE),"")</f>
        <v/>
      </c>
      <c r="P1433" t="str">
        <f t="shared" si="47"/>
        <v/>
      </c>
      <c r="Q1433" t="str">
        <f>IFERROR(VLOOKUP(D1433,'Team Data'!C:AB,15,FALSE),"")</f>
        <v/>
      </c>
      <c r="R1433" t="str">
        <f>IFERROR(VLOOKUP('OB Format'!D1433,'Team Data'!C:AB,24,FALSE),"")</f>
        <v/>
      </c>
      <c r="S1433" t="str">
        <f>IFERROR(VLOOKUP('OB Format'!D1433,'Team Data'!C:AC,25,FALSE),"")</f>
        <v/>
      </c>
    </row>
    <row r="1434" spans="5:19" x14ac:dyDescent="0.25">
      <c r="E1434" t="str">
        <f>IFERROR(VLOOKUP(D1434,'Team Data'!C:AB,4,FALSE),"")</f>
        <v/>
      </c>
      <c r="F1434" t="str">
        <f>IFERROR(VLOOKUP(D1434,'Team Data'!C:AB,5,FALSE),"")</f>
        <v/>
      </c>
      <c r="G1434" t="str">
        <f>IFERROR(VLOOKUP('OB Format'!D1434,'Team Data'!C:AB,17,FALSE),"")</f>
        <v/>
      </c>
      <c r="H1434" t="str">
        <f>IFERROR(VLOOKUP(D1434,'Team Data'!C:AB,7,FALSE),"")</f>
        <v/>
      </c>
      <c r="I1434" t="str">
        <f>IFERROR(VLOOKUP(D1434,'Team Data'!C:AB,14,FALSE),"")</f>
        <v/>
      </c>
      <c r="J1434" t="str">
        <f>IFERROR(VLOOKUP(D1434,'Team Data'!C:AB,8,FALSE),"")</f>
        <v/>
      </c>
      <c r="K1434" t="str">
        <f>IFERROR(VLOOKUP(D1434,'Team Data'!C:AB,9,FALSE),"")</f>
        <v/>
      </c>
      <c r="L1434" t="str">
        <f>IFERROR(VLOOKUP(D1434,'Team Data'!C:AB,10,FALSE),"")</f>
        <v/>
      </c>
      <c r="M1434" t="str">
        <f t="shared" si="46"/>
        <v/>
      </c>
      <c r="N1434" t="str">
        <f>IFERROR(VLOOKUP(D1434,'Team Data'!C:AB,23,FALSE),"")</f>
        <v/>
      </c>
      <c r="O1434" t="str">
        <f>IFERROR(VLOOKUP(D1434,'Team Data'!C:AB,22,FALSE),"")</f>
        <v/>
      </c>
      <c r="P1434" t="str">
        <f t="shared" si="47"/>
        <v/>
      </c>
      <c r="Q1434" t="str">
        <f>IFERROR(VLOOKUP(D1434,'Team Data'!C:AB,15,FALSE),"")</f>
        <v/>
      </c>
      <c r="R1434" t="str">
        <f>IFERROR(VLOOKUP('OB Format'!D1434,'Team Data'!C:AB,24,FALSE),"")</f>
        <v/>
      </c>
      <c r="S1434" t="str">
        <f>IFERROR(VLOOKUP('OB Format'!D1434,'Team Data'!C:AC,25,FALSE),"")</f>
        <v/>
      </c>
    </row>
    <row r="1435" spans="5:19" x14ac:dyDescent="0.25">
      <c r="E1435" t="str">
        <f>IFERROR(VLOOKUP(D1435,'Team Data'!C:AB,4,FALSE),"")</f>
        <v/>
      </c>
      <c r="F1435" t="str">
        <f>IFERROR(VLOOKUP(D1435,'Team Data'!C:AB,5,FALSE),"")</f>
        <v/>
      </c>
      <c r="G1435" t="str">
        <f>IFERROR(VLOOKUP('OB Format'!D1435,'Team Data'!C:AB,17,FALSE),"")</f>
        <v/>
      </c>
      <c r="H1435" t="str">
        <f>IFERROR(VLOOKUP(D1435,'Team Data'!C:AB,7,FALSE),"")</f>
        <v/>
      </c>
      <c r="I1435" t="str">
        <f>IFERROR(VLOOKUP(D1435,'Team Data'!C:AB,14,FALSE),"")</f>
        <v/>
      </c>
      <c r="J1435" t="str">
        <f>IFERROR(VLOOKUP(D1435,'Team Data'!C:AB,8,FALSE),"")</f>
        <v/>
      </c>
      <c r="K1435" t="str">
        <f>IFERROR(VLOOKUP(D1435,'Team Data'!C:AB,9,FALSE),"")</f>
        <v/>
      </c>
      <c r="L1435" t="str">
        <f>IFERROR(VLOOKUP(D1435,'Team Data'!C:AB,10,FALSE),"")</f>
        <v/>
      </c>
      <c r="M1435" t="str">
        <f t="shared" si="46"/>
        <v/>
      </c>
      <c r="N1435" t="str">
        <f>IFERROR(VLOOKUP(D1435,'Team Data'!C:AB,23,FALSE),"")</f>
        <v/>
      </c>
      <c r="O1435" t="str">
        <f>IFERROR(VLOOKUP(D1435,'Team Data'!C:AB,22,FALSE),"")</f>
        <v/>
      </c>
      <c r="P1435" t="str">
        <f t="shared" si="47"/>
        <v/>
      </c>
      <c r="Q1435" t="str">
        <f>IFERROR(VLOOKUP(D1435,'Team Data'!C:AB,15,FALSE),"")</f>
        <v/>
      </c>
      <c r="R1435" t="str">
        <f>IFERROR(VLOOKUP('OB Format'!D1435,'Team Data'!C:AB,24,FALSE),"")</f>
        <v/>
      </c>
      <c r="S1435" t="str">
        <f>IFERROR(VLOOKUP('OB Format'!D1435,'Team Data'!C:AC,25,FALSE),"")</f>
        <v/>
      </c>
    </row>
    <row r="1436" spans="5:19" x14ac:dyDescent="0.25">
      <c r="E1436" t="str">
        <f>IFERROR(VLOOKUP(D1436,'Team Data'!C:AB,4,FALSE),"")</f>
        <v/>
      </c>
      <c r="F1436" t="str">
        <f>IFERROR(VLOOKUP(D1436,'Team Data'!C:AB,5,FALSE),"")</f>
        <v/>
      </c>
      <c r="G1436" t="str">
        <f>IFERROR(VLOOKUP('OB Format'!D1436,'Team Data'!C:AB,17,FALSE),"")</f>
        <v/>
      </c>
      <c r="H1436" t="str">
        <f>IFERROR(VLOOKUP(D1436,'Team Data'!C:AB,7,FALSE),"")</f>
        <v/>
      </c>
      <c r="I1436" t="str">
        <f>IFERROR(VLOOKUP(D1436,'Team Data'!C:AB,14,FALSE),"")</f>
        <v/>
      </c>
      <c r="J1436" t="str">
        <f>IFERROR(VLOOKUP(D1436,'Team Data'!C:AB,8,FALSE),"")</f>
        <v/>
      </c>
      <c r="K1436" t="str">
        <f>IFERROR(VLOOKUP(D1436,'Team Data'!C:AB,9,FALSE),"")</f>
        <v/>
      </c>
      <c r="L1436" t="str">
        <f>IFERROR(VLOOKUP(D1436,'Team Data'!C:AB,10,FALSE),"")</f>
        <v/>
      </c>
      <c r="M1436" t="str">
        <f t="shared" si="46"/>
        <v/>
      </c>
      <c r="N1436" t="str">
        <f>IFERROR(VLOOKUP(D1436,'Team Data'!C:AB,23,FALSE),"")</f>
        <v/>
      </c>
      <c r="O1436" t="str">
        <f>IFERROR(VLOOKUP(D1436,'Team Data'!C:AB,22,FALSE),"")</f>
        <v/>
      </c>
      <c r="P1436" t="str">
        <f t="shared" si="47"/>
        <v/>
      </c>
      <c r="Q1436" t="str">
        <f>IFERROR(VLOOKUP(D1436,'Team Data'!C:AB,15,FALSE),"")</f>
        <v/>
      </c>
      <c r="R1436" t="str">
        <f>IFERROR(VLOOKUP('OB Format'!D1436,'Team Data'!C:AB,24,FALSE),"")</f>
        <v/>
      </c>
      <c r="S1436" t="str">
        <f>IFERROR(VLOOKUP('OB Format'!D1436,'Team Data'!C:AC,25,FALSE),"")</f>
        <v/>
      </c>
    </row>
    <row r="1437" spans="5:19" x14ac:dyDescent="0.25">
      <c r="E1437" t="str">
        <f>IFERROR(VLOOKUP(D1437,'Team Data'!C:AB,4,FALSE),"")</f>
        <v/>
      </c>
      <c r="F1437" t="str">
        <f>IFERROR(VLOOKUP(D1437,'Team Data'!C:AB,5,FALSE),"")</f>
        <v/>
      </c>
      <c r="G1437" t="str">
        <f>IFERROR(VLOOKUP('OB Format'!D1437,'Team Data'!C:AB,17,FALSE),"")</f>
        <v/>
      </c>
      <c r="H1437" t="str">
        <f>IFERROR(VLOOKUP(D1437,'Team Data'!C:AB,7,FALSE),"")</f>
        <v/>
      </c>
      <c r="I1437" t="str">
        <f>IFERROR(VLOOKUP(D1437,'Team Data'!C:AB,14,FALSE),"")</f>
        <v/>
      </c>
      <c r="J1437" t="str">
        <f>IFERROR(VLOOKUP(D1437,'Team Data'!C:AB,8,FALSE),"")</f>
        <v/>
      </c>
      <c r="K1437" t="str">
        <f>IFERROR(VLOOKUP(D1437,'Team Data'!C:AB,9,FALSE),"")</f>
        <v/>
      </c>
      <c r="L1437" t="str">
        <f>IFERROR(VLOOKUP(D1437,'Team Data'!C:AB,10,FALSE),"")</f>
        <v/>
      </c>
      <c r="M1437" t="str">
        <f t="shared" si="46"/>
        <v/>
      </c>
      <c r="N1437" t="str">
        <f>IFERROR(VLOOKUP(D1437,'Team Data'!C:AB,23,FALSE),"")</f>
        <v/>
      </c>
      <c r="O1437" t="str">
        <f>IFERROR(VLOOKUP(D1437,'Team Data'!C:AB,22,FALSE),"")</f>
        <v/>
      </c>
      <c r="P1437" t="str">
        <f t="shared" si="47"/>
        <v/>
      </c>
      <c r="Q1437" t="str">
        <f>IFERROR(VLOOKUP(D1437,'Team Data'!C:AB,15,FALSE),"")</f>
        <v/>
      </c>
      <c r="R1437" t="str">
        <f>IFERROR(VLOOKUP('OB Format'!D1437,'Team Data'!C:AB,24,FALSE),"")</f>
        <v/>
      </c>
      <c r="S1437" t="str">
        <f>IFERROR(VLOOKUP('OB Format'!D1437,'Team Data'!C:AC,25,FALSE),"")</f>
        <v/>
      </c>
    </row>
    <row r="1438" spans="5:19" x14ac:dyDescent="0.25">
      <c r="E1438" t="str">
        <f>IFERROR(VLOOKUP(D1438,'Team Data'!C:AB,4,FALSE),"")</f>
        <v/>
      </c>
      <c r="F1438" t="str">
        <f>IFERROR(VLOOKUP(D1438,'Team Data'!C:AB,5,FALSE),"")</f>
        <v/>
      </c>
      <c r="G1438" t="str">
        <f>IFERROR(VLOOKUP('OB Format'!D1438,'Team Data'!C:AB,17,FALSE),"")</f>
        <v/>
      </c>
      <c r="H1438" t="str">
        <f>IFERROR(VLOOKUP(D1438,'Team Data'!C:AB,7,FALSE),"")</f>
        <v/>
      </c>
      <c r="I1438" t="str">
        <f>IFERROR(VLOOKUP(D1438,'Team Data'!C:AB,14,FALSE),"")</f>
        <v/>
      </c>
      <c r="J1438" t="str">
        <f>IFERROR(VLOOKUP(D1438,'Team Data'!C:AB,8,FALSE),"")</f>
        <v/>
      </c>
      <c r="K1438" t="str">
        <f>IFERROR(VLOOKUP(D1438,'Team Data'!C:AB,9,FALSE),"")</f>
        <v/>
      </c>
      <c r="L1438" t="str">
        <f>IFERROR(VLOOKUP(D1438,'Team Data'!C:AB,10,FALSE),"")</f>
        <v/>
      </c>
      <c r="M1438" t="str">
        <f t="shared" si="46"/>
        <v/>
      </c>
      <c r="N1438" t="str">
        <f>IFERROR(VLOOKUP(D1438,'Team Data'!C:AB,23,FALSE),"")</f>
        <v/>
      </c>
      <c r="O1438" t="str">
        <f>IFERROR(VLOOKUP(D1438,'Team Data'!C:AB,22,FALSE),"")</f>
        <v/>
      </c>
      <c r="P1438" t="str">
        <f t="shared" si="47"/>
        <v/>
      </c>
      <c r="Q1438" t="str">
        <f>IFERROR(VLOOKUP(D1438,'Team Data'!C:AB,15,FALSE),"")</f>
        <v/>
      </c>
      <c r="R1438" t="str">
        <f>IFERROR(VLOOKUP('OB Format'!D1438,'Team Data'!C:AB,24,FALSE),"")</f>
        <v/>
      </c>
      <c r="S1438" t="str">
        <f>IFERROR(VLOOKUP('OB Format'!D1438,'Team Data'!C:AC,25,FALSE),"")</f>
        <v/>
      </c>
    </row>
    <row r="1439" spans="5:19" x14ac:dyDescent="0.25">
      <c r="E1439" t="str">
        <f>IFERROR(VLOOKUP(D1439,'Team Data'!C:AB,4,FALSE),"")</f>
        <v/>
      </c>
      <c r="F1439" t="str">
        <f>IFERROR(VLOOKUP(D1439,'Team Data'!C:AB,5,FALSE),"")</f>
        <v/>
      </c>
      <c r="G1439" t="str">
        <f>IFERROR(VLOOKUP('OB Format'!D1439,'Team Data'!C:AB,17,FALSE),"")</f>
        <v/>
      </c>
      <c r="H1439" t="str">
        <f>IFERROR(VLOOKUP(D1439,'Team Data'!C:AB,7,FALSE),"")</f>
        <v/>
      </c>
      <c r="I1439" t="str">
        <f>IFERROR(VLOOKUP(D1439,'Team Data'!C:AB,14,FALSE),"")</f>
        <v/>
      </c>
      <c r="J1439" t="str">
        <f>IFERROR(VLOOKUP(D1439,'Team Data'!C:AB,8,FALSE),"")</f>
        <v/>
      </c>
      <c r="K1439" t="str">
        <f>IFERROR(VLOOKUP(D1439,'Team Data'!C:AB,9,FALSE),"")</f>
        <v/>
      </c>
      <c r="L1439" t="str">
        <f>IFERROR(VLOOKUP(D1439,'Team Data'!C:AB,10,FALSE),"")</f>
        <v/>
      </c>
      <c r="M1439" t="str">
        <f t="shared" si="46"/>
        <v/>
      </c>
      <c r="N1439" t="str">
        <f>IFERROR(VLOOKUP(D1439,'Team Data'!C:AB,23,FALSE),"")</f>
        <v/>
      </c>
      <c r="O1439" t="str">
        <f>IFERROR(VLOOKUP(D1439,'Team Data'!C:AB,22,FALSE),"")</f>
        <v/>
      </c>
      <c r="P1439" t="str">
        <f t="shared" si="47"/>
        <v/>
      </c>
      <c r="Q1439" t="str">
        <f>IFERROR(VLOOKUP(D1439,'Team Data'!C:AB,15,FALSE),"")</f>
        <v/>
      </c>
      <c r="R1439" t="str">
        <f>IFERROR(VLOOKUP('OB Format'!D1439,'Team Data'!C:AB,24,FALSE),"")</f>
        <v/>
      </c>
      <c r="S1439" t="str">
        <f>IFERROR(VLOOKUP('OB Format'!D1439,'Team Data'!C:AC,25,FALSE),"")</f>
        <v/>
      </c>
    </row>
    <row r="1440" spans="5:19" x14ac:dyDescent="0.25">
      <c r="E1440" t="str">
        <f>IFERROR(VLOOKUP(D1440,'Team Data'!C:AB,4,FALSE),"")</f>
        <v/>
      </c>
      <c r="F1440" t="str">
        <f>IFERROR(VLOOKUP(D1440,'Team Data'!C:AB,5,FALSE),"")</f>
        <v/>
      </c>
      <c r="G1440" t="str">
        <f>IFERROR(VLOOKUP('OB Format'!D1440,'Team Data'!C:AB,17,FALSE),"")</f>
        <v/>
      </c>
      <c r="H1440" t="str">
        <f>IFERROR(VLOOKUP(D1440,'Team Data'!C:AB,7,FALSE),"")</f>
        <v/>
      </c>
      <c r="I1440" t="str">
        <f>IFERROR(VLOOKUP(D1440,'Team Data'!C:AB,14,FALSE),"")</f>
        <v/>
      </c>
      <c r="J1440" t="str">
        <f>IFERROR(VLOOKUP(D1440,'Team Data'!C:AB,8,FALSE),"")</f>
        <v/>
      </c>
      <c r="K1440" t="str">
        <f>IFERROR(VLOOKUP(D1440,'Team Data'!C:AB,9,FALSE),"")</f>
        <v/>
      </c>
      <c r="L1440" t="str">
        <f>IFERROR(VLOOKUP(D1440,'Team Data'!C:AB,10,FALSE),"")</f>
        <v/>
      </c>
      <c r="M1440" t="str">
        <f t="shared" si="46"/>
        <v/>
      </c>
      <c r="N1440" t="str">
        <f>IFERROR(VLOOKUP(D1440,'Team Data'!C:AB,23,FALSE),"")</f>
        <v/>
      </c>
      <c r="O1440" t="str">
        <f>IFERROR(VLOOKUP(D1440,'Team Data'!C:AB,22,FALSE),"")</f>
        <v/>
      </c>
      <c r="P1440" t="str">
        <f t="shared" si="47"/>
        <v/>
      </c>
      <c r="Q1440" t="str">
        <f>IFERROR(VLOOKUP(D1440,'Team Data'!C:AB,15,FALSE),"")</f>
        <v/>
      </c>
      <c r="R1440" t="str">
        <f>IFERROR(VLOOKUP('OB Format'!D1440,'Team Data'!C:AB,24,FALSE),"")</f>
        <v/>
      </c>
      <c r="S1440" t="str">
        <f>IFERROR(VLOOKUP('OB Format'!D1440,'Team Data'!C:AC,25,FALSE),"")</f>
        <v/>
      </c>
    </row>
    <row r="1441" spans="5:19" x14ac:dyDescent="0.25">
      <c r="E1441" t="str">
        <f>IFERROR(VLOOKUP(D1441,'Team Data'!C:AB,4,FALSE),"")</f>
        <v/>
      </c>
      <c r="F1441" t="str">
        <f>IFERROR(VLOOKUP(D1441,'Team Data'!C:AB,5,FALSE),"")</f>
        <v/>
      </c>
      <c r="G1441" t="str">
        <f>IFERROR(VLOOKUP('OB Format'!D1441,'Team Data'!C:AB,17,FALSE),"")</f>
        <v/>
      </c>
      <c r="H1441" t="str">
        <f>IFERROR(VLOOKUP(D1441,'Team Data'!C:AB,7,FALSE),"")</f>
        <v/>
      </c>
      <c r="I1441" t="str">
        <f>IFERROR(VLOOKUP(D1441,'Team Data'!C:AB,14,FALSE),"")</f>
        <v/>
      </c>
      <c r="J1441" t="str">
        <f>IFERROR(VLOOKUP(D1441,'Team Data'!C:AB,8,FALSE),"")</f>
        <v/>
      </c>
      <c r="K1441" t="str">
        <f>IFERROR(VLOOKUP(D1441,'Team Data'!C:AB,9,FALSE),"")</f>
        <v/>
      </c>
      <c r="L1441" t="str">
        <f>IFERROR(VLOOKUP(D1441,'Team Data'!C:AB,10,FALSE),"")</f>
        <v/>
      </c>
      <c r="M1441" t="str">
        <f t="shared" si="46"/>
        <v/>
      </c>
      <c r="N1441" t="str">
        <f>IFERROR(VLOOKUP(D1441,'Team Data'!C:AB,23,FALSE),"")</f>
        <v/>
      </c>
      <c r="O1441" t="str">
        <f>IFERROR(VLOOKUP(D1441,'Team Data'!C:AB,22,FALSE),"")</f>
        <v/>
      </c>
      <c r="P1441" t="str">
        <f t="shared" si="47"/>
        <v/>
      </c>
      <c r="Q1441" t="str">
        <f>IFERROR(VLOOKUP(D1441,'Team Data'!C:AB,15,FALSE),"")</f>
        <v/>
      </c>
      <c r="R1441" t="str">
        <f>IFERROR(VLOOKUP('OB Format'!D1441,'Team Data'!C:AB,24,FALSE),"")</f>
        <v/>
      </c>
      <c r="S1441" t="str">
        <f>IFERROR(VLOOKUP('OB Format'!D1441,'Team Data'!C:AC,25,FALSE),"")</f>
        <v/>
      </c>
    </row>
    <row r="1442" spans="5:19" x14ac:dyDescent="0.25">
      <c r="E1442" t="str">
        <f>IFERROR(VLOOKUP(D1442,'Team Data'!C:AB,4,FALSE),"")</f>
        <v/>
      </c>
      <c r="F1442" t="str">
        <f>IFERROR(VLOOKUP(D1442,'Team Data'!C:AB,5,FALSE),"")</f>
        <v/>
      </c>
      <c r="G1442" t="str">
        <f>IFERROR(VLOOKUP('OB Format'!D1442,'Team Data'!C:AB,17,FALSE),"")</f>
        <v/>
      </c>
      <c r="H1442" t="str">
        <f>IFERROR(VLOOKUP(D1442,'Team Data'!C:AB,7,FALSE),"")</f>
        <v/>
      </c>
      <c r="I1442" t="str">
        <f>IFERROR(VLOOKUP(D1442,'Team Data'!C:AB,14,FALSE),"")</f>
        <v/>
      </c>
      <c r="J1442" t="str">
        <f>IFERROR(VLOOKUP(D1442,'Team Data'!C:AB,8,FALSE),"")</f>
        <v/>
      </c>
      <c r="K1442" t="str">
        <f>IFERROR(VLOOKUP(D1442,'Team Data'!C:AB,9,FALSE),"")</f>
        <v/>
      </c>
      <c r="L1442" t="str">
        <f>IFERROR(VLOOKUP(D1442,'Team Data'!C:AB,10,FALSE),"")</f>
        <v/>
      </c>
      <c r="M1442" t="str">
        <f t="shared" si="46"/>
        <v/>
      </c>
      <c r="N1442" t="str">
        <f>IFERROR(VLOOKUP(D1442,'Team Data'!C:AB,23,FALSE),"")</f>
        <v/>
      </c>
      <c r="O1442" t="str">
        <f>IFERROR(VLOOKUP(D1442,'Team Data'!C:AB,22,FALSE),"")</f>
        <v/>
      </c>
      <c r="P1442" t="str">
        <f t="shared" si="47"/>
        <v/>
      </c>
      <c r="Q1442" t="str">
        <f>IFERROR(VLOOKUP(D1442,'Team Data'!C:AB,15,FALSE),"")</f>
        <v/>
      </c>
      <c r="R1442" t="str">
        <f>IFERROR(VLOOKUP('OB Format'!D1442,'Team Data'!C:AB,24,FALSE),"")</f>
        <v/>
      </c>
      <c r="S1442" t="str">
        <f>IFERROR(VLOOKUP('OB Format'!D1442,'Team Data'!C:AC,25,FALSE),"")</f>
        <v/>
      </c>
    </row>
    <row r="1443" spans="5:19" x14ac:dyDescent="0.25">
      <c r="E1443" t="str">
        <f>IFERROR(VLOOKUP(D1443,'Team Data'!C:AB,4,FALSE),"")</f>
        <v/>
      </c>
      <c r="F1443" t="str">
        <f>IFERROR(VLOOKUP(D1443,'Team Data'!C:AB,5,FALSE),"")</f>
        <v/>
      </c>
      <c r="G1443" t="str">
        <f>IFERROR(VLOOKUP('OB Format'!D1443,'Team Data'!C:AB,17,FALSE),"")</f>
        <v/>
      </c>
      <c r="H1443" t="str">
        <f>IFERROR(VLOOKUP(D1443,'Team Data'!C:AB,7,FALSE),"")</f>
        <v/>
      </c>
      <c r="I1443" t="str">
        <f>IFERROR(VLOOKUP(D1443,'Team Data'!C:AB,14,FALSE),"")</f>
        <v/>
      </c>
      <c r="J1443" t="str">
        <f>IFERROR(VLOOKUP(D1443,'Team Data'!C:AB,8,FALSE),"")</f>
        <v/>
      </c>
      <c r="K1443" t="str">
        <f>IFERROR(VLOOKUP(D1443,'Team Data'!C:AB,9,FALSE),"")</f>
        <v/>
      </c>
      <c r="L1443" t="str">
        <f>IFERROR(VLOOKUP(D1443,'Team Data'!C:AB,10,FALSE),"")</f>
        <v/>
      </c>
      <c r="M1443" t="str">
        <f t="shared" si="46"/>
        <v/>
      </c>
      <c r="N1443" t="str">
        <f>IFERROR(VLOOKUP(D1443,'Team Data'!C:AB,23,FALSE),"")</f>
        <v/>
      </c>
      <c r="O1443" t="str">
        <f>IFERROR(VLOOKUP(D1443,'Team Data'!C:AB,22,FALSE),"")</f>
        <v/>
      </c>
      <c r="P1443" t="str">
        <f t="shared" si="47"/>
        <v/>
      </c>
      <c r="Q1443" t="str">
        <f>IFERROR(VLOOKUP(D1443,'Team Data'!C:AB,15,FALSE),"")</f>
        <v/>
      </c>
      <c r="R1443" t="str">
        <f>IFERROR(VLOOKUP('OB Format'!D1443,'Team Data'!C:AB,24,FALSE),"")</f>
        <v/>
      </c>
      <c r="S1443" t="str">
        <f>IFERROR(VLOOKUP('OB Format'!D1443,'Team Data'!C:AC,25,FALSE),"")</f>
        <v/>
      </c>
    </row>
    <row r="1444" spans="5:19" x14ac:dyDescent="0.25">
      <c r="E1444" t="str">
        <f>IFERROR(VLOOKUP(D1444,'Team Data'!C:AB,4,FALSE),"")</f>
        <v/>
      </c>
      <c r="F1444" t="str">
        <f>IFERROR(VLOOKUP(D1444,'Team Data'!C:AB,5,FALSE),"")</f>
        <v/>
      </c>
      <c r="G1444" t="str">
        <f>IFERROR(VLOOKUP('OB Format'!D1444,'Team Data'!C:AB,17,FALSE),"")</f>
        <v/>
      </c>
      <c r="H1444" t="str">
        <f>IFERROR(VLOOKUP(D1444,'Team Data'!C:AB,7,FALSE),"")</f>
        <v/>
      </c>
      <c r="I1444" t="str">
        <f>IFERROR(VLOOKUP(D1444,'Team Data'!C:AB,14,FALSE),"")</f>
        <v/>
      </c>
      <c r="J1444" t="str">
        <f>IFERROR(VLOOKUP(D1444,'Team Data'!C:AB,8,FALSE),"")</f>
        <v/>
      </c>
      <c r="K1444" t="str">
        <f>IFERROR(VLOOKUP(D1444,'Team Data'!C:AB,9,FALSE),"")</f>
        <v/>
      </c>
      <c r="L1444" t="str">
        <f>IFERROR(VLOOKUP(D1444,'Team Data'!C:AB,10,FALSE),"")</f>
        <v/>
      </c>
      <c r="M1444" t="str">
        <f t="shared" si="46"/>
        <v/>
      </c>
      <c r="N1444" t="str">
        <f>IFERROR(VLOOKUP(D1444,'Team Data'!C:AB,23,FALSE),"")</f>
        <v/>
      </c>
      <c r="O1444" t="str">
        <f>IFERROR(VLOOKUP(D1444,'Team Data'!C:AB,22,FALSE),"")</f>
        <v/>
      </c>
      <c r="P1444" t="str">
        <f t="shared" si="47"/>
        <v/>
      </c>
      <c r="Q1444" t="str">
        <f>IFERROR(VLOOKUP(D1444,'Team Data'!C:AB,15,FALSE),"")</f>
        <v/>
      </c>
      <c r="R1444" t="str">
        <f>IFERROR(VLOOKUP('OB Format'!D1444,'Team Data'!C:AB,24,FALSE),"")</f>
        <v/>
      </c>
      <c r="S1444" t="str">
        <f>IFERROR(VLOOKUP('OB Format'!D1444,'Team Data'!C:AC,25,FALSE),"")</f>
        <v/>
      </c>
    </row>
    <row r="1445" spans="5:19" x14ac:dyDescent="0.25">
      <c r="E1445" t="str">
        <f>IFERROR(VLOOKUP(D1445,'Team Data'!C:AB,4,FALSE),"")</f>
        <v/>
      </c>
      <c r="F1445" t="str">
        <f>IFERROR(VLOOKUP(D1445,'Team Data'!C:AB,5,FALSE),"")</f>
        <v/>
      </c>
      <c r="G1445" t="str">
        <f>IFERROR(VLOOKUP('OB Format'!D1445,'Team Data'!C:AB,17,FALSE),"")</f>
        <v/>
      </c>
      <c r="H1445" t="str">
        <f>IFERROR(VLOOKUP(D1445,'Team Data'!C:AB,7,FALSE),"")</f>
        <v/>
      </c>
      <c r="I1445" t="str">
        <f>IFERROR(VLOOKUP(D1445,'Team Data'!C:AB,14,FALSE),"")</f>
        <v/>
      </c>
      <c r="J1445" t="str">
        <f>IFERROR(VLOOKUP(D1445,'Team Data'!C:AB,8,FALSE),"")</f>
        <v/>
      </c>
      <c r="K1445" t="str">
        <f>IFERROR(VLOOKUP(D1445,'Team Data'!C:AB,9,FALSE),"")</f>
        <v/>
      </c>
      <c r="L1445" t="str">
        <f>IFERROR(VLOOKUP(D1445,'Team Data'!C:AB,10,FALSE),"")</f>
        <v/>
      </c>
      <c r="M1445" t="str">
        <f t="shared" si="46"/>
        <v/>
      </c>
      <c r="N1445" t="str">
        <f>IFERROR(VLOOKUP(D1445,'Team Data'!C:AB,23,FALSE),"")</f>
        <v/>
      </c>
      <c r="O1445" t="str">
        <f>IFERROR(VLOOKUP(D1445,'Team Data'!C:AB,22,FALSE),"")</f>
        <v/>
      </c>
      <c r="P1445" t="str">
        <f t="shared" si="47"/>
        <v/>
      </c>
      <c r="Q1445" t="str">
        <f>IFERROR(VLOOKUP(D1445,'Team Data'!C:AB,15,FALSE),"")</f>
        <v/>
      </c>
      <c r="R1445" t="str">
        <f>IFERROR(VLOOKUP('OB Format'!D1445,'Team Data'!C:AB,24,FALSE),"")</f>
        <v/>
      </c>
      <c r="S1445" t="str">
        <f>IFERROR(VLOOKUP('OB Format'!D1445,'Team Data'!C:AC,25,FALSE),"")</f>
        <v/>
      </c>
    </row>
    <row r="1446" spans="5:19" x14ac:dyDescent="0.25">
      <c r="E1446" t="str">
        <f>IFERROR(VLOOKUP(D1446,'Team Data'!C:AB,4,FALSE),"")</f>
        <v/>
      </c>
      <c r="F1446" t="str">
        <f>IFERROR(VLOOKUP(D1446,'Team Data'!C:AB,5,FALSE),"")</f>
        <v/>
      </c>
      <c r="G1446" t="str">
        <f>IFERROR(VLOOKUP('OB Format'!D1446,'Team Data'!C:AB,17,FALSE),"")</f>
        <v/>
      </c>
      <c r="H1446" t="str">
        <f>IFERROR(VLOOKUP(D1446,'Team Data'!C:AB,7,FALSE),"")</f>
        <v/>
      </c>
      <c r="I1446" t="str">
        <f>IFERROR(VLOOKUP(D1446,'Team Data'!C:AB,14,FALSE),"")</f>
        <v/>
      </c>
      <c r="J1446" t="str">
        <f>IFERROR(VLOOKUP(D1446,'Team Data'!C:AB,8,FALSE),"")</f>
        <v/>
      </c>
      <c r="K1446" t="str">
        <f>IFERROR(VLOOKUP(D1446,'Team Data'!C:AB,9,FALSE),"")</f>
        <v/>
      </c>
      <c r="L1446" t="str">
        <f>IFERROR(VLOOKUP(D1446,'Team Data'!C:AB,10,FALSE),"")</f>
        <v/>
      </c>
      <c r="M1446" t="str">
        <f t="shared" si="46"/>
        <v/>
      </c>
      <c r="N1446" t="str">
        <f>IFERROR(VLOOKUP(D1446,'Team Data'!C:AB,23,FALSE),"")</f>
        <v/>
      </c>
      <c r="O1446" t="str">
        <f>IFERROR(VLOOKUP(D1446,'Team Data'!C:AB,22,FALSE),"")</f>
        <v/>
      </c>
      <c r="P1446" t="str">
        <f t="shared" si="47"/>
        <v/>
      </c>
      <c r="Q1446" t="str">
        <f>IFERROR(VLOOKUP(D1446,'Team Data'!C:AB,15,FALSE),"")</f>
        <v/>
      </c>
      <c r="R1446" t="str">
        <f>IFERROR(VLOOKUP('OB Format'!D1446,'Team Data'!C:AB,24,FALSE),"")</f>
        <v/>
      </c>
      <c r="S1446" t="str">
        <f>IFERROR(VLOOKUP('OB Format'!D1446,'Team Data'!C:AC,25,FALSE),"")</f>
        <v/>
      </c>
    </row>
    <row r="1447" spans="5:19" x14ac:dyDescent="0.25">
      <c r="E1447" t="str">
        <f>IFERROR(VLOOKUP(D1447,'Team Data'!C:AB,4,FALSE),"")</f>
        <v/>
      </c>
      <c r="F1447" t="str">
        <f>IFERROR(VLOOKUP(D1447,'Team Data'!C:AB,5,FALSE),"")</f>
        <v/>
      </c>
      <c r="G1447" t="str">
        <f>IFERROR(VLOOKUP('OB Format'!D1447,'Team Data'!C:AB,17,FALSE),"")</f>
        <v/>
      </c>
      <c r="H1447" t="str">
        <f>IFERROR(VLOOKUP(D1447,'Team Data'!C:AB,7,FALSE),"")</f>
        <v/>
      </c>
      <c r="I1447" t="str">
        <f>IFERROR(VLOOKUP(D1447,'Team Data'!C:AB,14,FALSE),"")</f>
        <v/>
      </c>
      <c r="J1447" t="str">
        <f>IFERROR(VLOOKUP(D1447,'Team Data'!C:AB,8,FALSE),"")</f>
        <v/>
      </c>
      <c r="K1447" t="str">
        <f>IFERROR(VLOOKUP(D1447,'Team Data'!C:AB,9,FALSE),"")</f>
        <v/>
      </c>
      <c r="L1447" t="str">
        <f>IFERROR(VLOOKUP(D1447,'Team Data'!C:AB,10,FALSE),"")</f>
        <v/>
      </c>
      <c r="M1447" t="str">
        <f t="shared" si="46"/>
        <v/>
      </c>
      <c r="N1447" t="str">
        <f>IFERROR(VLOOKUP(D1447,'Team Data'!C:AB,23,FALSE),"")</f>
        <v/>
      </c>
      <c r="O1447" t="str">
        <f>IFERROR(VLOOKUP(D1447,'Team Data'!C:AB,22,FALSE),"")</f>
        <v/>
      </c>
      <c r="P1447" t="str">
        <f t="shared" si="47"/>
        <v/>
      </c>
      <c r="Q1447" t="str">
        <f>IFERROR(VLOOKUP(D1447,'Team Data'!C:AB,15,FALSE),"")</f>
        <v/>
      </c>
      <c r="R1447" t="str">
        <f>IFERROR(VLOOKUP('OB Format'!D1447,'Team Data'!C:AB,24,FALSE),"")</f>
        <v/>
      </c>
      <c r="S1447" t="str">
        <f>IFERROR(VLOOKUP('OB Format'!D1447,'Team Data'!C:AC,25,FALSE),"")</f>
        <v/>
      </c>
    </row>
    <row r="1448" spans="5:19" x14ac:dyDescent="0.25">
      <c r="E1448" t="str">
        <f>IFERROR(VLOOKUP(D1448,'Team Data'!C:AB,4,FALSE),"")</f>
        <v/>
      </c>
      <c r="F1448" t="str">
        <f>IFERROR(VLOOKUP(D1448,'Team Data'!C:AB,5,FALSE),"")</f>
        <v/>
      </c>
      <c r="G1448" t="str">
        <f>IFERROR(VLOOKUP('OB Format'!D1448,'Team Data'!C:AB,17,FALSE),"")</f>
        <v/>
      </c>
      <c r="H1448" t="str">
        <f>IFERROR(VLOOKUP(D1448,'Team Data'!C:AB,7,FALSE),"")</f>
        <v/>
      </c>
      <c r="I1448" t="str">
        <f>IFERROR(VLOOKUP(D1448,'Team Data'!C:AB,14,FALSE),"")</f>
        <v/>
      </c>
      <c r="J1448" t="str">
        <f>IFERROR(VLOOKUP(D1448,'Team Data'!C:AB,8,FALSE),"")</f>
        <v/>
      </c>
      <c r="K1448" t="str">
        <f>IFERROR(VLOOKUP(D1448,'Team Data'!C:AB,9,FALSE),"")</f>
        <v/>
      </c>
      <c r="L1448" t="str">
        <f>IFERROR(VLOOKUP(D1448,'Team Data'!C:AB,10,FALSE),"")</f>
        <v/>
      </c>
      <c r="M1448" t="str">
        <f t="shared" si="46"/>
        <v/>
      </c>
      <c r="N1448" t="str">
        <f>IFERROR(VLOOKUP(D1448,'Team Data'!C:AB,23,FALSE),"")</f>
        <v/>
      </c>
      <c r="O1448" t="str">
        <f>IFERROR(VLOOKUP(D1448,'Team Data'!C:AB,22,FALSE),"")</f>
        <v/>
      </c>
      <c r="P1448" t="str">
        <f t="shared" si="47"/>
        <v/>
      </c>
      <c r="Q1448" t="str">
        <f>IFERROR(VLOOKUP(D1448,'Team Data'!C:AB,15,FALSE),"")</f>
        <v/>
      </c>
      <c r="R1448" t="str">
        <f>IFERROR(VLOOKUP('OB Format'!D1448,'Team Data'!C:AB,24,FALSE),"")</f>
        <v/>
      </c>
      <c r="S1448" t="str">
        <f>IFERROR(VLOOKUP('OB Format'!D1448,'Team Data'!C:AC,25,FALSE),"")</f>
        <v/>
      </c>
    </row>
    <row r="1449" spans="5:19" x14ac:dyDescent="0.25">
      <c r="E1449" t="str">
        <f>IFERROR(VLOOKUP(D1449,'Team Data'!C:AB,4,FALSE),"")</f>
        <v/>
      </c>
      <c r="F1449" t="str">
        <f>IFERROR(VLOOKUP(D1449,'Team Data'!C:AB,5,FALSE),"")</f>
        <v/>
      </c>
      <c r="G1449" t="str">
        <f>IFERROR(VLOOKUP('OB Format'!D1449,'Team Data'!C:AB,17,FALSE),"")</f>
        <v/>
      </c>
      <c r="H1449" t="str">
        <f>IFERROR(VLOOKUP(D1449,'Team Data'!C:AB,7,FALSE),"")</f>
        <v/>
      </c>
      <c r="I1449" t="str">
        <f>IFERROR(VLOOKUP(D1449,'Team Data'!C:AB,14,FALSE),"")</f>
        <v/>
      </c>
      <c r="J1449" t="str">
        <f>IFERROR(VLOOKUP(D1449,'Team Data'!C:AB,8,FALSE),"")</f>
        <v/>
      </c>
      <c r="K1449" t="str">
        <f>IFERROR(VLOOKUP(D1449,'Team Data'!C:AB,9,FALSE),"")</f>
        <v/>
      </c>
      <c r="L1449" t="str">
        <f>IFERROR(VLOOKUP(D1449,'Team Data'!C:AB,10,FALSE),"")</f>
        <v/>
      </c>
      <c r="M1449" t="str">
        <f t="shared" si="46"/>
        <v/>
      </c>
      <c r="N1449" t="str">
        <f>IFERROR(VLOOKUP(D1449,'Team Data'!C:AB,23,FALSE),"")</f>
        <v/>
      </c>
      <c r="O1449" t="str">
        <f>IFERROR(VLOOKUP(D1449,'Team Data'!C:AB,22,FALSE),"")</f>
        <v/>
      </c>
      <c r="P1449" t="str">
        <f t="shared" si="47"/>
        <v/>
      </c>
      <c r="Q1449" t="str">
        <f>IFERROR(VLOOKUP(D1449,'Team Data'!C:AB,15,FALSE),"")</f>
        <v/>
      </c>
      <c r="R1449" t="str">
        <f>IFERROR(VLOOKUP('OB Format'!D1449,'Team Data'!C:AB,24,FALSE),"")</f>
        <v/>
      </c>
      <c r="S1449" t="str">
        <f>IFERROR(VLOOKUP('OB Format'!D1449,'Team Data'!C:AC,25,FALSE),"")</f>
        <v/>
      </c>
    </row>
    <row r="1450" spans="5:19" x14ac:dyDescent="0.25">
      <c r="E1450" t="str">
        <f>IFERROR(VLOOKUP(D1450,'Team Data'!C:AB,4,FALSE),"")</f>
        <v/>
      </c>
      <c r="F1450" t="str">
        <f>IFERROR(VLOOKUP(D1450,'Team Data'!C:AB,5,FALSE),"")</f>
        <v/>
      </c>
      <c r="G1450" t="str">
        <f>IFERROR(VLOOKUP('OB Format'!D1450,'Team Data'!C:AB,17,FALSE),"")</f>
        <v/>
      </c>
      <c r="H1450" t="str">
        <f>IFERROR(VLOOKUP(D1450,'Team Data'!C:AB,7,FALSE),"")</f>
        <v/>
      </c>
      <c r="I1450" t="str">
        <f>IFERROR(VLOOKUP(D1450,'Team Data'!C:AB,14,FALSE),"")</f>
        <v/>
      </c>
      <c r="J1450" t="str">
        <f>IFERROR(VLOOKUP(D1450,'Team Data'!C:AB,8,FALSE),"")</f>
        <v/>
      </c>
      <c r="K1450" t="str">
        <f>IFERROR(VLOOKUP(D1450,'Team Data'!C:AB,9,FALSE),"")</f>
        <v/>
      </c>
      <c r="L1450" t="str">
        <f>IFERROR(VLOOKUP(D1450,'Team Data'!C:AB,10,FALSE),"")</f>
        <v/>
      </c>
      <c r="M1450" t="str">
        <f t="shared" si="46"/>
        <v/>
      </c>
      <c r="N1450" t="str">
        <f>IFERROR(VLOOKUP(D1450,'Team Data'!C:AB,23,FALSE),"")</f>
        <v/>
      </c>
      <c r="O1450" t="str">
        <f>IFERROR(VLOOKUP(D1450,'Team Data'!C:AB,22,FALSE),"")</f>
        <v/>
      </c>
      <c r="P1450" t="str">
        <f t="shared" si="47"/>
        <v/>
      </c>
      <c r="Q1450" t="str">
        <f>IFERROR(VLOOKUP(D1450,'Team Data'!C:AB,15,FALSE),"")</f>
        <v/>
      </c>
      <c r="R1450" t="str">
        <f>IFERROR(VLOOKUP('OB Format'!D1450,'Team Data'!C:AB,24,FALSE),"")</f>
        <v/>
      </c>
      <c r="S1450" t="str">
        <f>IFERROR(VLOOKUP('OB Format'!D1450,'Team Data'!C:AC,25,FALSE),"")</f>
        <v/>
      </c>
    </row>
    <row r="1451" spans="5:19" x14ac:dyDescent="0.25">
      <c r="E1451" t="str">
        <f>IFERROR(VLOOKUP(D1451,'Team Data'!C:AB,4,FALSE),"")</f>
        <v/>
      </c>
      <c r="F1451" t="str">
        <f>IFERROR(VLOOKUP(D1451,'Team Data'!C:AB,5,FALSE),"")</f>
        <v/>
      </c>
      <c r="G1451" t="str">
        <f>IFERROR(VLOOKUP('OB Format'!D1451,'Team Data'!C:AB,17,FALSE),"")</f>
        <v/>
      </c>
      <c r="H1451" t="str">
        <f>IFERROR(VLOOKUP(D1451,'Team Data'!C:AB,7,FALSE),"")</f>
        <v/>
      </c>
      <c r="I1451" t="str">
        <f>IFERROR(VLOOKUP(D1451,'Team Data'!C:AB,14,FALSE),"")</f>
        <v/>
      </c>
      <c r="J1451" t="str">
        <f>IFERROR(VLOOKUP(D1451,'Team Data'!C:AB,8,FALSE),"")</f>
        <v/>
      </c>
      <c r="K1451" t="str">
        <f>IFERROR(VLOOKUP(D1451,'Team Data'!C:AB,9,FALSE),"")</f>
        <v/>
      </c>
      <c r="L1451" t="str">
        <f>IFERROR(VLOOKUP(D1451,'Team Data'!C:AB,10,FALSE),"")</f>
        <v/>
      </c>
      <c r="M1451" t="str">
        <f t="shared" si="46"/>
        <v/>
      </c>
      <c r="N1451" t="str">
        <f>IFERROR(VLOOKUP(D1451,'Team Data'!C:AB,23,FALSE),"")</f>
        <v/>
      </c>
      <c r="O1451" t="str">
        <f>IFERROR(VLOOKUP(D1451,'Team Data'!C:AB,22,FALSE),"")</f>
        <v/>
      </c>
      <c r="P1451" t="str">
        <f t="shared" si="47"/>
        <v/>
      </c>
      <c r="Q1451" t="str">
        <f>IFERROR(VLOOKUP(D1451,'Team Data'!C:AB,15,FALSE),"")</f>
        <v/>
      </c>
      <c r="R1451" t="str">
        <f>IFERROR(VLOOKUP('OB Format'!D1451,'Team Data'!C:AB,24,FALSE),"")</f>
        <v/>
      </c>
      <c r="S1451" t="str">
        <f>IFERROR(VLOOKUP('OB Format'!D1451,'Team Data'!C:AC,25,FALSE),"")</f>
        <v/>
      </c>
    </row>
    <row r="1452" spans="5:19" x14ac:dyDescent="0.25">
      <c r="E1452" t="str">
        <f>IFERROR(VLOOKUP(D1452,'Team Data'!C:AB,4,FALSE),"")</f>
        <v/>
      </c>
      <c r="F1452" t="str">
        <f>IFERROR(VLOOKUP(D1452,'Team Data'!C:AB,5,FALSE),"")</f>
        <v/>
      </c>
      <c r="G1452" t="str">
        <f>IFERROR(VLOOKUP('OB Format'!D1452,'Team Data'!C:AB,17,FALSE),"")</f>
        <v/>
      </c>
      <c r="H1452" t="str">
        <f>IFERROR(VLOOKUP(D1452,'Team Data'!C:AB,7,FALSE),"")</f>
        <v/>
      </c>
      <c r="I1452" t="str">
        <f>IFERROR(VLOOKUP(D1452,'Team Data'!C:AB,14,FALSE),"")</f>
        <v/>
      </c>
      <c r="J1452" t="str">
        <f>IFERROR(VLOOKUP(D1452,'Team Data'!C:AB,8,FALSE),"")</f>
        <v/>
      </c>
      <c r="K1452" t="str">
        <f>IFERROR(VLOOKUP(D1452,'Team Data'!C:AB,9,FALSE),"")</f>
        <v/>
      </c>
      <c r="L1452" t="str">
        <f>IFERROR(VLOOKUP(D1452,'Team Data'!C:AB,10,FALSE),"")</f>
        <v/>
      </c>
      <c r="M1452" t="str">
        <f t="shared" si="46"/>
        <v/>
      </c>
      <c r="N1452" t="str">
        <f>IFERROR(VLOOKUP(D1452,'Team Data'!C:AB,23,FALSE),"")</f>
        <v/>
      </c>
      <c r="O1452" t="str">
        <f>IFERROR(VLOOKUP(D1452,'Team Data'!C:AB,22,FALSE),"")</f>
        <v/>
      </c>
      <c r="P1452" t="str">
        <f t="shared" si="47"/>
        <v/>
      </c>
      <c r="Q1452" t="str">
        <f>IFERROR(VLOOKUP(D1452,'Team Data'!C:AB,15,FALSE),"")</f>
        <v/>
      </c>
      <c r="R1452" t="str">
        <f>IFERROR(VLOOKUP('OB Format'!D1452,'Team Data'!C:AB,24,FALSE),"")</f>
        <v/>
      </c>
      <c r="S1452" t="str">
        <f>IFERROR(VLOOKUP('OB Format'!D1452,'Team Data'!C:AC,25,FALSE),"")</f>
        <v/>
      </c>
    </row>
    <row r="1453" spans="5:19" x14ac:dyDescent="0.25">
      <c r="E1453" t="str">
        <f>IFERROR(VLOOKUP(D1453,'Team Data'!C:AB,4,FALSE),"")</f>
        <v/>
      </c>
      <c r="F1453" t="str">
        <f>IFERROR(VLOOKUP(D1453,'Team Data'!C:AB,5,FALSE),"")</f>
        <v/>
      </c>
      <c r="G1453" t="str">
        <f>IFERROR(VLOOKUP('OB Format'!D1453,'Team Data'!C:AB,17,FALSE),"")</f>
        <v/>
      </c>
      <c r="H1453" t="str">
        <f>IFERROR(VLOOKUP(D1453,'Team Data'!C:AB,7,FALSE),"")</f>
        <v/>
      </c>
      <c r="I1453" t="str">
        <f>IFERROR(VLOOKUP(D1453,'Team Data'!C:AB,14,FALSE),"")</f>
        <v/>
      </c>
      <c r="J1453" t="str">
        <f>IFERROR(VLOOKUP(D1453,'Team Data'!C:AB,8,FALSE),"")</f>
        <v/>
      </c>
      <c r="K1453" t="str">
        <f>IFERROR(VLOOKUP(D1453,'Team Data'!C:AB,9,FALSE),"")</f>
        <v/>
      </c>
      <c r="L1453" t="str">
        <f>IFERROR(VLOOKUP(D1453,'Team Data'!C:AB,10,FALSE),"")</f>
        <v/>
      </c>
      <c r="M1453" t="str">
        <f t="shared" si="46"/>
        <v/>
      </c>
      <c r="N1453" t="str">
        <f>IFERROR(VLOOKUP(D1453,'Team Data'!C:AB,23,FALSE),"")</f>
        <v/>
      </c>
      <c r="O1453" t="str">
        <f>IFERROR(VLOOKUP(D1453,'Team Data'!C:AB,22,FALSE),"")</f>
        <v/>
      </c>
      <c r="P1453" t="str">
        <f t="shared" si="47"/>
        <v/>
      </c>
      <c r="Q1453" t="str">
        <f>IFERROR(VLOOKUP(D1453,'Team Data'!C:AB,15,FALSE),"")</f>
        <v/>
      </c>
      <c r="R1453" t="str">
        <f>IFERROR(VLOOKUP('OB Format'!D1453,'Team Data'!C:AB,24,FALSE),"")</f>
        <v/>
      </c>
      <c r="S1453" t="str">
        <f>IFERROR(VLOOKUP('OB Format'!D1453,'Team Data'!C:AC,25,FALSE),"")</f>
        <v/>
      </c>
    </row>
    <row r="1454" spans="5:19" x14ac:dyDescent="0.25">
      <c r="E1454" t="str">
        <f>IFERROR(VLOOKUP(D1454,'Team Data'!C:AB,4,FALSE),"")</f>
        <v/>
      </c>
      <c r="F1454" t="str">
        <f>IFERROR(VLOOKUP(D1454,'Team Data'!C:AB,5,FALSE),"")</f>
        <v/>
      </c>
      <c r="G1454" t="str">
        <f>IFERROR(VLOOKUP('OB Format'!D1454,'Team Data'!C:AB,17,FALSE),"")</f>
        <v/>
      </c>
      <c r="H1454" t="str">
        <f>IFERROR(VLOOKUP(D1454,'Team Data'!C:AB,7,FALSE),"")</f>
        <v/>
      </c>
      <c r="I1454" t="str">
        <f>IFERROR(VLOOKUP(D1454,'Team Data'!C:AB,14,FALSE),"")</f>
        <v/>
      </c>
      <c r="J1454" t="str">
        <f>IFERROR(VLOOKUP(D1454,'Team Data'!C:AB,8,FALSE),"")</f>
        <v/>
      </c>
      <c r="K1454" t="str">
        <f>IFERROR(VLOOKUP(D1454,'Team Data'!C:AB,9,FALSE),"")</f>
        <v/>
      </c>
      <c r="L1454" t="str">
        <f>IFERROR(VLOOKUP(D1454,'Team Data'!C:AB,10,FALSE),"")</f>
        <v/>
      </c>
      <c r="M1454" t="str">
        <f t="shared" si="46"/>
        <v/>
      </c>
      <c r="N1454" t="str">
        <f>IFERROR(VLOOKUP(D1454,'Team Data'!C:AB,23,FALSE),"")</f>
        <v/>
      </c>
      <c r="O1454" t="str">
        <f>IFERROR(VLOOKUP(D1454,'Team Data'!C:AB,22,FALSE),"")</f>
        <v/>
      </c>
      <c r="P1454" t="str">
        <f t="shared" si="47"/>
        <v/>
      </c>
      <c r="Q1454" t="str">
        <f>IFERROR(VLOOKUP(D1454,'Team Data'!C:AB,15,FALSE),"")</f>
        <v/>
      </c>
      <c r="R1454" t="str">
        <f>IFERROR(VLOOKUP('OB Format'!D1454,'Team Data'!C:AB,24,FALSE),"")</f>
        <v/>
      </c>
      <c r="S1454" t="str">
        <f>IFERROR(VLOOKUP('OB Format'!D1454,'Team Data'!C:AC,25,FALSE),"")</f>
        <v/>
      </c>
    </row>
    <row r="1455" spans="5:19" x14ac:dyDescent="0.25">
      <c r="E1455" t="str">
        <f>IFERROR(VLOOKUP(D1455,'Team Data'!C:AB,4,FALSE),"")</f>
        <v/>
      </c>
      <c r="F1455" t="str">
        <f>IFERROR(VLOOKUP(D1455,'Team Data'!C:AB,5,FALSE),"")</f>
        <v/>
      </c>
      <c r="G1455" t="str">
        <f>IFERROR(VLOOKUP('OB Format'!D1455,'Team Data'!C:AB,17,FALSE),"")</f>
        <v/>
      </c>
      <c r="H1455" t="str">
        <f>IFERROR(VLOOKUP(D1455,'Team Data'!C:AB,7,FALSE),"")</f>
        <v/>
      </c>
      <c r="I1455" t="str">
        <f>IFERROR(VLOOKUP(D1455,'Team Data'!C:AB,14,FALSE),"")</f>
        <v/>
      </c>
      <c r="J1455" t="str">
        <f>IFERROR(VLOOKUP(D1455,'Team Data'!C:AB,8,FALSE),"")</f>
        <v/>
      </c>
      <c r="K1455" t="str">
        <f>IFERROR(VLOOKUP(D1455,'Team Data'!C:AB,9,FALSE),"")</f>
        <v/>
      </c>
      <c r="L1455" t="str">
        <f>IFERROR(VLOOKUP(D1455,'Team Data'!C:AB,10,FALSE),"")</f>
        <v/>
      </c>
      <c r="M1455" t="str">
        <f t="shared" si="46"/>
        <v/>
      </c>
      <c r="N1455" t="str">
        <f>IFERROR(VLOOKUP(D1455,'Team Data'!C:AB,23,FALSE),"")</f>
        <v/>
      </c>
      <c r="O1455" t="str">
        <f>IFERROR(VLOOKUP(D1455,'Team Data'!C:AB,22,FALSE),"")</f>
        <v/>
      </c>
      <c r="P1455" t="str">
        <f t="shared" si="47"/>
        <v/>
      </c>
      <c r="Q1455" t="str">
        <f>IFERROR(VLOOKUP(D1455,'Team Data'!C:AB,15,FALSE),"")</f>
        <v/>
      </c>
      <c r="R1455" t="str">
        <f>IFERROR(VLOOKUP('OB Format'!D1455,'Team Data'!C:AB,24,FALSE),"")</f>
        <v/>
      </c>
      <c r="S1455" t="str">
        <f>IFERROR(VLOOKUP('OB Format'!D1455,'Team Data'!C:AC,25,FALSE),"")</f>
        <v/>
      </c>
    </row>
    <row r="1456" spans="5:19" x14ac:dyDescent="0.25">
      <c r="E1456" t="str">
        <f>IFERROR(VLOOKUP(D1456,'Team Data'!C:AB,4,FALSE),"")</f>
        <v/>
      </c>
      <c r="F1456" t="str">
        <f>IFERROR(VLOOKUP(D1456,'Team Data'!C:AB,5,FALSE),"")</f>
        <v/>
      </c>
      <c r="G1456" t="str">
        <f>IFERROR(VLOOKUP('OB Format'!D1456,'Team Data'!C:AB,17,FALSE),"")</f>
        <v/>
      </c>
      <c r="H1456" t="str">
        <f>IFERROR(VLOOKUP(D1456,'Team Data'!C:AB,7,FALSE),"")</f>
        <v/>
      </c>
      <c r="I1456" t="str">
        <f>IFERROR(VLOOKUP(D1456,'Team Data'!C:AB,14,FALSE),"")</f>
        <v/>
      </c>
      <c r="J1456" t="str">
        <f>IFERROR(VLOOKUP(D1456,'Team Data'!C:AB,8,FALSE),"")</f>
        <v/>
      </c>
      <c r="K1456" t="str">
        <f>IFERROR(VLOOKUP(D1456,'Team Data'!C:AB,9,FALSE),"")</f>
        <v/>
      </c>
      <c r="L1456" t="str">
        <f>IFERROR(VLOOKUP(D1456,'Team Data'!C:AB,10,FALSE),"")</f>
        <v/>
      </c>
      <c r="M1456" t="str">
        <f t="shared" si="46"/>
        <v/>
      </c>
      <c r="N1456" t="str">
        <f>IFERROR(VLOOKUP(D1456,'Team Data'!C:AB,23,FALSE),"")</f>
        <v/>
      </c>
      <c r="O1456" t="str">
        <f>IFERROR(VLOOKUP(D1456,'Team Data'!C:AB,22,FALSE),"")</f>
        <v/>
      </c>
      <c r="P1456" t="str">
        <f t="shared" si="47"/>
        <v/>
      </c>
      <c r="Q1456" t="str">
        <f>IFERROR(VLOOKUP(D1456,'Team Data'!C:AB,15,FALSE),"")</f>
        <v/>
      </c>
      <c r="R1456" t="str">
        <f>IFERROR(VLOOKUP('OB Format'!D1456,'Team Data'!C:AB,24,FALSE),"")</f>
        <v/>
      </c>
      <c r="S1456" t="str">
        <f>IFERROR(VLOOKUP('OB Format'!D1456,'Team Data'!C:AC,25,FALSE),"")</f>
        <v/>
      </c>
    </row>
    <row r="1457" spans="5:19" x14ac:dyDescent="0.25">
      <c r="E1457" t="str">
        <f>IFERROR(VLOOKUP(D1457,'Team Data'!C:AB,4,FALSE),"")</f>
        <v/>
      </c>
      <c r="F1457" t="str">
        <f>IFERROR(VLOOKUP(D1457,'Team Data'!C:AB,5,FALSE),"")</f>
        <v/>
      </c>
      <c r="G1457" t="str">
        <f>IFERROR(VLOOKUP('OB Format'!D1457,'Team Data'!C:AB,17,FALSE),"")</f>
        <v/>
      </c>
      <c r="H1457" t="str">
        <f>IFERROR(VLOOKUP(D1457,'Team Data'!C:AB,7,FALSE),"")</f>
        <v/>
      </c>
      <c r="I1457" t="str">
        <f>IFERROR(VLOOKUP(D1457,'Team Data'!C:AB,14,FALSE),"")</f>
        <v/>
      </c>
      <c r="J1457" t="str">
        <f>IFERROR(VLOOKUP(D1457,'Team Data'!C:AB,8,FALSE),"")</f>
        <v/>
      </c>
      <c r="K1457" t="str">
        <f>IFERROR(VLOOKUP(D1457,'Team Data'!C:AB,9,FALSE),"")</f>
        <v/>
      </c>
      <c r="L1457" t="str">
        <f>IFERROR(VLOOKUP(D1457,'Team Data'!C:AB,10,FALSE),"")</f>
        <v/>
      </c>
      <c r="M1457" t="str">
        <f t="shared" si="46"/>
        <v/>
      </c>
      <c r="N1457" t="str">
        <f>IFERROR(VLOOKUP(D1457,'Team Data'!C:AB,23,FALSE),"")</f>
        <v/>
      </c>
      <c r="O1457" t="str">
        <f>IFERROR(VLOOKUP(D1457,'Team Data'!C:AB,22,FALSE),"")</f>
        <v/>
      </c>
      <c r="P1457" t="str">
        <f t="shared" si="47"/>
        <v/>
      </c>
      <c r="Q1457" t="str">
        <f>IFERROR(VLOOKUP(D1457,'Team Data'!C:AB,15,FALSE),"")</f>
        <v/>
      </c>
      <c r="R1457" t="str">
        <f>IFERROR(VLOOKUP('OB Format'!D1457,'Team Data'!C:AB,24,FALSE),"")</f>
        <v/>
      </c>
      <c r="S1457" t="str">
        <f>IFERROR(VLOOKUP('OB Format'!D1457,'Team Data'!C:AC,25,FALSE),"")</f>
        <v/>
      </c>
    </row>
    <row r="1458" spans="5:19" x14ac:dyDescent="0.25">
      <c r="E1458" t="str">
        <f>IFERROR(VLOOKUP(D1458,'Team Data'!C:AB,4,FALSE),"")</f>
        <v/>
      </c>
      <c r="F1458" t="str">
        <f>IFERROR(VLOOKUP(D1458,'Team Data'!C:AB,5,FALSE),"")</f>
        <v/>
      </c>
      <c r="G1458" t="str">
        <f>IFERROR(VLOOKUP('OB Format'!D1458,'Team Data'!C:AB,17,FALSE),"")</f>
        <v/>
      </c>
      <c r="H1458" t="str">
        <f>IFERROR(VLOOKUP(D1458,'Team Data'!C:AB,7,FALSE),"")</f>
        <v/>
      </c>
      <c r="I1458" t="str">
        <f>IFERROR(VLOOKUP(D1458,'Team Data'!C:AB,14,FALSE),"")</f>
        <v/>
      </c>
      <c r="J1458" t="str">
        <f>IFERROR(VLOOKUP(D1458,'Team Data'!C:AB,8,FALSE),"")</f>
        <v/>
      </c>
      <c r="K1458" t="str">
        <f>IFERROR(VLOOKUP(D1458,'Team Data'!C:AB,9,FALSE),"")</f>
        <v/>
      </c>
      <c r="L1458" t="str">
        <f>IFERROR(VLOOKUP(D1458,'Team Data'!C:AB,10,FALSE),"")</f>
        <v/>
      </c>
      <c r="M1458" t="str">
        <f t="shared" si="46"/>
        <v/>
      </c>
      <c r="N1458" t="str">
        <f>IFERROR(VLOOKUP(D1458,'Team Data'!C:AB,23,FALSE),"")</f>
        <v/>
      </c>
      <c r="O1458" t="str">
        <f>IFERROR(VLOOKUP(D1458,'Team Data'!C:AB,22,FALSE),"")</f>
        <v/>
      </c>
      <c r="P1458" t="str">
        <f t="shared" si="47"/>
        <v/>
      </c>
      <c r="Q1458" t="str">
        <f>IFERROR(VLOOKUP(D1458,'Team Data'!C:AB,15,FALSE),"")</f>
        <v/>
      </c>
      <c r="R1458" t="str">
        <f>IFERROR(VLOOKUP('OB Format'!D1458,'Team Data'!C:AB,24,FALSE),"")</f>
        <v/>
      </c>
      <c r="S1458" t="str">
        <f>IFERROR(VLOOKUP('OB Format'!D1458,'Team Data'!C:AC,25,FALSE),"")</f>
        <v/>
      </c>
    </row>
    <row r="1459" spans="5:19" x14ac:dyDescent="0.25">
      <c r="E1459" t="str">
        <f>IFERROR(VLOOKUP(D1459,'Team Data'!C:AB,4,FALSE),"")</f>
        <v/>
      </c>
      <c r="F1459" t="str">
        <f>IFERROR(VLOOKUP(D1459,'Team Data'!C:AB,5,FALSE),"")</f>
        <v/>
      </c>
      <c r="G1459" t="str">
        <f>IFERROR(VLOOKUP('OB Format'!D1459,'Team Data'!C:AB,17,FALSE),"")</f>
        <v/>
      </c>
      <c r="H1459" t="str">
        <f>IFERROR(VLOOKUP(D1459,'Team Data'!C:AB,7,FALSE),"")</f>
        <v/>
      </c>
      <c r="I1459" t="str">
        <f>IFERROR(VLOOKUP(D1459,'Team Data'!C:AB,14,FALSE),"")</f>
        <v/>
      </c>
      <c r="J1459" t="str">
        <f>IFERROR(VLOOKUP(D1459,'Team Data'!C:AB,8,FALSE),"")</f>
        <v/>
      </c>
      <c r="K1459" t="str">
        <f>IFERROR(VLOOKUP(D1459,'Team Data'!C:AB,9,FALSE),"")</f>
        <v/>
      </c>
      <c r="L1459" t="str">
        <f>IFERROR(VLOOKUP(D1459,'Team Data'!C:AB,10,FALSE),"")</f>
        <v/>
      </c>
      <c r="M1459" t="str">
        <f t="shared" si="46"/>
        <v/>
      </c>
      <c r="N1459" t="str">
        <f>IFERROR(VLOOKUP(D1459,'Team Data'!C:AB,23,FALSE),"")</f>
        <v/>
      </c>
      <c r="O1459" t="str">
        <f>IFERROR(VLOOKUP(D1459,'Team Data'!C:AB,22,FALSE),"")</f>
        <v/>
      </c>
      <c r="P1459" t="str">
        <f t="shared" si="47"/>
        <v/>
      </c>
      <c r="Q1459" t="str">
        <f>IFERROR(VLOOKUP(D1459,'Team Data'!C:AB,15,FALSE),"")</f>
        <v/>
      </c>
      <c r="R1459" t="str">
        <f>IFERROR(VLOOKUP('OB Format'!D1459,'Team Data'!C:AB,24,FALSE),"")</f>
        <v/>
      </c>
      <c r="S1459" t="str">
        <f>IFERROR(VLOOKUP('OB Format'!D1459,'Team Data'!C:AC,25,FALSE),"")</f>
        <v/>
      </c>
    </row>
    <row r="1460" spans="5:19" x14ac:dyDescent="0.25">
      <c r="E1460" t="str">
        <f>IFERROR(VLOOKUP(D1460,'Team Data'!C:AB,4,FALSE),"")</f>
        <v/>
      </c>
      <c r="F1460" t="str">
        <f>IFERROR(VLOOKUP(D1460,'Team Data'!C:AB,5,FALSE),"")</f>
        <v/>
      </c>
      <c r="G1460" t="str">
        <f>IFERROR(VLOOKUP('OB Format'!D1460,'Team Data'!C:AB,17,FALSE),"")</f>
        <v/>
      </c>
      <c r="H1460" t="str">
        <f>IFERROR(VLOOKUP(D1460,'Team Data'!C:AB,7,FALSE),"")</f>
        <v/>
      </c>
      <c r="I1460" t="str">
        <f>IFERROR(VLOOKUP(D1460,'Team Data'!C:AB,14,FALSE),"")</f>
        <v/>
      </c>
      <c r="J1460" t="str">
        <f>IFERROR(VLOOKUP(D1460,'Team Data'!C:AB,8,FALSE),"")</f>
        <v/>
      </c>
      <c r="K1460" t="str">
        <f>IFERROR(VLOOKUP(D1460,'Team Data'!C:AB,9,FALSE),"")</f>
        <v/>
      </c>
      <c r="L1460" t="str">
        <f>IFERROR(VLOOKUP(D1460,'Team Data'!C:AB,10,FALSE),"")</f>
        <v/>
      </c>
      <c r="M1460" t="str">
        <f t="shared" si="46"/>
        <v/>
      </c>
      <c r="N1460" t="str">
        <f>IFERROR(VLOOKUP(D1460,'Team Data'!C:AB,23,FALSE),"")</f>
        <v/>
      </c>
      <c r="O1460" t="str">
        <f>IFERROR(VLOOKUP(D1460,'Team Data'!C:AB,22,FALSE),"")</f>
        <v/>
      </c>
      <c r="P1460" t="str">
        <f t="shared" si="47"/>
        <v/>
      </c>
      <c r="Q1460" t="str">
        <f>IFERROR(VLOOKUP(D1460,'Team Data'!C:AB,15,FALSE),"")</f>
        <v/>
      </c>
      <c r="R1460" t="str">
        <f>IFERROR(VLOOKUP('OB Format'!D1460,'Team Data'!C:AB,24,FALSE),"")</f>
        <v/>
      </c>
      <c r="S1460" t="str">
        <f>IFERROR(VLOOKUP('OB Format'!D1460,'Team Data'!C:AC,25,FALSE),"")</f>
        <v/>
      </c>
    </row>
    <row r="1461" spans="5:19" x14ac:dyDescent="0.25">
      <c r="E1461" t="str">
        <f>IFERROR(VLOOKUP(D1461,'Team Data'!C:AB,4,FALSE),"")</f>
        <v/>
      </c>
      <c r="F1461" t="str">
        <f>IFERROR(VLOOKUP(D1461,'Team Data'!C:AB,5,FALSE),"")</f>
        <v/>
      </c>
      <c r="G1461" t="str">
        <f>IFERROR(VLOOKUP('OB Format'!D1461,'Team Data'!C:AB,17,FALSE),"")</f>
        <v/>
      </c>
      <c r="H1461" t="str">
        <f>IFERROR(VLOOKUP(D1461,'Team Data'!C:AB,7,FALSE),"")</f>
        <v/>
      </c>
      <c r="I1461" t="str">
        <f>IFERROR(VLOOKUP(D1461,'Team Data'!C:AB,14,FALSE),"")</f>
        <v/>
      </c>
      <c r="J1461" t="str">
        <f>IFERROR(VLOOKUP(D1461,'Team Data'!C:AB,8,FALSE),"")</f>
        <v/>
      </c>
      <c r="K1461" t="str">
        <f>IFERROR(VLOOKUP(D1461,'Team Data'!C:AB,9,FALSE),"")</f>
        <v/>
      </c>
      <c r="L1461" t="str">
        <f>IFERROR(VLOOKUP(D1461,'Team Data'!C:AB,10,FALSE),"")</f>
        <v/>
      </c>
      <c r="M1461" t="str">
        <f t="shared" si="46"/>
        <v/>
      </c>
      <c r="N1461" t="str">
        <f>IFERROR(VLOOKUP(D1461,'Team Data'!C:AB,23,FALSE),"")</f>
        <v/>
      </c>
      <c r="O1461" t="str">
        <f>IFERROR(VLOOKUP(D1461,'Team Data'!C:AB,22,FALSE),"")</f>
        <v/>
      </c>
      <c r="P1461" t="str">
        <f t="shared" si="47"/>
        <v/>
      </c>
      <c r="Q1461" t="str">
        <f>IFERROR(VLOOKUP(D1461,'Team Data'!C:AB,15,FALSE),"")</f>
        <v/>
      </c>
      <c r="R1461" t="str">
        <f>IFERROR(VLOOKUP('OB Format'!D1461,'Team Data'!C:AB,24,FALSE),"")</f>
        <v/>
      </c>
      <c r="S1461" t="str">
        <f>IFERROR(VLOOKUP('OB Format'!D1461,'Team Data'!C:AC,25,FALSE),"")</f>
        <v/>
      </c>
    </row>
    <row r="1462" spans="5:19" x14ac:dyDescent="0.25">
      <c r="E1462" t="str">
        <f>IFERROR(VLOOKUP(D1462,'Team Data'!C:AB,4,FALSE),"")</f>
        <v/>
      </c>
      <c r="F1462" t="str">
        <f>IFERROR(VLOOKUP(D1462,'Team Data'!C:AB,5,FALSE),"")</f>
        <v/>
      </c>
      <c r="G1462" t="str">
        <f>IFERROR(VLOOKUP('OB Format'!D1462,'Team Data'!C:AB,17,FALSE),"")</f>
        <v/>
      </c>
      <c r="H1462" t="str">
        <f>IFERROR(VLOOKUP(D1462,'Team Data'!C:AB,7,FALSE),"")</f>
        <v/>
      </c>
      <c r="I1462" t="str">
        <f>IFERROR(VLOOKUP(D1462,'Team Data'!C:AB,14,FALSE),"")</f>
        <v/>
      </c>
      <c r="J1462" t="str">
        <f>IFERROR(VLOOKUP(D1462,'Team Data'!C:AB,8,FALSE),"")</f>
        <v/>
      </c>
      <c r="K1462" t="str">
        <f>IFERROR(VLOOKUP(D1462,'Team Data'!C:AB,9,FALSE),"")</f>
        <v/>
      </c>
      <c r="L1462" t="str">
        <f>IFERROR(VLOOKUP(D1462,'Team Data'!C:AB,10,FALSE),"")</f>
        <v/>
      </c>
      <c r="M1462" t="str">
        <f t="shared" si="46"/>
        <v/>
      </c>
      <c r="N1462" t="str">
        <f>IFERROR(VLOOKUP(D1462,'Team Data'!C:AB,23,FALSE),"")</f>
        <v/>
      </c>
      <c r="O1462" t="str">
        <f>IFERROR(VLOOKUP(D1462,'Team Data'!C:AB,22,FALSE),"")</f>
        <v/>
      </c>
      <c r="P1462" t="str">
        <f t="shared" si="47"/>
        <v/>
      </c>
      <c r="Q1462" t="str">
        <f>IFERROR(VLOOKUP(D1462,'Team Data'!C:AB,15,FALSE),"")</f>
        <v/>
      </c>
      <c r="R1462" t="str">
        <f>IFERROR(VLOOKUP('OB Format'!D1462,'Team Data'!C:AB,24,FALSE),"")</f>
        <v/>
      </c>
      <c r="S1462" t="str">
        <f>IFERROR(VLOOKUP('OB Format'!D1462,'Team Data'!C:AC,25,FALSE),"")</f>
        <v/>
      </c>
    </row>
    <row r="1463" spans="5:19" x14ac:dyDescent="0.25">
      <c r="E1463" t="str">
        <f>IFERROR(VLOOKUP(D1463,'Team Data'!C:AB,4,FALSE),"")</f>
        <v/>
      </c>
      <c r="F1463" t="str">
        <f>IFERROR(VLOOKUP(D1463,'Team Data'!C:AB,5,FALSE),"")</f>
        <v/>
      </c>
      <c r="G1463" t="str">
        <f>IFERROR(VLOOKUP('OB Format'!D1463,'Team Data'!C:AB,17,FALSE),"")</f>
        <v/>
      </c>
      <c r="H1463" t="str">
        <f>IFERROR(VLOOKUP(D1463,'Team Data'!C:AB,7,FALSE),"")</f>
        <v/>
      </c>
      <c r="I1463" t="str">
        <f>IFERROR(VLOOKUP(D1463,'Team Data'!C:AB,14,FALSE),"")</f>
        <v/>
      </c>
      <c r="J1463" t="str">
        <f>IFERROR(VLOOKUP(D1463,'Team Data'!C:AB,8,FALSE),"")</f>
        <v/>
      </c>
      <c r="K1463" t="str">
        <f>IFERROR(VLOOKUP(D1463,'Team Data'!C:AB,9,FALSE),"")</f>
        <v/>
      </c>
      <c r="L1463" t="str">
        <f>IFERROR(VLOOKUP(D1463,'Team Data'!C:AB,10,FALSE),"")</f>
        <v/>
      </c>
      <c r="M1463" t="str">
        <f t="shared" si="46"/>
        <v/>
      </c>
      <c r="N1463" t="str">
        <f>IFERROR(VLOOKUP(D1463,'Team Data'!C:AB,23,FALSE),"")</f>
        <v/>
      </c>
      <c r="O1463" t="str">
        <f>IFERROR(VLOOKUP(D1463,'Team Data'!C:AB,22,FALSE),"")</f>
        <v/>
      </c>
      <c r="P1463" t="str">
        <f t="shared" si="47"/>
        <v/>
      </c>
      <c r="Q1463" t="str">
        <f>IFERROR(VLOOKUP(D1463,'Team Data'!C:AB,15,FALSE),"")</f>
        <v/>
      </c>
      <c r="R1463" t="str">
        <f>IFERROR(VLOOKUP('OB Format'!D1463,'Team Data'!C:AB,24,FALSE),"")</f>
        <v/>
      </c>
      <c r="S1463" t="str">
        <f>IFERROR(VLOOKUP('OB Format'!D1463,'Team Data'!C:AC,25,FALSE),"")</f>
        <v/>
      </c>
    </row>
    <row r="1464" spans="5:19" x14ac:dyDescent="0.25">
      <c r="E1464" t="str">
        <f>IFERROR(VLOOKUP(D1464,'Team Data'!C:AB,4,FALSE),"")</f>
        <v/>
      </c>
      <c r="F1464" t="str">
        <f>IFERROR(VLOOKUP(D1464,'Team Data'!C:AB,5,FALSE),"")</f>
        <v/>
      </c>
      <c r="G1464" t="str">
        <f>IFERROR(VLOOKUP('OB Format'!D1464,'Team Data'!C:AB,17,FALSE),"")</f>
        <v/>
      </c>
      <c r="H1464" t="str">
        <f>IFERROR(VLOOKUP(D1464,'Team Data'!C:AB,7,FALSE),"")</f>
        <v/>
      </c>
      <c r="I1464" t="str">
        <f>IFERROR(VLOOKUP(D1464,'Team Data'!C:AB,14,FALSE),"")</f>
        <v/>
      </c>
      <c r="J1464" t="str">
        <f>IFERROR(VLOOKUP(D1464,'Team Data'!C:AB,8,FALSE),"")</f>
        <v/>
      </c>
      <c r="K1464" t="str">
        <f>IFERROR(VLOOKUP(D1464,'Team Data'!C:AB,9,FALSE),"")</f>
        <v/>
      </c>
      <c r="L1464" t="str">
        <f>IFERROR(VLOOKUP(D1464,'Team Data'!C:AB,10,FALSE),"")</f>
        <v/>
      </c>
      <c r="M1464" t="str">
        <f t="shared" si="46"/>
        <v/>
      </c>
      <c r="N1464" t="str">
        <f>IFERROR(VLOOKUP(D1464,'Team Data'!C:AB,23,FALSE),"")</f>
        <v/>
      </c>
      <c r="O1464" t="str">
        <f>IFERROR(VLOOKUP(D1464,'Team Data'!C:AB,22,FALSE),"")</f>
        <v/>
      </c>
      <c r="P1464" t="str">
        <f t="shared" si="47"/>
        <v/>
      </c>
      <c r="Q1464" t="str">
        <f>IFERROR(VLOOKUP(D1464,'Team Data'!C:AB,15,FALSE),"")</f>
        <v/>
      </c>
      <c r="R1464" t="str">
        <f>IFERROR(VLOOKUP('OB Format'!D1464,'Team Data'!C:AB,24,FALSE),"")</f>
        <v/>
      </c>
      <c r="S1464" t="str">
        <f>IFERROR(VLOOKUP('OB Format'!D1464,'Team Data'!C:AC,25,FALSE),"")</f>
        <v/>
      </c>
    </row>
    <row r="1465" spans="5:19" x14ac:dyDescent="0.25">
      <c r="E1465" t="str">
        <f>IFERROR(VLOOKUP(D1465,'Team Data'!C:AB,4,FALSE),"")</f>
        <v/>
      </c>
      <c r="F1465" t="str">
        <f>IFERROR(VLOOKUP(D1465,'Team Data'!C:AB,5,FALSE),"")</f>
        <v/>
      </c>
      <c r="G1465" t="str">
        <f>IFERROR(VLOOKUP('OB Format'!D1465,'Team Data'!C:AB,17,FALSE),"")</f>
        <v/>
      </c>
      <c r="H1465" t="str">
        <f>IFERROR(VLOOKUP(D1465,'Team Data'!C:AB,7,FALSE),"")</f>
        <v/>
      </c>
      <c r="I1465" t="str">
        <f>IFERROR(VLOOKUP(D1465,'Team Data'!C:AB,14,FALSE),"")</f>
        <v/>
      </c>
      <c r="J1465" t="str">
        <f>IFERROR(VLOOKUP(D1465,'Team Data'!C:AB,8,FALSE),"")</f>
        <v/>
      </c>
      <c r="K1465" t="str">
        <f>IFERROR(VLOOKUP(D1465,'Team Data'!C:AB,9,FALSE),"")</f>
        <v/>
      </c>
      <c r="L1465" t="str">
        <f>IFERROR(VLOOKUP(D1465,'Team Data'!C:AB,10,FALSE),"")</f>
        <v/>
      </c>
      <c r="M1465" t="str">
        <f t="shared" si="46"/>
        <v/>
      </c>
      <c r="N1465" t="str">
        <f>IFERROR(VLOOKUP(D1465,'Team Data'!C:AB,23,FALSE),"")</f>
        <v/>
      </c>
      <c r="O1465" t="str">
        <f>IFERROR(VLOOKUP(D1465,'Team Data'!C:AB,22,FALSE),"")</f>
        <v/>
      </c>
      <c r="P1465" t="str">
        <f t="shared" si="47"/>
        <v/>
      </c>
      <c r="Q1465" t="str">
        <f>IFERROR(VLOOKUP(D1465,'Team Data'!C:AB,15,FALSE),"")</f>
        <v/>
      </c>
      <c r="R1465" t="str">
        <f>IFERROR(VLOOKUP('OB Format'!D1465,'Team Data'!C:AB,24,FALSE),"")</f>
        <v/>
      </c>
      <c r="S1465" t="str">
        <f>IFERROR(VLOOKUP('OB Format'!D1465,'Team Data'!C:AC,25,FALSE),"")</f>
        <v/>
      </c>
    </row>
    <row r="1466" spans="5:19" x14ac:dyDescent="0.25">
      <c r="E1466" t="str">
        <f>IFERROR(VLOOKUP(D1466,'Team Data'!C:AB,4,FALSE),"")</f>
        <v/>
      </c>
      <c r="F1466" t="str">
        <f>IFERROR(VLOOKUP(D1466,'Team Data'!C:AB,5,FALSE),"")</f>
        <v/>
      </c>
      <c r="G1466" t="str">
        <f>IFERROR(VLOOKUP('OB Format'!D1466,'Team Data'!C:AB,17,FALSE),"")</f>
        <v/>
      </c>
      <c r="H1466" t="str">
        <f>IFERROR(VLOOKUP(D1466,'Team Data'!C:AB,7,FALSE),"")</f>
        <v/>
      </c>
      <c r="I1466" t="str">
        <f>IFERROR(VLOOKUP(D1466,'Team Data'!C:AB,14,FALSE),"")</f>
        <v/>
      </c>
      <c r="J1466" t="str">
        <f>IFERROR(VLOOKUP(D1466,'Team Data'!C:AB,8,FALSE),"")</f>
        <v/>
      </c>
      <c r="K1466" t="str">
        <f>IFERROR(VLOOKUP(D1466,'Team Data'!C:AB,9,FALSE),"")</f>
        <v/>
      </c>
      <c r="L1466" t="str">
        <f>IFERROR(VLOOKUP(D1466,'Team Data'!C:AB,10,FALSE),"")</f>
        <v/>
      </c>
      <c r="M1466" t="str">
        <f t="shared" si="46"/>
        <v/>
      </c>
      <c r="N1466" t="str">
        <f>IFERROR(VLOOKUP(D1466,'Team Data'!C:AB,23,FALSE),"")</f>
        <v/>
      </c>
      <c r="O1466" t="str">
        <f>IFERROR(VLOOKUP(D1466,'Team Data'!C:AB,22,FALSE),"")</f>
        <v/>
      </c>
      <c r="P1466" t="str">
        <f t="shared" si="47"/>
        <v/>
      </c>
      <c r="Q1466" t="str">
        <f>IFERROR(VLOOKUP(D1466,'Team Data'!C:AB,15,FALSE),"")</f>
        <v/>
      </c>
      <c r="R1466" t="str">
        <f>IFERROR(VLOOKUP('OB Format'!D1466,'Team Data'!C:AB,24,FALSE),"")</f>
        <v/>
      </c>
      <c r="S1466" t="str">
        <f>IFERROR(VLOOKUP('OB Format'!D1466,'Team Data'!C:AC,25,FALSE),"")</f>
        <v/>
      </c>
    </row>
    <row r="1467" spans="5:19" x14ac:dyDescent="0.25">
      <c r="E1467" t="str">
        <f>IFERROR(VLOOKUP(D1467,'Team Data'!C:AB,4,FALSE),"")</f>
        <v/>
      </c>
      <c r="F1467" t="str">
        <f>IFERROR(VLOOKUP(D1467,'Team Data'!C:AB,5,FALSE),"")</f>
        <v/>
      </c>
      <c r="G1467" t="str">
        <f>IFERROR(VLOOKUP('OB Format'!D1467,'Team Data'!C:AB,17,FALSE),"")</f>
        <v/>
      </c>
      <c r="H1467" t="str">
        <f>IFERROR(VLOOKUP(D1467,'Team Data'!C:AB,7,FALSE),"")</f>
        <v/>
      </c>
      <c r="I1467" t="str">
        <f>IFERROR(VLOOKUP(D1467,'Team Data'!C:AB,14,FALSE),"")</f>
        <v/>
      </c>
      <c r="J1467" t="str">
        <f>IFERROR(VLOOKUP(D1467,'Team Data'!C:AB,8,FALSE),"")</f>
        <v/>
      </c>
      <c r="K1467" t="str">
        <f>IFERROR(VLOOKUP(D1467,'Team Data'!C:AB,9,FALSE),"")</f>
        <v/>
      </c>
      <c r="L1467" t="str">
        <f>IFERROR(VLOOKUP(D1467,'Team Data'!C:AB,10,FALSE),"")</f>
        <v/>
      </c>
      <c r="M1467" t="str">
        <f t="shared" si="46"/>
        <v/>
      </c>
      <c r="N1467" t="str">
        <f>IFERROR(VLOOKUP(D1467,'Team Data'!C:AB,23,FALSE),"")</f>
        <v/>
      </c>
      <c r="O1467" t="str">
        <f>IFERROR(VLOOKUP(D1467,'Team Data'!C:AB,22,FALSE),"")</f>
        <v/>
      </c>
      <c r="P1467" t="str">
        <f t="shared" si="47"/>
        <v/>
      </c>
      <c r="Q1467" t="str">
        <f>IFERROR(VLOOKUP(D1467,'Team Data'!C:AB,15,FALSE),"")</f>
        <v/>
      </c>
      <c r="R1467" t="str">
        <f>IFERROR(VLOOKUP('OB Format'!D1467,'Team Data'!C:AB,24,FALSE),"")</f>
        <v/>
      </c>
      <c r="S1467" t="str">
        <f>IFERROR(VLOOKUP('OB Format'!D1467,'Team Data'!C:AC,25,FALSE),"")</f>
        <v/>
      </c>
    </row>
    <row r="1468" spans="5:19" x14ac:dyDescent="0.25">
      <c r="E1468" t="str">
        <f>IFERROR(VLOOKUP(D1468,'Team Data'!C:AB,4,FALSE),"")</f>
        <v/>
      </c>
      <c r="F1468" t="str">
        <f>IFERROR(VLOOKUP(D1468,'Team Data'!C:AB,5,FALSE),"")</f>
        <v/>
      </c>
      <c r="G1468" t="str">
        <f>IFERROR(VLOOKUP('OB Format'!D1468,'Team Data'!C:AB,17,FALSE),"")</f>
        <v/>
      </c>
      <c r="H1468" t="str">
        <f>IFERROR(VLOOKUP(D1468,'Team Data'!C:AB,7,FALSE),"")</f>
        <v/>
      </c>
      <c r="I1468" t="str">
        <f>IFERROR(VLOOKUP(D1468,'Team Data'!C:AB,14,FALSE),"")</f>
        <v/>
      </c>
      <c r="J1468" t="str">
        <f>IFERROR(VLOOKUP(D1468,'Team Data'!C:AB,8,FALSE),"")</f>
        <v/>
      </c>
      <c r="K1468" t="str">
        <f>IFERROR(VLOOKUP(D1468,'Team Data'!C:AB,9,FALSE),"")</f>
        <v/>
      </c>
      <c r="L1468" t="str">
        <f>IFERROR(VLOOKUP(D1468,'Team Data'!C:AB,10,FALSE),"")</f>
        <v/>
      </c>
      <c r="M1468" t="str">
        <f t="shared" si="46"/>
        <v/>
      </c>
      <c r="N1468" t="str">
        <f>IFERROR(VLOOKUP(D1468,'Team Data'!C:AB,23,FALSE),"")</f>
        <v/>
      </c>
      <c r="O1468" t="str">
        <f>IFERROR(VLOOKUP(D1468,'Team Data'!C:AB,22,FALSE),"")</f>
        <v/>
      </c>
      <c r="P1468" t="str">
        <f t="shared" si="47"/>
        <v/>
      </c>
      <c r="Q1468" t="str">
        <f>IFERROR(VLOOKUP(D1468,'Team Data'!C:AB,15,FALSE),"")</f>
        <v/>
      </c>
      <c r="R1468" t="str">
        <f>IFERROR(VLOOKUP('OB Format'!D1468,'Team Data'!C:AB,24,FALSE),"")</f>
        <v/>
      </c>
      <c r="S1468" t="str">
        <f>IFERROR(VLOOKUP('OB Format'!D1468,'Team Data'!C:AC,25,FALSE),"")</f>
        <v/>
      </c>
    </row>
    <row r="1469" spans="5:19" x14ac:dyDescent="0.25">
      <c r="E1469" t="str">
        <f>IFERROR(VLOOKUP(D1469,'Team Data'!C:AB,4,FALSE),"")</f>
        <v/>
      </c>
      <c r="F1469" t="str">
        <f>IFERROR(VLOOKUP(D1469,'Team Data'!C:AB,5,FALSE),"")</f>
        <v/>
      </c>
      <c r="G1469" t="str">
        <f>IFERROR(VLOOKUP('OB Format'!D1469,'Team Data'!C:AB,17,FALSE),"")</f>
        <v/>
      </c>
      <c r="H1469" t="str">
        <f>IFERROR(VLOOKUP(D1469,'Team Data'!C:AB,7,FALSE),"")</f>
        <v/>
      </c>
      <c r="I1469" t="str">
        <f>IFERROR(VLOOKUP(D1469,'Team Data'!C:AB,14,FALSE),"")</f>
        <v/>
      </c>
      <c r="J1469" t="str">
        <f>IFERROR(VLOOKUP(D1469,'Team Data'!C:AB,8,FALSE),"")</f>
        <v/>
      </c>
      <c r="K1469" t="str">
        <f>IFERROR(VLOOKUP(D1469,'Team Data'!C:AB,9,FALSE),"")</f>
        <v/>
      </c>
      <c r="L1469" t="str">
        <f>IFERROR(VLOOKUP(D1469,'Team Data'!C:AB,10,FALSE),"")</f>
        <v/>
      </c>
      <c r="M1469" t="str">
        <f t="shared" si="46"/>
        <v/>
      </c>
      <c r="N1469" t="str">
        <f>IFERROR(VLOOKUP(D1469,'Team Data'!C:AB,23,FALSE),"")</f>
        <v/>
      </c>
      <c r="O1469" t="str">
        <f>IFERROR(VLOOKUP(D1469,'Team Data'!C:AB,22,FALSE),"")</f>
        <v/>
      </c>
      <c r="P1469" t="str">
        <f t="shared" si="47"/>
        <v/>
      </c>
      <c r="Q1469" t="str">
        <f>IFERROR(VLOOKUP(D1469,'Team Data'!C:AB,15,FALSE),"")</f>
        <v/>
      </c>
      <c r="R1469" t="str">
        <f>IFERROR(VLOOKUP('OB Format'!D1469,'Team Data'!C:AB,24,FALSE),"")</f>
        <v/>
      </c>
      <c r="S1469" t="str">
        <f>IFERROR(VLOOKUP('OB Format'!D1469,'Team Data'!C:AC,25,FALSE),"")</f>
        <v/>
      </c>
    </row>
    <row r="1470" spans="5:19" x14ac:dyDescent="0.25">
      <c r="E1470" t="str">
        <f>IFERROR(VLOOKUP(D1470,'Team Data'!C:AB,4,FALSE),"")</f>
        <v/>
      </c>
      <c r="F1470" t="str">
        <f>IFERROR(VLOOKUP(D1470,'Team Data'!C:AB,5,FALSE),"")</f>
        <v/>
      </c>
      <c r="G1470" t="str">
        <f>IFERROR(VLOOKUP('OB Format'!D1470,'Team Data'!C:AB,17,FALSE),"")</f>
        <v/>
      </c>
      <c r="H1470" t="str">
        <f>IFERROR(VLOOKUP(D1470,'Team Data'!C:AB,7,FALSE),"")</f>
        <v/>
      </c>
      <c r="I1470" t="str">
        <f>IFERROR(VLOOKUP(D1470,'Team Data'!C:AB,14,FALSE),"")</f>
        <v/>
      </c>
      <c r="J1470" t="str">
        <f>IFERROR(VLOOKUP(D1470,'Team Data'!C:AB,8,FALSE),"")</f>
        <v/>
      </c>
      <c r="K1470" t="str">
        <f>IFERROR(VLOOKUP(D1470,'Team Data'!C:AB,9,FALSE),"")</f>
        <v/>
      </c>
      <c r="L1470" t="str">
        <f>IFERROR(VLOOKUP(D1470,'Team Data'!C:AB,10,FALSE),"")</f>
        <v/>
      </c>
      <c r="M1470" t="str">
        <f t="shared" si="46"/>
        <v/>
      </c>
      <c r="N1470" t="str">
        <f>IFERROR(VLOOKUP(D1470,'Team Data'!C:AB,23,FALSE),"")</f>
        <v/>
      </c>
      <c r="O1470" t="str">
        <f>IFERROR(VLOOKUP(D1470,'Team Data'!C:AB,22,FALSE),"")</f>
        <v/>
      </c>
      <c r="P1470" t="str">
        <f t="shared" si="47"/>
        <v/>
      </c>
      <c r="Q1470" t="str">
        <f>IFERROR(VLOOKUP(D1470,'Team Data'!C:AB,15,FALSE),"")</f>
        <v/>
      </c>
      <c r="R1470" t="str">
        <f>IFERROR(VLOOKUP('OB Format'!D1470,'Team Data'!C:AB,24,FALSE),"")</f>
        <v/>
      </c>
      <c r="S1470" t="str">
        <f>IFERROR(VLOOKUP('OB Format'!D1470,'Team Data'!C:AC,25,FALSE),"")</f>
        <v/>
      </c>
    </row>
    <row r="1471" spans="5:19" x14ac:dyDescent="0.25">
      <c r="E1471" t="str">
        <f>IFERROR(VLOOKUP(D1471,'Team Data'!C:AB,4,FALSE),"")</f>
        <v/>
      </c>
      <c r="F1471" t="str">
        <f>IFERROR(VLOOKUP(D1471,'Team Data'!C:AB,5,FALSE),"")</f>
        <v/>
      </c>
      <c r="G1471" t="str">
        <f>IFERROR(VLOOKUP('OB Format'!D1471,'Team Data'!C:AB,17,FALSE),"")</f>
        <v/>
      </c>
      <c r="H1471" t="str">
        <f>IFERROR(VLOOKUP(D1471,'Team Data'!C:AB,7,FALSE),"")</f>
        <v/>
      </c>
      <c r="I1471" t="str">
        <f>IFERROR(VLOOKUP(D1471,'Team Data'!C:AB,14,FALSE),"")</f>
        <v/>
      </c>
      <c r="J1471" t="str">
        <f>IFERROR(VLOOKUP(D1471,'Team Data'!C:AB,8,FALSE),"")</f>
        <v/>
      </c>
      <c r="K1471" t="str">
        <f>IFERROR(VLOOKUP(D1471,'Team Data'!C:AB,9,FALSE),"")</f>
        <v/>
      </c>
      <c r="L1471" t="str">
        <f>IFERROR(VLOOKUP(D1471,'Team Data'!C:AB,10,FALSE),"")</f>
        <v/>
      </c>
      <c r="M1471" t="str">
        <f t="shared" si="46"/>
        <v/>
      </c>
      <c r="N1471" t="str">
        <f>IFERROR(VLOOKUP(D1471,'Team Data'!C:AB,23,FALSE),"")</f>
        <v/>
      </c>
      <c r="O1471" t="str">
        <f>IFERROR(VLOOKUP(D1471,'Team Data'!C:AB,22,FALSE),"")</f>
        <v/>
      </c>
      <c r="P1471" t="str">
        <f t="shared" si="47"/>
        <v/>
      </c>
      <c r="Q1471" t="str">
        <f>IFERROR(VLOOKUP(D1471,'Team Data'!C:AB,15,FALSE),"")</f>
        <v/>
      </c>
      <c r="R1471" t="str">
        <f>IFERROR(VLOOKUP('OB Format'!D1471,'Team Data'!C:AB,24,FALSE),"")</f>
        <v/>
      </c>
      <c r="S1471" t="str">
        <f>IFERROR(VLOOKUP('OB Format'!D1471,'Team Data'!C:AC,25,FALSE),"")</f>
        <v/>
      </c>
    </row>
    <row r="1472" spans="5:19" x14ac:dyDescent="0.25">
      <c r="E1472" t="str">
        <f>IFERROR(VLOOKUP(D1472,'Team Data'!C:AB,4,FALSE),"")</f>
        <v/>
      </c>
      <c r="F1472" t="str">
        <f>IFERROR(VLOOKUP(D1472,'Team Data'!C:AB,5,FALSE),"")</f>
        <v/>
      </c>
      <c r="G1472" t="str">
        <f>IFERROR(VLOOKUP('OB Format'!D1472,'Team Data'!C:AB,17,FALSE),"")</f>
        <v/>
      </c>
      <c r="H1472" t="str">
        <f>IFERROR(VLOOKUP(D1472,'Team Data'!C:AB,7,FALSE),"")</f>
        <v/>
      </c>
      <c r="I1472" t="str">
        <f>IFERROR(VLOOKUP(D1472,'Team Data'!C:AB,14,FALSE),"")</f>
        <v/>
      </c>
      <c r="J1472" t="str">
        <f>IFERROR(VLOOKUP(D1472,'Team Data'!C:AB,8,FALSE),"")</f>
        <v/>
      </c>
      <c r="K1472" t="str">
        <f>IFERROR(VLOOKUP(D1472,'Team Data'!C:AB,9,FALSE),"")</f>
        <v/>
      </c>
      <c r="L1472" t="str">
        <f>IFERROR(VLOOKUP(D1472,'Team Data'!C:AB,10,FALSE),"")</f>
        <v/>
      </c>
      <c r="M1472" t="str">
        <f t="shared" si="46"/>
        <v/>
      </c>
      <c r="N1472" t="str">
        <f>IFERROR(VLOOKUP(D1472,'Team Data'!C:AB,23,FALSE),"")</f>
        <v/>
      </c>
      <c r="O1472" t="str">
        <f>IFERROR(VLOOKUP(D1472,'Team Data'!C:AB,22,FALSE),"")</f>
        <v/>
      </c>
      <c r="P1472" t="str">
        <f t="shared" si="47"/>
        <v/>
      </c>
      <c r="Q1472" t="str">
        <f>IFERROR(VLOOKUP(D1472,'Team Data'!C:AB,15,FALSE),"")</f>
        <v/>
      </c>
      <c r="R1472" t="str">
        <f>IFERROR(VLOOKUP('OB Format'!D1472,'Team Data'!C:AB,24,FALSE),"")</f>
        <v/>
      </c>
      <c r="S1472" t="str">
        <f>IFERROR(VLOOKUP('OB Format'!D1472,'Team Data'!C:AC,25,FALSE),"")</f>
        <v/>
      </c>
    </row>
    <row r="1473" spans="5:19" x14ac:dyDescent="0.25">
      <c r="E1473" t="str">
        <f>IFERROR(VLOOKUP(D1473,'Team Data'!C:AB,4,FALSE),"")</f>
        <v/>
      </c>
      <c r="F1473" t="str">
        <f>IFERROR(VLOOKUP(D1473,'Team Data'!C:AB,5,FALSE),"")</f>
        <v/>
      </c>
      <c r="G1473" t="str">
        <f>IFERROR(VLOOKUP('OB Format'!D1473,'Team Data'!C:AB,17,FALSE),"")</f>
        <v/>
      </c>
      <c r="H1473" t="str">
        <f>IFERROR(VLOOKUP(D1473,'Team Data'!C:AB,7,FALSE),"")</f>
        <v/>
      </c>
      <c r="I1473" t="str">
        <f>IFERROR(VLOOKUP(D1473,'Team Data'!C:AB,14,FALSE),"")</f>
        <v/>
      </c>
      <c r="J1473" t="str">
        <f>IFERROR(VLOOKUP(D1473,'Team Data'!C:AB,8,FALSE),"")</f>
        <v/>
      </c>
      <c r="K1473" t="str">
        <f>IFERROR(VLOOKUP(D1473,'Team Data'!C:AB,9,FALSE),"")</f>
        <v/>
      </c>
      <c r="L1473" t="str">
        <f>IFERROR(VLOOKUP(D1473,'Team Data'!C:AB,10,FALSE),"")</f>
        <v/>
      </c>
      <c r="M1473" t="str">
        <f t="shared" si="46"/>
        <v/>
      </c>
      <c r="N1473" t="str">
        <f>IFERROR(VLOOKUP(D1473,'Team Data'!C:AB,23,FALSE),"")</f>
        <v/>
      </c>
      <c r="O1473" t="str">
        <f>IFERROR(VLOOKUP(D1473,'Team Data'!C:AB,22,FALSE),"")</f>
        <v/>
      </c>
      <c r="P1473" t="str">
        <f t="shared" si="47"/>
        <v/>
      </c>
      <c r="Q1473" t="str">
        <f>IFERROR(VLOOKUP(D1473,'Team Data'!C:AB,15,FALSE),"")</f>
        <v/>
      </c>
      <c r="R1473" t="str">
        <f>IFERROR(VLOOKUP('OB Format'!D1473,'Team Data'!C:AB,24,FALSE),"")</f>
        <v/>
      </c>
      <c r="S1473" t="str">
        <f>IFERROR(VLOOKUP('OB Format'!D1473,'Team Data'!C:AC,25,FALSE),"")</f>
        <v/>
      </c>
    </row>
    <row r="1474" spans="5:19" x14ac:dyDescent="0.25">
      <c r="E1474" t="str">
        <f>IFERROR(VLOOKUP(D1474,'Team Data'!C:AB,4,FALSE),"")</f>
        <v/>
      </c>
      <c r="F1474" t="str">
        <f>IFERROR(VLOOKUP(D1474,'Team Data'!C:AB,5,FALSE),"")</f>
        <v/>
      </c>
      <c r="G1474" t="str">
        <f>IFERROR(VLOOKUP('OB Format'!D1474,'Team Data'!C:AB,17,FALSE),"")</f>
        <v/>
      </c>
      <c r="H1474" t="str">
        <f>IFERROR(VLOOKUP(D1474,'Team Data'!C:AB,7,FALSE),"")</f>
        <v/>
      </c>
      <c r="I1474" t="str">
        <f>IFERROR(VLOOKUP(D1474,'Team Data'!C:AB,14,FALSE),"")</f>
        <v/>
      </c>
      <c r="J1474" t="str">
        <f>IFERROR(VLOOKUP(D1474,'Team Data'!C:AB,8,FALSE),"")</f>
        <v/>
      </c>
      <c r="K1474" t="str">
        <f>IFERROR(VLOOKUP(D1474,'Team Data'!C:AB,9,FALSE),"")</f>
        <v/>
      </c>
      <c r="L1474" t="str">
        <f>IFERROR(VLOOKUP(D1474,'Team Data'!C:AB,10,FALSE),"")</f>
        <v/>
      </c>
      <c r="M1474" t="str">
        <f t="shared" si="46"/>
        <v/>
      </c>
      <c r="N1474" t="str">
        <f>IFERROR(VLOOKUP(D1474,'Team Data'!C:AB,23,FALSE),"")</f>
        <v/>
      </c>
      <c r="O1474" t="str">
        <f>IFERROR(VLOOKUP(D1474,'Team Data'!C:AB,22,FALSE),"")</f>
        <v/>
      </c>
      <c r="P1474" t="str">
        <f t="shared" si="47"/>
        <v/>
      </c>
      <c r="Q1474" t="str">
        <f>IFERROR(VLOOKUP(D1474,'Team Data'!C:AB,15,FALSE),"")</f>
        <v/>
      </c>
      <c r="R1474" t="str">
        <f>IFERROR(VLOOKUP('OB Format'!D1474,'Team Data'!C:AB,24,FALSE),"")</f>
        <v/>
      </c>
      <c r="S1474" t="str">
        <f>IFERROR(VLOOKUP('OB Format'!D1474,'Team Data'!C:AC,25,FALSE),"")</f>
        <v/>
      </c>
    </row>
    <row r="1475" spans="5:19" x14ac:dyDescent="0.25">
      <c r="E1475" t="str">
        <f>IFERROR(VLOOKUP(D1475,'Team Data'!C:AB,4,FALSE),"")</f>
        <v/>
      </c>
      <c r="F1475" t="str">
        <f>IFERROR(VLOOKUP(D1475,'Team Data'!C:AB,5,FALSE),"")</f>
        <v/>
      </c>
      <c r="G1475" t="str">
        <f>IFERROR(VLOOKUP('OB Format'!D1475,'Team Data'!C:AB,17,FALSE),"")</f>
        <v/>
      </c>
      <c r="H1475" t="str">
        <f>IFERROR(VLOOKUP(D1475,'Team Data'!C:AB,7,FALSE),"")</f>
        <v/>
      </c>
      <c r="I1475" t="str">
        <f>IFERROR(VLOOKUP(D1475,'Team Data'!C:AB,14,FALSE),"")</f>
        <v/>
      </c>
      <c r="J1475" t="str">
        <f>IFERROR(VLOOKUP(D1475,'Team Data'!C:AB,8,FALSE),"")</f>
        <v/>
      </c>
      <c r="K1475" t="str">
        <f>IFERROR(VLOOKUP(D1475,'Team Data'!C:AB,9,FALSE),"")</f>
        <v/>
      </c>
      <c r="L1475" t="str">
        <f>IFERROR(VLOOKUP(D1475,'Team Data'!C:AB,10,FALSE),"")</f>
        <v/>
      </c>
      <c r="M1475" t="str">
        <f t="shared" si="46"/>
        <v/>
      </c>
      <c r="N1475" t="str">
        <f>IFERROR(VLOOKUP(D1475,'Team Data'!C:AB,23,FALSE),"")</f>
        <v/>
      </c>
      <c r="O1475" t="str">
        <f>IFERROR(VLOOKUP(D1475,'Team Data'!C:AB,22,FALSE),"")</f>
        <v/>
      </c>
      <c r="P1475" t="str">
        <f t="shared" si="47"/>
        <v/>
      </c>
      <c r="Q1475" t="str">
        <f>IFERROR(VLOOKUP(D1475,'Team Data'!C:AB,15,FALSE),"")</f>
        <v/>
      </c>
      <c r="R1475" t="str">
        <f>IFERROR(VLOOKUP('OB Format'!D1475,'Team Data'!C:AB,24,FALSE),"")</f>
        <v/>
      </c>
      <c r="S1475" t="str">
        <f>IFERROR(VLOOKUP('OB Format'!D1475,'Team Data'!C:AC,25,FALSE),"")</f>
        <v/>
      </c>
    </row>
    <row r="1476" spans="5:19" x14ac:dyDescent="0.25">
      <c r="E1476" t="str">
        <f>IFERROR(VLOOKUP(D1476,'Team Data'!C:AB,4,FALSE),"")</f>
        <v/>
      </c>
      <c r="F1476" t="str">
        <f>IFERROR(VLOOKUP(D1476,'Team Data'!C:AB,5,FALSE),"")</f>
        <v/>
      </c>
      <c r="G1476" t="str">
        <f>IFERROR(VLOOKUP('OB Format'!D1476,'Team Data'!C:AB,17,FALSE),"")</f>
        <v/>
      </c>
      <c r="H1476" t="str">
        <f>IFERROR(VLOOKUP(D1476,'Team Data'!C:AB,7,FALSE),"")</f>
        <v/>
      </c>
      <c r="I1476" t="str">
        <f>IFERROR(VLOOKUP(D1476,'Team Data'!C:AB,14,FALSE),"")</f>
        <v/>
      </c>
      <c r="J1476" t="str">
        <f>IFERROR(VLOOKUP(D1476,'Team Data'!C:AB,8,FALSE),"")</f>
        <v/>
      </c>
      <c r="K1476" t="str">
        <f>IFERROR(VLOOKUP(D1476,'Team Data'!C:AB,9,FALSE),"")</f>
        <v/>
      </c>
      <c r="L1476" t="str">
        <f>IFERROR(VLOOKUP(D1476,'Team Data'!C:AB,10,FALSE),"")</f>
        <v/>
      </c>
      <c r="M1476" t="str">
        <f t="shared" si="46"/>
        <v/>
      </c>
      <c r="N1476" t="str">
        <f>IFERROR(VLOOKUP(D1476,'Team Data'!C:AB,23,FALSE),"")</f>
        <v/>
      </c>
      <c r="O1476" t="str">
        <f>IFERROR(VLOOKUP(D1476,'Team Data'!C:AB,22,FALSE),"")</f>
        <v/>
      </c>
      <c r="P1476" t="str">
        <f t="shared" si="47"/>
        <v/>
      </c>
      <c r="Q1476" t="str">
        <f>IFERROR(VLOOKUP(D1476,'Team Data'!C:AB,15,FALSE),"")</f>
        <v/>
      </c>
      <c r="R1476" t="str">
        <f>IFERROR(VLOOKUP('OB Format'!D1476,'Team Data'!C:AB,24,FALSE),"")</f>
        <v/>
      </c>
      <c r="S1476" t="str">
        <f>IFERROR(VLOOKUP('OB Format'!D1476,'Team Data'!C:AC,25,FALSE),"")</f>
        <v/>
      </c>
    </row>
    <row r="1477" spans="5:19" x14ac:dyDescent="0.25">
      <c r="E1477" t="str">
        <f>IFERROR(VLOOKUP(D1477,'Team Data'!C:AB,4,FALSE),"")</f>
        <v/>
      </c>
      <c r="F1477" t="str">
        <f>IFERROR(VLOOKUP(D1477,'Team Data'!C:AB,5,FALSE),"")</f>
        <v/>
      </c>
      <c r="G1477" t="str">
        <f>IFERROR(VLOOKUP('OB Format'!D1477,'Team Data'!C:AB,17,FALSE),"")</f>
        <v/>
      </c>
      <c r="H1477" t="str">
        <f>IFERROR(VLOOKUP(D1477,'Team Data'!C:AB,7,FALSE),"")</f>
        <v/>
      </c>
      <c r="I1477" t="str">
        <f>IFERROR(VLOOKUP(D1477,'Team Data'!C:AB,14,FALSE),"")</f>
        <v/>
      </c>
      <c r="J1477" t="str">
        <f>IFERROR(VLOOKUP(D1477,'Team Data'!C:AB,8,FALSE),"")</f>
        <v/>
      </c>
      <c r="K1477" t="str">
        <f>IFERROR(VLOOKUP(D1477,'Team Data'!C:AB,9,FALSE),"")</f>
        <v/>
      </c>
      <c r="L1477" t="str">
        <f>IFERROR(VLOOKUP(D1477,'Team Data'!C:AB,10,FALSE),"")</f>
        <v/>
      </c>
      <c r="M1477" t="str">
        <f t="shared" si="46"/>
        <v/>
      </c>
      <c r="N1477" t="str">
        <f>IFERROR(VLOOKUP(D1477,'Team Data'!C:AB,23,FALSE),"")</f>
        <v/>
      </c>
      <c r="O1477" t="str">
        <f>IFERROR(VLOOKUP(D1477,'Team Data'!C:AB,22,FALSE),"")</f>
        <v/>
      </c>
      <c r="P1477" t="str">
        <f t="shared" si="47"/>
        <v/>
      </c>
      <c r="Q1477" t="str">
        <f>IFERROR(VLOOKUP(D1477,'Team Data'!C:AB,15,FALSE),"")</f>
        <v/>
      </c>
      <c r="R1477" t="str">
        <f>IFERROR(VLOOKUP('OB Format'!D1477,'Team Data'!C:AB,24,FALSE),"")</f>
        <v/>
      </c>
      <c r="S1477" t="str">
        <f>IFERROR(VLOOKUP('OB Format'!D1477,'Team Data'!C:AC,25,FALSE),"")</f>
        <v/>
      </c>
    </row>
    <row r="1478" spans="5:19" x14ac:dyDescent="0.25">
      <c r="E1478" t="str">
        <f>IFERROR(VLOOKUP(D1478,'Team Data'!C:AB,4,FALSE),"")</f>
        <v/>
      </c>
      <c r="F1478" t="str">
        <f>IFERROR(VLOOKUP(D1478,'Team Data'!C:AB,5,FALSE),"")</f>
        <v/>
      </c>
      <c r="G1478" t="str">
        <f>IFERROR(VLOOKUP('OB Format'!D1478,'Team Data'!C:AB,17,FALSE),"")</f>
        <v/>
      </c>
      <c r="H1478" t="str">
        <f>IFERROR(VLOOKUP(D1478,'Team Data'!C:AB,7,FALSE),"")</f>
        <v/>
      </c>
      <c r="I1478" t="str">
        <f>IFERROR(VLOOKUP(D1478,'Team Data'!C:AB,14,FALSE),"")</f>
        <v/>
      </c>
      <c r="J1478" t="str">
        <f>IFERROR(VLOOKUP(D1478,'Team Data'!C:AB,8,FALSE),"")</f>
        <v/>
      </c>
      <c r="K1478" t="str">
        <f>IFERROR(VLOOKUP(D1478,'Team Data'!C:AB,9,FALSE),"")</f>
        <v/>
      </c>
      <c r="L1478" t="str">
        <f>IFERROR(VLOOKUP(D1478,'Team Data'!C:AB,10,FALSE),"")</f>
        <v/>
      </c>
      <c r="M1478" t="str">
        <f t="shared" si="46"/>
        <v/>
      </c>
      <c r="N1478" t="str">
        <f>IFERROR(VLOOKUP(D1478,'Team Data'!C:AB,23,FALSE),"")</f>
        <v/>
      </c>
      <c r="O1478" t="str">
        <f>IFERROR(VLOOKUP(D1478,'Team Data'!C:AB,22,FALSE),"")</f>
        <v/>
      </c>
      <c r="P1478" t="str">
        <f t="shared" si="47"/>
        <v/>
      </c>
      <c r="Q1478" t="str">
        <f>IFERROR(VLOOKUP(D1478,'Team Data'!C:AB,15,FALSE),"")</f>
        <v/>
      </c>
      <c r="R1478" t="str">
        <f>IFERROR(VLOOKUP('OB Format'!D1478,'Team Data'!C:AB,24,FALSE),"")</f>
        <v/>
      </c>
      <c r="S1478" t="str">
        <f>IFERROR(VLOOKUP('OB Format'!D1478,'Team Data'!C:AC,25,FALSE),"")</f>
        <v/>
      </c>
    </row>
    <row r="1479" spans="5:19" x14ac:dyDescent="0.25">
      <c r="E1479" t="str">
        <f>IFERROR(VLOOKUP(D1479,'Team Data'!C:AB,4,FALSE),"")</f>
        <v/>
      </c>
      <c r="F1479" t="str">
        <f>IFERROR(VLOOKUP(D1479,'Team Data'!C:AB,5,FALSE),"")</f>
        <v/>
      </c>
      <c r="G1479" t="str">
        <f>IFERROR(VLOOKUP('OB Format'!D1479,'Team Data'!C:AB,17,FALSE),"")</f>
        <v/>
      </c>
      <c r="H1479" t="str">
        <f>IFERROR(VLOOKUP(D1479,'Team Data'!C:AB,7,FALSE),"")</f>
        <v/>
      </c>
      <c r="I1479" t="str">
        <f>IFERROR(VLOOKUP(D1479,'Team Data'!C:AB,14,FALSE),"")</f>
        <v/>
      </c>
      <c r="J1479" t="str">
        <f>IFERROR(VLOOKUP(D1479,'Team Data'!C:AB,8,FALSE),"")</f>
        <v/>
      </c>
      <c r="K1479" t="str">
        <f>IFERROR(VLOOKUP(D1479,'Team Data'!C:AB,9,FALSE),"")</f>
        <v/>
      </c>
      <c r="L1479" t="str">
        <f>IFERROR(VLOOKUP(D1479,'Team Data'!C:AB,10,FALSE),"")</f>
        <v/>
      </c>
      <c r="M1479" t="str">
        <f t="shared" si="46"/>
        <v/>
      </c>
      <c r="N1479" t="str">
        <f>IFERROR(VLOOKUP(D1479,'Team Data'!C:AB,23,FALSE),"")</f>
        <v/>
      </c>
      <c r="O1479" t="str">
        <f>IFERROR(VLOOKUP(D1479,'Team Data'!C:AB,22,FALSE),"")</f>
        <v/>
      </c>
      <c r="P1479" t="str">
        <f t="shared" si="47"/>
        <v/>
      </c>
      <c r="Q1479" t="str">
        <f>IFERROR(VLOOKUP(D1479,'Team Data'!C:AB,15,FALSE),"")</f>
        <v/>
      </c>
      <c r="R1479" t="str">
        <f>IFERROR(VLOOKUP('OB Format'!D1479,'Team Data'!C:AB,24,FALSE),"")</f>
        <v/>
      </c>
      <c r="S1479" t="str">
        <f>IFERROR(VLOOKUP('OB Format'!D1479,'Team Data'!C:AC,25,FALSE),"")</f>
        <v/>
      </c>
    </row>
    <row r="1480" spans="5:19" x14ac:dyDescent="0.25">
      <c r="E1480" t="str">
        <f>IFERROR(VLOOKUP(D1480,'Team Data'!C:AB,4,FALSE),"")</f>
        <v/>
      </c>
      <c r="F1480" t="str">
        <f>IFERROR(VLOOKUP(D1480,'Team Data'!C:AB,5,FALSE),"")</f>
        <v/>
      </c>
      <c r="G1480" t="str">
        <f>IFERROR(VLOOKUP('OB Format'!D1480,'Team Data'!C:AB,17,FALSE),"")</f>
        <v/>
      </c>
      <c r="H1480" t="str">
        <f>IFERROR(VLOOKUP(D1480,'Team Data'!C:AB,7,FALSE),"")</f>
        <v/>
      </c>
      <c r="I1480" t="str">
        <f>IFERROR(VLOOKUP(D1480,'Team Data'!C:AB,14,FALSE),"")</f>
        <v/>
      </c>
      <c r="J1480" t="str">
        <f>IFERROR(VLOOKUP(D1480,'Team Data'!C:AB,8,FALSE),"")</f>
        <v/>
      </c>
      <c r="K1480" t="str">
        <f>IFERROR(VLOOKUP(D1480,'Team Data'!C:AB,9,FALSE),"")</f>
        <v/>
      </c>
      <c r="L1480" t="str">
        <f>IFERROR(VLOOKUP(D1480,'Team Data'!C:AB,10,FALSE),"")</f>
        <v/>
      </c>
      <c r="M1480" t="str">
        <f t="shared" si="46"/>
        <v/>
      </c>
      <c r="N1480" t="str">
        <f>IFERROR(VLOOKUP(D1480,'Team Data'!C:AB,23,FALSE),"")</f>
        <v/>
      </c>
      <c r="O1480" t="str">
        <f>IFERROR(VLOOKUP(D1480,'Team Data'!C:AB,22,FALSE),"")</f>
        <v/>
      </c>
      <c r="P1480" t="str">
        <f t="shared" si="47"/>
        <v/>
      </c>
      <c r="Q1480" t="str">
        <f>IFERROR(VLOOKUP(D1480,'Team Data'!C:AB,15,FALSE),"")</f>
        <v/>
      </c>
      <c r="R1480" t="str">
        <f>IFERROR(VLOOKUP('OB Format'!D1480,'Team Data'!C:AB,24,FALSE),"")</f>
        <v/>
      </c>
      <c r="S1480" t="str">
        <f>IFERROR(VLOOKUP('OB Format'!D1480,'Team Data'!C:AC,25,FALSE),"")</f>
        <v/>
      </c>
    </row>
    <row r="1481" spans="5:19" x14ac:dyDescent="0.25">
      <c r="E1481" t="str">
        <f>IFERROR(VLOOKUP(D1481,'Team Data'!C:AB,4,FALSE),"")</f>
        <v/>
      </c>
      <c r="F1481" t="str">
        <f>IFERROR(VLOOKUP(D1481,'Team Data'!C:AB,5,FALSE),"")</f>
        <v/>
      </c>
      <c r="G1481" t="str">
        <f>IFERROR(VLOOKUP('OB Format'!D1481,'Team Data'!C:AB,17,FALSE),"")</f>
        <v/>
      </c>
      <c r="H1481" t="str">
        <f>IFERROR(VLOOKUP(D1481,'Team Data'!C:AB,7,FALSE),"")</f>
        <v/>
      </c>
      <c r="I1481" t="str">
        <f>IFERROR(VLOOKUP(D1481,'Team Data'!C:AB,14,FALSE),"")</f>
        <v/>
      </c>
      <c r="J1481" t="str">
        <f>IFERROR(VLOOKUP(D1481,'Team Data'!C:AB,8,FALSE),"")</f>
        <v/>
      </c>
      <c r="K1481" t="str">
        <f>IFERROR(VLOOKUP(D1481,'Team Data'!C:AB,9,FALSE),"")</f>
        <v/>
      </c>
      <c r="L1481" t="str">
        <f>IFERROR(VLOOKUP(D1481,'Team Data'!C:AB,10,FALSE),"")</f>
        <v/>
      </c>
      <c r="M1481" t="str">
        <f t="shared" si="46"/>
        <v/>
      </c>
      <c r="N1481" t="str">
        <f>IFERROR(VLOOKUP(D1481,'Team Data'!C:AB,23,FALSE),"")</f>
        <v/>
      </c>
      <c r="O1481" t="str">
        <f>IFERROR(VLOOKUP(D1481,'Team Data'!C:AB,22,FALSE),"")</f>
        <v/>
      </c>
      <c r="P1481" t="str">
        <f t="shared" si="47"/>
        <v/>
      </c>
      <c r="Q1481" t="str">
        <f>IFERROR(VLOOKUP(D1481,'Team Data'!C:AB,15,FALSE),"")</f>
        <v/>
      </c>
      <c r="R1481" t="str">
        <f>IFERROR(VLOOKUP('OB Format'!D1481,'Team Data'!C:AB,24,FALSE),"")</f>
        <v/>
      </c>
      <c r="S1481" t="str">
        <f>IFERROR(VLOOKUP('OB Format'!D1481,'Team Data'!C:AC,25,FALSE),"")</f>
        <v/>
      </c>
    </row>
    <row r="1482" spans="5:19" x14ac:dyDescent="0.25">
      <c r="E1482" t="str">
        <f>IFERROR(VLOOKUP(D1482,'Team Data'!C:AB,4,FALSE),"")</f>
        <v/>
      </c>
      <c r="F1482" t="str">
        <f>IFERROR(VLOOKUP(D1482,'Team Data'!C:AB,5,FALSE),"")</f>
        <v/>
      </c>
      <c r="G1482" t="str">
        <f>IFERROR(VLOOKUP('OB Format'!D1482,'Team Data'!C:AB,17,FALSE),"")</f>
        <v/>
      </c>
      <c r="H1482" t="str">
        <f>IFERROR(VLOOKUP(D1482,'Team Data'!C:AB,7,FALSE),"")</f>
        <v/>
      </c>
      <c r="I1482" t="str">
        <f>IFERROR(VLOOKUP(D1482,'Team Data'!C:AB,14,FALSE),"")</f>
        <v/>
      </c>
      <c r="J1482" t="str">
        <f>IFERROR(VLOOKUP(D1482,'Team Data'!C:AB,8,FALSE),"")</f>
        <v/>
      </c>
      <c r="K1482" t="str">
        <f>IFERROR(VLOOKUP(D1482,'Team Data'!C:AB,9,FALSE),"")</f>
        <v/>
      </c>
      <c r="L1482" t="str">
        <f>IFERROR(VLOOKUP(D1482,'Team Data'!C:AB,10,FALSE),"")</f>
        <v/>
      </c>
      <c r="M1482" t="str">
        <f t="shared" si="46"/>
        <v/>
      </c>
      <c r="N1482" t="str">
        <f>IFERROR(VLOOKUP(D1482,'Team Data'!C:AB,23,FALSE),"")</f>
        <v/>
      </c>
      <c r="O1482" t="str">
        <f>IFERROR(VLOOKUP(D1482,'Team Data'!C:AB,22,FALSE),"")</f>
        <v/>
      </c>
      <c r="P1482" t="str">
        <f t="shared" si="47"/>
        <v/>
      </c>
      <c r="Q1482" t="str">
        <f>IFERROR(VLOOKUP(D1482,'Team Data'!C:AB,15,FALSE),"")</f>
        <v/>
      </c>
      <c r="R1482" t="str">
        <f>IFERROR(VLOOKUP('OB Format'!D1482,'Team Data'!C:AB,24,FALSE),"")</f>
        <v/>
      </c>
      <c r="S1482" t="str">
        <f>IFERROR(VLOOKUP('OB Format'!D1482,'Team Data'!C:AC,25,FALSE),"")</f>
        <v/>
      </c>
    </row>
    <row r="1483" spans="5:19" x14ac:dyDescent="0.25">
      <c r="E1483" t="str">
        <f>IFERROR(VLOOKUP(D1483,'Team Data'!C:AB,4,FALSE),"")</f>
        <v/>
      </c>
      <c r="F1483" t="str">
        <f>IFERROR(VLOOKUP(D1483,'Team Data'!C:AB,5,FALSE),"")</f>
        <v/>
      </c>
      <c r="G1483" t="str">
        <f>IFERROR(VLOOKUP('OB Format'!D1483,'Team Data'!C:AB,17,FALSE),"")</f>
        <v/>
      </c>
      <c r="H1483" t="str">
        <f>IFERROR(VLOOKUP(D1483,'Team Data'!C:AB,7,FALSE),"")</f>
        <v/>
      </c>
      <c r="I1483" t="str">
        <f>IFERROR(VLOOKUP(D1483,'Team Data'!C:AB,14,FALSE),"")</f>
        <v/>
      </c>
      <c r="J1483" t="str">
        <f>IFERROR(VLOOKUP(D1483,'Team Data'!C:AB,8,FALSE),"")</f>
        <v/>
      </c>
      <c r="K1483" t="str">
        <f>IFERROR(VLOOKUP(D1483,'Team Data'!C:AB,9,FALSE),"")</f>
        <v/>
      </c>
      <c r="L1483" t="str">
        <f>IFERROR(VLOOKUP(D1483,'Team Data'!C:AB,10,FALSE),"")</f>
        <v/>
      </c>
      <c r="M1483" t="str">
        <f t="shared" si="46"/>
        <v/>
      </c>
      <c r="N1483" t="str">
        <f>IFERROR(VLOOKUP(D1483,'Team Data'!C:AB,23,FALSE),"")</f>
        <v/>
      </c>
      <c r="O1483" t="str">
        <f>IFERROR(VLOOKUP(D1483,'Team Data'!C:AB,22,FALSE),"")</f>
        <v/>
      </c>
      <c r="P1483" t="str">
        <f t="shared" si="47"/>
        <v/>
      </c>
      <c r="Q1483" t="str">
        <f>IFERROR(VLOOKUP(D1483,'Team Data'!C:AB,15,FALSE),"")</f>
        <v/>
      </c>
      <c r="R1483" t="str">
        <f>IFERROR(VLOOKUP('OB Format'!D1483,'Team Data'!C:AB,24,FALSE),"")</f>
        <v/>
      </c>
      <c r="S1483" t="str">
        <f>IFERROR(VLOOKUP('OB Format'!D1483,'Team Data'!C:AC,25,FALSE),"")</f>
        <v/>
      </c>
    </row>
    <row r="1484" spans="5:19" x14ac:dyDescent="0.25">
      <c r="E1484" t="str">
        <f>IFERROR(VLOOKUP(D1484,'Team Data'!C:AB,4,FALSE),"")</f>
        <v/>
      </c>
      <c r="F1484" t="str">
        <f>IFERROR(VLOOKUP(D1484,'Team Data'!C:AB,5,FALSE),"")</f>
        <v/>
      </c>
      <c r="G1484" t="str">
        <f>IFERROR(VLOOKUP('OB Format'!D1484,'Team Data'!C:AB,17,FALSE),"")</f>
        <v/>
      </c>
      <c r="H1484" t="str">
        <f>IFERROR(VLOOKUP(D1484,'Team Data'!C:AB,7,FALSE),"")</f>
        <v/>
      </c>
      <c r="I1484" t="str">
        <f>IFERROR(VLOOKUP(D1484,'Team Data'!C:AB,14,FALSE),"")</f>
        <v/>
      </c>
      <c r="J1484" t="str">
        <f>IFERROR(VLOOKUP(D1484,'Team Data'!C:AB,8,FALSE),"")</f>
        <v/>
      </c>
      <c r="K1484" t="str">
        <f>IFERROR(VLOOKUP(D1484,'Team Data'!C:AB,9,FALSE),"")</f>
        <v/>
      </c>
      <c r="L1484" t="str">
        <f>IFERROR(VLOOKUP(D1484,'Team Data'!C:AB,10,FALSE),"")</f>
        <v/>
      </c>
      <c r="M1484" t="str">
        <f t="shared" si="46"/>
        <v/>
      </c>
      <c r="N1484" t="str">
        <f>IFERROR(VLOOKUP(D1484,'Team Data'!C:AB,23,FALSE),"")</f>
        <v/>
      </c>
      <c r="O1484" t="str">
        <f>IFERROR(VLOOKUP(D1484,'Team Data'!C:AB,22,FALSE),"")</f>
        <v/>
      </c>
      <c r="P1484" t="str">
        <f t="shared" si="47"/>
        <v/>
      </c>
      <c r="Q1484" t="str">
        <f>IFERROR(VLOOKUP(D1484,'Team Data'!C:AB,15,FALSE),"")</f>
        <v/>
      </c>
      <c r="R1484" t="str">
        <f>IFERROR(VLOOKUP('OB Format'!D1484,'Team Data'!C:AB,24,FALSE),"")</f>
        <v/>
      </c>
      <c r="S1484" t="str">
        <f>IFERROR(VLOOKUP('OB Format'!D1484,'Team Data'!C:AC,25,FALSE),"")</f>
        <v/>
      </c>
    </row>
    <row r="1485" spans="5:19" x14ac:dyDescent="0.25">
      <c r="E1485" t="str">
        <f>IFERROR(VLOOKUP(D1485,'Team Data'!C:AB,4,FALSE),"")</f>
        <v/>
      </c>
      <c r="F1485" t="str">
        <f>IFERROR(VLOOKUP(D1485,'Team Data'!C:AB,5,FALSE),"")</f>
        <v/>
      </c>
      <c r="G1485" t="str">
        <f>IFERROR(VLOOKUP('OB Format'!D1485,'Team Data'!C:AB,17,FALSE),"")</f>
        <v/>
      </c>
      <c r="H1485" t="str">
        <f>IFERROR(VLOOKUP(D1485,'Team Data'!C:AB,7,FALSE),"")</f>
        <v/>
      </c>
      <c r="I1485" t="str">
        <f>IFERROR(VLOOKUP(D1485,'Team Data'!C:AB,14,FALSE),"")</f>
        <v/>
      </c>
      <c r="J1485" t="str">
        <f>IFERROR(VLOOKUP(D1485,'Team Data'!C:AB,8,FALSE),"")</f>
        <v/>
      </c>
      <c r="K1485" t="str">
        <f>IFERROR(VLOOKUP(D1485,'Team Data'!C:AB,9,FALSE),"")</f>
        <v/>
      </c>
      <c r="L1485" t="str">
        <f>IFERROR(VLOOKUP(D1485,'Team Data'!C:AB,10,FALSE),"")</f>
        <v/>
      </c>
      <c r="M1485" t="str">
        <f t="shared" ref="M1485:M1548" si="48">IFERROR(H1485-(J1485+L1485+K1485),"")</f>
        <v/>
      </c>
      <c r="N1485" t="str">
        <f>IFERROR(VLOOKUP(D1485,'Team Data'!C:AB,23,FALSE),"")</f>
        <v/>
      </c>
      <c r="O1485" t="str">
        <f>IFERROR(VLOOKUP(D1485,'Team Data'!C:AB,22,FALSE),"")</f>
        <v/>
      </c>
      <c r="P1485" t="str">
        <f t="shared" ref="P1485:P1548" si="49">IFERROR(E1485-(H1485+N1485+Q1485+I1485+O1485),"")</f>
        <v/>
      </c>
      <c r="Q1485" t="str">
        <f>IFERROR(VLOOKUP(D1485,'Team Data'!C:AB,15,FALSE),"")</f>
        <v/>
      </c>
      <c r="R1485" t="str">
        <f>IFERROR(VLOOKUP('OB Format'!D1485,'Team Data'!C:AB,24,FALSE),"")</f>
        <v/>
      </c>
      <c r="S1485" t="str">
        <f>IFERROR(VLOOKUP('OB Format'!D1485,'Team Data'!C:AC,25,FALSE),"")</f>
        <v/>
      </c>
    </row>
    <row r="1486" spans="5:19" x14ac:dyDescent="0.25">
      <c r="E1486" t="str">
        <f>IFERROR(VLOOKUP(D1486,'Team Data'!C:AB,4,FALSE),"")</f>
        <v/>
      </c>
      <c r="F1486" t="str">
        <f>IFERROR(VLOOKUP(D1486,'Team Data'!C:AB,5,FALSE),"")</f>
        <v/>
      </c>
      <c r="G1486" t="str">
        <f>IFERROR(VLOOKUP('OB Format'!D1486,'Team Data'!C:AB,17,FALSE),"")</f>
        <v/>
      </c>
      <c r="H1486" t="str">
        <f>IFERROR(VLOOKUP(D1486,'Team Data'!C:AB,7,FALSE),"")</f>
        <v/>
      </c>
      <c r="I1486" t="str">
        <f>IFERROR(VLOOKUP(D1486,'Team Data'!C:AB,14,FALSE),"")</f>
        <v/>
      </c>
      <c r="J1486" t="str">
        <f>IFERROR(VLOOKUP(D1486,'Team Data'!C:AB,8,FALSE),"")</f>
        <v/>
      </c>
      <c r="K1486" t="str">
        <f>IFERROR(VLOOKUP(D1486,'Team Data'!C:AB,9,FALSE),"")</f>
        <v/>
      </c>
      <c r="L1486" t="str">
        <f>IFERROR(VLOOKUP(D1486,'Team Data'!C:AB,10,FALSE),"")</f>
        <v/>
      </c>
      <c r="M1486" t="str">
        <f t="shared" si="48"/>
        <v/>
      </c>
      <c r="N1486" t="str">
        <f>IFERROR(VLOOKUP(D1486,'Team Data'!C:AB,23,FALSE),"")</f>
        <v/>
      </c>
      <c r="O1486" t="str">
        <f>IFERROR(VLOOKUP(D1486,'Team Data'!C:AB,22,FALSE),"")</f>
        <v/>
      </c>
      <c r="P1486" t="str">
        <f t="shared" si="49"/>
        <v/>
      </c>
      <c r="Q1486" t="str">
        <f>IFERROR(VLOOKUP(D1486,'Team Data'!C:AB,15,FALSE),"")</f>
        <v/>
      </c>
      <c r="R1486" t="str">
        <f>IFERROR(VLOOKUP('OB Format'!D1486,'Team Data'!C:AB,24,FALSE),"")</f>
        <v/>
      </c>
      <c r="S1486" t="str">
        <f>IFERROR(VLOOKUP('OB Format'!D1486,'Team Data'!C:AC,25,FALSE),"")</f>
        <v/>
      </c>
    </row>
    <row r="1487" spans="5:19" x14ac:dyDescent="0.25">
      <c r="E1487" t="str">
        <f>IFERROR(VLOOKUP(D1487,'Team Data'!C:AB,4,FALSE),"")</f>
        <v/>
      </c>
      <c r="F1487" t="str">
        <f>IFERROR(VLOOKUP(D1487,'Team Data'!C:AB,5,FALSE),"")</f>
        <v/>
      </c>
      <c r="G1487" t="str">
        <f>IFERROR(VLOOKUP('OB Format'!D1487,'Team Data'!C:AB,17,FALSE),"")</f>
        <v/>
      </c>
      <c r="H1487" t="str">
        <f>IFERROR(VLOOKUP(D1487,'Team Data'!C:AB,7,FALSE),"")</f>
        <v/>
      </c>
      <c r="I1487" t="str">
        <f>IFERROR(VLOOKUP(D1487,'Team Data'!C:AB,14,FALSE),"")</f>
        <v/>
      </c>
      <c r="J1487" t="str">
        <f>IFERROR(VLOOKUP(D1487,'Team Data'!C:AB,8,FALSE),"")</f>
        <v/>
      </c>
      <c r="K1487" t="str">
        <f>IFERROR(VLOOKUP(D1487,'Team Data'!C:AB,9,FALSE),"")</f>
        <v/>
      </c>
      <c r="L1487" t="str">
        <f>IFERROR(VLOOKUP(D1487,'Team Data'!C:AB,10,FALSE),"")</f>
        <v/>
      </c>
      <c r="M1487" t="str">
        <f t="shared" si="48"/>
        <v/>
      </c>
      <c r="N1487" t="str">
        <f>IFERROR(VLOOKUP(D1487,'Team Data'!C:AB,23,FALSE),"")</f>
        <v/>
      </c>
      <c r="O1487" t="str">
        <f>IFERROR(VLOOKUP(D1487,'Team Data'!C:AB,22,FALSE),"")</f>
        <v/>
      </c>
      <c r="P1487" t="str">
        <f t="shared" si="49"/>
        <v/>
      </c>
      <c r="Q1487" t="str">
        <f>IFERROR(VLOOKUP(D1487,'Team Data'!C:AB,15,FALSE),"")</f>
        <v/>
      </c>
      <c r="R1487" t="str">
        <f>IFERROR(VLOOKUP('OB Format'!D1487,'Team Data'!C:AB,24,FALSE),"")</f>
        <v/>
      </c>
      <c r="S1487" t="str">
        <f>IFERROR(VLOOKUP('OB Format'!D1487,'Team Data'!C:AC,25,FALSE),"")</f>
        <v/>
      </c>
    </row>
    <row r="1488" spans="5:19" x14ac:dyDescent="0.25">
      <c r="E1488" t="str">
        <f>IFERROR(VLOOKUP(D1488,'Team Data'!C:AB,4,FALSE),"")</f>
        <v/>
      </c>
      <c r="F1488" t="str">
        <f>IFERROR(VLOOKUP(D1488,'Team Data'!C:AB,5,FALSE),"")</f>
        <v/>
      </c>
      <c r="G1488" t="str">
        <f>IFERROR(VLOOKUP('OB Format'!D1488,'Team Data'!C:AB,17,FALSE),"")</f>
        <v/>
      </c>
      <c r="H1488" t="str">
        <f>IFERROR(VLOOKUP(D1488,'Team Data'!C:AB,7,FALSE),"")</f>
        <v/>
      </c>
      <c r="I1488" t="str">
        <f>IFERROR(VLOOKUP(D1488,'Team Data'!C:AB,14,FALSE),"")</f>
        <v/>
      </c>
      <c r="J1488" t="str">
        <f>IFERROR(VLOOKUP(D1488,'Team Data'!C:AB,8,FALSE),"")</f>
        <v/>
      </c>
      <c r="K1488" t="str">
        <f>IFERROR(VLOOKUP(D1488,'Team Data'!C:AB,9,FALSE),"")</f>
        <v/>
      </c>
      <c r="L1488" t="str">
        <f>IFERROR(VLOOKUP(D1488,'Team Data'!C:AB,10,FALSE),"")</f>
        <v/>
      </c>
      <c r="M1488" t="str">
        <f t="shared" si="48"/>
        <v/>
      </c>
      <c r="N1488" t="str">
        <f>IFERROR(VLOOKUP(D1488,'Team Data'!C:AB,23,FALSE),"")</f>
        <v/>
      </c>
      <c r="O1488" t="str">
        <f>IFERROR(VLOOKUP(D1488,'Team Data'!C:AB,22,FALSE),"")</f>
        <v/>
      </c>
      <c r="P1488" t="str">
        <f t="shared" si="49"/>
        <v/>
      </c>
      <c r="Q1488" t="str">
        <f>IFERROR(VLOOKUP(D1488,'Team Data'!C:AB,15,FALSE),"")</f>
        <v/>
      </c>
      <c r="R1488" t="str">
        <f>IFERROR(VLOOKUP('OB Format'!D1488,'Team Data'!C:AB,24,FALSE),"")</f>
        <v/>
      </c>
      <c r="S1488" t="str">
        <f>IFERROR(VLOOKUP('OB Format'!D1488,'Team Data'!C:AC,25,FALSE),"")</f>
        <v/>
      </c>
    </row>
    <row r="1489" spans="5:19" x14ac:dyDescent="0.25">
      <c r="E1489" t="str">
        <f>IFERROR(VLOOKUP(D1489,'Team Data'!C:AB,4,FALSE),"")</f>
        <v/>
      </c>
      <c r="F1489" t="str">
        <f>IFERROR(VLOOKUP(D1489,'Team Data'!C:AB,5,FALSE),"")</f>
        <v/>
      </c>
      <c r="G1489" t="str">
        <f>IFERROR(VLOOKUP('OB Format'!D1489,'Team Data'!C:AB,17,FALSE),"")</f>
        <v/>
      </c>
      <c r="H1489" t="str">
        <f>IFERROR(VLOOKUP(D1489,'Team Data'!C:AB,7,FALSE),"")</f>
        <v/>
      </c>
      <c r="I1489" t="str">
        <f>IFERROR(VLOOKUP(D1489,'Team Data'!C:AB,14,FALSE),"")</f>
        <v/>
      </c>
      <c r="J1489" t="str">
        <f>IFERROR(VLOOKUP(D1489,'Team Data'!C:AB,8,FALSE),"")</f>
        <v/>
      </c>
      <c r="K1489" t="str">
        <f>IFERROR(VLOOKUP(D1489,'Team Data'!C:AB,9,FALSE),"")</f>
        <v/>
      </c>
      <c r="L1489" t="str">
        <f>IFERROR(VLOOKUP(D1489,'Team Data'!C:AB,10,FALSE),"")</f>
        <v/>
      </c>
      <c r="M1489" t="str">
        <f t="shared" si="48"/>
        <v/>
      </c>
      <c r="N1489" t="str">
        <f>IFERROR(VLOOKUP(D1489,'Team Data'!C:AB,23,FALSE),"")</f>
        <v/>
      </c>
      <c r="O1489" t="str">
        <f>IFERROR(VLOOKUP(D1489,'Team Data'!C:AB,22,FALSE),"")</f>
        <v/>
      </c>
      <c r="P1489" t="str">
        <f t="shared" si="49"/>
        <v/>
      </c>
      <c r="Q1489" t="str">
        <f>IFERROR(VLOOKUP(D1489,'Team Data'!C:AB,15,FALSE),"")</f>
        <v/>
      </c>
      <c r="R1489" t="str">
        <f>IFERROR(VLOOKUP('OB Format'!D1489,'Team Data'!C:AB,24,FALSE),"")</f>
        <v/>
      </c>
      <c r="S1489" t="str">
        <f>IFERROR(VLOOKUP('OB Format'!D1489,'Team Data'!C:AC,25,FALSE),"")</f>
        <v/>
      </c>
    </row>
    <row r="1490" spans="5:19" x14ac:dyDescent="0.25">
      <c r="E1490" t="str">
        <f>IFERROR(VLOOKUP(D1490,'Team Data'!C:AB,4,FALSE),"")</f>
        <v/>
      </c>
      <c r="F1490" t="str">
        <f>IFERROR(VLOOKUP(D1490,'Team Data'!C:AB,5,FALSE),"")</f>
        <v/>
      </c>
      <c r="G1490" t="str">
        <f>IFERROR(VLOOKUP('OB Format'!D1490,'Team Data'!C:AB,17,FALSE),"")</f>
        <v/>
      </c>
      <c r="H1490" t="str">
        <f>IFERROR(VLOOKUP(D1490,'Team Data'!C:AB,7,FALSE),"")</f>
        <v/>
      </c>
      <c r="I1490" t="str">
        <f>IFERROR(VLOOKUP(D1490,'Team Data'!C:AB,14,FALSE),"")</f>
        <v/>
      </c>
      <c r="J1490" t="str">
        <f>IFERROR(VLOOKUP(D1490,'Team Data'!C:AB,8,FALSE),"")</f>
        <v/>
      </c>
      <c r="K1490" t="str">
        <f>IFERROR(VLOOKUP(D1490,'Team Data'!C:AB,9,FALSE),"")</f>
        <v/>
      </c>
      <c r="L1490" t="str">
        <f>IFERROR(VLOOKUP(D1490,'Team Data'!C:AB,10,FALSE),"")</f>
        <v/>
      </c>
      <c r="M1490" t="str">
        <f t="shared" si="48"/>
        <v/>
      </c>
      <c r="N1490" t="str">
        <f>IFERROR(VLOOKUP(D1490,'Team Data'!C:AB,23,FALSE),"")</f>
        <v/>
      </c>
      <c r="O1490" t="str">
        <f>IFERROR(VLOOKUP(D1490,'Team Data'!C:AB,22,FALSE),"")</f>
        <v/>
      </c>
      <c r="P1490" t="str">
        <f t="shared" si="49"/>
        <v/>
      </c>
      <c r="Q1490" t="str">
        <f>IFERROR(VLOOKUP(D1490,'Team Data'!C:AB,15,FALSE),"")</f>
        <v/>
      </c>
      <c r="R1490" t="str">
        <f>IFERROR(VLOOKUP('OB Format'!D1490,'Team Data'!C:AB,24,FALSE),"")</f>
        <v/>
      </c>
      <c r="S1490" t="str">
        <f>IFERROR(VLOOKUP('OB Format'!D1490,'Team Data'!C:AC,25,FALSE),"")</f>
        <v/>
      </c>
    </row>
    <row r="1491" spans="5:19" x14ac:dyDescent="0.25">
      <c r="E1491" t="str">
        <f>IFERROR(VLOOKUP(D1491,'Team Data'!C:AB,4,FALSE),"")</f>
        <v/>
      </c>
      <c r="F1491" t="str">
        <f>IFERROR(VLOOKUP(D1491,'Team Data'!C:AB,5,FALSE),"")</f>
        <v/>
      </c>
      <c r="G1491" t="str">
        <f>IFERROR(VLOOKUP('OB Format'!D1491,'Team Data'!C:AB,17,FALSE),"")</f>
        <v/>
      </c>
      <c r="H1491" t="str">
        <f>IFERROR(VLOOKUP(D1491,'Team Data'!C:AB,7,FALSE),"")</f>
        <v/>
      </c>
      <c r="I1491" t="str">
        <f>IFERROR(VLOOKUP(D1491,'Team Data'!C:AB,14,FALSE),"")</f>
        <v/>
      </c>
      <c r="J1491" t="str">
        <f>IFERROR(VLOOKUP(D1491,'Team Data'!C:AB,8,FALSE),"")</f>
        <v/>
      </c>
      <c r="K1491" t="str">
        <f>IFERROR(VLOOKUP(D1491,'Team Data'!C:AB,9,FALSE),"")</f>
        <v/>
      </c>
      <c r="L1491" t="str">
        <f>IFERROR(VLOOKUP(D1491,'Team Data'!C:AB,10,FALSE),"")</f>
        <v/>
      </c>
      <c r="M1491" t="str">
        <f t="shared" si="48"/>
        <v/>
      </c>
      <c r="N1491" t="str">
        <f>IFERROR(VLOOKUP(D1491,'Team Data'!C:AB,23,FALSE),"")</f>
        <v/>
      </c>
      <c r="O1491" t="str">
        <f>IFERROR(VLOOKUP(D1491,'Team Data'!C:AB,22,FALSE),"")</f>
        <v/>
      </c>
      <c r="P1491" t="str">
        <f t="shared" si="49"/>
        <v/>
      </c>
      <c r="Q1491" t="str">
        <f>IFERROR(VLOOKUP(D1491,'Team Data'!C:AB,15,FALSE),"")</f>
        <v/>
      </c>
      <c r="R1491" t="str">
        <f>IFERROR(VLOOKUP('OB Format'!D1491,'Team Data'!C:AB,24,FALSE),"")</f>
        <v/>
      </c>
      <c r="S1491" t="str">
        <f>IFERROR(VLOOKUP('OB Format'!D1491,'Team Data'!C:AC,25,FALSE),"")</f>
        <v/>
      </c>
    </row>
    <row r="1492" spans="5:19" x14ac:dyDescent="0.25">
      <c r="E1492" t="str">
        <f>IFERROR(VLOOKUP(D1492,'Team Data'!C:AB,4,FALSE),"")</f>
        <v/>
      </c>
      <c r="F1492" t="str">
        <f>IFERROR(VLOOKUP(D1492,'Team Data'!C:AB,5,FALSE),"")</f>
        <v/>
      </c>
      <c r="G1492" t="str">
        <f>IFERROR(VLOOKUP('OB Format'!D1492,'Team Data'!C:AB,17,FALSE),"")</f>
        <v/>
      </c>
      <c r="H1492" t="str">
        <f>IFERROR(VLOOKUP(D1492,'Team Data'!C:AB,7,FALSE),"")</f>
        <v/>
      </c>
      <c r="I1492" t="str">
        <f>IFERROR(VLOOKUP(D1492,'Team Data'!C:AB,14,FALSE),"")</f>
        <v/>
      </c>
      <c r="J1492" t="str">
        <f>IFERROR(VLOOKUP(D1492,'Team Data'!C:AB,8,FALSE),"")</f>
        <v/>
      </c>
      <c r="K1492" t="str">
        <f>IFERROR(VLOOKUP(D1492,'Team Data'!C:AB,9,FALSE),"")</f>
        <v/>
      </c>
      <c r="L1492" t="str">
        <f>IFERROR(VLOOKUP(D1492,'Team Data'!C:AB,10,FALSE),"")</f>
        <v/>
      </c>
      <c r="M1492" t="str">
        <f t="shared" si="48"/>
        <v/>
      </c>
      <c r="N1492" t="str">
        <f>IFERROR(VLOOKUP(D1492,'Team Data'!C:AB,23,FALSE),"")</f>
        <v/>
      </c>
      <c r="O1492" t="str">
        <f>IFERROR(VLOOKUP(D1492,'Team Data'!C:AB,22,FALSE),"")</f>
        <v/>
      </c>
      <c r="P1492" t="str">
        <f t="shared" si="49"/>
        <v/>
      </c>
      <c r="Q1492" t="str">
        <f>IFERROR(VLOOKUP(D1492,'Team Data'!C:AB,15,FALSE),"")</f>
        <v/>
      </c>
      <c r="R1492" t="str">
        <f>IFERROR(VLOOKUP('OB Format'!D1492,'Team Data'!C:AB,24,FALSE),"")</f>
        <v/>
      </c>
      <c r="S1492" t="str">
        <f>IFERROR(VLOOKUP('OB Format'!D1492,'Team Data'!C:AC,25,FALSE),"")</f>
        <v/>
      </c>
    </row>
    <row r="1493" spans="5:19" x14ac:dyDescent="0.25">
      <c r="E1493" t="str">
        <f>IFERROR(VLOOKUP(D1493,'Team Data'!C:AB,4,FALSE),"")</f>
        <v/>
      </c>
      <c r="F1493" t="str">
        <f>IFERROR(VLOOKUP(D1493,'Team Data'!C:AB,5,FALSE),"")</f>
        <v/>
      </c>
      <c r="G1493" t="str">
        <f>IFERROR(VLOOKUP('OB Format'!D1493,'Team Data'!C:AB,17,FALSE),"")</f>
        <v/>
      </c>
      <c r="H1493" t="str">
        <f>IFERROR(VLOOKUP(D1493,'Team Data'!C:AB,7,FALSE),"")</f>
        <v/>
      </c>
      <c r="I1493" t="str">
        <f>IFERROR(VLOOKUP(D1493,'Team Data'!C:AB,14,FALSE),"")</f>
        <v/>
      </c>
      <c r="J1493" t="str">
        <f>IFERROR(VLOOKUP(D1493,'Team Data'!C:AB,8,FALSE),"")</f>
        <v/>
      </c>
      <c r="K1493" t="str">
        <f>IFERROR(VLOOKUP(D1493,'Team Data'!C:AB,9,FALSE),"")</f>
        <v/>
      </c>
      <c r="L1493" t="str">
        <f>IFERROR(VLOOKUP(D1493,'Team Data'!C:AB,10,FALSE),"")</f>
        <v/>
      </c>
      <c r="M1493" t="str">
        <f t="shared" si="48"/>
        <v/>
      </c>
      <c r="N1493" t="str">
        <f>IFERROR(VLOOKUP(D1493,'Team Data'!C:AB,23,FALSE),"")</f>
        <v/>
      </c>
      <c r="O1493" t="str">
        <f>IFERROR(VLOOKUP(D1493,'Team Data'!C:AB,22,FALSE),"")</f>
        <v/>
      </c>
      <c r="P1493" t="str">
        <f t="shared" si="49"/>
        <v/>
      </c>
      <c r="Q1493" t="str">
        <f>IFERROR(VLOOKUP(D1493,'Team Data'!C:AB,15,FALSE),"")</f>
        <v/>
      </c>
      <c r="R1493" t="str">
        <f>IFERROR(VLOOKUP('OB Format'!D1493,'Team Data'!C:AB,24,FALSE),"")</f>
        <v/>
      </c>
      <c r="S1493" t="str">
        <f>IFERROR(VLOOKUP('OB Format'!D1493,'Team Data'!C:AC,25,FALSE),"")</f>
        <v/>
      </c>
    </row>
    <row r="1494" spans="5:19" x14ac:dyDescent="0.25">
      <c r="E1494" t="str">
        <f>IFERROR(VLOOKUP(D1494,'Team Data'!C:AB,4,FALSE),"")</f>
        <v/>
      </c>
      <c r="F1494" t="str">
        <f>IFERROR(VLOOKUP(D1494,'Team Data'!C:AB,5,FALSE),"")</f>
        <v/>
      </c>
      <c r="G1494" t="str">
        <f>IFERROR(VLOOKUP('OB Format'!D1494,'Team Data'!C:AB,17,FALSE),"")</f>
        <v/>
      </c>
      <c r="H1494" t="str">
        <f>IFERROR(VLOOKUP(D1494,'Team Data'!C:AB,7,FALSE),"")</f>
        <v/>
      </c>
      <c r="I1494" t="str">
        <f>IFERROR(VLOOKUP(D1494,'Team Data'!C:AB,14,FALSE),"")</f>
        <v/>
      </c>
      <c r="J1494" t="str">
        <f>IFERROR(VLOOKUP(D1494,'Team Data'!C:AB,8,FALSE),"")</f>
        <v/>
      </c>
      <c r="K1494" t="str">
        <f>IFERROR(VLOOKUP(D1494,'Team Data'!C:AB,9,FALSE),"")</f>
        <v/>
      </c>
      <c r="L1494" t="str">
        <f>IFERROR(VLOOKUP(D1494,'Team Data'!C:AB,10,FALSE),"")</f>
        <v/>
      </c>
      <c r="M1494" t="str">
        <f t="shared" si="48"/>
        <v/>
      </c>
      <c r="N1494" t="str">
        <f>IFERROR(VLOOKUP(D1494,'Team Data'!C:AB,23,FALSE),"")</f>
        <v/>
      </c>
      <c r="O1494" t="str">
        <f>IFERROR(VLOOKUP(D1494,'Team Data'!C:AB,22,FALSE),"")</f>
        <v/>
      </c>
      <c r="P1494" t="str">
        <f t="shared" si="49"/>
        <v/>
      </c>
      <c r="Q1494" t="str">
        <f>IFERROR(VLOOKUP(D1494,'Team Data'!C:AB,15,FALSE),"")</f>
        <v/>
      </c>
      <c r="R1494" t="str">
        <f>IFERROR(VLOOKUP('OB Format'!D1494,'Team Data'!C:AB,24,FALSE),"")</f>
        <v/>
      </c>
      <c r="S1494" t="str">
        <f>IFERROR(VLOOKUP('OB Format'!D1494,'Team Data'!C:AC,25,FALSE),"")</f>
        <v/>
      </c>
    </row>
    <row r="1495" spans="5:19" x14ac:dyDescent="0.25">
      <c r="E1495" t="str">
        <f>IFERROR(VLOOKUP(D1495,'Team Data'!C:AB,4,FALSE),"")</f>
        <v/>
      </c>
      <c r="F1495" t="str">
        <f>IFERROR(VLOOKUP(D1495,'Team Data'!C:AB,5,FALSE),"")</f>
        <v/>
      </c>
      <c r="G1495" t="str">
        <f>IFERROR(VLOOKUP('OB Format'!D1495,'Team Data'!C:AB,17,FALSE),"")</f>
        <v/>
      </c>
      <c r="H1495" t="str">
        <f>IFERROR(VLOOKUP(D1495,'Team Data'!C:AB,7,FALSE),"")</f>
        <v/>
      </c>
      <c r="I1495" t="str">
        <f>IFERROR(VLOOKUP(D1495,'Team Data'!C:AB,14,FALSE),"")</f>
        <v/>
      </c>
      <c r="J1495" t="str">
        <f>IFERROR(VLOOKUP(D1495,'Team Data'!C:AB,8,FALSE),"")</f>
        <v/>
      </c>
      <c r="K1495" t="str">
        <f>IFERROR(VLOOKUP(D1495,'Team Data'!C:AB,9,FALSE),"")</f>
        <v/>
      </c>
      <c r="L1495" t="str">
        <f>IFERROR(VLOOKUP(D1495,'Team Data'!C:AB,10,FALSE),"")</f>
        <v/>
      </c>
      <c r="M1495" t="str">
        <f t="shared" si="48"/>
        <v/>
      </c>
      <c r="N1495" t="str">
        <f>IFERROR(VLOOKUP(D1495,'Team Data'!C:AB,23,FALSE),"")</f>
        <v/>
      </c>
      <c r="O1495" t="str">
        <f>IFERROR(VLOOKUP(D1495,'Team Data'!C:AB,22,FALSE),"")</f>
        <v/>
      </c>
      <c r="P1495" t="str">
        <f t="shared" si="49"/>
        <v/>
      </c>
      <c r="Q1495" t="str">
        <f>IFERROR(VLOOKUP(D1495,'Team Data'!C:AB,15,FALSE),"")</f>
        <v/>
      </c>
      <c r="R1495" t="str">
        <f>IFERROR(VLOOKUP('OB Format'!D1495,'Team Data'!C:AB,24,FALSE),"")</f>
        <v/>
      </c>
      <c r="S1495" t="str">
        <f>IFERROR(VLOOKUP('OB Format'!D1495,'Team Data'!C:AC,25,FALSE),"")</f>
        <v/>
      </c>
    </row>
    <row r="1496" spans="5:19" x14ac:dyDescent="0.25">
      <c r="E1496" t="str">
        <f>IFERROR(VLOOKUP(D1496,'Team Data'!C:AB,4,FALSE),"")</f>
        <v/>
      </c>
      <c r="F1496" t="str">
        <f>IFERROR(VLOOKUP(D1496,'Team Data'!C:AB,5,FALSE),"")</f>
        <v/>
      </c>
      <c r="G1496" t="str">
        <f>IFERROR(VLOOKUP('OB Format'!D1496,'Team Data'!C:AB,17,FALSE),"")</f>
        <v/>
      </c>
      <c r="H1496" t="str">
        <f>IFERROR(VLOOKUP(D1496,'Team Data'!C:AB,7,FALSE),"")</f>
        <v/>
      </c>
      <c r="I1496" t="str">
        <f>IFERROR(VLOOKUP(D1496,'Team Data'!C:AB,14,FALSE),"")</f>
        <v/>
      </c>
      <c r="J1496" t="str">
        <f>IFERROR(VLOOKUP(D1496,'Team Data'!C:AB,8,FALSE),"")</f>
        <v/>
      </c>
      <c r="K1496" t="str">
        <f>IFERROR(VLOOKUP(D1496,'Team Data'!C:AB,9,FALSE),"")</f>
        <v/>
      </c>
      <c r="L1496" t="str">
        <f>IFERROR(VLOOKUP(D1496,'Team Data'!C:AB,10,FALSE),"")</f>
        <v/>
      </c>
      <c r="M1496" t="str">
        <f t="shared" si="48"/>
        <v/>
      </c>
      <c r="N1496" t="str">
        <f>IFERROR(VLOOKUP(D1496,'Team Data'!C:AB,23,FALSE),"")</f>
        <v/>
      </c>
      <c r="O1496" t="str">
        <f>IFERROR(VLOOKUP(D1496,'Team Data'!C:AB,22,FALSE),"")</f>
        <v/>
      </c>
      <c r="P1496" t="str">
        <f t="shared" si="49"/>
        <v/>
      </c>
      <c r="Q1496" t="str">
        <f>IFERROR(VLOOKUP(D1496,'Team Data'!C:AB,15,FALSE),"")</f>
        <v/>
      </c>
      <c r="R1496" t="str">
        <f>IFERROR(VLOOKUP('OB Format'!D1496,'Team Data'!C:AB,24,FALSE),"")</f>
        <v/>
      </c>
      <c r="S1496" t="str">
        <f>IFERROR(VLOOKUP('OB Format'!D1496,'Team Data'!C:AC,25,FALSE),"")</f>
        <v/>
      </c>
    </row>
    <row r="1497" spans="5:19" x14ac:dyDescent="0.25">
      <c r="E1497" t="str">
        <f>IFERROR(VLOOKUP(D1497,'Team Data'!C:AB,4,FALSE),"")</f>
        <v/>
      </c>
      <c r="F1497" t="str">
        <f>IFERROR(VLOOKUP(D1497,'Team Data'!C:AB,5,FALSE),"")</f>
        <v/>
      </c>
      <c r="G1497" t="str">
        <f>IFERROR(VLOOKUP('OB Format'!D1497,'Team Data'!C:AB,17,FALSE),"")</f>
        <v/>
      </c>
      <c r="H1497" t="str">
        <f>IFERROR(VLOOKUP(D1497,'Team Data'!C:AB,7,FALSE),"")</f>
        <v/>
      </c>
      <c r="I1497" t="str">
        <f>IFERROR(VLOOKUP(D1497,'Team Data'!C:AB,14,FALSE),"")</f>
        <v/>
      </c>
      <c r="J1497" t="str">
        <f>IFERROR(VLOOKUP(D1497,'Team Data'!C:AB,8,FALSE),"")</f>
        <v/>
      </c>
      <c r="K1497" t="str">
        <f>IFERROR(VLOOKUP(D1497,'Team Data'!C:AB,9,FALSE),"")</f>
        <v/>
      </c>
      <c r="L1497" t="str">
        <f>IFERROR(VLOOKUP(D1497,'Team Data'!C:AB,10,FALSE),"")</f>
        <v/>
      </c>
      <c r="M1497" t="str">
        <f t="shared" si="48"/>
        <v/>
      </c>
      <c r="N1497" t="str">
        <f>IFERROR(VLOOKUP(D1497,'Team Data'!C:AB,23,FALSE),"")</f>
        <v/>
      </c>
      <c r="O1497" t="str">
        <f>IFERROR(VLOOKUP(D1497,'Team Data'!C:AB,22,FALSE),"")</f>
        <v/>
      </c>
      <c r="P1497" t="str">
        <f t="shared" si="49"/>
        <v/>
      </c>
      <c r="Q1497" t="str">
        <f>IFERROR(VLOOKUP(D1497,'Team Data'!C:AB,15,FALSE),"")</f>
        <v/>
      </c>
      <c r="R1497" t="str">
        <f>IFERROR(VLOOKUP('OB Format'!D1497,'Team Data'!C:AB,24,FALSE),"")</f>
        <v/>
      </c>
      <c r="S1497" t="str">
        <f>IFERROR(VLOOKUP('OB Format'!D1497,'Team Data'!C:AC,25,FALSE),"")</f>
        <v/>
      </c>
    </row>
    <row r="1498" spans="5:19" x14ac:dyDescent="0.25">
      <c r="E1498" t="str">
        <f>IFERROR(VLOOKUP(D1498,'Team Data'!C:AB,4,FALSE),"")</f>
        <v/>
      </c>
      <c r="F1498" t="str">
        <f>IFERROR(VLOOKUP(D1498,'Team Data'!C:AB,5,FALSE),"")</f>
        <v/>
      </c>
      <c r="G1498" t="str">
        <f>IFERROR(VLOOKUP('OB Format'!D1498,'Team Data'!C:AB,17,FALSE),"")</f>
        <v/>
      </c>
      <c r="H1498" t="str">
        <f>IFERROR(VLOOKUP(D1498,'Team Data'!C:AB,7,FALSE),"")</f>
        <v/>
      </c>
      <c r="I1498" t="str">
        <f>IFERROR(VLOOKUP(D1498,'Team Data'!C:AB,14,FALSE),"")</f>
        <v/>
      </c>
      <c r="J1498" t="str">
        <f>IFERROR(VLOOKUP(D1498,'Team Data'!C:AB,8,FALSE),"")</f>
        <v/>
      </c>
      <c r="K1498" t="str">
        <f>IFERROR(VLOOKUP(D1498,'Team Data'!C:AB,9,FALSE),"")</f>
        <v/>
      </c>
      <c r="L1498" t="str">
        <f>IFERROR(VLOOKUP(D1498,'Team Data'!C:AB,10,FALSE),"")</f>
        <v/>
      </c>
      <c r="M1498" t="str">
        <f t="shared" si="48"/>
        <v/>
      </c>
      <c r="N1498" t="str">
        <f>IFERROR(VLOOKUP(D1498,'Team Data'!C:AB,23,FALSE),"")</f>
        <v/>
      </c>
      <c r="O1498" t="str">
        <f>IFERROR(VLOOKUP(D1498,'Team Data'!C:AB,22,FALSE),"")</f>
        <v/>
      </c>
      <c r="P1498" t="str">
        <f t="shared" si="49"/>
        <v/>
      </c>
      <c r="Q1498" t="str">
        <f>IFERROR(VLOOKUP(D1498,'Team Data'!C:AB,15,FALSE),"")</f>
        <v/>
      </c>
      <c r="R1498" t="str">
        <f>IFERROR(VLOOKUP('OB Format'!D1498,'Team Data'!C:AB,24,FALSE),"")</f>
        <v/>
      </c>
      <c r="S1498" t="str">
        <f>IFERROR(VLOOKUP('OB Format'!D1498,'Team Data'!C:AC,25,FALSE),"")</f>
        <v/>
      </c>
    </row>
    <row r="1499" spans="5:19" x14ac:dyDescent="0.25">
      <c r="E1499" t="str">
        <f>IFERROR(VLOOKUP(D1499,'Team Data'!C:AB,4,FALSE),"")</f>
        <v/>
      </c>
      <c r="F1499" t="str">
        <f>IFERROR(VLOOKUP(D1499,'Team Data'!C:AB,5,FALSE),"")</f>
        <v/>
      </c>
      <c r="G1499" t="str">
        <f>IFERROR(VLOOKUP('OB Format'!D1499,'Team Data'!C:AB,17,FALSE),"")</f>
        <v/>
      </c>
      <c r="H1499" t="str">
        <f>IFERROR(VLOOKUP(D1499,'Team Data'!C:AB,7,FALSE),"")</f>
        <v/>
      </c>
      <c r="I1499" t="str">
        <f>IFERROR(VLOOKUP(D1499,'Team Data'!C:AB,14,FALSE),"")</f>
        <v/>
      </c>
      <c r="J1499" t="str">
        <f>IFERROR(VLOOKUP(D1499,'Team Data'!C:AB,8,FALSE),"")</f>
        <v/>
      </c>
      <c r="K1499" t="str">
        <f>IFERROR(VLOOKUP(D1499,'Team Data'!C:AB,9,FALSE),"")</f>
        <v/>
      </c>
      <c r="L1499" t="str">
        <f>IFERROR(VLOOKUP(D1499,'Team Data'!C:AB,10,FALSE),"")</f>
        <v/>
      </c>
      <c r="M1499" t="str">
        <f t="shared" si="48"/>
        <v/>
      </c>
      <c r="N1499" t="str">
        <f>IFERROR(VLOOKUP(D1499,'Team Data'!C:AB,23,FALSE),"")</f>
        <v/>
      </c>
      <c r="O1499" t="str">
        <f>IFERROR(VLOOKUP(D1499,'Team Data'!C:AB,22,FALSE),"")</f>
        <v/>
      </c>
      <c r="P1499" t="str">
        <f t="shared" si="49"/>
        <v/>
      </c>
      <c r="Q1499" t="str">
        <f>IFERROR(VLOOKUP(D1499,'Team Data'!C:AB,15,FALSE),"")</f>
        <v/>
      </c>
      <c r="R1499" t="str">
        <f>IFERROR(VLOOKUP('OB Format'!D1499,'Team Data'!C:AB,24,FALSE),"")</f>
        <v/>
      </c>
      <c r="S1499" t="str">
        <f>IFERROR(VLOOKUP('OB Format'!D1499,'Team Data'!C:AC,25,FALSE),"")</f>
        <v/>
      </c>
    </row>
    <row r="1500" spans="5:19" x14ac:dyDescent="0.25">
      <c r="E1500" t="str">
        <f>IFERROR(VLOOKUP(D1500,'Team Data'!C:AB,4,FALSE),"")</f>
        <v/>
      </c>
      <c r="F1500" t="str">
        <f>IFERROR(VLOOKUP(D1500,'Team Data'!C:AB,5,FALSE),"")</f>
        <v/>
      </c>
      <c r="G1500" t="str">
        <f>IFERROR(VLOOKUP('OB Format'!D1500,'Team Data'!C:AB,17,FALSE),"")</f>
        <v/>
      </c>
      <c r="H1500" t="str">
        <f>IFERROR(VLOOKUP(D1500,'Team Data'!C:AB,7,FALSE),"")</f>
        <v/>
      </c>
      <c r="I1500" t="str">
        <f>IFERROR(VLOOKUP(D1500,'Team Data'!C:AB,14,FALSE),"")</f>
        <v/>
      </c>
      <c r="J1500" t="str">
        <f>IFERROR(VLOOKUP(D1500,'Team Data'!C:AB,8,FALSE),"")</f>
        <v/>
      </c>
      <c r="K1500" t="str">
        <f>IFERROR(VLOOKUP(D1500,'Team Data'!C:AB,9,FALSE),"")</f>
        <v/>
      </c>
      <c r="L1500" t="str">
        <f>IFERROR(VLOOKUP(D1500,'Team Data'!C:AB,10,FALSE),"")</f>
        <v/>
      </c>
      <c r="M1500" t="str">
        <f t="shared" si="48"/>
        <v/>
      </c>
      <c r="N1500" t="str">
        <f>IFERROR(VLOOKUP(D1500,'Team Data'!C:AB,23,FALSE),"")</f>
        <v/>
      </c>
      <c r="O1500" t="str">
        <f>IFERROR(VLOOKUP(D1500,'Team Data'!C:AB,22,FALSE),"")</f>
        <v/>
      </c>
      <c r="P1500" t="str">
        <f t="shared" si="49"/>
        <v/>
      </c>
      <c r="Q1500" t="str">
        <f>IFERROR(VLOOKUP(D1500,'Team Data'!C:AB,15,FALSE),"")</f>
        <v/>
      </c>
      <c r="R1500" t="str">
        <f>IFERROR(VLOOKUP('OB Format'!D1500,'Team Data'!C:AB,24,FALSE),"")</f>
        <v/>
      </c>
      <c r="S1500" t="str">
        <f>IFERROR(VLOOKUP('OB Format'!D1500,'Team Data'!C:AC,25,FALSE),"")</f>
        <v/>
      </c>
    </row>
    <row r="1501" spans="5:19" x14ac:dyDescent="0.25">
      <c r="E1501" t="str">
        <f>IFERROR(VLOOKUP(D1501,'Team Data'!C:AB,4,FALSE),"")</f>
        <v/>
      </c>
      <c r="F1501" t="str">
        <f>IFERROR(VLOOKUP(D1501,'Team Data'!C:AB,5,FALSE),"")</f>
        <v/>
      </c>
      <c r="G1501" t="str">
        <f>IFERROR(VLOOKUP('OB Format'!D1501,'Team Data'!C:AB,17,FALSE),"")</f>
        <v/>
      </c>
      <c r="H1501" t="str">
        <f>IFERROR(VLOOKUP(D1501,'Team Data'!C:AB,7,FALSE),"")</f>
        <v/>
      </c>
      <c r="I1501" t="str">
        <f>IFERROR(VLOOKUP(D1501,'Team Data'!C:AB,14,FALSE),"")</f>
        <v/>
      </c>
      <c r="J1501" t="str">
        <f>IFERROR(VLOOKUP(D1501,'Team Data'!C:AB,8,FALSE),"")</f>
        <v/>
      </c>
      <c r="K1501" t="str">
        <f>IFERROR(VLOOKUP(D1501,'Team Data'!C:AB,9,FALSE),"")</f>
        <v/>
      </c>
      <c r="L1501" t="str">
        <f>IFERROR(VLOOKUP(D1501,'Team Data'!C:AB,10,FALSE),"")</f>
        <v/>
      </c>
      <c r="M1501" t="str">
        <f t="shared" si="48"/>
        <v/>
      </c>
      <c r="N1501" t="str">
        <f>IFERROR(VLOOKUP(D1501,'Team Data'!C:AB,23,FALSE),"")</f>
        <v/>
      </c>
      <c r="O1501" t="str">
        <f>IFERROR(VLOOKUP(D1501,'Team Data'!C:AB,22,FALSE),"")</f>
        <v/>
      </c>
      <c r="P1501" t="str">
        <f t="shared" si="49"/>
        <v/>
      </c>
      <c r="Q1501" t="str">
        <f>IFERROR(VLOOKUP(D1501,'Team Data'!C:AB,15,FALSE),"")</f>
        <v/>
      </c>
      <c r="R1501" t="str">
        <f>IFERROR(VLOOKUP('OB Format'!D1501,'Team Data'!C:AB,24,FALSE),"")</f>
        <v/>
      </c>
      <c r="S1501" t="str">
        <f>IFERROR(VLOOKUP('OB Format'!D1501,'Team Data'!C:AC,25,FALSE),"")</f>
        <v/>
      </c>
    </row>
    <row r="1502" spans="5:19" x14ac:dyDescent="0.25">
      <c r="E1502" t="str">
        <f>IFERROR(VLOOKUP(D1502,'Team Data'!C:AB,4,FALSE),"")</f>
        <v/>
      </c>
      <c r="F1502" t="str">
        <f>IFERROR(VLOOKUP(D1502,'Team Data'!C:AB,5,FALSE),"")</f>
        <v/>
      </c>
      <c r="G1502" t="str">
        <f>IFERROR(VLOOKUP('OB Format'!D1502,'Team Data'!C:AB,17,FALSE),"")</f>
        <v/>
      </c>
      <c r="H1502" t="str">
        <f>IFERROR(VLOOKUP(D1502,'Team Data'!C:AB,7,FALSE),"")</f>
        <v/>
      </c>
      <c r="I1502" t="str">
        <f>IFERROR(VLOOKUP(D1502,'Team Data'!C:AB,14,FALSE),"")</f>
        <v/>
      </c>
      <c r="J1502" t="str">
        <f>IFERROR(VLOOKUP(D1502,'Team Data'!C:AB,8,FALSE),"")</f>
        <v/>
      </c>
      <c r="K1502" t="str">
        <f>IFERROR(VLOOKUP(D1502,'Team Data'!C:AB,9,FALSE),"")</f>
        <v/>
      </c>
      <c r="L1502" t="str">
        <f>IFERROR(VLOOKUP(D1502,'Team Data'!C:AB,10,FALSE),"")</f>
        <v/>
      </c>
      <c r="M1502" t="str">
        <f t="shared" si="48"/>
        <v/>
      </c>
      <c r="N1502" t="str">
        <f>IFERROR(VLOOKUP(D1502,'Team Data'!C:AB,23,FALSE),"")</f>
        <v/>
      </c>
      <c r="O1502" t="str">
        <f>IFERROR(VLOOKUP(D1502,'Team Data'!C:AB,22,FALSE),"")</f>
        <v/>
      </c>
      <c r="P1502" t="str">
        <f t="shared" si="49"/>
        <v/>
      </c>
      <c r="Q1502" t="str">
        <f>IFERROR(VLOOKUP(D1502,'Team Data'!C:AB,15,FALSE),"")</f>
        <v/>
      </c>
      <c r="R1502" t="str">
        <f>IFERROR(VLOOKUP('OB Format'!D1502,'Team Data'!C:AB,24,FALSE),"")</f>
        <v/>
      </c>
      <c r="S1502" t="str">
        <f>IFERROR(VLOOKUP('OB Format'!D1502,'Team Data'!C:AC,25,FALSE),"")</f>
        <v/>
      </c>
    </row>
    <row r="1503" spans="5:19" x14ac:dyDescent="0.25">
      <c r="E1503" t="str">
        <f>IFERROR(VLOOKUP(D1503,'Team Data'!C:AB,4,FALSE),"")</f>
        <v/>
      </c>
      <c r="F1503" t="str">
        <f>IFERROR(VLOOKUP(D1503,'Team Data'!C:AB,5,FALSE),"")</f>
        <v/>
      </c>
      <c r="G1503" t="str">
        <f>IFERROR(VLOOKUP('OB Format'!D1503,'Team Data'!C:AB,17,FALSE),"")</f>
        <v/>
      </c>
      <c r="H1503" t="str">
        <f>IFERROR(VLOOKUP(D1503,'Team Data'!C:AB,7,FALSE),"")</f>
        <v/>
      </c>
      <c r="I1503" t="str">
        <f>IFERROR(VLOOKUP(D1503,'Team Data'!C:AB,14,FALSE),"")</f>
        <v/>
      </c>
      <c r="J1503" t="str">
        <f>IFERROR(VLOOKUP(D1503,'Team Data'!C:AB,8,FALSE),"")</f>
        <v/>
      </c>
      <c r="K1503" t="str">
        <f>IFERROR(VLOOKUP(D1503,'Team Data'!C:AB,9,FALSE),"")</f>
        <v/>
      </c>
      <c r="L1503" t="str">
        <f>IFERROR(VLOOKUP(D1503,'Team Data'!C:AB,10,FALSE),"")</f>
        <v/>
      </c>
      <c r="M1503" t="str">
        <f t="shared" si="48"/>
        <v/>
      </c>
      <c r="N1503" t="str">
        <f>IFERROR(VLOOKUP(D1503,'Team Data'!C:AB,23,FALSE),"")</f>
        <v/>
      </c>
      <c r="O1503" t="str">
        <f>IFERROR(VLOOKUP(D1503,'Team Data'!C:AB,22,FALSE),"")</f>
        <v/>
      </c>
      <c r="P1503" t="str">
        <f t="shared" si="49"/>
        <v/>
      </c>
      <c r="Q1503" t="str">
        <f>IFERROR(VLOOKUP(D1503,'Team Data'!C:AB,15,FALSE),"")</f>
        <v/>
      </c>
      <c r="R1503" t="str">
        <f>IFERROR(VLOOKUP('OB Format'!D1503,'Team Data'!C:AB,24,FALSE),"")</f>
        <v/>
      </c>
      <c r="S1503" t="str">
        <f>IFERROR(VLOOKUP('OB Format'!D1503,'Team Data'!C:AC,25,FALSE),"")</f>
        <v/>
      </c>
    </row>
    <row r="1504" spans="5:19" x14ac:dyDescent="0.25">
      <c r="E1504" t="str">
        <f>IFERROR(VLOOKUP(D1504,'Team Data'!C:AB,4,FALSE),"")</f>
        <v/>
      </c>
      <c r="F1504" t="str">
        <f>IFERROR(VLOOKUP(D1504,'Team Data'!C:AB,5,FALSE),"")</f>
        <v/>
      </c>
      <c r="G1504" t="str">
        <f>IFERROR(VLOOKUP('OB Format'!D1504,'Team Data'!C:AB,17,FALSE),"")</f>
        <v/>
      </c>
      <c r="H1504" t="str">
        <f>IFERROR(VLOOKUP(D1504,'Team Data'!C:AB,7,FALSE),"")</f>
        <v/>
      </c>
      <c r="I1504" t="str">
        <f>IFERROR(VLOOKUP(D1504,'Team Data'!C:AB,14,FALSE),"")</f>
        <v/>
      </c>
      <c r="J1504" t="str">
        <f>IFERROR(VLOOKUP(D1504,'Team Data'!C:AB,8,FALSE),"")</f>
        <v/>
      </c>
      <c r="K1504" t="str">
        <f>IFERROR(VLOOKUP(D1504,'Team Data'!C:AB,9,FALSE),"")</f>
        <v/>
      </c>
      <c r="L1504" t="str">
        <f>IFERROR(VLOOKUP(D1504,'Team Data'!C:AB,10,FALSE),"")</f>
        <v/>
      </c>
      <c r="M1504" t="str">
        <f t="shared" si="48"/>
        <v/>
      </c>
      <c r="N1504" t="str">
        <f>IFERROR(VLOOKUP(D1504,'Team Data'!C:AB,23,FALSE),"")</f>
        <v/>
      </c>
      <c r="O1504" t="str">
        <f>IFERROR(VLOOKUP(D1504,'Team Data'!C:AB,22,FALSE),"")</f>
        <v/>
      </c>
      <c r="P1504" t="str">
        <f t="shared" si="49"/>
        <v/>
      </c>
      <c r="Q1504" t="str">
        <f>IFERROR(VLOOKUP(D1504,'Team Data'!C:AB,15,FALSE),"")</f>
        <v/>
      </c>
      <c r="R1504" t="str">
        <f>IFERROR(VLOOKUP('OB Format'!D1504,'Team Data'!C:AB,24,FALSE),"")</f>
        <v/>
      </c>
      <c r="S1504" t="str">
        <f>IFERROR(VLOOKUP('OB Format'!D1504,'Team Data'!C:AC,25,FALSE),"")</f>
        <v/>
      </c>
    </row>
    <row r="1505" spans="5:19" x14ac:dyDescent="0.25">
      <c r="E1505" t="str">
        <f>IFERROR(VLOOKUP(D1505,'Team Data'!C:AB,4,FALSE),"")</f>
        <v/>
      </c>
      <c r="F1505" t="str">
        <f>IFERROR(VLOOKUP(D1505,'Team Data'!C:AB,5,FALSE),"")</f>
        <v/>
      </c>
      <c r="G1505" t="str">
        <f>IFERROR(VLOOKUP('OB Format'!D1505,'Team Data'!C:AB,17,FALSE),"")</f>
        <v/>
      </c>
      <c r="H1505" t="str">
        <f>IFERROR(VLOOKUP(D1505,'Team Data'!C:AB,7,FALSE),"")</f>
        <v/>
      </c>
      <c r="I1505" t="str">
        <f>IFERROR(VLOOKUP(D1505,'Team Data'!C:AB,14,FALSE),"")</f>
        <v/>
      </c>
      <c r="J1505" t="str">
        <f>IFERROR(VLOOKUP(D1505,'Team Data'!C:AB,8,FALSE),"")</f>
        <v/>
      </c>
      <c r="K1505" t="str">
        <f>IFERROR(VLOOKUP(D1505,'Team Data'!C:AB,9,FALSE),"")</f>
        <v/>
      </c>
      <c r="L1505" t="str">
        <f>IFERROR(VLOOKUP(D1505,'Team Data'!C:AB,10,FALSE),"")</f>
        <v/>
      </c>
      <c r="M1505" t="str">
        <f t="shared" si="48"/>
        <v/>
      </c>
      <c r="N1505" t="str">
        <f>IFERROR(VLOOKUP(D1505,'Team Data'!C:AB,23,FALSE),"")</f>
        <v/>
      </c>
      <c r="O1505" t="str">
        <f>IFERROR(VLOOKUP(D1505,'Team Data'!C:AB,22,FALSE),"")</f>
        <v/>
      </c>
      <c r="P1505" t="str">
        <f t="shared" si="49"/>
        <v/>
      </c>
      <c r="Q1505" t="str">
        <f>IFERROR(VLOOKUP(D1505,'Team Data'!C:AB,15,FALSE),"")</f>
        <v/>
      </c>
      <c r="R1505" t="str">
        <f>IFERROR(VLOOKUP('OB Format'!D1505,'Team Data'!C:AB,24,FALSE),"")</f>
        <v/>
      </c>
      <c r="S1505" t="str">
        <f>IFERROR(VLOOKUP('OB Format'!D1505,'Team Data'!C:AC,25,FALSE),"")</f>
        <v/>
      </c>
    </row>
    <row r="1506" spans="5:19" x14ac:dyDescent="0.25">
      <c r="E1506" t="str">
        <f>IFERROR(VLOOKUP(D1506,'Team Data'!C:AB,4,FALSE),"")</f>
        <v/>
      </c>
      <c r="F1506" t="str">
        <f>IFERROR(VLOOKUP(D1506,'Team Data'!C:AB,5,FALSE),"")</f>
        <v/>
      </c>
      <c r="G1506" t="str">
        <f>IFERROR(VLOOKUP('OB Format'!D1506,'Team Data'!C:AB,17,FALSE),"")</f>
        <v/>
      </c>
      <c r="H1506" t="str">
        <f>IFERROR(VLOOKUP(D1506,'Team Data'!C:AB,7,FALSE),"")</f>
        <v/>
      </c>
      <c r="I1506" t="str">
        <f>IFERROR(VLOOKUP(D1506,'Team Data'!C:AB,14,FALSE),"")</f>
        <v/>
      </c>
      <c r="J1506" t="str">
        <f>IFERROR(VLOOKUP(D1506,'Team Data'!C:AB,8,FALSE),"")</f>
        <v/>
      </c>
      <c r="K1506" t="str">
        <f>IFERROR(VLOOKUP(D1506,'Team Data'!C:AB,9,FALSE),"")</f>
        <v/>
      </c>
      <c r="L1506" t="str">
        <f>IFERROR(VLOOKUP(D1506,'Team Data'!C:AB,10,FALSE),"")</f>
        <v/>
      </c>
      <c r="M1506" t="str">
        <f t="shared" si="48"/>
        <v/>
      </c>
      <c r="N1506" t="str">
        <f>IFERROR(VLOOKUP(D1506,'Team Data'!C:AB,23,FALSE),"")</f>
        <v/>
      </c>
      <c r="O1506" t="str">
        <f>IFERROR(VLOOKUP(D1506,'Team Data'!C:AB,22,FALSE),"")</f>
        <v/>
      </c>
      <c r="P1506" t="str">
        <f t="shared" si="49"/>
        <v/>
      </c>
      <c r="Q1506" t="str">
        <f>IFERROR(VLOOKUP(D1506,'Team Data'!C:AB,15,FALSE),"")</f>
        <v/>
      </c>
      <c r="R1506" t="str">
        <f>IFERROR(VLOOKUP('OB Format'!D1506,'Team Data'!C:AB,24,FALSE),"")</f>
        <v/>
      </c>
      <c r="S1506" t="str">
        <f>IFERROR(VLOOKUP('OB Format'!D1506,'Team Data'!C:AC,25,FALSE),"")</f>
        <v/>
      </c>
    </row>
    <row r="1507" spans="5:19" x14ac:dyDescent="0.25">
      <c r="E1507" t="str">
        <f>IFERROR(VLOOKUP(D1507,'Team Data'!C:AB,4,FALSE),"")</f>
        <v/>
      </c>
      <c r="F1507" t="str">
        <f>IFERROR(VLOOKUP(D1507,'Team Data'!C:AB,5,FALSE),"")</f>
        <v/>
      </c>
      <c r="G1507" t="str">
        <f>IFERROR(VLOOKUP('OB Format'!D1507,'Team Data'!C:AB,17,FALSE),"")</f>
        <v/>
      </c>
      <c r="H1507" t="str">
        <f>IFERROR(VLOOKUP(D1507,'Team Data'!C:AB,7,FALSE),"")</f>
        <v/>
      </c>
      <c r="I1507" t="str">
        <f>IFERROR(VLOOKUP(D1507,'Team Data'!C:AB,14,FALSE),"")</f>
        <v/>
      </c>
      <c r="J1507" t="str">
        <f>IFERROR(VLOOKUP(D1507,'Team Data'!C:AB,8,FALSE),"")</f>
        <v/>
      </c>
      <c r="K1507" t="str">
        <f>IFERROR(VLOOKUP(D1507,'Team Data'!C:AB,9,FALSE),"")</f>
        <v/>
      </c>
      <c r="L1507" t="str">
        <f>IFERROR(VLOOKUP(D1507,'Team Data'!C:AB,10,FALSE),"")</f>
        <v/>
      </c>
      <c r="M1507" t="str">
        <f t="shared" si="48"/>
        <v/>
      </c>
      <c r="N1507" t="str">
        <f>IFERROR(VLOOKUP(D1507,'Team Data'!C:AB,23,FALSE),"")</f>
        <v/>
      </c>
      <c r="O1507" t="str">
        <f>IFERROR(VLOOKUP(D1507,'Team Data'!C:AB,22,FALSE),"")</f>
        <v/>
      </c>
      <c r="P1507" t="str">
        <f t="shared" si="49"/>
        <v/>
      </c>
      <c r="Q1507" t="str">
        <f>IFERROR(VLOOKUP(D1507,'Team Data'!C:AB,15,FALSE),"")</f>
        <v/>
      </c>
      <c r="R1507" t="str">
        <f>IFERROR(VLOOKUP('OB Format'!D1507,'Team Data'!C:AB,24,FALSE),"")</f>
        <v/>
      </c>
      <c r="S1507" t="str">
        <f>IFERROR(VLOOKUP('OB Format'!D1507,'Team Data'!C:AC,25,FALSE),"")</f>
        <v/>
      </c>
    </row>
    <row r="1508" spans="5:19" x14ac:dyDescent="0.25">
      <c r="E1508" t="str">
        <f>IFERROR(VLOOKUP(D1508,'Team Data'!C:AB,4,FALSE),"")</f>
        <v/>
      </c>
      <c r="F1508" t="str">
        <f>IFERROR(VLOOKUP(D1508,'Team Data'!C:AB,5,FALSE),"")</f>
        <v/>
      </c>
      <c r="G1508" t="str">
        <f>IFERROR(VLOOKUP('OB Format'!D1508,'Team Data'!C:AB,17,FALSE),"")</f>
        <v/>
      </c>
      <c r="H1508" t="str">
        <f>IFERROR(VLOOKUP(D1508,'Team Data'!C:AB,7,FALSE),"")</f>
        <v/>
      </c>
      <c r="I1508" t="str">
        <f>IFERROR(VLOOKUP(D1508,'Team Data'!C:AB,14,FALSE),"")</f>
        <v/>
      </c>
      <c r="J1508" t="str">
        <f>IFERROR(VLOOKUP(D1508,'Team Data'!C:AB,8,FALSE),"")</f>
        <v/>
      </c>
      <c r="K1508" t="str">
        <f>IFERROR(VLOOKUP(D1508,'Team Data'!C:AB,9,FALSE),"")</f>
        <v/>
      </c>
      <c r="L1508" t="str">
        <f>IFERROR(VLOOKUP(D1508,'Team Data'!C:AB,10,FALSE),"")</f>
        <v/>
      </c>
      <c r="M1508" t="str">
        <f t="shared" si="48"/>
        <v/>
      </c>
      <c r="N1508" t="str">
        <f>IFERROR(VLOOKUP(D1508,'Team Data'!C:AB,23,FALSE),"")</f>
        <v/>
      </c>
      <c r="O1508" t="str">
        <f>IFERROR(VLOOKUP(D1508,'Team Data'!C:AB,22,FALSE),"")</f>
        <v/>
      </c>
      <c r="P1508" t="str">
        <f t="shared" si="49"/>
        <v/>
      </c>
      <c r="Q1508" t="str">
        <f>IFERROR(VLOOKUP(D1508,'Team Data'!C:AB,15,FALSE),"")</f>
        <v/>
      </c>
      <c r="R1508" t="str">
        <f>IFERROR(VLOOKUP('OB Format'!D1508,'Team Data'!C:AB,24,FALSE),"")</f>
        <v/>
      </c>
      <c r="S1508" t="str">
        <f>IFERROR(VLOOKUP('OB Format'!D1508,'Team Data'!C:AC,25,FALSE),"")</f>
        <v/>
      </c>
    </row>
    <row r="1509" spans="5:19" x14ac:dyDescent="0.25">
      <c r="E1509" t="str">
        <f>IFERROR(VLOOKUP(D1509,'Team Data'!C:AB,4,FALSE),"")</f>
        <v/>
      </c>
      <c r="F1509" t="str">
        <f>IFERROR(VLOOKUP(D1509,'Team Data'!C:AB,5,FALSE),"")</f>
        <v/>
      </c>
      <c r="G1509" t="str">
        <f>IFERROR(VLOOKUP('OB Format'!D1509,'Team Data'!C:AB,17,FALSE),"")</f>
        <v/>
      </c>
      <c r="H1509" t="str">
        <f>IFERROR(VLOOKUP(D1509,'Team Data'!C:AB,7,FALSE),"")</f>
        <v/>
      </c>
      <c r="I1509" t="str">
        <f>IFERROR(VLOOKUP(D1509,'Team Data'!C:AB,14,FALSE),"")</f>
        <v/>
      </c>
      <c r="J1509" t="str">
        <f>IFERROR(VLOOKUP(D1509,'Team Data'!C:AB,8,FALSE),"")</f>
        <v/>
      </c>
      <c r="K1509" t="str">
        <f>IFERROR(VLOOKUP(D1509,'Team Data'!C:AB,9,FALSE),"")</f>
        <v/>
      </c>
      <c r="L1509" t="str">
        <f>IFERROR(VLOOKUP(D1509,'Team Data'!C:AB,10,FALSE),"")</f>
        <v/>
      </c>
      <c r="M1509" t="str">
        <f t="shared" si="48"/>
        <v/>
      </c>
      <c r="N1509" t="str">
        <f>IFERROR(VLOOKUP(D1509,'Team Data'!C:AB,23,FALSE),"")</f>
        <v/>
      </c>
      <c r="O1509" t="str">
        <f>IFERROR(VLOOKUP(D1509,'Team Data'!C:AB,22,FALSE),"")</f>
        <v/>
      </c>
      <c r="P1509" t="str">
        <f t="shared" si="49"/>
        <v/>
      </c>
      <c r="Q1509" t="str">
        <f>IFERROR(VLOOKUP(D1509,'Team Data'!C:AB,15,FALSE),"")</f>
        <v/>
      </c>
      <c r="R1509" t="str">
        <f>IFERROR(VLOOKUP('OB Format'!D1509,'Team Data'!C:AB,24,FALSE),"")</f>
        <v/>
      </c>
      <c r="S1509" t="str">
        <f>IFERROR(VLOOKUP('OB Format'!D1509,'Team Data'!C:AC,25,FALSE),"")</f>
        <v/>
      </c>
    </row>
    <row r="1510" spans="5:19" x14ac:dyDescent="0.25">
      <c r="E1510" t="str">
        <f>IFERROR(VLOOKUP(D1510,'Team Data'!C:AB,4,FALSE),"")</f>
        <v/>
      </c>
      <c r="F1510" t="str">
        <f>IFERROR(VLOOKUP(D1510,'Team Data'!C:AB,5,FALSE),"")</f>
        <v/>
      </c>
      <c r="G1510" t="str">
        <f>IFERROR(VLOOKUP('OB Format'!D1510,'Team Data'!C:AB,17,FALSE),"")</f>
        <v/>
      </c>
      <c r="H1510" t="str">
        <f>IFERROR(VLOOKUP(D1510,'Team Data'!C:AB,7,FALSE),"")</f>
        <v/>
      </c>
      <c r="I1510" t="str">
        <f>IFERROR(VLOOKUP(D1510,'Team Data'!C:AB,14,FALSE),"")</f>
        <v/>
      </c>
      <c r="J1510" t="str">
        <f>IFERROR(VLOOKUP(D1510,'Team Data'!C:AB,8,FALSE),"")</f>
        <v/>
      </c>
      <c r="K1510" t="str">
        <f>IFERROR(VLOOKUP(D1510,'Team Data'!C:AB,9,FALSE),"")</f>
        <v/>
      </c>
      <c r="L1510" t="str">
        <f>IFERROR(VLOOKUP(D1510,'Team Data'!C:AB,10,FALSE),"")</f>
        <v/>
      </c>
      <c r="M1510" t="str">
        <f t="shared" si="48"/>
        <v/>
      </c>
      <c r="N1510" t="str">
        <f>IFERROR(VLOOKUP(D1510,'Team Data'!C:AB,23,FALSE),"")</f>
        <v/>
      </c>
      <c r="O1510" t="str">
        <f>IFERROR(VLOOKUP(D1510,'Team Data'!C:AB,22,FALSE),"")</f>
        <v/>
      </c>
      <c r="P1510" t="str">
        <f t="shared" si="49"/>
        <v/>
      </c>
      <c r="Q1510" t="str">
        <f>IFERROR(VLOOKUP(D1510,'Team Data'!C:AB,15,FALSE),"")</f>
        <v/>
      </c>
      <c r="R1510" t="str">
        <f>IFERROR(VLOOKUP('OB Format'!D1510,'Team Data'!C:AB,24,FALSE),"")</f>
        <v/>
      </c>
      <c r="S1510" t="str">
        <f>IFERROR(VLOOKUP('OB Format'!D1510,'Team Data'!C:AC,25,FALSE),"")</f>
        <v/>
      </c>
    </row>
    <row r="1511" spans="5:19" x14ac:dyDescent="0.25">
      <c r="E1511" t="str">
        <f>IFERROR(VLOOKUP(D1511,'Team Data'!C:AB,4,FALSE),"")</f>
        <v/>
      </c>
      <c r="F1511" t="str">
        <f>IFERROR(VLOOKUP(D1511,'Team Data'!C:AB,5,FALSE),"")</f>
        <v/>
      </c>
      <c r="G1511" t="str">
        <f>IFERROR(VLOOKUP('OB Format'!D1511,'Team Data'!C:AB,17,FALSE),"")</f>
        <v/>
      </c>
      <c r="H1511" t="str">
        <f>IFERROR(VLOOKUP(D1511,'Team Data'!C:AB,7,FALSE),"")</f>
        <v/>
      </c>
      <c r="I1511" t="str">
        <f>IFERROR(VLOOKUP(D1511,'Team Data'!C:AB,14,FALSE),"")</f>
        <v/>
      </c>
      <c r="J1511" t="str">
        <f>IFERROR(VLOOKUP(D1511,'Team Data'!C:AB,8,FALSE),"")</f>
        <v/>
      </c>
      <c r="K1511" t="str">
        <f>IFERROR(VLOOKUP(D1511,'Team Data'!C:AB,9,FALSE),"")</f>
        <v/>
      </c>
      <c r="L1511" t="str">
        <f>IFERROR(VLOOKUP(D1511,'Team Data'!C:AB,10,FALSE),"")</f>
        <v/>
      </c>
      <c r="M1511" t="str">
        <f t="shared" si="48"/>
        <v/>
      </c>
      <c r="N1511" t="str">
        <f>IFERROR(VLOOKUP(D1511,'Team Data'!C:AB,23,FALSE),"")</f>
        <v/>
      </c>
      <c r="O1511" t="str">
        <f>IFERROR(VLOOKUP(D1511,'Team Data'!C:AB,22,FALSE),"")</f>
        <v/>
      </c>
      <c r="P1511" t="str">
        <f t="shared" si="49"/>
        <v/>
      </c>
      <c r="Q1511" t="str">
        <f>IFERROR(VLOOKUP(D1511,'Team Data'!C:AB,15,FALSE),"")</f>
        <v/>
      </c>
      <c r="R1511" t="str">
        <f>IFERROR(VLOOKUP('OB Format'!D1511,'Team Data'!C:AB,24,FALSE),"")</f>
        <v/>
      </c>
      <c r="S1511" t="str">
        <f>IFERROR(VLOOKUP('OB Format'!D1511,'Team Data'!C:AC,25,FALSE),"")</f>
        <v/>
      </c>
    </row>
    <row r="1512" spans="5:19" x14ac:dyDescent="0.25">
      <c r="E1512" t="str">
        <f>IFERROR(VLOOKUP(D1512,'Team Data'!C:AB,4,FALSE),"")</f>
        <v/>
      </c>
      <c r="F1512" t="str">
        <f>IFERROR(VLOOKUP(D1512,'Team Data'!C:AB,5,FALSE),"")</f>
        <v/>
      </c>
      <c r="G1512" t="str">
        <f>IFERROR(VLOOKUP('OB Format'!D1512,'Team Data'!C:AB,17,FALSE),"")</f>
        <v/>
      </c>
      <c r="H1512" t="str">
        <f>IFERROR(VLOOKUP(D1512,'Team Data'!C:AB,7,FALSE),"")</f>
        <v/>
      </c>
      <c r="I1512" t="str">
        <f>IFERROR(VLOOKUP(D1512,'Team Data'!C:AB,14,FALSE),"")</f>
        <v/>
      </c>
      <c r="J1512" t="str">
        <f>IFERROR(VLOOKUP(D1512,'Team Data'!C:AB,8,FALSE),"")</f>
        <v/>
      </c>
      <c r="K1512" t="str">
        <f>IFERROR(VLOOKUP(D1512,'Team Data'!C:AB,9,FALSE),"")</f>
        <v/>
      </c>
      <c r="L1512" t="str">
        <f>IFERROR(VLOOKUP(D1512,'Team Data'!C:AB,10,FALSE),"")</f>
        <v/>
      </c>
      <c r="M1512" t="str">
        <f t="shared" si="48"/>
        <v/>
      </c>
      <c r="N1512" t="str">
        <f>IFERROR(VLOOKUP(D1512,'Team Data'!C:AB,23,FALSE),"")</f>
        <v/>
      </c>
      <c r="O1512" t="str">
        <f>IFERROR(VLOOKUP(D1512,'Team Data'!C:AB,22,FALSE),"")</f>
        <v/>
      </c>
      <c r="P1512" t="str">
        <f t="shared" si="49"/>
        <v/>
      </c>
      <c r="Q1512" t="str">
        <f>IFERROR(VLOOKUP(D1512,'Team Data'!C:AB,15,FALSE),"")</f>
        <v/>
      </c>
      <c r="R1512" t="str">
        <f>IFERROR(VLOOKUP('OB Format'!D1512,'Team Data'!C:AB,24,FALSE),"")</f>
        <v/>
      </c>
      <c r="S1512" t="str">
        <f>IFERROR(VLOOKUP('OB Format'!D1512,'Team Data'!C:AC,25,FALSE),"")</f>
        <v/>
      </c>
    </row>
    <row r="1513" spans="5:19" x14ac:dyDescent="0.25">
      <c r="E1513" t="str">
        <f>IFERROR(VLOOKUP(D1513,'Team Data'!C:AB,4,FALSE),"")</f>
        <v/>
      </c>
      <c r="F1513" t="str">
        <f>IFERROR(VLOOKUP(D1513,'Team Data'!C:AB,5,FALSE),"")</f>
        <v/>
      </c>
      <c r="G1513" t="str">
        <f>IFERROR(VLOOKUP('OB Format'!D1513,'Team Data'!C:AB,17,FALSE),"")</f>
        <v/>
      </c>
      <c r="H1513" t="str">
        <f>IFERROR(VLOOKUP(D1513,'Team Data'!C:AB,7,FALSE),"")</f>
        <v/>
      </c>
      <c r="I1513" t="str">
        <f>IFERROR(VLOOKUP(D1513,'Team Data'!C:AB,14,FALSE),"")</f>
        <v/>
      </c>
      <c r="J1513" t="str">
        <f>IFERROR(VLOOKUP(D1513,'Team Data'!C:AB,8,FALSE),"")</f>
        <v/>
      </c>
      <c r="K1513" t="str">
        <f>IFERROR(VLOOKUP(D1513,'Team Data'!C:AB,9,FALSE),"")</f>
        <v/>
      </c>
      <c r="L1513" t="str">
        <f>IFERROR(VLOOKUP(D1513,'Team Data'!C:AB,10,FALSE),"")</f>
        <v/>
      </c>
      <c r="M1513" t="str">
        <f t="shared" si="48"/>
        <v/>
      </c>
      <c r="N1513" t="str">
        <f>IFERROR(VLOOKUP(D1513,'Team Data'!C:AB,23,FALSE),"")</f>
        <v/>
      </c>
      <c r="O1513" t="str">
        <f>IFERROR(VLOOKUP(D1513,'Team Data'!C:AB,22,FALSE),"")</f>
        <v/>
      </c>
      <c r="P1513" t="str">
        <f t="shared" si="49"/>
        <v/>
      </c>
      <c r="Q1513" t="str">
        <f>IFERROR(VLOOKUP(D1513,'Team Data'!C:AB,15,FALSE),"")</f>
        <v/>
      </c>
      <c r="R1513" t="str">
        <f>IFERROR(VLOOKUP('OB Format'!D1513,'Team Data'!C:AB,24,FALSE),"")</f>
        <v/>
      </c>
      <c r="S1513" t="str">
        <f>IFERROR(VLOOKUP('OB Format'!D1513,'Team Data'!C:AC,25,FALSE),"")</f>
        <v/>
      </c>
    </row>
    <row r="1514" spans="5:19" x14ac:dyDescent="0.25">
      <c r="E1514" t="str">
        <f>IFERROR(VLOOKUP(D1514,'Team Data'!C:AB,4,FALSE),"")</f>
        <v/>
      </c>
      <c r="F1514" t="str">
        <f>IFERROR(VLOOKUP(D1514,'Team Data'!C:AB,5,FALSE),"")</f>
        <v/>
      </c>
      <c r="G1514" t="str">
        <f>IFERROR(VLOOKUP('OB Format'!D1514,'Team Data'!C:AB,17,FALSE),"")</f>
        <v/>
      </c>
      <c r="H1514" t="str">
        <f>IFERROR(VLOOKUP(D1514,'Team Data'!C:AB,7,FALSE),"")</f>
        <v/>
      </c>
      <c r="I1514" t="str">
        <f>IFERROR(VLOOKUP(D1514,'Team Data'!C:AB,14,FALSE),"")</f>
        <v/>
      </c>
      <c r="J1514" t="str">
        <f>IFERROR(VLOOKUP(D1514,'Team Data'!C:AB,8,FALSE),"")</f>
        <v/>
      </c>
      <c r="K1514" t="str">
        <f>IFERROR(VLOOKUP(D1514,'Team Data'!C:AB,9,FALSE),"")</f>
        <v/>
      </c>
      <c r="L1514" t="str">
        <f>IFERROR(VLOOKUP(D1514,'Team Data'!C:AB,10,FALSE),"")</f>
        <v/>
      </c>
      <c r="M1514" t="str">
        <f t="shared" si="48"/>
        <v/>
      </c>
      <c r="N1514" t="str">
        <f>IFERROR(VLOOKUP(D1514,'Team Data'!C:AB,23,FALSE),"")</f>
        <v/>
      </c>
      <c r="O1514" t="str">
        <f>IFERROR(VLOOKUP(D1514,'Team Data'!C:AB,22,FALSE),"")</f>
        <v/>
      </c>
      <c r="P1514" t="str">
        <f t="shared" si="49"/>
        <v/>
      </c>
      <c r="Q1514" t="str">
        <f>IFERROR(VLOOKUP(D1514,'Team Data'!C:AB,15,FALSE),"")</f>
        <v/>
      </c>
      <c r="R1514" t="str">
        <f>IFERROR(VLOOKUP('OB Format'!D1514,'Team Data'!C:AB,24,FALSE),"")</f>
        <v/>
      </c>
      <c r="S1514" t="str">
        <f>IFERROR(VLOOKUP('OB Format'!D1514,'Team Data'!C:AC,25,FALSE),"")</f>
        <v/>
      </c>
    </row>
    <row r="1515" spans="5:19" x14ac:dyDescent="0.25">
      <c r="E1515" t="str">
        <f>IFERROR(VLOOKUP(D1515,'Team Data'!C:AB,4,FALSE),"")</f>
        <v/>
      </c>
      <c r="F1515" t="str">
        <f>IFERROR(VLOOKUP(D1515,'Team Data'!C:AB,5,FALSE),"")</f>
        <v/>
      </c>
      <c r="G1515" t="str">
        <f>IFERROR(VLOOKUP('OB Format'!D1515,'Team Data'!C:AB,17,FALSE),"")</f>
        <v/>
      </c>
      <c r="H1515" t="str">
        <f>IFERROR(VLOOKUP(D1515,'Team Data'!C:AB,7,FALSE),"")</f>
        <v/>
      </c>
      <c r="I1515" t="str">
        <f>IFERROR(VLOOKUP(D1515,'Team Data'!C:AB,14,FALSE),"")</f>
        <v/>
      </c>
      <c r="J1515" t="str">
        <f>IFERROR(VLOOKUP(D1515,'Team Data'!C:AB,8,FALSE),"")</f>
        <v/>
      </c>
      <c r="K1515" t="str">
        <f>IFERROR(VLOOKUP(D1515,'Team Data'!C:AB,9,FALSE),"")</f>
        <v/>
      </c>
      <c r="L1515" t="str">
        <f>IFERROR(VLOOKUP(D1515,'Team Data'!C:AB,10,FALSE),"")</f>
        <v/>
      </c>
      <c r="M1515" t="str">
        <f t="shared" si="48"/>
        <v/>
      </c>
      <c r="N1515" t="str">
        <f>IFERROR(VLOOKUP(D1515,'Team Data'!C:AB,23,FALSE),"")</f>
        <v/>
      </c>
      <c r="O1515" t="str">
        <f>IFERROR(VLOOKUP(D1515,'Team Data'!C:AB,22,FALSE),"")</f>
        <v/>
      </c>
      <c r="P1515" t="str">
        <f t="shared" si="49"/>
        <v/>
      </c>
      <c r="Q1515" t="str">
        <f>IFERROR(VLOOKUP(D1515,'Team Data'!C:AB,15,FALSE),"")</f>
        <v/>
      </c>
      <c r="R1515" t="str">
        <f>IFERROR(VLOOKUP('OB Format'!D1515,'Team Data'!C:AB,24,FALSE),"")</f>
        <v/>
      </c>
      <c r="S1515" t="str">
        <f>IFERROR(VLOOKUP('OB Format'!D1515,'Team Data'!C:AC,25,FALSE),"")</f>
        <v/>
      </c>
    </row>
    <row r="1516" spans="5:19" x14ac:dyDescent="0.25">
      <c r="E1516" t="str">
        <f>IFERROR(VLOOKUP(D1516,'Team Data'!C:AB,4,FALSE),"")</f>
        <v/>
      </c>
      <c r="F1516" t="str">
        <f>IFERROR(VLOOKUP(D1516,'Team Data'!C:AB,5,FALSE),"")</f>
        <v/>
      </c>
      <c r="G1516" t="str">
        <f>IFERROR(VLOOKUP('OB Format'!D1516,'Team Data'!C:AB,17,FALSE),"")</f>
        <v/>
      </c>
      <c r="H1516" t="str">
        <f>IFERROR(VLOOKUP(D1516,'Team Data'!C:AB,7,FALSE),"")</f>
        <v/>
      </c>
      <c r="I1516" t="str">
        <f>IFERROR(VLOOKUP(D1516,'Team Data'!C:AB,14,FALSE),"")</f>
        <v/>
      </c>
      <c r="J1516" t="str">
        <f>IFERROR(VLOOKUP(D1516,'Team Data'!C:AB,8,FALSE),"")</f>
        <v/>
      </c>
      <c r="K1516" t="str">
        <f>IFERROR(VLOOKUP(D1516,'Team Data'!C:AB,9,FALSE),"")</f>
        <v/>
      </c>
      <c r="L1516" t="str">
        <f>IFERROR(VLOOKUP(D1516,'Team Data'!C:AB,10,FALSE),"")</f>
        <v/>
      </c>
      <c r="M1516" t="str">
        <f t="shared" si="48"/>
        <v/>
      </c>
      <c r="N1516" t="str">
        <f>IFERROR(VLOOKUP(D1516,'Team Data'!C:AB,23,FALSE),"")</f>
        <v/>
      </c>
      <c r="O1516" t="str">
        <f>IFERROR(VLOOKUP(D1516,'Team Data'!C:AB,22,FALSE),"")</f>
        <v/>
      </c>
      <c r="P1516" t="str">
        <f t="shared" si="49"/>
        <v/>
      </c>
      <c r="Q1516" t="str">
        <f>IFERROR(VLOOKUP(D1516,'Team Data'!C:AB,15,FALSE),"")</f>
        <v/>
      </c>
      <c r="R1516" t="str">
        <f>IFERROR(VLOOKUP('OB Format'!D1516,'Team Data'!C:AB,24,FALSE),"")</f>
        <v/>
      </c>
      <c r="S1516" t="str">
        <f>IFERROR(VLOOKUP('OB Format'!D1516,'Team Data'!C:AC,25,FALSE),"")</f>
        <v/>
      </c>
    </row>
    <row r="1517" spans="5:19" x14ac:dyDescent="0.25">
      <c r="E1517" t="str">
        <f>IFERROR(VLOOKUP(D1517,'Team Data'!C:AB,4,FALSE),"")</f>
        <v/>
      </c>
      <c r="F1517" t="str">
        <f>IFERROR(VLOOKUP(D1517,'Team Data'!C:AB,5,FALSE),"")</f>
        <v/>
      </c>
      <c r="G1517" t="str">
        <f>IFERROR(VLOOKUP('OB Format'!D1517,'Team Data'!C:AB,17,FALSE),"")</f>
        <v/>
      </c>
      <c r="H1517" t="str">
        <f>IFERROR(VLOOKUP(D1517,'Team Data'!C:AB,7,FALSE),"")</f>
        <v/>
      </c>
      <c r="I1517" t="str">
        <f>IFERROR(VLOOKUP(D1517,'Team Data'!C:AB,14,FALSE),"")</f>
        <v/>
      </c>
      <c r="J1517" t="str">
        <f>IFERROR(VLOOKUP(D1517,'Team Data'!C:AB,8,FALSE),"")</f>
        <v/>
      </c>
      <c r="K1517" t="str">
        <f>IFERROR(VLOOKUP(D1517,'Team Data'!C:AB,9,FALSE),"")</f>
        <v/>
      </c>
      <c r="L1517" t="str">
        <f>IFERROR(VLOOKUP(D1517,'Team Data'!C:AB,10,FALSE),"")</f>
        <v/>
      </c>
      <c r="M1517" t="str">
        <f t="shared" si="48"/>
        <v/>
      </c>
      <c r="N1517" t="str">
        <f>IFERROR(VLOOKUP(D1517,'Team Data'!C:AB,23,FALSE),"")</f>
        <v/>
      </c>
      <c r="O1517" t="str">
        <f>IFERROR(VLOOKUP(D1517,'Team Data'!C:AB,22,FALSE),"")</f>
        <v/>
      </c>
      <c r="P1517" t="str">
        <f t="shared" si="49"/>
        <v/>
      </c>
      <c r="Q1517" t="str">
        <f>IFERROR(VLOOKUP(D1517,'Team Data'!C:AB,15,FALSE),"")</f>
        <v/>
      </c>
      <c r="R1517" t="str">
        <f>IFERROR(VLOOKUP('OB Format'!D1517,'Team Data'!C:AB,24,FALSE),"")</f>
        <v/>
      </c>
      <c r="S1517" t="str">
        <f>IFERROR(VLOOKUP('OB Format'!D1517,'Team Data'!C:AC,25,FALSE),"")</f>
        <v/>
      </c>
    </row>
    <row r="1518" spans="5:19" x14ac:dyDescent="0.25">
      <c r="E1518" t="str">
        <f>IFERROR(VLOOKUP(D1518,'Team Data'!C:AB,4,FALSE),"")</f>
        <v/>
      </c>
      <c r="F1518" t="str">
        <f>IFERROR(VLOOKUP(D1518,'Team Data'!C:AB,5,FALSE),"")</f>
        <v/>
      </c>
      <c r="G1518" t="str">
        <f>IFERROR(VLOOKUP('OB Format'!D1518,'Team Data'!C:AB,17,FALSE),"")</f>
        <v/>
      </c>
      <c r="H1518" t="str">
        <f>IFERROR(VLOOKUP(D1518,'Team Data'!C:AB,7,FALSE),"")</f>
        <v/>
      </c>
      <c r="I1518" t="str">
        <f>IFERROR(VLOOKUP(D1518,'Team Data'!C:AB,14,FALSE),"")</f>
        <v/>
      </c>
      <c r="J1518" t="str">
        <f>IFERROR(VLOOKUP(D1518,'Team Data'!C:AB,8,FALSE),"")</f>
        <v/>
      </c>
      <c r="K1518" t="str">
        <f>IFERROR(VLOOKUP(D1518,'Team Data'!C:AB,9,FALSE),"")</f>
        <v/>
      </c>
      <c r="L1518" t="str">
        <f>IFERROR(VLOOKUP(D1518,'Team Data'!C:AB,10,FALSE),"")</f>
        <v/>
      </c>
      <c r="M1518" t="str">
        <f t="shared" si="48"/>
        <v/>
      </c>
      <c r="N1518" t="str">
        <f>IFERROR(VLOOKUP(D1518,'Team Data'!C:AB,23,FALSE),"")</f>
        <v/>
      </c>
      <c r="O1518" t="str">
        <f>IFERROR(VLOOKUP(D1518,'Team Data'!C:AB,22,FALSE),"")</f>
        <v/>
      </c>
      <c r="P1518" t="str">
        <f t="shared" si="49"/>
        <v/>
      </c>
      <c r="Q1518" t="str">
        <f>IFERROR(VLOOKUP(D1518,'Team Data'!C:AB,15,FALSE),"")</f>
        <v/>
      </c>
      <c r="R1518" t="str">
        <f>IFERROR(VLOOKUP('OB Format'!D1518,'Team Data'!C:AB,24,FALSE),"")</f>
        <v/>
      </c>
      <c r="S1518" t="str">
        <f>IFERROR(VLOOKUP('OB Format'!D1518,'Team Data'!C:AC,25,FALSE),"")</f>
        <v/>
      </c>
    </row>
    <row r="1519" spans="5:19" x14ac:dyDescent="0.25">
      <c r="E1519" t="str">
        <f>IFERROR(VLOOKUP(D1519,'Team Data'!C:AB,4,FALSE),"")</f>
        <v/>
      </c>
      <c r="F1519" t="str">
        <f>IFERROR(VLOOKUP(D1519,'Team Data'!C:AB,5,FALSE),"")</f>
        <v/>
      </c>
      <c r="G1519" t="str">
        <f>IFERROR(VLOOKUP('OB Format'!D1519,'Team Data'!C:AB,17,FALSE),"")</f>
        <v/>
      </c>
      <c r="H1519" t="str">
        <f>IFERROR(VLOOKUP(D1519,'Team Data'!C:AB,7,FALSE),"")</f>
        <v/>
      </c>
      <c r="I1519" t="str">
        <f>IFERROR(VLOOKUP(D1519,'Team Data'!C:AB,14,FALSE),"")</f>
        <v/>
      </c>
      <c r="J1519" t="str">
        <f>IFERROR(VLOOKUP(D1519,'Team Data'!C:AB,8,FALSE),"")</f>
        <v/>
      </c>
      <c r="K1519" t="str">
        <f>IFERROR(VLOOKUP(D1519,'Team Data'!C:AB,9,FALSE),"")</f>
        <v/>
      </c>
      <c r="L1519" t="str">
        <f>IFERROR(VLOOKUP(D1519,'Team Data'!C:AB,10,FALSE),"")</f>
        <v/>
      </c>
      <c r="M1519" t="str">
        <f t="shared" si="48"/>
        <v/>
      </c>
      <c r="N1519" t="str">
        <f>IFERROR(VLOOKUP(D1519,'Team Data'!C:AB,23,FALSE),"")</f>
        <v/>
      </c>
      <c r="O1519" t="str">
        <f>IFERROR(VLOOKUP(D1519,'Team Data'!C:AB,22,FALSE),"")</f>
        <v/>
      </c>
      <c r="P1519" t="str">
        <f t="shared" si="49"/>
        <v/>
      </c>
      <c r="Q1519" t="str">
        <f>IFERROR(VLOOKUP(D1519,'Team Data'!C:AB,15,FALSE),"")</f>
        <v/>
      </c>
      <c r="R1519" t="str">
        <f>IFERROR(VLOOKUP('OB Format'!D1519,'Team Data'!C:AB,24,FALSE),"")</f>
        <v/>
      </c>
      <c r="S1519" t="str">
        <f>IFERROR(VLOOKUP('OB Format'!D1519,'Team Data'!C:AC,25,FALSE),"")</f>
        <v/>
      </c>
    </row>
    <row r="1520" spans="5:19" x14ac:dyDescent="0.25">
      <c r="E1520" t="str">
        <f>IFERROR(VLOOKUP(D1520,'Team Data'!C:AB,4,FALSE),"")</f>
        <v/>
      </c>
      <c r="F1520" t="str">
        <f>IFERROR(VLOOKUP(D1520,'Team Data'!C:AB,5,FALSE),"")</f>
        <v/>
      </c>
      <c r="G1520" t="str">
        <f>IFERROR(VLOOKUP('OB Format'!D1520,'Team Data'!C:AB,17,FALSE),"")</f>
        <v/>
      </c>
      <c r="H1520" t="str">
        <f>IFERROR(VLOOKUP(D1520,'Team Data'!C:AB,7,FALSE),"")</f>
        <v/>
      </c>
      <c r="I1520" t="str">
        <f>IFERROR(VLOOKUP(D1520,'Team Data'!C:AB,14,FALSE),"")</f>
        <v/>
      </c>
      <c r="J1520" t="str">
        <f>IFERROR(VLOOKUP(D1520,'Team Data'!C:AB,8,FALSE),"")</f>
        <v/>
      </c>
      <c r="K1520" t="str">
        <f>IFERROR(VLOOKUP(D1520,'Team Data'!C:AB,9,FALSE),"")</f>
        <v/>
      </c>
      <c r="L1520" t="str">
        <f>IFERROR(VLOOKUP(D1520,'Team Data'!C:AB,10,FALSE),"")</f>
        <v/>
      </c>
      <c r="M1520" t="str">
        <f t="shared" si="48"/>
        <v/>
      </c>
      <c r="N1520" t="str">
        <f>IFERROR(VLOOKUP(D1520,'Team Data'!C:AB,23,FALSE),"")</f>
        <v/>
      </c>
      <c r="O1520" t="str">
        <f>IFERROR(VLOOKUP(D1520,'Team Data'!C:AB,22,FALSE),"")</f>
        <v/>
      </c>
      <c r="P1520" t="str">
        <f t="shared" si="49"/>
        <v/>
      </c>
      <c r="Q1520" t="str">
        <f>IFERROR(VLOOKUP(D1520,'Team Data'!C:AB,15,FALSE),"")</f>
        <v/>
      </c>
      <c r="R1520" t="str">
        <f>IFERROR(VLOOKUP('OB Format'!D1520,'Team Data'!C:AB,24,FALSE),"")</f>
        <v/>
      </c>
      <c r="S1520" t="str">
        <f>IFERROR(VLOOKUP('OB Format'!D1520,'Team Data'!C:AC,25,FALSE),"")</f>
        <v/>
      </c>
    </row>
    <row r="1521" spans="5:19" x14ac:dyDescent="0.25">
      <c r="E1521" t="str">
        <f>IFERROR(VLOOKUP(D1521,'Team Data'!C:AB,4,FALSE),"")</f>
        <v/>
      </c>
      <c r="F1521" t="str">
        <f>IFERROR(VLOOKUP(D1521,'Team Data'!C:AB,5,FALSE),"")</f>
        <v/>
      </c>
      <c r="G1521" t="str">
        <f>IFERROR(VLOOKUP('OB Format'!D1521,'Team Data'!C:AB,17,FALSE),"")</f>
        <v/>
      </c>
      <c r="H1521" t="str">
        <f>IFERROR(VLOOKUP(D1521,'Team Data'!C:AB,7,FALSE),"")</f>
        <v/>
      </c>
      <c r="I1521" t="str">
        <f>IFERROR(VLOOKUP(D1521,'Team Data'!C:AB,14,FALSE),"")</f>
        <v/>
      </c>
      <c r="J1521" t="str">
        <f>IFERROR(VLOOKUP(D1521,'Team Data'!C:AB,8,FALSE),"")</f>
        <v/>
      </c>
      <c r="K1521" t="str">
        <f>IFERROR(VLOOKUP(D1521,'Team Data'!C:AB,9,FALSE),"")</f>
        <v/>
      </c>
      <c r="L1521" t="str">
        <f>IFERROR(VLOOKUP(D1521,'Team Data'!C:AB,10,FALSE),"")</f>
        <v/>
      </c>
      <c r="M1521" t="str">
        <f t="shared" si="48"/>
        <v/>
      </c>
      <c r="N1521" t="str">
        <f>IFERROR(VLOOKUP(D1521,'Team Data'!C:AB,23,FALSE),"")</f>
        <v/>
      </c>
      <c r="O1521" t="str">
        <f>IFERROR(VLOOKUP(D1521,'Team Data'!C:AB,22,FALSE),"")</f>
        <v/>
      </c>
      <c r="P1521" t="str">
        <f t="shared" si="49"/>
        <v/>
      </c>
      <c r="Q1521" t="str">
        <f>IFERROR(VLOOKUP(D1521,'Team Data'!C:AB,15,FALSE),"")</f>
        <v/>
      </c>
      <c r="R1521" t="str">
        <f>IFERROR(VLOOKUP('OB Format'!D1521,'Team Data'!C:AB,24,FALSE),"")</f>
        <v/>
      </c>
      <c r="S1521" t="str">
        <f>IFERROR(VLOOKUP('OB Format'!D1521,'Team Data'!C:AC,25,FALSE),"")</f>
        <v/>
      </c>
    </row>
    <row r="1522" spans="5:19" x14ac:dyDescent="0.25">
      <c r="E1522" t="str">
        <f>IFERROR(VLOOKUP(D1522,'Team Data'!C:AB,4,FALSE),"")</f>
        <v/>
      </c>
      <c r="F1522" t="str">
        <f>IFERROR(VLOOKUP(D1522,'Team Data'!C:AB,5,FALSE),"")</f>
        <v/>
      </c>
      <c r="G1522" t="str">
        <f>IFERROR(VLOOKUP('OB Format'!D1522,'Team Data'!C:AB,17,FALSE),"")</f>
        <v/>
      </c>
      <c r="H1522" t="str">
        <f>IFERROR(VLOOKUP(D1522,'Team Data'!C:AB,7,FALSE),"")</f>
        <v/>
      </c>
      <c r="I1522" t="str">
        <f>IFERROR(VLOOKUP(D1522,'Team Data'!C:AB,14,FALSE),"")</f>
        <v/>
      </c>
      <c r="J1522" t="str">
        <f>IFERROR(VLOOKUP(D1522,'Team Data'!C:AB,8,FALSE),"")</f>
        <v/>
      </c>
      <c r="K1522" t="str">
        <f>IFERROR(VLOOKUP(D1522,'Team Data'!C:AB,9,FALSE),"")</f>
        <v/>
      </c>
      <c r="L1522" t="str">
        <f>IFERROR(VLOOKUP(D1522,'Team Data'!C:AB,10,FALSE),"")</f>
        <v/>
      </c>
      <c r="M1522" t="str">
        <f t="shared" si="48"/>
        <v/>
      </c>
      <c r="N1522" t="str">
        <f>IFERROR(VLOOKUP(D1522,'Team Data'!C:AB,23,FALSE),"")</f>
        <v/>
      </c>
      <c r="O1522" t="str">
        <f>IFERROR(VLOOKUP(D1522,'Team Data'!C:AB,22,FALSE),"")</f>
        <v/>
      </c>
      <c r="P1522" t="str">
        <f t="shared" si="49"/>
        <v/>
      </c>
      <c r="Q1522" t="str">
        <f>IFERROR(VLOOKUP(D1522,'Team Data'!C:AB,15,FALSE),"")</f>
        <v/>
      </c>
      <c r="R1522" t="str">
        <f>IFERROR(VLOOKUP('OB Format'!D1522,'Team Data'!C:AB,24,FALSE),"")</f>
        <v/>
      </c>
      <c r="S1522" t="str">
        <f>IFERROR(VLOOKUP('OB Format'!D1522,'Team Data'!C:AC,25,FALSE),"")</f>
        <v/>
      </c>
    </row>
    <row r="1523" spans="5:19" x14ac:dyDescent="0.25">
      <c r="E1523" t="str">
        <f>IFERROR(VLOOKUP(D1523,'Team Data'!C:AB,4,FALSE),"")</f>
        <v/>
      </c>
      <c r="F1523" t="str">
        <f>IFERROR(VLOOKUP(D1523,'Team Data'!C:AB,5,FALSE),"")</f>
        <v/>
      </c>
      <c r="G1523" t="str">
        <f>IFERROR(VLOOKUP('OB Format'!D1523,'Team Data'!C:AB,17,FALSE),"")</f>
        <v/>
      </c>
      <c r="H1523" t="str">
        <f>IFERROR(VLOOKUP(D1523,'Team Data'!C:AB,7,FALSE),"")</f>
        <v/>
      </c>
      <c r="I1523" t="str">
        <f>IFERROR(VLOOKUP(D1523,'Team Data'!C:AB,14,FALSE),"")</f>
        <v/>
      </c>
      <c r="J1523" t="str">
        <f>IFERROR(VLOOKUP(D1523,'Team Data'!C:AB,8,FALSE),"")</f>
        <v/>
      </c>
      <c r="K1523" t="str">
        <f>IFERROR(VLOOKUP(D1523,'Team Data'!C:AB,9,FALSE),"")</f>
        <v/>
      </c>
      <c r="L1523" t="str">
        <f>IFERROR(VLOOKUP(D1523,'Team Data'!C:AB,10,FALSE),"")</f>
        <v/>
      </c>
      <c r="M1523" t="str">
        <f t="shared" si="48"/>
        <v/>
      </c>
      <c r="N1523" t="str">
        <f>IFERROR(VLOOKUP(D1523,'Team Data'!C:AB,23,FALSE),"")</f>
        <v/>
      </c>
      <c r="O1523" t="str">
        <f>IFERROR(VLOOKUP(D1523,'Team Data'!C:AB,22,FALSE),"")</f>
        <v/>
      </c>
      <c r="P1523" t="str">
        <f t="shared" si="49"/>
        <v/>
      </c>
      <c r="Q1523" t="str">
        <f>IFERROR(VLOOKUP(D1523,'Team Data'!C:AB,15,FALSE),"")</f>
        <v/>
      </c>
      <c r="R1523" t="str">
        <f>IFERROR(VLOOKUP('OB Format'!D1523,'Team Data'!C:AB,24,FALSE),"")</f>
        <v/>
      </c>
      <c r="S1523" t="str">
        <f>IFERROR(VLOOKUP('OB Format'!D1523,'Team Data'!C:AC,25,FALSE),"")</f>
        <v/>
      </c>
    </row>
    <row r="1524" spans="5:19" x14ac:dyDescent="0.25">
      <c r="E1524" t="str">
        <f>IFERROR(VLOOKUP(D1524,'Team Data'!C:AB,4,FALSE),"")</f>
        <v/>
      </c>
      <c r="F1524" t="str">
        <f>IFERROR(VLOOKUP(D1524,'Team Data'!C:AB,5,FALSE),"")</f>
        <v/>
      </c>
      <c r="G1524" t="str">
        <f>IFERROR(VLOOKUP('OB Format'!D1524,'Team Data'!C:AB,17,FALSE),"")</f>
        <v/>
      </c>
      <c r="H1524" t="str">
        <f>IFERROR(VLOOKUP(D1524,'Team Data'!C:AB,7,FALSE),"")</f>
        <v/>
      </c>
      <c r="I1524" t="str">
        <f>IFERROR(VLOOKUP(D1524,'Team Data'!C:AB,14,FALSE),"")</f>
        <v/>
      </c>
      <c r="J1524" t="str">
        <f>IFERROR(VLOOKUP(D1524,'Team Data'!C:AB,8,FALSE),"")</f>
        <v/>
      </c>
      <c r="K1524" t="str">
        <f>IFERROR(VLOOKUP(D1524,'Team Data'!C:AB,9,FALSE),"")</f>
        <v/>
      </c>
      <c r="L1524" t="str">
        <f>IFERROR(VLOOKUP(D1524,'Team Data'!C:AB,10,FALSE),"")</f>
        <v/>
      </c>
      <c r="M1524" t="str">
        <f t="shared" si="48"/>
        <v/>
      </c>
      <c r="N1524" t="str">
        <f>IFERROR(VLOOKUP(D1524,'Team Data'!C:AB,23,FALSE),"")</f>
        <v/>
      </c>
      <c r="O1524" t="str">
        <f>IFERROR(VLOOKUP(D1524,'Team Data'!C:AB,22,FALSE),"")</f>
        <v/>
      </c>
      <c r="P1524" t="str">
        <f t="shared" si="49"/>
        <v/>
      </c>
      <c r="Q1524" t="str">
        <f>IFERROR(VLOOKUP(D1524,'Team Data'!C:AB,15,FALSE),"")</f>
        <v/>
      </c>
      <c r="R1524" t="str">
        <f>IFERROR(VLOOKUP('OB Format'!D1524,'Team Data'!C:AB,24,FALSE),"")</f>
        <v/>
      </c>
      <c r="S1524" t="str">
        <f>IFERROR(VLOOKUP('OB Format'!D1524,'Team Data'!C:AC,25,FALSE),"")</f>
        <v/>
      </c>
    </row>
    <row r="1525" spans="5:19" x14ac:dyDescent="0.25">
      <c r="E1525" t="str">
        <f>IFERROR(VLOOKUP(D1525,'Team Data'!C:AB,4,FALSE),"")</f>
        <v/>
      </c>
      <c r="F1525" t="str">
        <f>IFERROR(VLOOKUP(D1525,'Team Data'!C:AB,5,FALSE),"")</f>
        <v/>
      </c>
      <c r="G1525" t="str">
        <f>IFERROR(VLOOKUP('OB Format'!D1525,'Team Data'!C:AB,17,FALSE),"")</f>
        <v/>
      </c>
      <c r="H1525" t="str">
        <f>IFERROR(VLOOKUP(D1525,'Team Data'!C:AB,7,FALSE),"")</f>
        <v/>
      </c>
      <c r="I1525" t="str">
        <f>IFERROR(VLOOKUP(D1525,'Team Data'!C:AB,14,FALSE),"")</f>
        <v/>
      </c>
      <c r="J1525" t="str">
        <f>IFERROR(VLOOKUP(D1525,'Team Data'!C:AB,8,FALSE),"")</f>
        <v/>
      </c>
      <c r="K1525" t="str">
        <f>IFERROR(VLOOKUP(D1525,'Team Data'!C:AB,9,FALSE),"")</f>
        <v/>
      </c>
      <c r="L1525" t="str">
        <f>IFERROR(VLOOKUP(D1525,'Team Data'!C:AB,10,FALSE),"")</f>
        <v/>
      </c>
      <c r="M1525" t="str">
        <f t="shared" si="48"/>
        <v/>
      </c>
      <c r="N1525" t="str">
        <f>IFERROR(VLOOKUP(D1525,'Team Data'!C:AB,23,FALSE),"")</f>
        <v/>
      </c>
      <c r="O1525" t="str">
        <f>IFERROR(VLOOKUP(D1525,'Team Data'!C:AB,22,FALSE),"")</f>
        <v/>
      </c>
      <c r="P1525" t="str">
        <f t="shared" si="49"/>
        <v/>
      </c>
      <c r="Q1525" t="str">
        <f>IFERROR(VLOOKUP(D1525,'Team Data'!C:AB,15,FALSE),"")</f>
        <v/>
      </c>
      <c r="R1525" t="str">
        <f>IFERROR(VLOOKUP('OB Format'!D1525,'Team Data'!C:AB,24,FALSE),"")</f>
        <v/>
      </c>
      <c r="S1525" t="str">
        <f>IFERROR(VLOOKUP('OB Format'!D1525,'Team Data'!C:AC,25,FALSE),"")</f>
        <v/>
      </c>
    </row>
    <row r="1526" spans="5:19" x14ac:dyDescent="0.25">
      <c r="E1526" t="str">
        <f>IFERROR(VLOOKUP(D1526,'Team Data'!C:AB,4,FALSE),"")</f>
        <v/>
      </c>
      <c r="F1526" t="str">
        <f>IFERROR(VLOOKUP(D1526,'Team Data'!C:AB,5,FALSE),"")</f>
        <v/>
      </c>
      <c r="G1526" t="str">
        <f>IFERROR(VLOOKUP('OB Format'!D1526,'Team Data'!C:AB,17,FALSE),"")</f>
        <v/>
      </c>
      <c r="H1526" t="str">
        <f>IFERROR(VLOOKUP(D1526,'Team Data'!C:AB,7,FALSE),"")</f>
        <v/>
      </c>
      <c r="I1526" t="str">
        <f>IFERROR(VLOOKUP(D1526,'Team Data'!C:AB,14,FALSE),"")</f>
        <v/>
      </c>
      <c r="J1526" t="str">
        <f>IFERROR(VLOOKUP(D1526,'Team Data'!C:AB,8,FALSE),"")</f>
        <v/>
      </c>
      <c r="K1526" t="str">
        <f>IFERROR(VLOOKUP(D1526,'Team Data'!C:AB,9,FALSE),"")</f>
        <v/>
      </c>
      <c r="L1526" t="str">
        <f>IFERROR(VLOOKUP(D1526,'Team Data'!C:AB,10,FALSE),"")</f>
        <v/>
      </c>
      <c r="M1526" t="str">
        <f t="shared" si="48"/>
        <v/>
      </c>
      <c r="N1526" t="str">
        <f>IFERROR(VLOOKUP(D1526,'Team Data'!C:AB,23,FALSE),"")</f>
        <v/>
      </c>
      <c r="O1526" t="str">
        <f>IFERROR(VLOOKUP(D1526,'Team Data'!C:AB,22,FALSE),"")</f>
        <v/>
      </c>
      <c r="P1526" t="str">
        <f t="shared" si="49"/>
        <v/>
      </c>
      <c r="Q1526" t="str">
        <f>IFERROR(VLOOKUP(D1526,'Team Data'!C:AB,15,FALSE),"")</f>
        <v/>
      </c>
      <c r="R1526" t="str">
        <f>IFERROR(VLOOKUP('OB Format'!D1526,'Team Data'!C:AB,24,FALSE),"")</f>
        <v/>
      </c>
      <c r="S1526" t="str">
        <f>IFERROR(VLOOKUP('OB Format'!D1526,'Team Data'!C:AC,25,FALSE),"")</f>
        <v/>
      </c>
    </row>
    <row r="1527" spans="5:19" x14ac:dyDescent="0.25">
      <c r="E1527" t="str">
        <f>IFERROR(VLOOKUP(D1527,'Team Data'!C:AB,4,FALSE),"")</f>
        <v/>
      </c>
      <c r="F1527" t="str">
        <f>IFERROR(VLOOKUP(D1527,'Team Data'!C:AB,5,FALSE),"")</f>
        <v/>
      </c>
      <c r="G1527" t="str">
        <f>IFERROR(VLOOKUP('OB Format'!D1527,'Team Data'!C:AB,17,FALSE),"")</f>
        <v/>
      </c>
      <c r="H1527" t="str">
        <f>IFERROR(VLOOKUP(D1527,'Team Data'!C:AB,7,FALSE),"")</f>
        <v/>
      </c>
      <c r="I1527" t="str">
        <f>IFERROR(VLOOKUP(D1527,'Team Data'!C:AB,14,FALSE),"")</f>
        <v/>
      </c>
      <c r="J1527" t="str">
        <f>IFERROR(VLOOKUP(D1527,'Team Data'!C:AB,8,FALSE),"")</f>
        <v/>
      </c>
      <c r="K1527" t="str">
        <f>IFERROR(VLOOKUP(D1527,'Team Data'!C:AB,9,FALSE),"")</f>
        <v/>
      </c>
      <c r="L1527" t="str">
        <f>IFERROR(VLOOKUP(D1527,'Team Data'!C:AB,10,FALSE),"")</f>
        <v/>
      </c>
      <c r="M1527" t="str">
        <f t="shared" si="48"/>
        <v/>
      </c>
      <c r="N1527" t="str">
        <f>IFERROR(VLOOKUP(D1527,'Team Data'!C:AB,23,FALSE),"")</f>
        <v/>
      </c>
      <c r="O1527" t="str">
        <f>IFERROR(VLOOKUP(D1527,'Team Data'!C:AB,22,FALSE),"")</f>
        <v/>
      </c>
      <c r="P1527" t="str">
        <f t="shared" si="49"/>
        <v/>
      </c>
      <c r="Q1527" t="str">
        <f>IFERROR(VLOOKUP(D1527,'Team Data'!C:AB,15,FALSE),"")</f>
        <v/>
      </c>
      <c r="R1527" t="str">
        <f>IFERROR(VLOOKUP('OB Format'!D1527,'Team Data'!C:AB,24,FALSE),"")</f>
        <v/>
      </c>
      <c r="S1527" t="str">
        <f>IFERROR(VLOOKUP('OB Format'!D1527,'Team Data'!C:AC,25,FALSE),"")</f>
        <v/>
      </c>
    </row>
    <row r="1528" spans="5:19" x14ac:dyDescent="0.25">
      <c r="E1528" t="str">
        <f>IFERROR(VLOOKUP(D1528,'Team Data'!C:AB,4,FALSE),"")</f>
        <v/>
      </c>
      <c r="F1528" t="str">
        <f>IFERROR(VLOOKUP(D1528,'Team Data'!C:AB,5,FALSE),"")</f>
        <v/>
      </c>
      <c r="G1528" t="str">
        <f>IFERROR(VLOOKUP('OB Format'!D1528,'Team Data'!C:AB,17,FALSE),"")</f>
        <v/>
      </c>
      <c r="H1528" t="str">
        <f>IFERROR(VLOOKUP(D1528,'Team Data'!C:AB,7,FALSE),"")</f>
        <v/>
      </c>
      <c r="I1528" t="str">
        <f>IFERROR(VLOOKUP(D1528,'Team Data'!C:AB,14,FALSE),"")</f>
        <v/>
      </c>
      <c r="J1528" t="str">
        <f>IFERROR(VLOOKUP(D1528,'Team Data'!C:AB,8,FALSE),"")</f>
        <v/>
      </c>
      <c r="K1528" t="str">
        <f>IFERROR(VLOOKUP(D1528,'Team Data'!C:AB,9,FALSE),"")</f>
        <v/>
      </c>
      <c r="L1528" t="str">
        <f>IFERROR(VLOOKUP(D1528,'Team Data'!C:AB,10,FALSE),"")</f>
        <v/>
      </c>
      <c r="M1528" t="str">
        <f t="shared" si="48"/>
        <v/>
      </c>
      <c r="N1528" t="str">
        <f>IFERROR(VLOOKUP(D1528,'Team Data'!C:AB,23,FALSE),"")</f>
        <v/>
      </c>
      <c r="O1528" t="str">
        <f>IFERROR(VLOOKUP(D1528,'Team Data'!C:AB,22,FALSE),"")</f>
        <v/>
      </c>
      <c r="P1528" t="str">
        <f t="shared" si="49"/>
        <v/>
      </c>
      <c r="Q1528" t="str">
        <f>IFERROR(VLOOKUP(D1528,'Team Data'!C:AB,15,FALSE),"")</f>
        <v/>
      </c>
      <c r="R1528" t="str">
        <f>IFERROR(VLOOKUP('OB Format'!D1528,'Team Data'!C:AB,24,FALSE),"")</f>
        <v/>
      </c>
      <c r="S1528" t="str">
        <f>IFERROR(VLOOKUP('OB Format'!D1528,'Team Data'!C:AC,25,FALSE),"")</f>
        <v/>
      </c>
    </row>
    <row r="1529" spans="5:19" x14ac:dyDescent="0.25">
      <c r="E1529" t="str">
        <f>IFERROR(VLOOKUP(D1529,'Team Data'!C:AB,4,FALSE),"")</f>
        <v/>
      </c>
      <c r="F1529" t="str">
        <f>IFERROR(VLOOKUP(D1529,'Team Data'!C:AB,5,FALSE),"")</f>
        <v/>
      </c>
      <c r="G1529" t="str">
        <f>IFERROR(VLOOKUP('OB Format'!D1529,'Team Data'!C:AB,17,FALSE),"")</f>
        <v/>
      </c>
      <c r="H1529" t="str">
        <f>IFERROR(VLOOKUP(D1529,'Team Data'!C:AB,7,FALSE),"")</f>
        <v/>
      </c>
      <c r="I1529" t="str">
        <f>IFERROR(VLOOKUP(D1529,'Team Data'!C:AB,14,FALSE),"")</f>
        <v/>
      </c>
      <c r="J1529" t="str">
        <f>IFERROR(VLOOKUP(D1529,'Team Data'!C:AB,8,FALSE),"")</f>
        <v/>
      </c>
      <c r="K1529" t="str">
        <f>IFERROR(VLOOKUP(D1529,'Team Data'!C:AB,9,FALSE),"")</f>
        <v/>
      </c>
      <c r="L1529" t="str">
        <f>IFERROR(VLOOKUP(D1529,'Team Data'!C:AB,10,FALSE),"")</f>
        <v/>
      </c>
      <c r="M1529" t="str">
        <f t="shared" si="48"/>
        <v/>
      </c>
      <c r="N1529" t="str">
        <f>IFERROR(VLOOKUP(D1529,'Team Data'!C:AB,23,FALSE),"")</f>
        <v/>
      </c>
      <c r="O1529" t="str">
        <f>IFERROR(VLOOKUP(D1529,'Team Data'!C:AB,22,FALSE),"")</f>
        <v/>
      </c>
      <c r="P1529" t="str">
        <f t="shared" si="49"/>
        <v/>
      </c>
      <c r="Q1529" t="str">
        <f>IFERROR(VLOOKUP(D1529,'Team Data'!C:AB,15,FALSE),"")</f>
        <v/>
      </c>
      <c r="R1529" t="str">
        <f>IFERROR(VLOOKUP('OB Format'!D1529,'Team Data'!C:AB,24,FALSE),"")</f>
        <v/>
      </c>
      <c r="S1529" t="str">
        <f>IFERROR(VLOOKUP('OB Format'!D1529,'Team Data'!C:AC,25,FALSE),"")</f>
        <v/>
      </c>
    </row>
    <row r="1530" spans="5:19" x14ac:dyDescent="0.25">
      <c r="E1530" t="str">
        <f>IFERROR(VLOOKUP(D1530,'Team Data'!C:AB,4,FALSE),"")</f>
        <v/>
      </c>
      <c r="F1530" t="str">
        <f>IFERROR(VLOOKUP(D1530,'Team Data'!C:AB,5,FALSE),"")</f>
        <v/>
      </c>
      <c r="G1530" t="str">
        <f>IFERROR(VLOOKUP('OB Format'!D1530,'Team Data'!C:AB,17,FALSE),"")</f>
        <v/>
      </c>
      <c r="H1530" t="str">
        <f>IFERROR(VLOOKUP(D1530,'Team Data'!C:AB,7,FALSE),"")</f>
        <v/>
      </c>
      <c r="I1530" t="str">
        <f>IFERROR(VLOOKUP(D1530,'Team Data'!C:AB,14,FALSE),"")</f>
        <v/>
      </c>
      <c r="J1530" t="str">
        <f>IFERROR(VLOOKUP(D1530,'Team Data'!C:AB,8,FALSE),"")</f>
        <v/>
      </c>
      <c r="K1530" t="str">
        <f>IFERROR(VLOOKUP(D1530,'Team Data'!C:AB,9,FALSE),"")</f>
        <v/>
      </c>
      <c r="L1530" t="str">
        <f>IFERROR(VLOOKUP(D1530,'Team Data'!C:AB,10,FALSE),"")</f>
        <v/>
      </c>
      <c r="M1530" t="str">
        <f t="shared" si="48"/>
        <v/>
      </c>
      <c r="N1530" t="str">
        <f>IFERROR(VLOOKUP(D1530,'Team Data'!C:AB,23,FALSE),"")</f>
        <v/>
      </c>
      <c r="O1530" t="str">
        <f>IFERROR(VLOOKUP(D1530,'Team Data'!C:AB,22,FALSE),"")</f>
        <v/>
      </c>
      <c r="P1530" t="str">
        <f t="shared" si="49"/>
        <v/>
      </c>
      <c r="Q1530" t="str">
        <f>IFERROR(VLOOKUP(D1530,'Team Data'!C:AB,15,FALSE),"")</f>
        <v/>
      </c>
      <c r="R1530" t="str">
        <f>IFERROR(VLOOKUP('OB Format'!D1530,'Team Data'!C:AB,24,FALSE),"")</f>
        <v/>
      </c>
      <c r="S1530" t="str">
        <f>IFERROR(VLOOKUP('OB Format'!D1530,'Team Data'!C:AC,25,FALSE),"")</f>
        <v/>
      </c>
    </row>
    <row r="1531" spans="5:19" x14ac:dyDescent="0.25">
      <c r="E1531" t="str">
        <f>IFERROR(VLOOKUP(D1531,'Team Data'!C:AB,4,FALSE),"")</f>
        <v/>
      </c>
      <c r="F1531" t="str">
        <f>IFERROR(VLOOKUP(D1531,'Team Data'!C:AB,5,FALSE),"")</f>
        <v/>
      </c>
      <c r="G1531" t="str">
        <f>IFERROR(VLOOKUP('OB Format'!D1531,'Team Data'!C:AB,17,FALSE),"")</f>
        <v/>
      </c>
      <c r="H1531" t="str">
        <f>IFERROR(VLOOKUP(D1531,'Team Data'!C:AB,7,FALSE),"")</f>
        <v/>
      </c>
      <c r="I1531" t="str">
        <f>IFERROR(VLOOKUP(D1531,'Team Data'!C:AB,14,FALSE),"")</f>
        <v/>
      </c>
      <c r="J1531" t="str">
        <f>IFERROR(VLOOKUP(D1531,'Team Data'!C:AB,8,FALSE),"")</f>
        <v/>
      </c>
      <c r="K1531" t="str">
        <f>IFERROR(VLOOKUP(D1531,'Team Data'!C:AB,9,FALSE),"")</f>
        <v/>
      </c>
      <c r="L1531" t="str">
        <f>IFERROR(VLOOKUP(D1531,'Team Data'!C:AB,10,FALSE),"")</f>
        <v/>
      </c>
      <c r="M1531" t="str">
        <f t="shared" si="48"/>
        <v/>
      </c>
      <c r="N1531" t="str">
        <f>IFERROR(VLOOKUP(D1531,'Team Data'!C:AB,23,FALSE),"")</f>
        <v/>
      </c>
      <c r="O1531" t="str">
        <f>IFERROR(VLOOKUP(D1531,'Team Data'!C:AB,22,FALSE),"")</f>
        <v/>
      </c>
      <c r="P1531" t="str">
        <f t="shared" si="49"/>
        <v/>
      </c>
      <c r="Q1531" t="str">
        <f>IFERROR(VLOOKUP(D1531,'Team Data'!C:AB,15,FALSE),"")</f>
        <v/>
      </c>
      <c r="R1531" t="str">
        <f>IFERROR(VLOOKUP('OB Format'!D1531,'Team Data'!C:AB,24,FALSE),"")</f>
        <v/>
      </c>
      <c r="S1531" t="str">
        <f>IFERROR(VLOOKUP('OB Format'!D1531,'Team Data'!C:AC,25,FALSE),"")</f>
        <v/>
      </c>
    </row>
    <row r="1532" spans="5:19" x14ac:dyDescent="0.25">
      <c r="E1532" t="str">
        <f>IFERROR(VLOOKUP(D1532,'Team Data'!C:AB,4,FALSE),"")</f>
        <v/>
      </c>
      <c r="F1532" t="str">
        <f>IFERROR(VLOOKUP(D1532,'Team Data'!C:AB,5,FALSE),"")</f>
        <v/>
      </c>
      <c r="G1532" t="str">
        <f>IFERROR(VLOOKUP('OB Format'!D1532,'Team Data'!C:AB,17,FALSE),"")</f>
        <v/>
      </c>
      <c r="H1532" t="str">
        <f>IFERROR(VLOOKUP(D1532,'Team Data'!C:AB,7,FALSE),"")</f>
        <v/>
      </c>
      <c r="I1532" t="str">
        <f>IFERROR(VLOOKUP(D1532,'Team Data'!C:AB,14,FALSE),"")</f>
        <v/>
      </c>
      <c r="J1532" t="str">
        <f>IFERROR(VLOOKUP(D1532,'Team Data'!C:AB,8,FALSE),"")</f>
        <v/>
      </c>
      <c r="K1532" t="str">
        <f>IFERROR(VLOOKUP(D1532,'Team Data'!C:AB,9,FALSE),"")</f>
        <v/>
      </c>
      <c r="L1532" t="str">
        <f>IFERROR(VLOOKUP(D1532,'Team Data'!C:AB,10,FALSE),"")</f>
        <v/>
      </c>
      <c r="M1532" t="str">
        <f t="shared" si="48"/>
        <v/>
      </c>
      <c r="N1532" t="str">
        <f>IFERROR(VLOOKUP(D1532,'Team Data'!C:AB,23,FALSE),"")</f>
        <v/>
      </c>
      <c r="O1532" t="str">
        <f>IFERROR(VLOOKUP(D1532,'Team Data'!C:AB,22,FALSE),"")</f>
        <v/>
      </c>
      <c r="P1532" t="str">
        <f t="shared" si="49"/>
        <v/>
      </c>
      <c r="Q1532" t="str">
        <f>IFERROR(VLOOKUP(D1532,'Team Data'!C:AB,15,FALSE),"")</f>
        <v/>
      </c>
      <c r="R1532" t="str">
        <f>IFERROR(VLOOKUP('OB Format'!D1532,'Team Data'!C:AB,24,FALSE),"")</f>
        <v/>
      </c>
      <c r="S1532" t="str">
        <f>IFERROR(VLOOKUP('OB Format'!D1532,'Team Data'!C:AC,25,FALSE),"")</f>
        <v/>
      </c>
    </row>
    <row r="1533" spans="5:19" x14ac:dyDescent="0.25">
      <c r="E1533" t="str">
        <f>IFERROR(VLOOKUP(D1533,'Team Data'!C:AB,4,FALSE),"")</f>
        <v/>
      </c>
      <c r="F1533" t="str">
        <f>IFERROR(VLOOKUP(D1533,'Team Data'!C:AB,5,FALSE),"")</f>
        <v/>
      </c>
      <c r="G1533" t="str">
        <f>IFERROR(VLOOKUP('OB Format'!D1533,'Team Data'!C:AB,17,FALSE),"")</f>
        <v/>
      </c>
      <c r="H1533" t="str">
        <f>IFERROR(VLOOKUP(D1533,'Team Data'!C:AB,7,FALSE),"")</f>
        <v/>
      </c>
      <c r="I1533" t="str">
        <f>IFERROR(VLOOKUP(D1533,'Team Data'!C:AB,14,FALSE),"")</f>
        <v/>
      </c>
      <c r="J1533" t="str">
        <f>IFERROR(VLOOKUP(D1533,'Team Data'!C:AB,8,FALSE),"")</f>
        <v/>
      </c>
      <c r="K1533" t="str">
        <f>IFERROR(VLOOKUP(D1533,'Team Data'!C:AB,9,FALSE),"")</f>
        <v/>
      </c>
      <c r="L1533" t="str">
        <f>IFERROR(VLOOKUP(D1533,'Team Data'!C:AB,10,FALSE),"")</f>
        <v/>
      </c>
      <c r="M1533" t="str">
        <f t="shared" si="48"/>
        <v/>
      </c>
      <c r="N1533" t="str">
        <f>IFERROR(VLOOKUP(D1533,'Team Data'!C:AB,23,FALSE),"")</f>
        <v/>
      </c>
      <c r="O1533" t="str">
        <f>IFERROR(VLOOKUP(D1533,'Team Data'!C:AB,22,FALSE),"")</f>
        <v/>
      </c>
      <c r="P1533" t="str">
        <f t="shared" si="49"/>
        <v/>
      </c>
      <c r="Q1533" t="str">
        <f>IFERROR(VLOOKUP(D1533,'Team Data'!C:AB,15,FALSE),"")</f>
        <v/>
      </c>
      <c r="R1533" t="str">
        <f>IFERROR(VLOOKUP('OB Format'!D1533,'Team Data'!C:AB,24,FALSE),"")</f>
        <v/>
      </c>
      <c r="S1533" t="str">
        <f>IFERROR(VLOOKUP('OB Format'!D1533,'Team Data'!C:AC,25,FALSE),"")</f>
        <v/>
      </c>
    </row>
    <row r="1534" spans="5:19" x14ac:dyDescent="0.25">
      <c r="E1534" t="str">
        <f>IFERROR(VLOOKUP(D1534,'Team Data'!C:AB,4,FALSE),"")</f>
        <v/>
      </c>
      <c r="F1534" t="str">
        <f>IFERROR(VLOOKUP(D1534,'Team Data'!C:AB,5,FALSE),"")</f>
        <v/>
      </c>
      <c r="G1534" t="str">
        <f>IFERROR(VLOOKUP('OB Format'!D1534,'Team Data'!C:AB,17,FALSE),"")</f>
        <v/>
      </c>
      <c r="H1534" t="str">
        <f>IFERROR(VLOOKUP(D1534,'Team Data'!C:AB,7,FALSE),"")</f>
        <v/>
      </c>
      <c r="I1534" t="str">
        <f>IFERROR(VLOOKUP(D1534,'Team Data'!C:AB,14,FALSE),"")</f>
        <v/>
      </c>
      <c r="J1534" t="str">
        <f>IFERROR(VLOOKUP(D1534,'Team Data'!C:AB,8,FALSE),"")</f>
        <v/>
      </c>
      <c r="K1534" t="str">
        <f>IFERROR(VLOOKUP(D1534,'Team Data'!C:AB,9,FALSE),"")</f>
        <v/>
      </c>
      <c r="L1534" t="str">
        <f>IFERROR(VLOOKUP(D1534,'Team Data'!C:AB,10,FALSE),"")</f>
        <v/>
      </c>
      <c r="M1534" t="str">
        <f t="shared" si="48"/>
        <v/>
      </c>
      <c r="N1534" t="str">
        <f>IFERROR(VLOOKUP(D1534,'Team Data'!C:AB,23,FALSE),"")</f>
        <v/>
      </c>
      <c r="O1534" t="str">
        <f>IFERROR(VLOOKUP(D1534,'Team Data'!C:AB,22,FALSE),"")</f>
        <v/>
      </c>
      <c r="P1534" t="str">
        <f t="shared" si="49"/>
        <v/>
      </c>
      <c r="Q1534" t="str">
        <f>IFERROR(VLOOKUP(D1534,'Team Data'!C:AB,15,FALSE),"")</f>
        <v/>
      </c>
      <c r="R1534" t="str">
        <f>IFERROR(VLOOKUP('OB Format'!D1534,'Team Data'!C:AB,24,FALSE),"")</f>
        <v/>
      </c>
      <c r="S1534" t="str">
        <f>IFERROR(VLOOKUP('OB Format'!D1534,'Team Data'!C:AC,25,FALSE),"")</f>
        <v/>
      </c>
    </row>
    <row r="1535" spans="5:19" x14ac:dyDescent="0.25">
      <c r="E1535" t="str">
        <f>IFERROR(VLOOKUP(D1535,'Team Data'!C:AB,4,FALSE),"")</f>
        <v/>
      </c>
      <c r="F1535" t="str">
        <f>IFERROR(VLOOKUP(D1535,'Team Data'!C:AB,5,FALSE),"")</f>
        <v/>
      </c>
      <c r="G1535" t="str">
        <f>IFERROR(VLOOKUP('OB Format'!D1535,'Team Data'!C:AB,17,FALSE),"")</f>
        <v/>
      </c>
      <c r="H1535" t="str">
        <f>IFERROR(VLOOKUP(D1535,'Team Data'!C:AB,7,FALSE),"")</f>
        <v/>
      </c>
      <c r="I1535" t="str">
        <f>IFERROR(VLOOKUP(D1535,'Team Data'!C:AB,14,FALSE),"")</f>
        <v/>
      </c>
      <c r="J1535" t="str">
        <f>IFERROR(VLOOKUP(D1535,'Team Data'!C:AB,8,FALSE),"")</f>
        <v/>
      </c>
      <c r="K1535" t="str">
        <f>IFERROR(VLOOKUP(D1535,'Team Data'!C:AB,9,FALSE),"")</f>
        <v/>
      </c>
      <c r="L1535" t="str">
        <f>IFERROR(VLOOKUP(D1535,'Team Data'!C:AB,10,FALSE),"")</f>
        <v/>
      </c>
      <c r="M1535" t="str">
        <f t="shared" si="48"/>
        <v/>
      </c>
      <c r="N1535" t="str">
        <f>IFERROR(VLOOKUP(D1535,'Team Data'!C:AB,23,FALSE),"")</f>
        <v/>
      </c>
      <c r="O1535" t="str">
        <f>IFERROR(VLOOKUP(D1535,'Team Data'!C:AB,22,FALSE),"")</f>
        <v/>
      </c>
      <c r="P1535" t="str">
        <f t="shared" si="49"/>
        <v/>
      </c>
      <c r="Q1535" t="str">
        <f>IFERROR(VLOOKUP(D1535,'Team Data'!C:AB,15,FALSE),"")</f>
        <v/>
      </c>
      <c r="R1535" t="str">
        <f>IFERROR(VLOOKUP('OB Format'!D1535,'Team Data'!C:AB,24,FALSE),"")</f>
        <v/>
      </c>
      <c r="S1535" t="str">
        <f>IFERROR(VLOOKUP('OB Format'!D1535,'Team Data'!C:AC,25,FALSE),"")</f>
        <v/>
      </c>
    </row>
    <row r="1536" spans="5:19" x14ac:dyDescent="0.25">
      <c r="E1536" t="str">
        <f>IFERROR(VLOOKUP(D1536,'Team Data'!C:AB,4,FALSE),"")</f>
        <v/>
      </c>
      <c r="F1536" t="str">
        <f>IFERROR(VLOOKUP(D1536,'Team Data'!C:AB,5,FALSE),"")</f>
        <v/>
      </c>
      <c r="G1536" t="str">
        <f>IFERROR(VLOOKUP('OB Format'!D1536,'Team Data'!C:AB,17,FALSE),"")</f>
        <v/>
      </c>
      <c r="H1536" t="str">
        <f>IFERROR(VLOOKUP(D1536,'Team Data'!C:AB,7,FALSE),"")</f>
        <v/>
      </c>
      <c r="I1536" t="str">
        <f>IFERROR(VLOOKUP(D1536,'Team Data'!C:AB,14,FALSE),"")</f>
        <v/>
      </c>
      <c r="J1536" t="str">
        <f>IFERROR(VLOOKUP(D1536,'Team Data'!C:AB,8,FALSE),"")</f>
        <v/>
      </c>
      <c r="K1536" t="str">
        <f>IFERROR(VLOOKUP(D1536,'Team Data'!C:AB,9,FALSE),"")</f>
        <v/>
      </c>
      <c r="L1536" t="str">
        <f>IFERROR(VLOOKUP(D1536,'Team Data'!C:AB,10,FALSE),"")</f>
        <v/>
      </c>
      <c r="M1536" t="str">
        <f t="shared" si="48"/>
        <v/>
      </c>
      <c r="N1536" t="str">
        <f>IFERROR(VLOOKUP(D1536,'Team Data'!C:AB,23,FALSE),"")</f>
        <v/>
      </c>
      <c r="O1536" t="str">
        <f>IFERROR(VLOOKUP(D1536,'Team Data'!C:AB,22,FALSE),"")</f>
        <v/>
      </c>
      <c r="P1536" t="str">
        <f t="shared" si="49"/>
        <v/>
      </c>
      <c r="Q1536" t="str">
        <f>IFERROR(VLOOKUP(D1536,'Team Data'!C:AB,15,FALSE),"")</f>
        <v/>
      </c>
      <c r="R1536" t="str">
        <f>IFERROR(VLOOKUP('OB Format'!D1536,'Team Data'!C:AB,24,FALSE),"")</f>
        <v/>
      </c>
      <c r="S1536" t="str">
        <f>IFERROR(VLOOKUP('OB Format'!D1536,'Team Data'!C:AC,25,FALSE),"")</f>
        <v/>
      </c>
    </row>
    <row r="1537" spans="5:19" x14ac:dyDescent="0.25">
      <c r="E1537" t="str">
        <f>IFERROR(VLOOKUP(D1537,'Team Data'!C:AB,4,FALSE),"")</f>
        <v/>
      </c>
      <c r="F1537" t="str">
        <f>IFERROR(VLOOKUP(D1537,'Team Data'!C:AB,5,FALSE),"")</f>
        <v/>
      </c>
      <c r="G1537" t="str">
        <f>IFERROR(VLOOKUP('OB Format'!D1537,'Team Data'!C:AB,17,FALSE),"")</f>
        <v/>
      </c>
      <c r="H1537" t="str">
        <f>IFERROR(VLOOKUP(D1537,'Team Data'!C:AB,7,FALSE),"")</f>
        <v/>
      </c>
      <c r="I1537" t="str">
        <f>IFERROR(VLOOKUP(D1537,'Team Data'!C:AB,14,FALSE),"")</f>
        <v/>
      </c>
      <c r="J1537" t="str">
        <f>IFERROR(VLOOKUP(D1537,'Team Data'!C:AB,8,FALSE),"")</f>
        <v/>
      </c>
      <c r="K1537" t="str">
        <f>IFERROR(VLOOKUP(D1537,'Team Data'!C:AB,9,FALSE),"")</f>
        <v/>
      </c>
      <c r="L1537" t="str">
        <f>IFERROR(VLOOKUP(D1537,'Team Data'!C:AB,10,FALSE),"")</f>
        <v/>
      </c>
      <c r="M1537" t="str">
        <f t="shared" si="48"/>
        <v/>
      </c>
      <c r="N1537" t="str">
        <f>IFERROR(VLOOKUP(D1537,'Team Data'!C:AB,23,FALSE),"")</f>
        <v/>
      </c>
      <c r="O1537" t="str">
        <f>IFERROR(VLOOKUP(D1537,'Team Data'!C:AB,22,FALSE),"")</f>
        <v/>
      </c>
      <c r="P1537" t="str">
        <f t="shared" si="49"/>
        <v/>
      </c>
      <c r="Q1537" t="str">
        <f>IFERROR(VLOOKUP(D1537,'Team Data'!C:AB,15,FALSE),"")</f>
        <v/>
      </c>
      <c r="R1537" t="str">
        <f>IFERROR(VLOOKUP('OB Format'!D1537,'Team Data'!C:AB,24,FALSE),"")</f>
        <v/>
      </c>
      <c r="S1537" t="str">
        <f>IFERROR(VLOOKUP('OB Format'!D1537,'Team Data'!C:AC,25,FALSE),"")</f>
        <v/>
      </c>
    </row>
    <row r="1538" spans="5:19" x14ac:dyDescent="0.25">
      <c r="E1538" t="str">
        <f>IFERROR(VLOOKUP(D1538,'Team Data'!C:AB,4,FALSE),"")</f>
        <v/>
      </c>
      <c r="F1538" t="str">
        <f>IFERROR(VLOOKUP(D1538,'Team Data'!C:AB,5,FALSE),"")</f>
        <v/>
      </c>
      <c r="G1538" t="str">
        <f>IFERROR(VLOOKUP('OB Format'!D1538,'Team Data'!C:AB,17,FALSE),"")</f>
        <v/>
      </c>
      <c r="H1538" t="str">
        <f>IFERROR(VLOOKUP(D1538,'Team Data'!C:AB,7,FALSE),"")</f>
        <v/>
      </c>
      <c r="I1538" t="str">
        <f>IFERROR(VLOOKUP(D1538,'Team Data'!C:AB,14,FALSE),"")</f>
        <v/>
      </c>
      <c r="J1538" t="str">
        <f>IFERROR(VLOOKUP(D1538,'Team Data'!C:AB,8,FALSE),"")</f>
        <v/>
      </c>
      <c r="K1538" t="str">
        <f>IFERROR(VLOOKUP(D1538,'Team Data'!C:AB,9,FALSE),"")</f>
        <v/>
      </c>
      <c r="L1538" t="str">
        <f>IFERROR(VLOOKUP(D1538,'Team Data'!C:AB,10,FALSE),"")</f>
        <v/>
      </c>
      <c r="M1538" t="str">
        <f t="shared" si="48"/>
        <v/>
      </c>
      <c r="N1538" t="str">
        <f>IFERROR(VLOOKUP(D1538,'Team Data'!C:AB,23,FALSE),"")</f>
        <v/>
      </c>
      <c r="O1538" t="str">
        <f>IFERROR(VLOOKUP(D1538,'Team Data'!C:AB,22,FALSE),"")</f>
        <v/>
      </c>
      <c r="P1538" t="str">
        <f t="shared" si="49"/>
        <v/>
      </c>
      <c r="Q1538" t="str">
        <f>IFERROR(VLOOKUP(D1538,'Team Data'!C:AB,15,FALSE),"")</f>
        <v/>
      </c>
      <c r="R1538" t="str">
        <f>IFERROR(VLOOKUP('OB Format'!D1538,'Team Data'!C:AB,24,FALSE),"")</f>
        <v/>
      </c>
      <c r="S1538" t="str">
        <f>IFERROR(VLOOKUP('OB Format'!D1538,'Team Data'!C:AC,25,FALSE),"")</f>
        <v/>
      </c>
    </row>
    <row r="1539" spans="5:19" x14ac:dyDescent="0.25">
      <c r="E1539" t="str">
        <f>IFERROR(VLOOKUP(D1539,'Team Data'!C:AB,4,FALSE),"")</f>
        <v/>
      </c>
      <c r="F1539" t="str">
        <f>IFERROR(VLOOKUP(D1539,'Team Data'!C:AB,5,FALSE),"")</f>
        <v/>
      </c>
      <c r="G1539" t="str">
        <f>IFERROR(VLOOKUP('OB Format'!D1539,'Team Data'!C:AB,17,FALSE),"")</f>
        <v/>
      </c>
      <c r="H1539" t="str">
        <f>IFERROR(VLOOKUP(D1539,'Team Data'!C:AB,7,FALSE),"")</f>
        <v/>
      </c>
      <c r="I1539" t="str">
        <f>IFERROR(VLOOKUP(D1539,'Team Data'!C:AB,14,FALSE),"")</f>
        <v/>
      </c>
      <c r="J1539" t="str">
        <f>IFERROR(VLOOKUP(D1539,'Team Data'!C:AB,8,FALSE),"")</f>
        <v/>
      </c>
      <c r="K1539" t="str">
        <f>IFERROR(VLOOKUP(D1539,'Team Data'!C:AB,9,FALSE),"")</f>
        <v/>
      </c>
      <c r="L1539" t="str">
        <f>IFERROR(VLOOKUP(D1539,'Team Data'!C:AB,10,FALSE),"")</f>
        <v/>
      </c>
      <c r="M1539" t="str">
        <f t="shared" si="48"/>
        <v/>
      </c>
      <c r="N1539" t="str">
        <f>IFERROR(VLOOKUP(D1539,'Team Data'!C:AB,23,FALSE),"")</f>
        <v/>
      </c>
      <c r="O1539" t="str">
        <f>IFERROR(VLOOKUP(D1539,'Team Data'!C:AB,22,FALSE),"")</f>
        <v/>
      </c>
      <c r="P1539" t="str">
        <f t="shared" si="49"/>
        <v/>
      </c>
      <c r="Q1539" t="str">
        <f>IFERROR(VLOOKUP(D1539,'Team Data'!C:AB,15,FALSE),"")</f>
        <v/>
      </c>
      <c r="R1539" t="str">
        <f>IFERROR(VLOOKUP('OB Format'!D1539,'Team Data'!C:AB,24,FALSE),"")</f>
        <v/>
      </c>
      <c r="S1539" t="str">
        <f>IFERROR(VLOOKUP('OB Format'!D1539,'Team Data'!C:AC,25,FALSE),"")</f>
        <v/>
      </c>
    </row>
    <row r="1540" spans="5:19" x14ac:dyDescent="0.25">
      <c r="E1540" t="str">
        <f>IFERROR(VLOOKUP(D1540,'Team Data'!C:AB,4,FALSE),"")</f>
        <v/>
      </c>
      <c r="F1540" t="str">
        <f>IFERROR(VLOOKUP(D1540,'Team Data'!C:AB,5,FALSE),"")</f>
        <v/>
      </c>
      <c r="G1540" t="str">
        <f>IFERROR(VLOOKUP('OB Format'!D1540,'Team Data'!C:AB,17,FALSE),"")</f>
        <v/>
      </c>
      <c r="H1540" t="str">
        <f>IFERROR(VLOOKUP(D1540,'Team Data'!C:AB,7,FALSE),"")</f>
        <v/>
      </c>
      <c r="I1540" t="str">
        <f>IFERROR(VLOOKUP(D1540,'Team Data'!C:AB,14,FALSE),"")</f>
        <v/>
      </c>
      <c r="J1540" t="str">
        <f>IFERROR(VLOOKUP(D1540,'Team Data'!C:AB,8,FALSE),"")</f>
        <v/>
      </c>
      <c r="K1540" t="str">
        <f>IFERROR(VLOOKUP(D1540,'Team Data'!C:AB,9,FALSE),"")</f>
        <v/>
      </c>
      <c r="L1540" t="str">
        <f>IFERROR(VLOOKUP(D1540,'Team Data'!C:AB,10,FALSE),"")</f>
        <v/>
      </c>
      <c r="M1540" t="str">
        <f t="shared" si="48"/>
        <v/>
      </c>
      <c r="N1540" t="str">
        <f>IFERROR(VLOOKUP(D1540,'Team Data'!C:AB,23,FALSE),"")</f>
        <v/>
      </c>
      <c r="O1540" t="str">
        <f>IFERROR(VLOOKUP(D1540,'Team Data'!C:AB,22,FALSE),"")</f>
        <v/>
      </c>
      <c r="P1540" t="str">
        <f t="shared" si="49"/>
        <v/>
      </c>
      <c r="Q1540" t="str">
        <f>IFERROR(VLOOKUP(D1540,'Team Data'!C:AB,15,FALSE),"")</f>
        <v/>
      </c>
      <c r="R1540" t="str">
        <f>IFERROR(VLOOKUP('OB Format'!D1540,'Team Data'!C:AB,24,FALSE),"")</f>
        <v/>
      </c>
      <c r="S1540" t="str">
        <f>IFERROR(VLOOKUP('OB Format'!D1540,'Team Data'!C:AC,25,FALSE),"")</f>
        <v/>
      </c>
    </row>
    <row r="1541" spans="5:19" x14ac:dyDescent="0.25">
      <c r="E1541" t="str">
        <f>IFERROR(VLOOKUP(D1541,'Team Data'!C:AB,4,FALSE),"")</f>
        <v/>
      </c>
      <c r="F1541" t="str">
        <f>IFERROR(VLOOKUP(D1541,'Team Data'!C:AB,5,FALSE),"")</f>
        <v/>
      </c>
      <c r="G1541" t="str">
        <f>IFERROR(VLOOKUP('OB Format'!D1541,'Team Data'!C:AB,17,FALSE),"")</f>
        <v/>
      </c>
      <c r="H1541" t="str">
        <f>IFERROR(VLOOKUP(D1541,'Team Data'!C:AB,7,FALSE),"")</f>
        <v/>
      </c>
      <c r="I1541" t="str">
        <f>IFERROR(VLOOKUP(D1541,'Team Data'!C:AB,14,FALSE),"")</f>
        <v/>
      </c>
      <c r="J1541" t="str">
        <f>IFERROR(VLOOKUP(D1541,'Team Data'!C:AB,8,FALSE),"")</f>
        <v/>
      </c>
      <c r="K1541" t="str">
        <f>IFERROR(VLOOKUP(D1541,'Team Data'!C:AB,9,FALSE),"")</f>
        <v/>
      </c>
      <c r="L1541" t="str">
        <f>IFERROR(VLOOKUP(D1541,'Team Data'!C:AB,10,FALSE),"")</f>
        <v/>
      </c>
      <c r="M1541" t="str">
        <f t="shared" si="48"/>
        <v/>
      </c>
      <c r="N1541" t="str">
        <f>IFERROR(VLOOKUP(D1541,'Team Data'!C:AB,23,FALSE),"")</f>
        <v/>
      </c>
      <c r="O1541" t="str">
        <f>IFERROR(VLOOKUP(D1541,'Team Data'!C:AB,22,FALSE),"")</f>
        <v/>
      </c>
      <c r="P1541" t="str">
        <f t="shared" si="49"/>
        <v/>
      </c>
      <c r="Q1541" t="str">
        <f>IFERROR(VLOOKUP(D1541,'Team Data'!C:AB,15,FALSE),"")</f>
        <v/>
      </c>
      <c r="R1541" t="str">
        <f>IFERROR(VLOOKUP('OB Format'!D1541,'Team Data'!C:AB,24,FALSE),"")</f>
        <v/>
      </c>
      <c r="S1541" t="str">
        <f>IFERROR(VLOOKUP('OB Format'!D1541,'Team Data'!C:AC,25,FALSE),"")</f>
        <v/>
      </c>
    </row>
    <row r="1542" spans="5:19" x14ac:dyDescent="0.25">
      <c r="E1542" t="str">
        <f>IFERROR(VLOOKUP(D1542,'Team Data'!C:AB,4,FALSE),"")</f>
        <v/>
      </c>
      <c r="F1542" t="str">
        <f>IFERROR(VLOOKUP(D1542,'Team Data'!C:AB,5,FALSE),"")</f>
        <v/>
      </c>
      <c r="G1542" t="str">
        <f>IFERROR(VLOOKUP('OB Format'!D1542,'Team Data'!C:AB,17,FALSE),"")</f>
        <v/>
      </c>
      <c r="H1542" t="str">
        <f>IFERROR(VLOOKUP(D1542,'Team Data'!C:AB,7,FALSE),"")</f>
        <v/>
      </c>
      <c r="I1542" t="str">
        <f>IFERROR(VLOOKUP(D1542,'Team Data'!C:AB,14,FALSE),"")</f>
        <v/>
      </c>
      <c r="J1542" t="str">
        <f>IFERROR(VLOOKUP(D1542,'Team Data'!C:AB,8,FALSE),"")</f>
        <v/>
      </c>
      <c r="K1542" t="str">
        <f>IFERROR(VLOOKUP(D1542,'Team Data'!C:AB,9,FALSE),"")</f>
        <v/>
      </c>
      <c r="L1542" t="str">
        <f>IFERROR(VLOOKUP(D1542,'Team Data'!C:AB,10,FALSE),"")</f>
        <v/>
      </c>
      <c r="M1542" t="str">
        <f t="shared" si="48"/>
        <v/>
      </c>
      <c r="N1542" t="str">
        <f>IFERROR(VLOOKUP(D1542,'Team Data'!C:AB,23,FALSE),"")</f>
        <v/>
      </c>
      <c r="O1542" t="str">
        <f>IFERROR(VLOOKUP(D1542,'Team Data'!C:AB,22,FALSE),"")</f>
        <v/>
      </c>
      <c r="P1542" t="str">
        <f t="shared" si="49"/>
        <v/>
      </c>
      <c r="Q1542" t="str">
        <f>IFERROR(VLOOKUP(D1542,'Team Data'!C:AB,15,FALSE),"")</f>
        <v/>
      </c>
      <c r="R1542" t="str">
        <f>IFERROR(VLOOKUP('OB Format'!D1542,'Team Data'!C:AB,24,FALSE),"")</f>
        <v/>
      </c>
      <c r="S1542" t="str">
        <f>IFERROR(VLOOKUP('OB Format'!D1542,'Team Data'!C:AC,25,FALSE),"")</f>
        <v/>
      </c>
    </row>
    <row r="1543" spans="5:19" x14ac:dyDescent="0.25">
      <c r="E1543" t="str">
        <f>IFERROR(VLOOKUP(D1543,'Team Data'!C:AB,4,FALSE),"")</f>
        <v/>
      </c>
      <c r="F1543" t="str">
        <f>IFERROR(VLOOKUP(D1543,'Team Data'!C:AB,5,FALSE),"")</f>
        <v/>
      </c>
      <c r="G1543" t="str">
        <f>IFERROR(VLOOKUP('OB Format'!D1543,'Team Data'!C:AB,17,FALSE),"")</f>
        <v/>
      </c>
      <c r="H1543" t="str">
        <f>IFERROR(VLOOKUP(D1543,'Team Data'!C:AB,7,FALSE),"")</f>
        <v/>
      </c>
      <c r="I1543" t="str">
        <f>IFERROR(VLOOKUP(D1543,'Team Data'!C:AB,14,FALSE),"")</f>
        <v/>
      </c>
      <c r="J1543" t="str">
        <f>IFERROR(VLOOKUP(D1543,'Team Data'!C:AB,8,FALSE),"")</f>
        <v/>
      </c>
      <c r="K1543" t="str">
        <f>IFERROR(VLOOKUP(D1543,'Team Data'!C:AB,9,FALSE),"")</f>
        <v/>
      </c>
      <c r="L1543" t="str">
        <f>IFERROR(VLOOKUP(D1543,'Team Data'!C:AB,10,FALSE),"")</f>
        <v/>
      </c>
      <c r="M1543" t="str">
        <f t="shared" si="48"/>
        <v/>
      </c>
      <c r="N1543" t="str">
        <f>IFERROR(VLOOKUP(D1543,'Team Data'!C:AB,23,FALSE),"")</f>
        <v/>
      </c>
      <c r="O1543" t="str">
        <f>IFERROR(VLOOKUP(D1543,'Team Data'!C:AB,22,FALSE),"")</f>
        <v/>
      </c>
      <c r="P1543" t="str">
        <f t="shared" si="49"/>
        <v/>
      </c>
      <c r="Q1543" t="str">
        <f>IFERROR(VLOOKUP(D1543,'Team Data'!C:AB,15,FALSE),"")</f>
        <v/>
      </c>
      <c r="R1543" t="str">
        <f>IFERROR(VLOOKUP('OB Format'!D1543,'Team Data'!C:AB,24,FALSE),"")</f>
        <v/>
      </c>
      <c r="S1543" t="str">
        <f>IFERROR(VLOOKUP('OB Format'!D1543,'Team Data'!C:AC,25,FALSE),"")</f>
        <v/>
      </c>
    </row>
    <row r="1544" spans="5:19" x14ac:dyDescent="0.25">
      <c r="E1544" t="str">
        <f>IFERROR(VLOOKUP(D1544,'Team Data'!C:AB,4,FALSE),"")</f>
        <v/>
      </c>
      <c r="F1544" t="str">
        <f>IFERROR(VLOOKUP(D1544,'Team Data'!C:AB,5,FALSE),"")</f>
        <v/>
      </c>
      <c r="G1544" t="str">
        <f>IFERROR(VLOOKUP('OB Format'!D1544,'Team Data'!C:AB,17,FALSE),"")</f>
        <v/>
      </c>
      <c r="H1544" t="str">
        <f>IFERROR(VLOOKUP(D1544,'Team Data'!C:AB,7,FALSE),"")</f>
        <v/>
      </c>
      <c r="I1544" t="str">
        <f>IFERROR(VLOOKUP(D1544,'Team Data'!C:AB,14,FALSE),"")</f>
        <v/>
      </c>
      <c r="J1544" t="str">
        <f>IFERROR(VLOOKUP(D1544,'Team Data'!C:AB,8,FALSE),"")</f>
        <v/>
      </c>
      <c r="K1544" t="str">
        <f>IFERROR(VLOOKUP(D1544,'Team Data'!C:AB,9,FALSE),"")</f>
        <v/>
      </c>
      <c r="L1544" t="str">
        <f>IFERROR(VLOOKUP(D1544,'Team Data'!C:AB,10,FALSE),"")</f>
        <v/>
      </c>
      <c r="M1544" t="str">
        <f t="shared" si="48"/>
        <v/>
      </c>
      <c r="N1544" t="str">
        <f>IFERROR(VLOOKUP(D1544,'Team Data'!C:AB,23,FALSE),"")</f>
        <v/>
      </c>
      <c r="O1544" t="str">
        <f>IFERROR(VLOOKUP(D1544,'Team Data'!C:AB,22,FALSE),"")</f>
        <v/>
      </c>
      <c r="P1544" t="str">
        <f t="shared" si="49"/>
        <v/>
      </c>
      <c r="Q1544" t="str">
        <f>IFERROR(VLOOKUP(D1544,'Team Data'!C:AB,15,FALSE),"")</f>
        <v/>
      </c>
      <c r="R1544" t="str">
        <f>IFERROR(VLOOKUP('OB Format'!D1544,'Team Data'!C:AB,24,FALSE),"")</f>
        <v/>
      </c>
      <c r="S1544" t="str">
        <f>IFERROR(VLOOKUP('OB Format'!D1544,'Team Data'!C:AC,25,FALSE),"")</f>
        <v/>
      </c>
    </row>
    <row r="1545" spans="5:19" x14ac:dyDescent="0.25">
      <c r="E1545" t="str">
        <f>IFERROR(VLOOKUP(D1545,'Team Data'!C:AB,4,FALSE),"")</f>
        <v/>
      </c>
      <c r="F1545" t="str">
        <f>IFERROR(VLOOKUP(D1545,'Team Data'!C:AB,5,FALSE),"")</f>
        <v/>
      </c>
      <c r="G1545" t="str">
        <f>IFERROR(VLOOKUP('OB Format'!D1545,'Team Data'!C:AB,17,FALSE),"")</f>
        <v/>
      </c>
      <c r="H1545" t="str">
        <f>IFERROR(VLOOKUP(D1545,'Team Data'!C:AB,7,FALSE),"")</f>
        <v/>
      </c>
      <c r="I1545" t="str">
        <f>IFERROR(VLOOKUP(D1545,'Team Data'!C:AB,14,FALSE),"")</f>
        <v/>
      </c>
      <c r="J1545" t="str">
        <f>IFERROR(VLOOKUP(D1545,'Team Data'!C:AB,8,FALSE),"")</f>
        <v/>
      </c>
      <c r="K1545" t="str">
        <f>IFERROR(VLOOKUP(D1545,'Team Data'!C:AB,9,FALSE),"")</f>
        <v/>
      </c>
      <c r="L1545" t="str">
        <f>IFERROR(VLOOKUP(D1545,'Team Data'!C:AB,10,FALSE),"")</f>
        <v/>
      </c>
      <c r="M1545" t="str">
        <f t="shared" si="48"/>
        <v/>
      </c>
      <c r="N1545" t="str">
        <f>IFERROR(VLOOKUP(D1545,'Team Data'!C:AB,23,FALSE),"")</f>
        <v/>
      </c>
      <c r="O1545" t="str">
        <f>IFERROR(VLOOKUP(D1545,'Team Data'!C:AB,22,FALSE),"")</f>
        <v/>
      </c>
      <c r="P1545" t="str">
        <f t="shared" si="49"/>
        <v/>
      </c>
      <c r="Q1545" t="str">
        <f>IFERROR(VLOOKUP(D1545,'Team Data'!C:AB,15,FALSE),"")</f>
        <v/>
      </c>
      <c r="R1545" t="str">
        <f>IFERROR(VLOOKUP('OB Format'!D1545,'Team Data'!C:AB,24,FALSE),"")</f>
        <v/>
      </c>
      <c r="S1545" t="str">
        <f>IFERROR(VLOOKUP('OB Format'!D1545,'Team Data'!C:AC,25,FALSE),"")</f>
        <v/>
      </c>
    </row>
    <row r="1546" spans="5:19" x14ac:dyDescent="0.25">
      <c r="E1546" t="str">
        <f>IFERROR(VLOOKUP(D1546,'Team Data'!C:AB,4,FALSE),"")</f>
        <v/>
      </c>
      <c r="F1546" t="str">
        <f>IFERROR(VLOOKUP(D1546,'Team Data'!C:AB,5,FALSE),"")</f>
        <v/>
      </c>
      <c r="G1546" t="str">
        <f>IFERROR(VLOOKUP('OB Format'!D1546,'Team Data'!C:AB,17,FALSE),"")</f>
        <v/>
      </c>
      <c r="H1546" t="str">
        <f>IFERROR(VLOOKUP(D1546,'Team Data'!C:AB,7,FALSE),"")</f>
        <v/>
      </c>
      <c r="I1546" t="str">
        <f>IFERROR(VLOOKUP(D1546,'Team Data'!C:AB,14,FALSE),"")</f>
        <v/>
      </c>
      <c r="J1546" t="str">
        <f>IFERROR(VLOOKUP(D1546,'Team Data'!C:AB,8,FALSE),"")</f>
        <v/>
      </c>
      <c r="K1546" t="str">
        <f>IFERROR(VLOOKUP(D1546,'Team Data'!C:AB,9,FALSE),"")</f>
        <v/>
      </c>
      <c r="L1546" t="str">
        <f>IFERROR(VLOOKUP(D1546,'Team Data'!C:AB,10,FALSE),"")</f>
        <v/>
      </c>
      <c r="M1546" t="str">
        <f t="shared" si="48"/>
        <v/>
      </c>
      <c r="N1546" t="str">
        <f>IFERROR(VLOOKUP(D1546,'Team Data'!C:AB,23,FALSE),"")</f>
        <v/>
      </c>
      <c r="O1546" t="str">
        <f>IFERROR(VLOOKUP(D1546,'Team Data'!C:AB,22,FALSE),"")</f>
        <v/>
      </c>
      <c r="P1546" t="str">
        <f t="shared" si="49"/>
        <v/>
      </c>
      <c r="Q1546" t="str">
        <f>IFERROR(VLOOKUP(D1546,'Team Data'!C:AB,15,FALSE),"")</f>
        <v/>
      </c>
      <c r="R1546" t="str">
        <f>IFERROR(VLOOKUP('OB Format'!D1546,'Team Data'!C:AB,24,FALSE),"")</f>
        <v/>
      </c>
      <c r="S1546" t="str">
        <f>IFERROR(VLOOKUP('OB Format'!D1546,'Team Data'!C:AC,25,FALSE),"")</f>
        <v/>
      </c>
    </row>
    <row r="1547" spans="5:19" x14ac:dyDescent="0.25">
      <c r="E1547" t="str">
        <f>IFERROR(VLOOKUP(D1547,'Team Data'!C:AB,4,FALSE),"")</f>
        <v/>
      </c>
      <c r="F1547" t="str">
        <f>IFERROR(VLOOKUP(D1547,'Team Data'!C:AB,5,FALSE),"")</f>
        <v/>
      </c>
      <c r="G1547" t="str">
        <f>IFERROR(VLOOKUP('OB Format'!D1547,'Team Data'!C:AB,17,FALSE),"")</f>
        <v/>
      </c>
      <c r="H1547" t="str">
        <f>IFERROR(VLOOKUP(D1547,'Team Data'!C:AB,7,FALSE),"")</f>
        <v/>
      </c>
      <c r="I1547" t="str">
        <f>IFERROR(VLOOKUP(D1547,'Team Data'!C:AB,14,FALSE),"")</f>
        <v/>
      </c>
      <c r="J1547" t="str">
        <f>IFERROR(VLOOKUP(D1547,'Team Data'!C:AB,8,FALSE),"")</f>
        <v/>
      </c>
      <c r="K1547" t="str">
        <f>IFERROR(VLOOKUP(D1547,'Team Data'!C:AB,9,FALSE),"")</f>
        <v/>
      </c>
      <c r="L1547" t="str">
        <f>IFERROR(VLOOKUP(D1547,'Team Data'!C:AB,10,FALSE),"")</f>
        <v/>
      </c>
      <c r="M1547" t="str">
        <f t="shared" si="48"/>
        <v/>
      </c>
      <c r="N1547" t="str">
        <f>IFERROR(VLOOKUP(D1547,'Team Data'!C:AB,23,FALSE),"")</f>
        <v/>
      </c>
      <c r="O1547" t="str">
        <f>IFERROR(VLOOKUP(D1547,'Team Data'!C:AB,22,FALSE),"")</f>
        <v/>
      </c>
      <c r="P1547" t="str">
        <f t="shared" si="49"/>
        <v/>
      </c>
      <c r="Q1547" t="str">
        <f>IFERROR(VLOOKUP(D1547,'Team Data'!C:AB,15,FALSE),"")</f>
        <v/>
      </c>
      <c r="R1547" t="str">
        <f>IFERROR(VLOOKUP('OB Format'!D1547,'Team Data'!C:AB,24,FALSE),"")</f>
        <v/>
      </c>
      <c r="S1547" t="str">
        <f>IFERROR(VLOOKUP('OB Format'!D1547,'Team Data'!C:AC,25,FALSE),"")</f>
        <v/>
      </c>
    </row>
    <row r="1548" spans="5:19" x14ac:dyDescent="0.25">
      <c r="E1548" t="str">
        <f>IFERROR(VLOOKUP(D1548,'Team Data'!C:AB,4,FALSE),"")</f>
        <v/>
      </c>
      <c r="F1548" t="str">
        <f>IFERROR(VLOOKUP(D1548,'Team Data'!C:AB,5,FALSE),"")</f>
        <v/>
      </c>
      <c r="G1548" t="str">
        <f>IFERROR(VLOOKUP('OB Format'!D1548,'Team Data'!C:AB,17,FALSE),"")</f>
        <v/>
      </c>
      <c r="H1548" t="str">
        <f>IFERROR(VLOOKUP(D1548,'Team Data'!C:AB,7,FALSE),"")</f>
        <v/>
      </c>
      <c r="I1548" t="str">
        <f>IFERROR(VLOOKUP(D1548,'Team Data'!C:AB,14,FALSE),"")</f>
        <v/>
      </c>
      <c r="J1548" t="str">
        <f>IFERROR(VLOOKUP(D1548,'Team Data'!C:AB,8,FALSE),"")</f>
        <v/>
      </c>
      <c r="K1548" t="str">
        <f>IFERROR(VLOOKUP(D1548,'Team Data'!C:AB,9,FALSE),"")</f>
        <v/>
      </c>
      <c r="L1548" t="str">
        <f>IFERROR(VLOOKUP(D1548,'Team Data'!C:AB,10,FALSE),"")</f>
        <v/>
      </c>
      <c r="M1548" t="str">
        <f t="shared" si="48"/>
        <v/>
      </c>
      <c r="N1548" t="str">
        <f>IFERROR(VLOOKUP(D1548,'Team Data'!C:AB,23,FALSE),"")</f>
        <v/>
      </c>
      <c r="O1548" t="str">
        <f>IFERROR(VLOOKUP(D1548,'Team Data'!C:AB,22,FALSE),"")</f>
        <v/>
      </c>
      <c r="P1548" t="str">
        <f t="shared" si="49"/>
        <v/>
      </c>
      <c r="Q1548" t="str">
        <f>IFERROR(VLOOKUP(D1548,'Team Data'!C:AB,15,FALSE),"")</f>
        <v/>
      </c>
      <c r="R1548" t="str">
        <f>IFERROR(VLOOKUP('OB Format'!D1548,'Team Data'!C:AB,24,FALSE),"")</f>
        <v/>
      </c>
      <c r="S1548" t="str">
        <f>IFERROR(VLOOKUP('OB Format'!D1548,'Team Data'!C:AC,25,FALSE),"")</f>
        <v/>
      </c>
    </row>
    <row r="1549" spans="5:19" x14ac:dyDescent="0.25">
      <c r="E1549" t="str">
        <f>IFERROR(VLOOKUP(D1549,'Team Data'!C:AB,4,FALSE),"")</f>
        <v/>
      </c>
      <c r="F1549" t="str">
        <f>IFERROR(VLOOKUP(D1549,'Team Data'!C:AB,5,FALSE),"")</f>
        <v/>
      </c>
      <c r="G1549" t="str">
        <f>IFERROR(VLOOKUP('OB Format'!D1549,'Team Data'!C:AB,17,FALSE),"")</f>
        <v/>
      </c>
      <c r="H1549" t="str">
        <f>IFERROR(VLOOKUP(D1549,'Team Data'!C:AB,7,FALSE),"")</f>
        <v/>
      </c>
      <c r="I1549" t="str">
        <f>IFERROR(VLOOKUP(D1549,'Team Data'!C:AB,14,FALSE),"")</f>
        <v/>
      </c>
      <c r="J1549" t="str">
        <f>IFERROR(VLOOKUP(D1549,'Team Data'!C:AB,8,FALSE),"")</f>
        <v/>
      </c>
      <c r="K1549" t="str">
        <f>IFERROR(VLOOKUP(D1549,'Team Data'!C:AB,9,FALSE),"")</f>
        <v/>
      </c>
      <c r="L1549" t="str">
        <f>IFERROR(VLOOKUP(D1549,'Team Data'!C:AB,10,FALSE),"")</f>
        <v/>
      </c>
      <c r="M1549" t="str">
        <f t="shared" ref="M1549:M1612" si="50">IFERROR(H1549-(J1549+L1549+K1549),"")</f>
        <v/>
      </c>
      <c r="N1549" t="str">
        <f>IFERROR(VLOOKUP(D1549,'Team Data'!C:AB,23,FALSE),"")</f>
        <v/>
      </c>
      <c r="O1549" t="str">
        <f>IFERROR(VLOOKUP(D1549,'Team Data'!C:AB,22,FALSE),"")</f>
        <v/>
      </c>
      <c r="P1549" t="str">
        <f t="shared" ref="P1549:P1612" si="51">IFERROR(E1549-(H1549+N1549+Q1549+I1549+O1549),"")</f>
        <v/>
      </c>
      <c r="Q1549" t="str">
        <f>IFERROR(VLOOKUP(D1549,'Team Data'!C:AB,15,FALSE),"")</f>
        <v/>
      </c>
      <c r="R1549" t="str">
        <f>IFERROR(VLOOKUP('OB Format'!D1549,'Team Data'!C:AB,24,FALSE),"")</f>
        <v/>
      </c>
      <c r="S1549" t="str">
        <f>IFERROR(VLOOKUP('OB Format'!D1549,'Team Data'!C:AC,25,FALSE),"")</f>
        <v/>
      </c>
    </row>
    <row r="1550" spans="5:19" x14ac:dyDescent="0.25">
      <c r="E1550" t="str">
        <f>IFERROR(VLOOKUP(D1550,'Team Data'!C:AB,4,FALSE),"")</f>
        <v/>
      </c>
      <c r="F1550" t="str">
        <f>IFERROR(VLOOKUP(D1550,'Team Data'!C:AB,5,FALSE),"")</f>
        <v/>
      </c>
      <c r="G1550" t="str">
        <f>IFERROR(VLOOKUP('OB Format'!D1550,'Team Data'!C:AB,17,FALSE),"")</f>
        <v/>
      </c>
      <c r="H1550" t="str">
        <f>IFERROR(VLOOKUP(D1550,'Team Data'!C:AB,7,FALSE),"")</f>
        <v/>
      </c>
      <c r="I1550" t="str">
        <f>IFERROR(VLOOKUP(D1550,'Team Data'!C:AB,14,FALSE),"")</f>
        <v/>
      </c>
      <c r="J1550" t="str">
        <f>IFERROR(VLOOKUP(D1550,'Team Data'!C:AB,8,FALSE),"")</f>
        <v/>
      </c>
      <c r="K1550" t="str">
        <f>IFERROR(VLOOKUP(D1550,'Team Data'!C:AB,9,FALSE),"")</f>
        <v/>
      </c>
      <c r="L1550" t="str">
        <f>IFERROR(VLOOKUP(D1550,'Team Data'!C:AB,10,FALSE),"")</f>
        <v/>
      </c>
      <c r="M1550" t="str">
        <f t="shared" si="50"/>
        <v/>
      </c>
      <c r="N1550" t="str">
        <f>IFERROR(VLOOKUP(D1550,'Team Data'!C:AB,23,FALSE),"")</f>
        <v/>
      </c>
      <c r="O1550" t="str">
        <f>IFERROR(VLOOKUP(D1550,'Team Data'!C:AB,22,FALSE),"")</f>
        <v/>
      </c>
      <c r="P1550" t="str">
        <f t="shared" si="51"/>
        <v/>
      </c>
      <c r="Q1550" t="str">
        <f>IFERROR(VLOOKUP(D1550,'Team Data'!C:AB,15,FALSE),"")</f>
        <v/>
      </c>
      <c r="R1550" t="str">
        <f>IFERROR(VLOOKUP('OB Format'!D1550,'Team Data'!C:AB,24,FALSE),"")</f>
        <v/>
      </c>
      <c r="S1550" t="str">
        <f>IFERROR(VLOOKUP('OB Format'!D1550,'Team Data'!C:AC,25,FALSE),"")</f>
        <v/>
      </c>
    </row>
    <row r="1551" spans="5:19" x14ac:dyDescent="0.25">
      <c r="E1551" t="str">
        <f>IFERROR(VLOOKUP(D1551,'Team Data'!C:AB,4,FALSE),"")</f>
        <v/>
      </c>
      <c r="F1551" t="str">
        <f>IFERROR(VLOOKUP(D1551,'Team Data'!C:AB,5,FALSE),"")</f>
        <v/>
      </c>
      <c r="G1551" t="str">
        <f>IFERROR(VLOOKUP('OB Format'!D1551,'Team Data'!C:AB,17,FALSE),"")</f>
        <v/>
      </c>
      <c r="H1551" t="str">
        <f>IFERROR(VLOOKUP(D1551,'Team Data'!C:AB,7,FALSE),"")</f>
        <v/>
      </c>
      <c r="I1551" t="str">
        <f>IFERROR(VLOOKUP(D1551,'Team Data'!C:AB,14,FALSE),"")</f>
        <v/>
      </c>
      <c r="J1551" t="str">
        <f>IFERROR(VLOOKUP(D1551,'Team Data'!C:AB,8,FALSE),"")</f>
        <v/>
      </c>
      <c r="K1551" t="str">
        <f>IFERROR(VLOOKUP(D1551,'Team Data'!C:AB,9,FALSE),"")</f>
        <v/>
      </c>
      <c r="L1551" t="str">
        <f>IFERROR(VLOOKUP(D1551,'Team Data'!C:AB,10,FALSE),"")</f>
        <v/>
      </c>
      <c r="M1551" t="str">
        <f t="shared" si="50"/>
        <v/>
      </c>
      <c r="N1551" t="str">
        <f>IFERROR(VLOOKUP(D1551,'Team Data'!C:AB,23,FALSE),"")</f>
        <v/>
      </c>
      <c r="O1551" t="str">
        <f>IFERROR(VLOOKUP(D1551,'Team Data'!C:AB,22,FALSE),"")</f>
        <v/>
      </c>
      <c r="P1551" t="str">
        <f t="shared" si="51"/>
        <v/>
      </c>
      <c r="Q1551" t="str">
        <f>IFERROR(VLOOKUP(D1551,'Team Data'!C:AB,15,FALSE),"")</f>
        <v/>
      </c>
      <c r="R1551" t="str">
        <f>IFERROR(VLOOKUP('OB Format'!D1551,'Team Data'!C:AB,24,FALSE),"")</f>
        <v/>
      </c>
      <c r="S1551" t="str">
        <f>IFERROR(VLOOKUP('OB Format'!D1551,'Team Data'!C:AC,25,FALSE),"")</f>
        <v/>
      </c>
    </row>
    <row r="1552" spans="5:19" x14ac:dyDescent="0.25">
      <c r="E1552" t="str">
        <f>IFERROR(VLOOKUP(D1552,'Team Data'!C:AB,4,FALSE),"")</f>
        <v/>
      </c>
      <c r="F1552" t="str">
        <f>IFERROR(VLOOKUP(D1552,'Team Data'!C:AB,5,FALSE),"")</f>
        <v/>
      </c>
      <c r="G1552" t="str">
        <f>IFERROR(VLOOKUP('OB Format'!D1552,'Team Data'!C:AB,17,FALSE),"")</f>
        <v/>
      </c>
      <c r="H1552" t="str">
        <f>IFERROR(VLOOKUP(D1552,'Team Data'!C:AB,7,FALSE),"")</f>
        <v/>
      </c>
      <c r="I1552" t="str">
        <f>IFERROR(VLOOKUP(D1552,'Team Data'!C:AB,14,FALSE),"")</f>
        <v/>
      </c>
      <c r="J1552" t="str">
        <f>IFERROR(VLOOKUP(D1552,'Team Data'!C:AB,8,FALSE),"")</f>
        <v/>
      </c>
      <c r="K1552" t="str">
        <f>IFERROR(VLOOKUP(D1552,'Team Data'!C:AB,9,FALSE),"")</f>
        <v/>
      </c>
      <c r="L1552" t="str">
        <f>IFERROR(VLOOKUP(D1552,'Team Data'!C:AB,10,FALSE),"")</f>
        <v/>
      </c>
      <c r="M1552" t="str">
        <f t="shared" si="50"/>
        <v/>
      </c>
      <c r="N1552" t="str">
        <f>IFERROR(VLOOKUP(D1552,'Team Data'!C:AB,23,FALSE),"")</f>
        <v/>
      </c>
      <c r="O1552" t="str">
        <f>IFERROR(VLOOKUP(D1552,'Team Data'!C:AB,22,FALSE),"")</f>
        <v/>
      </c>
      <c r="P1552" t="str">
        <f t="shared" si="51"/>
        <v/>
      </c>
      <c r="Q1552" t="str">
        <f>IFERROR(VLOOKUP(D1552,'Team Data'!C:AB,15,FALSE),"")</f>
        <v/>
      </c>
      <c r="R1552" t="str">
        <f>IFERROR(VLOOKUP('OB Format'!D1552,'Team Data'!C:AB,24,FALSE),"")</f>
        <v/>
      </c>
      <c r="S1552" t="str">
        <f>IFERROR(VLOOKUP('OB Format'!D1552,'Team Data'!C:AC,25,FALSE),"")</f>
        <v/>
      </c>
    </row>
    <row r="1553" spans="5:19" x14ac:dyDescent="0.25">
      <c r="E1553" t="str">
        <f>IFERROR(VLOOKUP(D1553,'Team Data'!C:AB,4,FALSE),"")</f>
        <v/>
      </c>
      <c r="F1553" t="str">
        <f>IFERROR(VLOOKUP(D1553,'Team Data'!C:AB,5,FALSE),"")</f>
        <v/>
      </c>
      <c r="G1553" t="str">
        <f>IFERROR(VLOOKUP('OB Format'!D1553,'Team Data'!C:AB,17,FALSE),"")</f>
        <v/>
      </c>
      <c r="H1553" t="str">
        <f>IFERROR(VLOOKUP(D1553,'Team Data'!C:AB,7,FALSE),"")</f>
        <v/>
      </c>
      <c r="I1553" t="str">
        <f>IFERROR(VLOOKUP(D1553,'Team Data'!C:AB,14,FALSE),"")</f>
        <v/>
      </c>
      <c r="J1553" t="str">
        <f>IFERROR(VLOOKUP(D1553,'Team Data'!C:AB,8,FALSE),"")</f>
        <v/>
      </c>
      <c r="K1553" t="str">
        <f>IFERROR(VLOOKUP(D1553,'Team Data'!C:AB,9,FALSE),"")</f>
        <v/>
      </c>
      <c r="L1553" t="str">
        <f>IFERROR(VLOOKUP(D1553,'Team Data'!C:AB,10,FALSE),"")</f>
        <v/>
      </c>
      <c r="M1553" t="str">
        <f t="shared" si="50"/>
        <v/>
      </c>
      <c r="N1553" t="str">
        <f>IFERROR(VLOOKUP(D1553,'Team Data'!C:AB,23,FALSE),"")</f>
        <v/>
      </c>
      <c r="O1553" t="str">
        <f>IFERROR(VLOOKUP(D1553,'Team Data'!C:AB,22,FALSE),"")</f>
        <v/>
      </c>
      <c r="P1553" t="str">
        <f t="shared" si="51"/>
        <v/>
      </c>
      <c r="Q1553" t="str">
        <f>IFERROR(VLOOKUP(D1553,'Team Data'!C:AB,15,FALSE),"")</f>
        <v/>
      </c>
      <c r="R1553" t="str">
        <f>IFERROR(VLOOKUP('OB Format'!D1553,'Team Data'!C:AB,24,FALSE),"")</f>
        <v/>
      </c>
      <c r="S1553" t="str">
        <f>IFERROR(VLOOKUP('OB Format'!D1553,'Team Data'!C:AC,25,FALSE),"")</f>
        <v/>
      </c>
    </row>
    <row r="1554" spans="5:19" x14ac:dyDescent="0.25">
      <c r="E1554" t="str">
        <f>IFERROR(VLOOKUP(D1554,'Team Data'!C:AB,4,FALSE),"")</f>
        <v/>
      </c>
      <c r="F1554" t="str">
        <f>IFERROR(VLOOKUP(D1554,'Team Data'!C:AB,5,FALSE),"")</f>
        <v/>
      </c>
      <c r="G1554" t="str">
        <f>IFERROR(VLOOKUP('OB Format'!D1554,'Team Data'!C:AB,17,FALSE),"")</f>
        <v/>
      </c>
      <c r="H1554" t="str">
        <f>IFERROR(VLOOKUP(D1554,'Team Data'!C:AB,7,FALSE),"")</f>
        <v/>
      </c>
      <c r="I1554" t="str">
        <f>IFERROR(VLOOKUP(D1554,'Team Data'!C:AB,14,FALSE),"")</f>
        <v/>
      </c>
      <c r="J1554" t="str">
        <f>IFERROR(VLOOKUP(D1554,'Team Data'!C:AB,8,FALSE),"")</f>
        <v/>
      </c>
      <c r="K1554" t="str">
        <f>IFERROR(VLOOKUP(D1554,'Team Data'!C:AB,9,FALSE),"")</f>
        <v/>
      </c>
      <c r="L1554" t="str">
        <f>IFERROR(VLOOKUP(D1554,'Team Data'!C:AB,10,FALSE),"")</f>
        <v/>
      </c>
      <c r="M1554" t="str">
        <f t="shared" si="50"/>
        <v/>
      </c>
      <c r="N1554" t="str">
        <f>IFERROR(VLOOKUP(D1554,'Team Data'!C:AB,23,FALSE),"")</f>
        <v/>
      </c>
      <c r="O1554" t="str">
        <f>IFERROR(VLOOKUP(D1554,'Team Data'!C:AB,22,FALSE),"")</f>
        <v/>
      </c>
      <c r="P1554" t="str">
        <f t="shared" si="51"/>
        <v/>
      </c>
      <c r="Q1554" t="str">
        <f>IFERROR(VLOOKUP(D1554,'Team Data'!C:AB,15,FALSE),"")</f>
        <v/>
      </c>
      <c r="R1554" t="str">
        <f>IFERROR(VLOOKUP('OB Format'!D1554,'Team Data'!C:AB,24,FALSE),"")</f>
        <v/>
      </c>
      <c r="S1554" t="str">
        <f>IFERROR(VLOOKUP('OB Format'!D1554,'Team Data'!C:AC,25,FALSE),"")</f>
        <v/>
      </c>
    </row>
    <row r="1555" spans="5:19" x14ac:dyDescent="0.25">
      <c r="E1555" t="str">
        <f>IFERROR(VLOOKUP(D1555,'Team Data'!C:AB,4,FALSE),"")</f>
        <v/>
      </c>
      <c r="F1555" t="str">
        <f>IFERROR(VLOOKUP(D1555,'Team Data'!C:AB,5,FALSE),"")</f>
        <v/>
      </c>
      <c r="G1555" t="str">
        <f>IFERROR(VLOOKUP('OB Format'!D1555,'Team Data'!C:AB,17,FALSE),"")</f>
        <v/>
      </c>
      <c r="H1555" t="str">
        <f>IFERROR(VLOOKUP(D1555,'Team Data'!C:AB,7,FALSE),"")</f>
        <v/>
      </c>
      <c r="I1555" t="str">
        <f>IFERROR(VLOOKUP(D1555,'Team Data'!C:AB,14,FALSE),"")</f>
        <v/>
      </c>
      <c r="J1555" t="str">
        <f>IFERROR(VLOOKUP(D1555,'Team Data'!C:AB,8,FALSE),"")</f>
        <v/>
      </c>
      <c r="K1555" t="str">
        <f>IFERROR(VLOOKUP(D1555,'Team Data'!C:AB,9,FALSE),"")</f>
        <v/>
      </c>
      <c r="L1555" t="str">
        <f>IFERROR(VLOOKUP(D1555,'Team Data'!C:AB,10,FALSE),"")</f>
        <v/>
      </c>
      <c r="M1555" t="str">
        <f t="shared" si="50"/>
        <v/>
      </c>
      <c r="N1555" t="str">
        <f>IFERROR(VLOOKUP(D1555,'Team Data'!C:AB,23,FALSE),"")</f>
        <v/>
      </c>
      <c r="O1555" t="str">
        <f>IFERROR(VLOOKUP(D1555,'Team Data'!C:AB,22,FALSE),"")</f>
        <v/>
      </c>
      <c r="P1555" t="str">
        <f t="shared" si="51"/>
        <v/>
      </c>
      <c r="Q1555" t="str">
        <f>IFERROR(VLOOKUP(D1555,'Team Data'!C:AB,15,FALSE),"")</f>
        <v/>
      </c>
      <c r="R1555" t="str">
        <f>IFERROR(VLOOKUP('OB Format'!D1555,'Team Data'!C:AB,24,FALSE),"")</f>
        <v/>
      </c>
      <c r="S1555" t="str">
        <f>IFERROR(VLOOKUP('OB Format'!D1555,'Team Data'!C:AC,25,FALSE),"")</f>
        <v/>
      </c>
    </row>
    <row r="1556" spans="5:19" x14ac:dyDescent="0.25">
      <c r="E1556" t="str">
        <f>IFERROR(VLOOKUP(D1556,'Team Data'!C:AB,4,FALSE),"")</f>
        <v/>
      </c>
      <c r="F1556" t="str">
        <f>IFERROR(VLOOKUP(D1556,'Team Data'!C:AB,5,FALSE),"")</f>
        <v/>
      </c>
      <c r="G1556" t="str">
        <f>IFERROR(VLOOKUP('OB Format'!D1556,'Team Data'!C:AB,17,FALSE),"")</f>
        <v/>
      </c>
      <c r="H1556" t="str">
        <f>IFERROR(VLOOKUP(D1556,'Team Data'!C:AB,7,FALSE),"")</f>
        <v/>
      </c>
      <c r="I1556" t="str">
        <f>IFERROR(VLOOKUP(D1556,'Team Data'!C:AB,14,FALSE),"")</f>
        <v/>
      </c>
      <c r="J1556" t="str">
        <f>IFERROR(VLOOKUP(D1556,'Team Data'!C:AB,8,FALSE),"")</f>
        <v/>
      </c>
      <c r="K1556" t="str">
        <f>IFERROR(VLOOKUP(D1556,'Team Data'!C:AB,9,FALSE),"")</f>
        <v/>
      </c>
      <c r="L1556" t="str">
        <f>IFERROR(VLOOKUP(D1556,'Team Data'!C:AB,10,FALSE),"")</f>
        <v/>
      </c>
      <c r="M1556" t="str">
        <f t="shared" si="50"/>
        <v/>
      </c>
      <c r="N1556" t="str">
        <f>IFERROR(VLOOKUP(D1556,'Team Data'!C:AB,23,FALSE),"")</f>
        <v/>
      </c>
      <c r="O1556" t="str">
        <f>IFERROR(VLOOKUP(D1556,'Team Data'!C:AB,22,FALSE),"")</f>
        <v/>
      </c>
      <c r="P1556" t="str">
        <f t="shared" si="51"/>
        <v/>
      </c>
      <c r="Q1556" t="str">
        <f>IFERROR(VLOOKUP(D1556,'Team Data'!C:AB,15,FALSE),"")</f>
        <v/>
      </c>
      <c r="R1556" t="str">
        <f>IFERROR(VLOOKUP('OB Format'!D1556,'Team Data'!C:AB,24,FALSE),"")</f>
        <v/>
      </c>
      <c r="S1556" t="str">
        <f>IFERROR(VLOOKUP('OB Format'!D1556,'Team Data'!C:AC,25,FALSE),"")</f>
        <v/>
      </c>
    </row>
    <row r="1557" spans="5:19" x14ac:dyDescent="0.25">
      <c r="E1557" t="str">
        <f>IFERROR(VLOOKUP(D1557,'Team Data'!C:AB,4,FALSE),"")</f>
        <v/>
      </c>
      <c r="F1557" t="str">
        <f>IFERROR(VLOOKUP(D1557,'Team Data'!C:AB,5,FALSE),"")</f>
        <v/>
      </c>
      <c r="G1557" t="str">
        <f>IFERROR(VLOOKUP('OB Format'!D1557,'Team Data'!C:AB,17,FALSE),"")</f>
        <v/>
      </c>
      <c r="H1557" t="str">
        <f>IFERROR(VLOOKUP(D1557,'Team Data'!C:AB,7,FALSE),"")</f>
        <v/>
      </c>
      <c r="I1557" t="str">
        <f>IFERROR(VLOOKUP(D1557,'Team Data'!C:AB,14,FALSE),"")</f>
        <v/>
      </c>
      <c r="J1557" t="str">
        <f>IFERROR(VLOOKUP(D1557,'Team Data'!C:AB,8,FALSE),"")</f>
        <v/>
      </c>
      <c r="K1557" t="str">
        <f>IFERROR(VLOOKUP(D1557,'Team Data'!C:AB,9,FALSE),"")</f>
        <v/>
      </c>
      <c r="L1557" t="str">
        <f>IFERROR(VLOOKUP(D1557,'Team Data'!C:AB,10,FALSE),"")</f>
        <v/>
      </c>
      <c r="M1557" t="str">
        <f t="shared" si="50"/>
        <v/>
      </c>
      <c r="N1557" t="str">
        <f>IFERROR(VLOOKUP(D1557,'Team Data'!C:AB,23,FALSE),"")</f>
        <v/>
      </c>
      <c r="O1557" t="str">
        <f>IFERROR(VLOOKUP(D1557,'Team Data'!C:AB,22,FALSE),"")</f>
        <v/>
      </c>
      <c r="P1557" t="str">
        <f t="shared" si="51"/>
        <v/>
      </c>
      <c r="Q1557" t="str">
        <f>IFERROR(VLOOKUP(D1557,'Team Data'!C:AB,15,FALSE),"")</f>
        <v/>
      </c>
      <c r="R1557" t="str">
        <f>IFERROR(VLOOKUP('OB Format'!D1557,'Team Data'!C:AB,24,FALSE),"")</f>
        <v/>
      </c>
      <c r="S1557" t="str">
        <f>IFERROR(VLOOKUP('OB Format'!D1557,'Team Data'!C:AC,25,FALSE),"")</f>
        <v/>
      </c>
    </row>
    <row r="1558" spans="5:19" x14ac:dyDescent="0.25">
      <c r="E1558" t="str">
        <f>IFERROR(VLOOKUP(D1558,'Team Data'!C:AB,4,FALSE),"")</f>
        <v/>
      </c>
      <c r="F1558" t="str">
        <f>IFERROR(VLOOKUP(D1558,'Team Data'!C:AB,5,FALSE),"")</f>
        <v/>
      </c>
      <c r="G1558" t="str">
        <f>IFERROR(VLOOKUP('OB Format'!D1558,'Team Data'!C:AB,17,FALSE),"")</f>
        <v/>
      </c>
      <c r="H1558" t="str">
        <f>IFERROR(VLOOKUP(D1558,'Team Data'!C:AB,7,FALSE),"")</f>
        <v/>
      </c>
      <c r="I1558" t="str">
        <f>IFERROR(VLOOKUP(D1558,'Team Data'!C:AB,14,FALSE),"")</f>
        <v/>
      </c>
      <c r="J1558" t="str">
        <f>IFERROR(VLOOKUP(D1558,'Team Data'!C:AB,8,FALSE),"")</f>
        <v/>
      </c>
      <c r="K1558" t="str">
        <f>IFERROR(VLOOKUP(D1558,'Team Data'!C:AB,9,FALSE),"")</f>
        <v/>
      </c>
      <c r="L1558" t="str">
        <f>IFERROR(VLOOKUP(D1558,'Team Data'!C:AB,10,FALSE),"")</f>
        <v/>
      </c>
      <c r="M1558" t="str">
        <f t="shared" si="50"/>
        <v/>
      </c>
      <c r="N1558" t="str">
        <f>IFERROR(VLOOKUP(D1558,'Team Data'!C:AB,23,FALSE),"")</f>
        <v/>
      </c>
      <c r="O1558" t="str">
        <f>IFERROR(VLOOKUP(D1558,'Team Data'!C:AB,22,FALSE),"")</f>
        <v/>
      </c>
      <c r="P1558" t="str">
        <f t="shared" si="51"/>
        <v/>
      </c>
      <c r="Q1558" t="str">
        <f>IFERROR(VLOOKUP(D1558,'Team Data'!C:AB,15,FALSE),"")</f>
        <v/>
      </c>
      <c r="R1558" t="str">
        <f>IFERROR(VLOOKUP('OB Format'!D1558,'Team Data'!C:AB,24,FALSE),"")</f>
        <v/>
      </c>
      <c r="S1558" t="str">
        <f>IFERROR(VLOOKUP('OB Format'!D1558,'Team Data'!C:AC,25,FALSE),"")</f>
        <v/>
      </c>
    </row>
    <row r="1559" spans="5:19" x14ac:dyDescent="0.25">
      <c r="E1559" t="str">
        <f>IFERROR(VLOOKUP(D1559,'Team Data'!C:AB,4,FALSE),"")</f>
        <v/>
      </c>
      <c r="F1559" t="str">
        <f>IFERROR(VLOOKUP(D1559,'Team Data'!C:AB,5,FALSE),"")</f>
        <v/>
      </c>
      <c r="G1559" t="str">
        <f>IFERROR(VLOOKUP('OB Format'!D1559,'Team Data'!C:AB,17,FALSE),"")</f>
        <v/>
      </c>
      <c r="H1559" t="str">
        <f>IFERROR(VLOOKUP(D1559,'Team Data'!C:AB,7,FALSE),"")</f>
        <v/>
      </c>
      <c r="I1559" t="str">
        <f>IFERROR(VLOOKUP(D1559,'Team Data'!C:AB,14,FALSE),"")</f>
        <v/>
      </c>
      <c r="J1559" t="str">
        <f>IFERROR(VLOOKUP(D1559,'Team Data'!C:AB,8,FALSE),"")</f>
        <v/>
      </c>
      <c r="K1559" t="str">
        <f>IFERROR(VLOOKUP(D1559,'Team Data'!C:AB,9,FALSE),"")</f>
        <v/>
      </c>
      <c r="L1559" t="str">
        <f>IFERROR(VLOOKUP(D1559,'Team Data'!C:AB,10,FALSE),"")</f>
        <v/>
      </c>
      <c r="M1559" t="str">
        <f t="shared" si="50"/>
        <v/>
      </c>
      <c r="N1559" t="str">
        <f>IFERROR(VLOOKUP(D1559,'Team Data'!C:AB,23,FALSE),"")</f>
        <v/>
      </c>
      <c r="O1559" t="str">
        <f>IFERROR(VLOOKUP(D1559,'Team Data'!C:AB,22,FALSE),"")</f>
        <v/>
      </c>
      <c r="P1559" t="str">
        <f t="shared" si="51"/>
        <v/>
      </c>
      <c r="Q1559" t="str">
        <f>IFERROR(VLOOKUP(D1559,'Team Data'!C:AB,15,FALSE),"")</f>
        <v/>
      </c>
      <c r="R1559" t="str">
        <f>IFERROR(VLOOKUP('OB Format'!D1559,'Team Data'!C:AB,24,FALSE),"")</f>
        <v/>
      </c>
      <c r="S1559" t="str">
        <f>IFERROR(VLOOKUP('OB Format'!D1559,'Team Data'!C:AC,25,FALSE),"")</f>
        <v/>
      </c>
    </row>
    <row r="1560" spans="5:19" x14ac:dyDescent="0.25">
      <c r="E1560" t="str">
        <f>IFERROR(VLOOKUP(D1560,'Team Data'!C:AB,4,FALSE),"")</f>
        <v/>
      </c>
      <c r="F1560" t="str">
        <f>IFERROR(VLOOKUP(D1560,'Team Data'!C:AB,5,FALSE),"")</f>
        <v/>
      </c>
      <c r="G1560" t="str">
        <f>IFERROR(VLOOKUP('OB Format'!D1560,'Team Data'!C:AB,17,FALSE),"")</f>
        <v/>
      </c>
      <c r="H1560" t="str">
        <f>IFERROR(VLOOKUP(D1560,'Team Data'!C:AB,7,FALSE),"")</f>
        <v/>
      </c>
      <c r="I1560" t="str">
        <f>IFERROR(VLOOKUP(D1560,'Team Data'!C:AB,14,FALSE),"")</f>
        <v/>
      </c>
      <c r="J1560" t="str">
        <f>IFERROR(VLOOKUP(D1560,'Team Data'!C:AB,8,FALSE),"")</f>
        <v/>
      </c>
      <c r="K1560" t="str">
        <f>IFERROR(VLOOKUP(D1560,'Team Data'!C:AB,9,FALSE),"")</f>
        <v/>
      </c>
      <c r="L1560" t="str">
        <f>IFERROR(VLOOKUP(D1560,'Team Data'!C:AB,10,FALSE),"")</f>
        <v/>
      </c>
      <c r="M1560" t="str">
        <f t="shared" si="50"/>
        <v/>
      </c>
      <c r="N1560" t="str">
        <f>IFERROR(VLOOKUP(D1560,'Team Data'!C:AB,23,FALSE),"")</f>
        <v/>
      </c>
      <c r="O1560" t="str">
        <f>IFERROR(VLOOKUP(D1560,'Team Data'!C:AB,22,FALSE),"")</f>
        <v/>
      </c>
      <c r="P1560" t="str">
        <f t="shared" si="51"/>
        <v/>
      </c>
      <c r="Q1560" t="str">
        <f>IFERROR(VLOOKUP(D1560,'Team Data'!C:AB,15,FALSE),"")</f>
        <v/>
      </c>
      <c r="R1560" t="str">
        <f>IFERROR(VLOOKUP('OB Format'!D1560,'Team Data'!C:AB,24,FALSE),"")</f>
        <v/>
      </c>
      <c r="S1560" t="str">
        <f>IFERROR(VLOOKUP('OB Format'!D1560,'Team Data'!C:AC,25,FALSE),"")</f>
        <v/>
      </c>
    </row>
    <row r="1561" spans="5:19" x14ac:dyDescent="0.25">
      <c r="E1561" t="str">
        <f>IFERROR(VLOOKUP(D1561,'Team Data'!C:AB,4,FALSE),"")</f>
        <v/>
      </c>
      <c r="F1561" t="str">
        <f>IFERROR(VLOOKUP(D1561,'Team Data'!C:AB,5,FALSE),"")</f>
        <v/>
      </c>
      <c r="G1561" t="str">
        <f>IFERROR(VLOOKUP('OB Format'!D1561,'Team Data'!C:AB,17,FALSE),"")</f>
        <v/>
      </c>
      <c r="H1561" t="str">
        <f>IFERROR(VLOOKUP(D1561,'Team Data'!C:AB,7,FALSE),"")</f>
        <v/>
      </c>
      <c r="I1561" t="str">
        <f>IFERROR(VLOOKUP(D1561,'Team Data'!C:AB,14,FALSE),"")</f>
        <v/>
      </c>
      <c r="J1561" t="str">
        <f>IFERROR(VLOOKUP(D1561,'Team Data'!C:AB,8,FALSE),"")</f>
        <v/>
      </c>
      <c r="K1561" t="str">
        <f>IFERROR(VLOOKUP(D1561,'Team Data'!C:AB,9,FALSE),"")</f>
        <v/>
      </c>
      <c r="L1561" t="str">
        <f>IFERROR(VLOOKUP(D1561,'Team Data'!C:AB,10,FALSE),"")</f>
        <v/>
      </c>
      <c r="M1561" t="str">
        <f t="shared" si="50"/>
        <v/>
      </c>
      <c r="N1561" t="str">
        <f>IFERROR(VLOOKUP(D1561,'Team Data'!C:AB,23,FALSE),"")</f>
        <v/>
      </c>
      <c r="O1561" t="str">
        <f>IFERROR(VLOOKUP(D1561,'Team Data'!C:AB,22,FALSE),"")</f>
        <v/>
      </c>
      <c r="P1561" t="str">
        <f t="shared" si="51"/>
        <v/>
      </c>
      <c r="Q1561" t="str">
        <f>IFERROR(VLOOKUP(D1561,'Team Data'!C:AB,15,FALSE),"")</f>
        <v/>
      </c>
      <c r="R1561" t="str">
        <f>IFERROR(VLOOKUP('OB Format'!D1561,'Team Data'!C:AB,24,FALSE),"")</f>
        <v/>
      </c>
      <c r="S1561" t="str">
        <f>IFERROR(VLOOKUP('OB Format'!D1561,'Team Data'!C:AC,25,FALSE),"")</f>
        <v/>
      </c>
    </row>
    <row r="1562" spans="5:19" x14ac:dyDescent="0.25">
      <c r="E1562" t="str">
        <f>IFERROR(VLOOKUP(D1562,'Team Data'!C:AB,4,FALSE),"")</f>
        <v/>
      </c>
      <c r="F1562" t="str">
        <f>IFERROR(VLOOKUP(D1562,'Team Data'!C:AB,5,FALSE),"")</f>
        <v/>
      </c>
      <c r="G1562" t="str">
        <f>IFERROR(VLOOKUP('OB Format'!D1562,'Team Data'!C:AB,17,FALSE),"")</f>
        <v/>
      </c>
      <c r="H1562" t="str">
        <f>IFERROR(VLOOKUP(D1562,'Team Data'!C:AB,7,FALSE),"")</f>
        <v/>
      </c>
      <c r="I1562" t="str">
        <f>IFERROR(VLOOKUP(D1562,'Team Data'!C:AB,14,FALSE),"")</f>
        <v/>
      </c>
      <c r="J1562" t="str">
        <f>IFERROR(VLOOKUP(D1562,'Team Data'!C:AB,8,FALSE),"")</f>
        <v/>
      </c>
      <c r="K1562" t="str">
        <f>IFERROR(VLOOKUP(D1562,'Team Data'!C:AB,9,FALSE),"")</f>
        <v/>
      </c>
      <c r="L1562" t="str">
        <f>IFERROR(VLOOKUP(D1562,'Team Data'!C:AB,10,FALSE),"")</f>
        <v/>
      </c>
      <c r="M1562" t="str">
        <f t="shared" si="50"/>
        <v/>
      </c>
      <c r="N1562" t="str">
        <f>IFERROR(VLOOKUP(D1562,'Team Data'!C:AB,23,FALSE),"")</f>
        <v/>
      </c>
      <c r="O1562" t="str">
        <f>IFERROR(VLOOKUP(D1562,'Team Data'!C:AB,22,FALSE),"")</f>
        <v/>
      </c>
      <c r="P1562" t="str">
        <f t="shared" si="51"/>
        <v/>
      </c>
      <c r="Q1562" t="str">
        <f>IFERROR(VLOOKUP(D1562,'Team Data'!C:AB,15,FALSE),"")</f>
        <v/>
      </c>
      <c r="R1562" t="str">
        <f>IFERROR(VLOOKUP('OB Format'!D1562,'Team Data'!C:AB,24,FALSE),"")</f>
        <v/>
      </c>
      <c r="S1562" t="str">
        <f>IFERROR(VLOOKUP('OB Format'!D1562,'Team Data'!C:AC,25,FALSE),"")</f>
        <v/>
      </c>
    </row>
    <row r="1563" spans="5:19" x14ac:dyDescent="0.25">
      <c r="E1563" t="str">
        <f>IFERROR(VLOOKUP(D1563,'Team Data'!C:AB,4,FALSE),"")</f>
        <v/>
      </c>
      <c r="F1563" t="str">
        <f>IFERROR(VLOOKUP(D1563,'Team Data'!C:AB,5,FALSE),"")</f>
        <v/>
      </c>
      <c r="G1563" t="str">
        <f>IFERROR(VLOOKUP('OB Format'!D1563,'Team Data'!C:AB,17,FALSE),"")</f>
        <v/>
      </c>
      <c r="H1563" t="str">
        <f>IFERROR(VLOOKUP(D1563,'Team Data'!C:AB,7,FALSE),"")</f>
        <v/>
      </c>
      <c r="I1563" t="str">
        <f>IFERROR(VLOOKUP(D1563,'Team Data'!C:AB,14,FALSE),"")</f>
        <v/>
      </c>
      <c r="J1563" t="str">
        <f>IFERROR(VLOOKUP(D1563,'Team Data'!C:AB,8,FALSE),"")</f>
        <v/>
      </c>
      <c r="K1563" t="str">
        <f>IFERROR(VLOOKUP(D1563,'Team Data'!C:AB,9,FALSE),"")</f>
        <v/>
      </c>
      <c r="L1563" t="str">
        <f>IFERROR(VLOOKUP(D1563,'Team Data'!C:AB,10,FALSE),"")</f>
        <v/>
      </c>
      <c r="M1563" t="str">
        <f t="shared" si="50"/>
        <v/>
      </c>
      <c r="N1563" t="str">
        <f>IFERROR(VLOOKUP(D1563,'Team Data'!C:AB,23,FALSE),"")</f>
        <v/>
      </c>
      <c r="O1563" t="str">
        <f>IFERROR(VLOOKUP(D1563,'Team Data'!C:AB,22,FALSE),"")</f>
        <v/>
      </c>
      <c r="P1563" t="str">
        <f t="shared" si="51"/>
        <v/>
      </c>
      <c r="Q1563" t="str">
        <f>IFERROR(VLOOKUP(D1563,'Team Data'!C:AB,15,FALSE),"")</f>
        <v/>
      </c>
      <c r="R1563" t="str">
        <f>IFERROR(VLOOKUP('OB Format'!D1563,'Team Data'!C:AB,24,FALSE),"")</f>
        <v/>
      </c>
      <c r="S1563" t="str">
        <f>IFERROR(VLOOKUP('OB Format'!D1563,'Team Data'!C:AC,25,FALSE),"")</f>
        <v/>
      </c>
    </row>
    <row r="1564" spans="5:19" x14ac:dyDescent="0.25">
      <c r="E1564" t="str">
        <f>IFERROR(VLOOKUP(D1564,'Team Data'!C:AB,4,FALSE),"")</f>
        <v/>
      </c>
      <c r="F1564" t="str">
        <f>IFERROR(VLOOKUP(D1564,'Team Data'!C:AB,5,FALSE),"")</f>
        <v/>
      </c>
      <c r="G1564" t="str">
        <f>IFERROR(VLOOKUP('OB Format'!D1564,'Team Data'!C:AB,17,FALSE),"")</f>
        <v/>
      </c>
      <c r="H1564" t="str">
        <f>IFERROR(VLOOKUP(D1564,'Team Data'!C:AB,7,FALSE),"")</f>
        <v/>
      </c>
      <c r="I1564" t="str">
        <f>IFERROR(VLOOKUP(D1564,'Team Data'!C:AB,14,FALSE),"")</f>
        <v/>
      </c>
      <c r="J1564" t="str">
        <f>IFERROR(VLOOKUP(D1564,'Team Data'!C:AB,8,FALSE),"")</f>
        <v/>
      </c>
      <c r="K1564" t="str">
        <f>IFERROR(VLOOKUP(D1564,'Team Data'!C:AB,9,FALSE),"")</f>
        <v/>
      </c>
      <c r="L1564" t="str">
        <f>IFERROR(VLOOKUP(D1564,'Team Data'!C:AB,10,FALSE),"")</f>
        <v/>
      </c>
      <c r="M1564" t="str">
        <f t="shared" si="50"/>
        <v/>
      </c>
      <c r="N1564" t="str">
        <f>IFERROR(VLOOKUP(D1564,'Team Data'!C:AB,23,FALSE),"")</f>
        <v/>
      </c>
      <c r="O1564" t="str">
        <f>IFERROR(VLOOKUP(D1564,'Team Data'!C:AB,22,FALSE),"")</f>
        <v/>
      </c>
      <c r="P1564" t="str">
        <f t="shared" si="51"/>
        <v/>
      </c>
      <c r="Q1564" t="str">
        <f>IFERROR(VLOOKUP(D1564,'Team Data'!C:AB,15,FALSE),"")</f>
        <v/>
      </c>
      <c r="R1564" t="str">
        <f>IFERROR(VLOOKUP('OB Format'!D1564,'Team Data'!C:AB,24,FALSE),"")</f>
        <v/>
      </c>
      <c r="S1564" t="str">
        <f>IFERROR(VLOOKUP('OB Format'!D1564,'Team Data'!C:AC,25,FALSE),"")</f>
        <v/>
      </c>
    </row>
    <row r="1565" spans="5:19" x14ac:dyDescent="0.25">
      <c r="E1565" t="str">
        <f>IFERROR(VLOOKUP(D1565,'Team Data'!C:AB,4,FALSE),"")</f>
        <v/>
      </c>
      <c r="F1565" t="str">
        <f>IFERROR(VLOOKUP(D1565,'Team Data'!C:AB,5,FALSE),"")</f>
        <v/>
      </c>
      <c r="G1565" t="str">
        <f>IFERROR(VLOOKUP('OB Format'!D1565,'Team Data'!C:AB,17,FALSE),"")</f>
        <v/>
      </c>
      <c r="H1565" t="str">
        <f>IFERROR(VLOOKUP(D1565,'Team Data'!C:AB,7,FALSE),"")</f>
        <v/>
      </c>
      <c r="I1565" t="str">
        <f>IFERROR(VLOOKUP(D1565,'Team Data'!C:AB,14,FALSE),"")</f>
        <v/>
      </c>
      <c r="J1565" t="str">
        <f>IFERROR(VLOOKUP(D1565,'Team Data'!C:AB,8,FALSE),"")</f>
        <v/>
      </c>
      <c r="K1565" t="str">
        <f>IFERROR(VLOOKUP(D1565,'Team Data'!C:AB,9,FALSE),"")</f>
        <v/>
      </c>
      <c r="L1565" t="str">
        <f>IFERROR(VLOOKUP(D1565,'Team Data'!C:AB,10,FALSE),"")</f>
        <v/>
      </c>
      <c r="M1565" t="str">
        <f t="shared" si="50"/>
        <v/>
      </c>
      <c r="N1565" t="str">
        <f>IFERROR(VLOOKUP(D1565,'Team Data'!C:AB,23,FALSE),"")</f>
        <v/>
      </c>
      <c r="O1565" t="str">
        <f>IFERROR(VLOOKUP(D1565,'Team Data'!C:AB,22,FALSE),"")</f>
        <v/>
      </c>
      <c r="P1565" t="str">
        <f t="shared" si="51"/>
        <v/>
      </c>
      <c r="Q1565" t="str">
        <f>IFERROR(VLOOKUP(D1565,'Team Data'!C:AB,15,FALSE),"")</f>
        <v/>
      </c>
      <c r="R1565" t="str">
        <f>IFERROR(VLOOKUP('OB Format'!D1565,'Team Data'!C:AB,24,FALSE),"")</f>
        <v/>
      </c>
      <c r="S1565" t="str">
        <f>IFERROR(VLOOKUP('OB Format'!D1565,'Team Data'!C:AC,25,FALSE),"")</f>
        <v/>
      </c>
    </row>
    <row r="1566" spans="5:19" x14ac:dyDescent="0.25">
      <c r="E1566" t="str">
        <f>IFERROR(VLOOKUP(D1566,'Team Data'!C:AB,4,FALSE),"")</f>
        <v/>
      </c>
      <c r="F1566" t="str">
        <f>IFERROR(VLOOKUP(D1566,'Team Data'!C:AB,5,FALSE),"")</f>
        <v/>
      </c>
      <c r="G1566" t="str">
        <f>IFERROR(VLOOKUP('OB Format'!D1566,'Team Data'!C:AB,17,FALSE),"")</f>
        <v/>
      </c>
      <c r="H1566" t="str">
        <f>IFERROR(VLOOKUP(D1566,'Team Data'!C:AB,7,FALSE),"")</f>
        <v/>
      </c>
      <c r="I1566" t="str">
        <f>IFERROR(VLOOKUP(D1566,'Team Data'!C:AB,14,FALSE),"")</f>
        <v/>
      </c>
      <c r="J1566" t="str">
        <f>IFERROR(VLOOKUP(D1566,'Team Data'!C:AB,8,FALSE),"")</f>
        <v/>
      </c>
      <c r="K1566" t="str">
        <f>IFERROR(VLOOKUP(D1566,'Team Data'!C:AB,9,FALSE),"")</f>
        <v/>
      </c>
      <c r="L1566" t="str">
        <f>IFERROR(VLOOKUP(D1566,'Team Data'!C:AB,10,FALSE),"")</f>
        <v/>
      </c>
      <c r="M1566" t="str">
        <f t="shared" si="50"/>
        <v/>
      </c>
      <c r="N1566" t="str">
        <f>IFERROR(VLOOKUP(D1566,'Team Data'!C:AB,23,FALSE),"")</f>
        <v/>
      </c>
      <c r="O1566" t="str">
        <f>IFERROR(VLOOKUP(D1566,'Team Data'!C:AB,22,FALSE),"")</f>
        <v/>
      </c>
      <c r="P1566" t="str">
        <f t="shared" si="51"/>
        <v/>
      </c>
      <c r="Q1566" t="str">
        <f>IFERROR(VLOOKUP(D1566,'Team Data'!C:AB,15,FALSE),"")</f>
        <v/>
      </c>
      <c r="R1566" t="str">
        <f>IFERROR(VLOOKUP('OB Format'!D1566,'Team Data'!C:AB,24,FALSE),"")</f>
        <v/>
      </c>
      <c r="S1566" t="str">
        <f>IFERROR(VLOOKUP('OB Format'!D1566,'Team Data'!C:AC,25,FALSE),"")</f>
        <v/>
      </c>
    </row>
    <row r="1567" spans="5:19" x14ac:dyDescent="0.25">
      <c r="E1567" t="str">
        <f>IFERROR(VLOOKUP(D1567,'Team Data'!C:AB,4,FALSE),"")</f>
        <v/>
      </c>
      <c r="F1567" t="str">
        <f>IFERROR(VLOOKUP(D1567,'Team Data'!C:AB,5,FALSE),"")</f>
        <v/>
      </c>
      <c r="G1567" t="str">
        <f>IFERROR(VLOOKUP('OB Format'!D1567,'Team Data'!C:AB,17,FALSE),"")</f>
        <v/>
      </c>
      <c r="H1567" t="str">
        <f>IFERROR(VLOOKUP(D1567,'Team Data'!C:AB,7,FALSE),"")</f>
        <v/>
      </c>
      <c r="I1567" t="str">
        <f>IFERROR(VLOOKUP(D1567,'Team Data'!C:AB,14,FALSE),"")</f>
        <v/>
      </c>
      <c r="J1567" t="str">
        <f>IFERROR(VLOOKUP(D1567,'Team Data'!C:AB,8,FALSE),"")</f>
        <v/>
      </c>
      <c r="K1567" t="str">
        <f>IFERROR(VLOOKUP(D1567,'Team Data'!C:AB,9,FALSE),"")</f>
        <v/>
      </c>
      <c r="L1567" t="str">
        <f>IFERROR(VLOOKUP(D1567,'Team Data'!C:AB,10,FALSE),"")</f>
        <v/>
      </c>
      <c r="M1567" t="str">
        <f t="shared" si="50"/>
        <v/>
      </c>
      <c r="N1567" t="str">
        <f>IFERROR(VLOOKUP(D1567,'Team Data'!C:AB,23,FALSE),"")</f>
        <v/>
      </c>
      <c r="O1567" t="str">
        <f>IFERROR(VLOOKUP(D1567,'Team Data'!C:AB,22,FALSE),"")</f>
        <v/>
      </c>
      <c r="P1567" t="str">
        <f t="shared" si="51"/>
        <v/>
      </c>
      <c r="Q1567" t="str">
        <f>IFERROR(VLOOKUP(D1567,'Team Data'!C:AB,15,FALSE),"")</f>
        <v/>
      </c>
      <c r="R1567" t="str">
        <f>IFERROR(VLOOKUP('OB Format'!D1567,'Team Data'!C:AB,24,FALSE),"")</f>
        <v/>
      </c>
      <c r="S1567" t="str">
        <f>IFERROR(VLOOKUP('OB Format'!D1567,'Team Data'!C:AC,25,FALSE),"")</f>
        <v/>
      </c>
    </row>
    <row r="1568" spans="5:19" x14ac:dyDescent="0.25">
      <c r="E1568" t="str">
        <f>IFERROR(VLOOKUP(D1568,'Team Data'!C:AB,4,FALSE),"")</f>
        <v/>
      </c>
      <c r="F1568" t="str">
        <f>IFERROR(VLOOKUP(D1568,'Team Data'!C:AB,5,FALSE),"")</f>
        <v/>
      </c>
      <c r="G1568" t="str">
        <f>IFERROR(VLOOKUP('OB Format'!D1568,'Team Data'!C:AB,17,FALSE),"")</f>
        <v/>
      </c>
      <c r="H1568" t="str">
        <f>IFERROR(VLOOKUP(D1568,'Team Data'!C:AB,7,FALSE),"")</f>
        <v/>
      </c>
      <c r="I1568" t="str">
        <f>IFERROR(VLOOKUP(D1568,'Team Data'!C:AB,14,FALSE),"")</f>
        <v/>
      </c>
      <c r="J1568" t="str">
        <f>IFERROR(VLOOKUP(D1568,'Team Data'!C:AB,8,FALSE),"")</f>
        <v/>
      </c>
      <c r="K1568" t="str">
        <f>IFERROR(VLOOKUP(D1568,'Team Data'!C:AB,9,FALSE),"")</f>
        <v/>
      </c>
      <c r="L1568" t="str">
        <f>IFERROR(VLOOKUP(D1568,'Team Data'!C:AB,10,FALSE),"")</f>
        <v/>
      </c>
      <c r="M1568" t="str">
        <f t="shared" si="50"/>
        <v/>
      </c>
      <c r="N1568" t="str">
        <f>IFERROR(VLOOKUP(D1568,'Team Data'!C:AB,23,FALSE),"")</f>
        <v/>
      </c>
      <c r="O1568" t="str">
        <f>IFERROR(VLOOKUP(D1568,'Team Data'!C:AB,22,FALSE),"")</f>
        <v/>
      </c>
      <c r="P1568" t="str">
        <f t="shared" si="51"/>
        <v/>
      </c>
      <c r="Q1568" t="str">
        <f>IFERROR(VLOOKUP(D1568,'Team Data'!C:AB,15,FALSE),"")</f>
        <v/>
      </c>
      <c r="R1568" t="str">
        <f>IFERROR(VLOOKUP('OB Format'!D1568,'Team Data'!C:AB,24,FALSE),"")</f>
        <v/>
      </c>
      <c r="S1568" t="str">
        <f>IFERROR(VLOOKUP('OB Format'!D1568,'Team Data'!C:AC,25,FALSE),"")</f>
        <v/>
      </c>
    </row>
    <row r="1569" spans="5:19" x14ac:dyDescent="0.25">
      <c r="E1569" t="str">
        <f>IFERROR(VLOOKUP(D1569,'Team Data'!C:AB,4,FALSE),"")</f>
        <v/>
      </c>
      <c r="F1569" t="str">
        <f>IFERROR(VLOOKUP(D1569,'Team Data'!C:AB,5,FALSE),"")</f>
        <v/>
      </c>
      <c r="G1569" t="str">
        <f>IFERROR(VLOOKUP('OB Format'!D1569,'Team Data'!C:AB,17,FALSE),"")</f>
        <v/>
      </c>
      <c r="H1569" t="str">
        <f>IFERROR(VLOOKUP(D1569,'Team Data'!C:AB,7,FALSE),"")</f>
        <v/>
      </c>
      <c r="I1569" t="str">
        <f>IFERROR(VLOOKUP(D1569,'Team Data'!C:AB,14,FALSE),"")</f>
        <v/>
      </c>
      <c r="J1569" t="str">
        <f>IFERROR(VLOOKUP(D1569,'Team Data'!C:AB,8,FALSE),"")</f>
        <v/>
      </c>
      <c r="K1569" t="str">
        <f>IFERROR(VLOOKUP(D1569,'Team Data'!C:AB,9,FALSE),"")</f>
        <v/>
      </c>
      <c r="L1569" t="str">
        <f>IFERROR(VLOOKUP(D1569,'Team Data'!C:AB,10,FALSE),"")</f>
        <v/>
      </c>
      <c r="M1569" t="str">
        <f t="shared" si="50"/>
        <v/>
      </c>
      <c r="N1569" t="str">
        <f>IFERROR(VLOOKUP(D1569,'Team Data'!C:AB,23,FALSE),"")</f>
        <v/>
      </c>
      <c r="O1569" t="str">
        <f>IFERROR(VLOOKUP(D1569,'Team Data'!C:AB,22,FALSE),"")</f>
        <v/>
      </c>
      <c r="P1569" t="str">
        <f t="shared" si="51"/>
        <v/>
      </c>
      <c r="Q1569" t="str">
        <f>IFERROR(VLOOKUP(D1569,'Team Data'!C:AB,15,FALSE),"")</f>
        <v/>
      </c>
      <c r="R1569" t="str">
        <f>IFERROR(VLOOKUP('OB Format'!D1569,'Team Data'!C:AB,24,FALSE),"")</f>
        <v/>
      </c>
      <c r="S1569" t="str">
        <f>IFERROR(VLOOKUP('OB Format'!D1569,'Team Data'!C:AC,25,FALSE),"")</f>
        <v/>
      </c>
    </row>
    <row r="1570" spans="5:19" x14ac:dyDescent="0.25">
      <c r="E1570" t="str">
        <f>IFERROR(VLOOKUP(D1570,'Team Data'!C:AB,4,FALSE),"")</f>
        <v/>
      </c>
      <c r="F1570" t="str">
        <f>IFERROR(VLOOKUP(D1570,'Team Data'!C:AB,5,FALSE),"")</f>
        <v/>
      </c>
      <c r="G1570" t="str">
        <f>IFERROR(VLOOKUP('OB Format'!D1570,'Team Data'!C:AB,17,FALSE),"")</f>
        <v/>
      </c>
      <c r="H1570" t="str">
        <f>IFERROR(VLOOKUP(D1570,'Team Data'!C:AB,7,FALSE),"")</f>
        <v/>
      </c>
      <c r="I1570" t="str">
        <f>IFERROR(VLOOKUP(D1570,'Team Data'!C:AB,14,FALSE),"")</f>
        <v/>
      </c>
      <c r="J1570" t="str">
        <f>IFERROR(VLOOKUP(D1570,'Team Data'!C:AB,8,FALSE),"")</f>
        <v/>
      </c>
      <c r="K1570" t="str">
        <f>IFERROR(VLOOKUP(D1570,'Team Data'!C:AB,9,FALSE),"")</f>
        <v/>
      </c>
      <c r="L1570" t="str">
        <f>IFERROR(VLOOKUP(D1570,'Team Data'!C:AB,10,FALSE),"")</f>
        <v/>
      </c>
      <c r="M1570" t="str">
        <f t="shared" si="50"/>
        <v/>
      </c>
      <c r="N1570" t="str">
        <f>IFERROR(VLOOKUP(D1570,'Team Data'!C:AB,23,FALSE),"")</f>
        <v/>
      </c>
      <c r="O1570" t="str">
        <f>IFERROR(VLOOKUP(D1570,'Team Data'!C:AB,22,FALSE),"")</f>
        <v/>
      </c>
      <c r="P1570" t="str">
        <f t="shared" si="51"/>
        <v/>
      </c>
      <c r="Q1570" t="str">
        <f>IFERROR(VLOOKUP(D1570,'Team Data'!C:AB,15,FALSE),"")</f>
        <v/>
      </c>
      <c r="R1570" t="str">
        <f>IFERROR(VLOOKUP('OB Format'!D1570,'Team Data'!C:AB,24,FALSE),"")</f>
        <v/>
      </c>
      <c r="S1570" t="str">
        <f>IFERROR(VLOOKUP('OB Format'!D1570,'Team Data'!C:AC,25,FALSE),"")</f>
        <v/>
      </c>
    </row>
    <row r="1571" spans="5:19" x14ac:dyDescent="0.25">
      <c r="E1571" t="str">
        <f>IFERROR(VLOOKUP(D1571,'Team Data'!C:AB,4,FALSE),"")</f>
        <v/>
      </c>
      <c r="F1571" t="str">
        <f>IFERROR(VLOOKUP(D1571,'Team Data'!C:AB,5,FALSE),"")</f>
        <v/>
      </c>
      <c r="G1571" t="str">
        <f>IFERROR(VLOOKUP('OB Format'!D1571,'Team Data'!C:AB,17,FALSE),"")</f>
        <v/>
      </c>
      <c r="H1571" t="str">
        <f>IFERROR(VLOOKUP(D1571,'Team Data'!C:AB,7,FALSE),"")</f>
        <v/>
      </c>
      <c r="I1571" t="str">
        <f>IFERROR(VLOOKUP(D1571,'Team Data'!C:AB,14,FALSE),"")</f>
        <v/>
      </c>
      <c r="J1571" t="str">
        <f>IFERROR(VLOOKUP(D1571,'Team Data'!C:AB,8,FALSE),"")</f>
        <v/>
      </c>
      <c r="K1571" t="str">
        <f>IFERROR(VLOOKUP(D1571,'Team Data'!C:AB,9,FALSE),"")</f>
        <v/>
      </c>
      <c r="L1571" t="str">
        <f>IFERROR(VLOOKUP(D1571,'Team Data'!C:AB,10,FALSE),"")</f>
        <v/>
      </c>
      <c r="M1571" t="str">
        <f t="shared" si="50"/>
        <v/>
      </c>
      <c r="N1571" t="str">
        <f>IFERROR(VLOOKUP(D1571,'Team Data'!C:AB,23,FALSE),"")</f>
        <v/>
      </c>
      <c r="O1571" t="str">
        <f>IFERROR(VLOOKUP(D1571,'Team Data'!C:AB,22,FALSE),"")</f>
        <v/>
      </c>
      <c r="P1571" t="str">
        <f t="shared" si="51"/>
        <v/>
      </c>
      <c r="Q1571" t="str">
        <f>IFERROR(VLOOKUP(D1571,'Team Data'!C:AB,15,FALSE),"")</f>
        <v/>
      </c>
      <c r="R1571" t="str">
        <f>IFERROR(VLOOKUP('OB Format'!D1571,'Team Data'!C:AB,24,FALSE),"")</f>
        <v/>
      </c>
      <c r="S1571" t="str">
        <f>IFERROR(VLOOKUP('OB Format'!D1571,'Team Data'!C:AC,25,FALSE),"")</f>
        <v/>
      </c>
    </row>
    <row r="1572" spans="5:19" x14ac:dyDescent="0.25">
      <c r="E1572" t="str">
        <f>IFERROR(VLOOKUP(D1572,'Team Data'!C:AB,4,FALSE),"")</f>
        <v/>
      </c>
      <c r="F1572" t="str">
        <f>IFERROR(VLOOKUP(D1572,'Team Data'!C:AB,5,FALSE),"")</f>
        <v/>
      </c>
      <c r="G1572" t="str">
        <f>IFERROR(VLOOKUP('OB Format'!D1572,'Team Data'!C:AB,17,FALSE),"")</f>
        <v/>
      </c>
      <c r="H1572" t="str">
        <f>IFERROR(VLOOKUP(D1572,'Team Data'!C:AB,7,FALSE),"")</f>
        <v/>
      </c>
      <c r="I1572" t="str">
        <f>IFERROR(VLOOKUP(D1572,'Team Data'!C:AB,14,FALSE),"")</f>
        <v/>
      </c>
      <c r="J1572" t="str">
        <f>IFERROR(VLOOKUP(D1572,'Team Data'!C:AB,8,FALSE),"")</f>
        <v/>
      </c>
      <c r="K1572" t="str">
        <f>IFERROR(VLOOKUP(D1572,'Team Data'!C:AB,9,FALSE),"")</f>
        <v/>
      </c>
      <c r="L1572" t="str">
        <f>IFERROR(VLOOKUP(D1572,'Team Data'!C:AB,10,FALSE),"")</f>
        <v/>
      </c>
      <c r="M1572" t="str">
        <f t="shared" si="50"/>
        <v/>
      </c>
      <c r="N1572" t="str">
        <f>IFERROR(VLOOKUP(D1572,'Team Data'!C:AB,23,FALSE),"")</f>
        <v/>
      </c>
      <c r="O1572" t="str">
        <f>IFERROR(VLOOKUP(D1572,'Team Data'!C:AB,22,FALSE),"")</f>
        <v/>
      </c>
      <c r="P1572" t="str">
        <f t="shared" si="51"/>
        <v/>
      </c>
      <c r="Q1572" t="str">
        <f>IFERROR(VLOOKUP(D1572,'Team Data'!C:AB,15,FALSE),"")</f>
        <v/>
      </c>
      <c r="R1572" t="str">
        <f>IFERROR(VLOOKUP('OB Format'!D1572,'Team Data'!C:AB,24,FALSE),"")</f>
        <v/>
      </c>
      <c r="S1572" t="str">
        <f>IFERROR(VLOOKUP('OB Format'!D1572,'Team Data'!C:AC,25,FALSE),"")</f>
        <v/>
      </c>
    </row>
    <row r="1573" spans="5:19" x14ac:dyDescent="0.25">
      <c r="E1573" t="str">
        <f>IFERROR(VLOOKUP(D1573,'Team Data'!C:AB,4,FALSE),"")</f>
        <v/>
      </c>
      <c r="F1573" t="str">
        <f>IFERROR(VLOOKUP(D1573,'Team Data'!C:AB,5,FALSE),"")</f>
        <v/>
      </c>
      <c r="G1573" t="str">
        <f>IFERROR(VLOOKUP('OB Format'!D1573,'Team Data'!C:AB,17,FALSE),"")</f>
        <v/>
      </c>
      <c r="H1573" t="str">
        <f>IFERROR(VLOOKUP(D1573,'Team Data'!C:AB,7,FALSE),"")</f>
        <v/>
      </c>
      <c r="I1573" t="str">
        <f>IFERROR(VLOOKUP(D1573,'Team Data'!C:AB,14,FALSE),"")</f>
        <v/>
      </c>
      <c r="J1573" t="str">
        <f>IFERROR(VLOOKUP(D1573,'Team Data'!C:AB,8,FALSE),"")</f>
        <v/>
      </c>
      <c r="K1573" t="str">
        <f>IFERROR(VLOOKUP(D1573,'Team Data'!C:AB,9,FALSE),"")</f>
        <v/>
      </c>
      <c r="L1573" t="str">
        <f>IFERROR(VLOOKUP(D1573,'Team Data'!C:AB,10,FALSE),"")</f>
        <v/>
      </c>
      <c r="M1573" t="str">
        <f t="shared" si="50"/>
        <v/>
      </c>
      <c r="N1573" t="str">
        <f>IFERROR(VLOOKUP(D1573,'Team Data'!C:AB,23,FALSE),"")</f>
        <v/>
      </c>
      <c r="O1573" t="str">
        <f>IFERROR(VLOOKUP(D1573,'Team Data'!C:AB,22,FALSE),"")</f>
        <v/>
      </c>
      <c r="P1573" t="str">
        <f t="shared" si="51"/>
        <v/>
      </c>
      <c r="Q1573" t="str">
        <f>IFERROR(VLOOKUP(D1573,'Team Data'!C:AB,15,FALSE),"")</f>
        <v/>
      </c>
      <c r="R1573" t="str">
        <f>IFERROR(VLOOKUP('OB Format'!D1573,'Team Data'!C:AB,24,FALSE),"")</f>
        <v/>
      </c>
      <c r="S1573" t="str">
        <f>IFERROR(VLOOKUP('OB Format'!D1573,'Team Data'!C:AC,25,FALSE),"")</f>
        <v/>
      </c>
    </row>
    <row r="1574" spans="5:19" x14ac:dyDescent="0.25">
      <c r="E1574" t="str">
        <f>IFERROR(VLOOKUP(D1574,'Team Data'!C:AB,4,FALSE),"")</f>
        <v/>
      </c>
      <c r="F1574" t="str">
        <f>IFERROR(VLOOKUP(D1574,'Team Data'!C:AB,5,FALSE),"")</f>
        <v/>
      </c>
      <c r="G1574" t="str">
        <f>IFERROR(VLOOKUP('OB Format'!D1574,'Team Data'!C:AB,17,FALSE),"")</f>
        <v/>
      </c>
      <c r="H1574" t="str">
        <f>IFERROR(VLOOKUP(D1574,'Team Data'!C:AB,7,FALSE),"")</f>
        <v/>
      </c>
      <c r="I1574" t="str">
        <f>IFERROR(VLOOKUP(D1574,'Team Data'!C:AB,14,FALSE),"")</f>
        <v/>
      </c>
      <c r="J1574" t="str">
        <f>IFERROR(VLOOKUP(D1574,'Team Data'!C:AB,8,FALSE),"")</f>
        <v/>
      </c>
      <c r="K1574" t="str">
        <f>IFERROR(VLOOKUP(D1574,'Team Data'!C:AB,9,FALSE),"")</f>
        <v/>
      </c>
      <c r="L1574" t="str">
        <f>IFERROR(VLOOKUP(D1574,'Team Data'!C:AB,10,FALSE),"")</f>
        <v/>
      </c>
      <c r="M1574" t="str">
        <f t="shared" si="50"/>
        <v/>
      </c>
      <c r="N1574" t="str">
        <f>IFERROR(VLOOKUP(D1574,'Team Data'!C:AB,23,FALSE),"")</f>
        <v/>
      </c>
      <c r="O1574" t="str">
        <f>IFERROR(VLOOKUP(D1574,'Team Data'!C:AB,22,FALSE),"")</f>
        <v/>
      </c>
      <c r="P1574" t="str">
        <f t="shared" si="51"/>
        <v/>
      </c>
      <c r="Q1574" t="str">
        <f>IFERROR(VLOOKUP(D1574,'Team Data'!C:AB,15,FALSE),"")</f>
        <v/>
      </c>
      <c r="R1574" t="str">
        <f>IFERROR(VLOOKUP('OB Format'!D1574,'Team Data'!C:AB,24,FALSE),"")</f>
        <v/>
      </c>
      <c r="S1574" t="str">
        <f>IFERROR(VLOOKUP('OB Format'!D1574,'Team Data'!C:AC,25,FALSE),"")</f>
        <v/>
      </c>
    </row>
    <row r="1575" spans="5:19" x14ac:dyDescent="0.25">
      <c r="E1575" t="str">
        <f>IFERROR(VLOOKUP(D1575,'Team Data'!C:AB,4,FALSE),"")</f>
        <v/>
      </c>
      <c r="F1575" t="str">
        <f>IFERROR(VLOOKUP(D1575,'Team Data'!C:AB,5,FALSE),"")</f>
        <v/>
      </c>
      <c r="G1575" t="str">
        <f>IFERROR(VLOOKUP('OB Format'!D1575,'Team Data'!C:AB,17,FALSE),"")</f>
        <v/>
      </c>
      <c r="H1575" t="str">
        <f>IFERROR(VLOOKUP(D1575,'Team Data'!C:AB,7,FALSE),"")</f>
        <v/>
      </c>
      <c r="I1575" t="str">
        <f>IFERROR(VLOOKUP(D1575,'Team Data'!C:AB,14,FALSE),"")</f>
        <v/>
      </c>
      <c r="J1575" t="str">
        <f>IFERROR(VLOOKUP(D1575,'Team Data'!C:AB,8,FALSE),"")</f>
        <v/>
      </c>
      <c r="K1575" t="str">
        <f>IFERROR(VLOOKUP(D1575,'Team Data'!C:AB,9,FALSE),"")</f>
        <v/>
      </c>
      <c r="L1575" t="str">
        <f>IFERROR(VLOOKUP(D1575,'Team Data'!C:AB,10,FALSE),"")</f>
        <v/>
      </c>
      <c r="M1575" t="str">
        <f t="shared" si="50"/>
        <v/>
      </c>
      <c r="N1575" t="str">
        <f>IFERROR(VLOOKUP(D1575,'Team Data'!C:AB,23,FALSE),"")</f>
        <v/>
      </c>
      <c r="O1575" t="str">
        <f>IFERROR(VLOOKUP(D1575,'Team Data'!C:AB,22,FALSE),"")</f>
        <v/>
      </c>
      <c r="P1575" t="str">
        <f t="shared" si="51"/>
        <v/>
      </c>
      <c r="Q1575" t="str">
        <f>IFERROR(VLOOKUP(D1575,'Team Data'!C:AB,15,FALSE),"")</f>
        <v/>
      </c>
      <c r="R1575" t="str">
        <f>IFERROR(VLOOKUP('OB Format'!D1575,'Team Data'!C:AB,24,FALSE),"")</f>
        <v/>
      </c>
      <c r="S1575" t="str">
        <f>IFERROR(VLOOKUP('OB Format'!D1575,'Team Data'!C:AC,25,FALSE),"")</f>
        <v/>
      </c>
    </row>
    <row r="1576" spans="5:19" x14ac:dyDescent="0.25">
      <c r="E1576" t="str">
        <f>IFERROR(VLOOKUP(D1576,'Team Data'!C:AB,4,FALSE),"")</f>
        <v/>
      </c>
      <c r="F1576" t="str">
        <f>IFERROR(VLOOKUP(D1576,'Team Data'!C:AB,5,FALSE),"")</f>
        <v/>
      </c>
      <c r="G1576" t="str">
        <f>IFERROR(VLOOKUP('OB Format'!D1576,'Team Data'!C:AB,17,FALSE),"")</f>
        <v/>
      </c>
      <c r="H1576" t="str">
        <f>IFERROR(VLOOKUP(D1576,'Team Data'!C:AB,7,FALSE),"")</f>
        <v/>
      </c>
      <c r="I1576" t="str">
        <f>IFERROR(VLOOKUP(D1576,'Team Data'!C:AB,14,FALSE),"")</f>
        <v/>
      </c>
      <c r="J1576" t="str">
        <f>IFERROR(VLOOKUP(D1576,'Team Data'!C:AB,8,FALSE),"")</f>
        <v/>
      </c>
      <c r="K1576" t="str">
        <f>IFERROR(VLOOKUP(D1576,'Team Data'!C:AB,9,FALSE),"")</f>
        <v/>
      </c>
      <c r="L1576" t="str">
        <f>IFERROR(VLOOKUP(D1576,'Team Data'!C:AB,10,FALSE),"")</f>
        <v/>
      </c>
      <c r="M1576" t="str">
        <f t="shared" si="50"/>
        <v/>
      </c>
      <c r="N1576" t="str">
        <f>IFERROR(VLOOKUP(D1576,'Team Data'!C:AB,23,FALSE),"")</f>
        <v/>
      </c>
      <c r="O1576" t="str">
        <f>IFERROR(VLOOKUP(D1576,'Team Data'!C:AB,22,FALSE),"")</f>
        <v/>
      </c>
      <c r="P1576" t="str">
        <f t="shared" si="51"/>
        <v/>
      </c>
      <c r="Q1576" t="str">
        <f>IFERROR(VLOOKUP(D1576,'Team Data'!C:AB,15,FALSE),"")</f>
        <v/>
      </c>
      <c r="R1576" t="str">
        <f>IFERROR(VLOOKUP('OB Format'!D1576,'Team Data'!C:AB,24,FALSE),"")</f>
        <v/>
      </c>
      <c r="S1576" t="str">
        <f>IFERROR(VLOOKUP('OB Format'!D1576,'Team Data'!C:AC,25,FALSE),"")</f>
        <v/>
      </c>
    </row>
    <row r="1577" spans="5:19" x14ac:dyDescent="0.25">
      <c r="E1577" t="str">
        <f>IFERROR(VLOOKUP(D1577,'Team Data'!C:AB,4,FALSE),"")</f>
        <v/>
      </c>
      <c r="F1577" t="str">
        <f>IFERROR(VLOOKUP(D1577,'Team Data'!C:AB,5,FALSE),"")</f>
        <v/>
      </c>
      <c r="G1577" t="str">
        <f>IFERROR(VLOOKUP('OB Format'!D1577,'Team Data'!C:AB,17,FALSE),"")</f>
        <v/>
      </c>
      <c r="H1577" t="str">
        <f>IFERROR(VLOOKUP(D1577,'Team Data'!C:AB,7,FALSE),"")</f>
        <v/>
      </c>
      <c r="I1577" t="str">
        <f>IFERROR(VLOOKUP(D1577,'Team Data'!C:AB,14,FALSE),"")</f>
        <v/>
      </c>
      <c r="J1577" t="str">
        <f>IFERROR(VLOOKUP(D1577,'Team Data'!C:AB,8,FALSE),"")</f>
        <v/>
      </c>
      <c r="K1577" t="str">
        <f>IFERROR(VLOOKUP(D1577,'Team Data'!C:AB,9,FALSE),"")</f>
        <v/>
      </c>
      <c r="L1577" t="str">
        <f>IFERROR(VLOOKUP(D1577,'Team Data'!C:AB,10,FALSE),"")</f>
        <v/>
      </c>
      <c r="M1577" t="str">
        <f t="shared" si="50"/>
        <v/>
      </c>
      <c r="N1577" t="str">
        <f>IFERROR(VLOOKUP(D1577,'Team Data'!C:AB,23,FALSE),"")</f>
        <v/>
      </c>
      <c r="O1577" t="str">
        <f>IFERROR(VLOOKUP(D1577,'Team Data'!C:AB,22,FALSE),"")</f>
        <v/>
      </c>
      <c r="P1577" t="str">
        <f t="shared" si="51"/>
        <v/>
      </c>
      <c r="Q1577" t="str">
        <f>IFERROR(VLOOKUP(D1577,'Team Data'!C:AB,15,FALSE),"")</f>
        <v/>
      </c>
      <c r="R1577" t="str">
        <f>IFERROR(VLOOKUP('OB Format'!D1577,'Team Data'!C:AB,24,FALSE),"")</f>
        <v/>
      </c>
      <c r="S1577" t="str">
        <f>IFERROR(VLOOKUP('OB Format'!D1577,'Team Data'!C:AC,25,FALSE),"")</f>
        <v/>
      </c>
    </row>
    <row r="1578" spans="5:19" x14ac:dyDescent="0.25">
      <c r="E1578" t="str">
        <f>IFERROR(VLOOKUP(D1578,'Team Data'!C:AB,4,FALSE),"")</f>
        <v/>
      </c>
      <c r="F1578" t="str">
        <f>IFERROR(VLOOKUP(D1578,'Team Data'!C:AB,5,FALSE),"")</f>
        <v/>
      </c>
      <c r="G1578" t="str">
        <f>IFERROR(VLOOKUP('OB Format'!D1578,'Team Data'!C:AB,17,FALSE),"")</f>
        <v/>
      </c>
      <c r="H1578" t="str">
        <f>IFERROR(VLOOKUP(D1578,'Team Data'!C:AB,7,FALSE),"")</f>
        <v/>
      </c>
      <c r="I1578" t="str">
        <f>IFERROR(VLOOKUP(D1578,'Team Data'!C:AB,14,FALSE),"")</f>
        <v/>
      </c>
      <c r="J1578" t="str">
        <f>IFERROR(VLOOKUP(D1578,'Team Data'!C:AB,8,FALSE),"")</f>
        <v/>
      </c>
      <c r="K1578" t="str">
        <f>IFERROR(VLOOKUP(D1578,'Team Data'!C:AB,9,FALSE),"")</f>
        <v/>
      </c>
      <c r="L1578" t="str">
        <f>IFERROR(VLOOKUP(D1578,'Team Data'!C:AB,10,FALSE),"")</f>
        <v/>
      </c>
      <c r="M1578" t="str">
        <f t="shared" si="50"/>
        <v/>
      </c>
      <c r="N1578" t="str">
        <f>IFERROR(VLOOKUP(D1578,'Team Data'!C:AB,23,FALSE),"")</f>
        <v/>
      </c>
      <c r="O1578" t="str">
        <f>IFERROR(VLOOKUP(D1578,'Team Data'!C:AB,22,FALSE),"")</f>
        <v/>
      </c>
      <c r="P1578" t="str">
        <f t="shared" si="51"/>
        <v/>
      </c>
      <c r="Q1578" t="str">
        <f>IFERROR(VLOOKUP(D1578,'Team Data'!C:AB,15,FALSE),"")</f>
        <v/>
      </c>
      <c r="R1578" t="str">
        <f>IFERROR(VLOOKUP('OB Format'!D1578,'Team Data'!C:AB,24,FALSE),"")</f>
        <v/>
      </c>
      <c r="S1578" t="str">
        <f>IFERROR(VLOOKUP('OB Format'!D1578,'Team Data'!C:AC,25,FALSE),"")</f>
        <v/>
      </c>
    </row>
    <row r="1579" spans="5:19" x14ac:dyDescent="0.25">
      <c r="E1579" t="str">
        <f>IFERROR(VLOOKUP(D1579,'Team Data'!C:AB,4,FALSE),"")</f>
        <v/>
      </c>
      <c r="F1579" t="str">
        <f>IFERROR(VLOOKUP(D1579,'Team Data'!C:AB,5,FALSE),"")</f>
        <v/>
      </c>
      <c r="G1579" t="str">
        <f>IFERROR(VLOOKUP('OB Format'!D1579,'Team Data'!C:AB,17,FALSE),"")</f>
        <v/>
      </c>
      <c r="H1579" t="str">
        <f>IFERROR(VLOOKUP(D1579,'Team Data'!C:AB,7,FALSE),"")</f>
        <v/>
      </c>
      <c r="I1579" t="str">
        <f>IFERROR(VLOOKUP(D1579,'Team Data'!C:AB,14,FALSE),"")</f>
        <v/>
      </c>
      <c r="J1579" t="str">
        <f>IFERROR(VLOOKUP(D1579,'Team Data'!C:AB,8,FALSE),"")</f>
        <v/>
      </c>
      <c r="K1579" t="str">
        <f>IFERROR(VLOOKUP(D1579,'Team Data'!C:AB,9,FALSE),"")</f>
        <v/>
      </c>
      <c r="L1579" t="str">
        <f>IFERROR(VLOOKUP(D1579,'Team Data'!C:AB,10,FALSE),"")</f>
        <v/>
      </c>
      <c r="M1579" t="str">
        <f t="shared" si="50"/>
        <v/>
      </c>
      <c r="N1579" t="str">
        <f>IFERROR(VLOOKUP(D1579,'Team Data'!C:AB,23,FALSE),"")</f>
        <v/>
      </c>
      <c r="O1579" t="str">
        <f>IFERROR(VLOOKUP(D1579,'Team Data'!C:AB,22,FALSE),"")</f>
        <v/>
      </c>
      <c r="P1579" t="str">
        <f t="shared" si="51"/>
        <v/>
      </c>
      <c r="Q1579" t="str">
        <f>IFERROR(VLOOKUP(D1579,'Team Data'!C:AB,15,FALSE),"")</f>
        <v/>
      </c>
      <c r="R1579" t="str">
        <f>IFERROR(VLOOKUP('OB Format'!D1579,'Team Data'!C:AB,24,FALSE),"")</f>
        <v/>
      </c>
      <c r="S1579" t="str">
        <f>IFERROR(VLOOKUP('OB Format'!D1579,'Team Data'!C:AC,25,FALSE),"")</f>
        <v/>
      </c>
    </row>
    <row r="1580" spans="5:19" x14ac:dyDescent="0.25">
      <c r="E1580" t="str">
        <f>IFERROR(VLOOKUP(D1580,'Team Data'!C:AB,4,FALSE),"")</f>
        <v/>
      </c>
      <c r="F1580" t="str">
        <f>IFERROR(VLOOKUP(D1580,'Team Data'!C:AB,5,FALSE),"")</f>
        <v/>
      </c>
      <c r="G1580" t="str">
        <f>IFERROR(VLOOKUP('OB Format'!D1580,'Team Data'!C:AB,17,FALSE),"")</f>
        <v/>
      </c>
      <c r="H1580" t="str">
        <f>IFERROR(VLOOKUP(D1580,'Team Data'!C:AB,7,FALSE),"")</f>
        <v/>
      </c>
      <c r="I1580" t="str">
        <f>IFERROR(VLOOKUP(D1580,'Team Data'!C:AB,14,FALSE),"")</f>
        <v/>
      </c>
      <c r="J1580" t="str">
        <f>IFERROR(VLOOKUP(D1580,'Team Data'!C:AB,8,FALSE),"")</f>
        <v/>
      </c>
      <c r="K1580" t="str">
        <f>IFERROR(VLOOKUP(D1580,'Team Data'!C:AB,9,FALSE),"")</f>
        <v/>
      </c>
      <c r="L1580" t="str">
        <f>IFERROR(VLOOKUP(D1580,'Team Data'!C:AB,10,FALSE),"")</f>
        <v/>
      </c>
      <c r="M1580" t="str">
        <f t="shared" si="50"/>
        <v/>
      </c>
      <c r="N1580" t="str">
        <f>IFERROR(VLOOKUP(D1580,'Team Data'!C:AB,23,FALSE),"")</f>
        <v/>
      </c>
      <c r="O1580" t="str">
        <f>IFERROR(VLOOKUP(D1580,'Team Data'!C:AB,22,FALSE),"")</f>
        <v/>
      </c>
      <c r="P1580" t="str">
        <f t="shared" si="51"/>
        <v/>
      </c>
      <c r="Q1580" t="str">
        <f>IFERROR(VLOOKUP(D1580,'Team Data'!C:AB,15,FALSE),"")</f>
        <v/>
      </c>
      <c r="R1580" t="str">
        <f>IFERROR(VLOOKUP('OB Format'!D1580,'Team Data'!C:AB,24,FALSE),"")</f>
        <v/>
      </c>
      <c r="S1580" t="str">
        <f>IFERROR(VLOOKUP('OB Format'!D1580,'Team Data'!C:AC,25,FALSE),"")</f>
        <v/>
      </c>
    </row>
    <row r="1581" spans="5:19" x14ac:dyDescent="0.25">
      <c r="E1581" t="str">
        <f>IFERROR(VLOOKUP(D1581,'Team Data'!C:AB,4,FALSE),"")</f>
        <v/>
      </c>
      <c r="F1581" t="str">
        <f>IFERROR(VLOOKUP(D1581,'Team Data'!C:AB,5,FALSE),"")</f>
        <v/>
      </c>
      <c r="G1581" t="str">
        <f>IFERROR(VLOOKUP('OB Format'!D1581,'Team Data'!C:AB,17,FALSE),"")</f>
        <v/>
      </c>
      <c r="H1581" t="str">
        <f>IFERROR(VLOOKUP(D1581,'Team Data'!C:AB,7,FALSE),"")</f>
        <v/>
      </c>
      <c r="I1581" t="str">
        <f>IFERROR(VLOOKUP(D1581,'Team Data'!C:AB,14,FALSE),"")</f>
        <v/>
      </c>
      <c r="J1581" t="str">
        <f>IFERROR(VLOOKUP(D1581,'Team Data'!C:AB,8,FALSE),"")</f>
        <v/>
      </c>
      <c r="K1581" t="str">
        <f>IFERROR(VLOOKUP(D1581,'Team Data'!C:AB,9,FALSE),"")</f>
        <v/>
      </c>
      <c r="L1581" t="str">
        <f>IFERROR(VLOOKUP(D1581,'Team Data'!C:AB,10,FALSE),"")</f>
        <v/>
      </c>
      <c r="M1581" t="str">
        <f t="shared" si="50"/>
        <v/>
      </c>
      <c r="N1581" t="str">
        <f>IFERROR(VLOOKUP(D1581,'Team Data'!C:AB,23,FALSE),"")</f>
        <v/>
      </c>
      <c r="O1581" t="str">
        <f>IFERROR(VLOOKUP(D1581,'Team Data'!C:AB,22,FALSE),"")</f>
        <v/>
      </c>
      <c r="P1581" t="str">
        <f t="shared" si="51"/>
        <v/>
      </c>
      <c r="Q1581" t="str">
        <f>IFERROR(VLOOKUP(D1581,'Team Data'!C:AB,15,FALSE),"")</f>
        <v/>
      </c>
      <c r="R1581" t="str">
        <f>IFERROR(VLOOKUP('OB Format'!D1581,'Team Data'!C:AB,24,FALSE),"")</f>
        <v/>
      </c>
      <c r="S1581" t="str">
        <f>IFERROR(VLOOKUP('OB Format'!D1581,'Team Data'!C:AC,25,FALSE),"")</f>
        <v/>
      </c>
    </row>
    <row r="1582" spans="5:19" x14ac:dyDescent="0.25">
      <c r="E1582" t="str">
        <f>IFERROR(VLOOKUP(D1582,'Team Data'!C:AB,4,FALSE),"")</f>
        <v/>
      </c>
      <c r="F1582" t="str">
        <f>IFERROR(VLOOKUP(D1582,'Team Data'!C:AB,5,FALSE),"")</f>
        <v/>
      </c>
      <c r="G1582" t="str">
        <f>IFERROR(VLOOKUP('OB Format'!D1582,'Team Data'!C:AB,17,FALSE),"")</f>
        <v/>
      </c>
      <c r="H1582" t="str">
        <f>IFERROR(VLOOKUP(D1582,'Team Data'!C:AB,7,FALSE),"")</f>
        <v/>
      </c>
      <c r="I1582" t="str">
        <f>IFERROR(VLOOKUP(D1582,'Team Data'!C:AB,14,FALSE),"")</f>
        <v/>
      </c>
      <c r="J1582" t="str">
        <f>IFERROR(VLOOKUP(D1582,'Team Data'!C:AB,8,FALSE),"")</f>
        <v/>
      </c>
      <c r="K1582" t="str">
        <f>IFERROR(VLOOKUP(D1582,'Team Data'!C:AB,9,FALSE),"")</f>
        <v/>
      </c>
      <c r="L1582" t="str">
        <f>IFERROR(VLOOKUP(D1582,'Team Data'!C:AB,10,FALSE),"")</f>
        <v/>
      </c>
      <c r="M1582" t="str">
        <f t="shared" si="50"/>
        <v/>
      </c>
      <c r="N1582" t="str">
        <f>IFERROR(VLOOKUP(D1582,'Team Data'!C:AB,23,FALSE),"")</f>
        <v/>
      </c>
      <c r="O1582" t="str">
        <f>IFERROR(VLOOKUP(D1582,'Team Data'!C:AB,22,FALSE),"")</f>
        <v/>
      </c>
      <c r="P1582" t="str">
        <f t="shared" si="51"/>
        <v/>
      </c>
      <c r="Q1582" t="str">
        <f>IFERROR(VLOOKUP(D1582,'Team Data'!C:AB,15,FALSE),"")</f>
        <v/>
      </c>
      <c r="R1582" t="str">
        <f>IFERROR(VLOOKUP('OB Format'!D1582,'Team Data'!C:AB,24,FALSE),"")</f>
        <v/>
      </c>
      <c r="S1582" t="str">
        <f>IFERROR(VLOOKUP('OB Format'!D1582,'Team Data'!C:AC,25,FALSE),"")</f>
        <v/>
      </c>
    </row>
    <row r="1583" spans="5:19" x14ac:dyDescent="0.25">
      <c r="E1583" t="str">
        <f>IFERROR(VLOOKUP(D1583,'Team Data'!C:AB,4,FALSE),"")</f>
        <v/>
      </c>
      <c r="F1583" t="str">
        <f>IFERROR(VLOOKUP(D1583,'Team Data'!C:AB,5,FALSE),"")</f>
        <v/>
      </c>
      <c r="G1583" t="str">
        <f>IFERROR(VLOOKUP('OB Format'!D1583,'Team Data'!C:AB,17,FALSE),"")</f>
        <v/>
      </c>
      <c r="H1583" t="str">
        <f>IFERROR(VLOOKUP(D1583,'Team Data'!C:AB,7,FALSE),"")</f>
        <v/>
      </c>
      <c r="I1583" t="str">
        <f>IFERROR(VLOOKUP(D1583,'Team Data'!C:AB,14,FALSE),"")</f>
        <v/>
      </c>
      <c r="J1583" t="str">
        <f>IFERROR(VLOOKUP(D1583,'Team Data'!C:AB,8,FALSE),"")</f>
        <v/>
      </c>
      <c r="K1583" t="str">
        <f>IFERROR(VLOOKUP(D1583,'Team Data'!C:AB,9,FALSE),"")</f>
        <v/>
      </c>
      <c r="L1583" t="str">
        <f>IFERROR(VLOOKUP(D1583,'Team Data'!C:AB,10,FALSE),"")</f>
        <v/>
      </c>
      <c r="M1583" t="str">
        <f t="shared" si="50"/>
        <v/>
      </c>
      <c r="N1583" t="str">
        <f>IFERROR(VLOOKUP(D1583,'Team Data'!C:AB,23,FALSE),"")</f>
        <v/>
      </c>
      <c r="O1583" t="str">
        <f>IFERROR(VLOOKUP(D1583,'Team Data'!C:AB,22,FALSE),"")</f>
        <v/>
      </c>
      <c r="P1583" t="str">
        <f t="shared" si="51"/>
        <v/>
      </c>
      <c r="Q1583" t="str">
        <f>IFERROR(VLOOKUP(D1583,'Team Data'!C:AB,15,FALSE),"")</f>
        <v/>
      </c>
      <c r="R1583" t="str">
        <f>IFERROR(VLOOKUP('OB Format'!D1583,'Team Data'!C:AB,24,FALSE),"")</f>
        <v/>
      </c>
      <c r="S1583" t="str">
        <f>IFERROR(VLOOKUP('OB Format'!D1583,'Team Data'!C:AC,25,FALSE),"")</f>
        <v/>
      </c>
    </row>
    <row r="1584" spans="5:19" x14ac:dyDescent="0.25">
      <c r="E1584" t="str">
        <f>IFERROR(VLOOKUP(D1584,'Team Data'!C:AB,4,FALSE),"")</f>
        <v/>
      </c>
      <c r="F1584" t="str">
        <f>IFERROR(VLOOKUP(D1584,'Team Data'!C:AB,5,FALSE),"")</f>
        <v/>
      </c>
      <c r="G1584" t="str">
        <f>IFERROR(VLOOKUP('OB Format'!D1584,'Team Data'!C:AB,17,FALSE),"")</f>
        <v/>
      </c>
      <c r="H1584" t="str">
        <f>IFERROR(VLOOKUP(D1584,'Team Data'!C:AB,7,FALSE),"")</f>
        <v/>
      </c>
      <c r="I1584" t="str">
        <f>IFERROR(VLOOKUP(D1584,'Team Data'!C:AB,14,FALSE),"")</f>
        <v/>
      </c>
      <c r="J1584" t="str">
        <f>IFERROR(VLOOKUP(D1584,'Team Data'!C:AB,8,FALSE),"")</f>
        <v/>
      </c>
      <c r="K1584" t="str">
        <f>IFERROR(VLOOKUP(D1584,'Team Data'!C:AB,9,FALSE),"")</f>
        <v/>
      </c>
      <c r="L1584" t="str">
        <f>IFERROR(VLOOKUP(D1584,'Team Data'!C:AB,10,FALSE),"")</f>
        <v/>
      </c>
      <c r="M1584" t="str">
        <f t="shared" si="50"/>
        <v/>
      </c>
      <c r="N1584" t="str">
        <f>IFERROR(VLOOKUP(D1584,'Team Data'!C:AB,23,FALSE),"")</f>
        <v/>
      </c>
      <c r="O1584" t="str">
        <f>IFERROR(VLOOKUP(D1584,'Team Data'!C:AB,22,FALSE),"")</f>
        <v/>
      </c>
      <c r="P1584" t="str">
        <f t="shared" si="51"/>
        <v/>
      </c>
      <c r="Q1584" t="str">
        <f>IFERROR(VLOOKUP(D1584,'Team Data'!C:AB,15,FALSE),"")</f>
        <v/>
      </c>
      <c r="R1584" t="str">
        <f>IFERROR(VLOOKUP('OB Format'!D1584,'Team Data'!C:AB,24,FALSE),"")</f>
        <v/>
      </c>
      <c r="S1584" t="str">
        <f>IFERROR(VLOOKUP('OB Format'!D1584,'Team Data'!C:AC,25,FALSE),"")</f>
        <v/>
      </c>
    </row>
    <row r="1585" spans="5:19" x14ac:dyDescent="0.25">
      <c r="E1585" t="str">
        <f>IFERROR(VLOOKUP(D1585,'Team Data'!C:AB,4,FALSE),"")</f>
        <v/>
      </c>
      <c r="F1585" t="str">
        <f>IFERROR(VLOOKUP(D1585,'Team Data'!C:AB,5,FALSE),"")</f>
        <v/>
      </c>
      <c r="G1585" t="str">
        <f>IFERROR(VLOOKUP('OB Format'!D1585,'Team Data'!C:AB,17,FALSE),"")</f>
        <v/>
      </c>
      <c r="H1585" t="str">
        <f>IFERROR(VLOOKUP(D1585,'Team Data'!C:AB,7,FALSE),"")</f>
        <v/>
      </c>
      <c r="I1585" t="str">
        <f>IFERROR(VLOOKUP(D1585,'Team Data'!C:AB,14,FALSE),"")</f>
        <v/>
      </c>
      <c r="J1585" t="str">
        <f>IFERROR(VLOOKUP(D1585,'Team Data'!C:AB,8,FALSE),"")</f>
        <v/>
      </c>
      <c r="K1585" t="str">
        <f>IFERROR(VLOOKUP(D1585,'Team Data'!C:AB,9,FALSE),"")</f>
        <v/>
      </c>
      <c r="L1585" t="str">
        <f>IFERROR(VLOOKUP(D1585,'Team Data'!C:AB,10,FALSE),"")</f>
        <v/>
      </c>
      <c r="M1585" t="str">
        <f t="shared" si="50"/>
        <v/>
      </c>
      <c r="N1585" t="str">
        <f>IFERROR(VLOOKUP(D1585,'Team Data'!C:AB,23,FALSE),"")</f>
        <v/>
      </c>
      <c r="O1585" t="str">
        <f>IFERROR(VLOOKUP(D1585,'Team Data'!C:AB,22,FALSE),"")</f>
        <v/>
      </c>
      <c r="P1585" t="str">
        <f t="shared" si="51"/>
        <v/>
      </c>
      <c r="Q1585" t="str">
        <f>IFERROR(VLOOKUP(D1585,'Team Data'!C:AB,15,FALSE),"")</f>
        <v/>
      </c>
      <c r="R1585" t="str">
        <f>IFERROR(VLOOKUP('OB Format'!D1585,'Team Data'!C:AB,24,FALSE),"")</f>
        <v/>
      </c>
      <c r="S1585" t="str">
        <f>IFERROR(VLOOKUP('OB Format'!D1585,'Team Data'!C:AC,25,FALSE),"")</f>
        <v/>
      </c>
    </row>
    <row r="1586" spans="5:19" x14ac:dyDescent="0.25">
      <c r="E1586" t="str">
        <f>IFERROR(VLOOKUP(D1586,'Team Data'!C:AB,4,FALSE),"")</f>
        <v/>
      </c>
      <c r="F1586" t="str">
        <f>IFERROR(VLOOKUP(D1586,'Team Data'!C:AB,5,FALSE),"")</f>
        <v/>
      </c>
      <c r="G1586" t="str">
        <f>IFERROR(VLOOKUP('OB Format'!D1586,'Team Data'!C:AB,17,FALSE),"")</f>
        <v/>
      </c>
      <c r="H1586" t="str">
        <f>IFERROR(VLOOKUP(D1586,'Team Data'!C:AB,7,FALSE),"")</f>
        <v/>
      </c>
      <c r="I1586" t="str">
        <f>IFERROR(VLOOKUP(D1586,'Team Data'!C:AB,14,FALSE),"")</f>
        <v/>
      </c>
      <c r="J1586" t="str">
        <f>IFERROR(VLOOKUP(D1586,'Team Data'!C:AB,8,FALSE),"")</f>
        <v/>
      </c>
      <c r="K1586" t="str">
        <f>IFERROR(VLOOKUP(D1586,'Team Data'!C:AB,9,FALSE),"")</f>
        <v/>
      </c>
      <c r="L1586" t="str">
        <f>IFERROR(VLOOKUP(D1586,'Team Data'!C:AB,10,FALSE),"")</f>
        <v/>
      </c>
      <c r="M1586" t="str">
        <f t="shared" si="50"/>
        <v/>
      </c>
      <c r="N1586" t="str">
        <f>IFERROR(VLOOKUP(D1586,'Team Data'!C:AB,23,FALSE),"")</f>
        <v/>
      </c>
      <c r="O1586" t="str">
        <f>IFERROR(VLOOKUP(D1586,'Team Data'!C:AB,22,FALSE),"")</f>
        <v/>
      </c>
      <c r="P1586" t="str">
        <f t="shared" si="51"/>
        <v/>
      </c>
      <c r="Q1586" t="str">
        <f>IFERROR(VLOOKUP(D1586,'Team Data'!C:AB,15,FALSE),"")</f>
        <v/>
      </c>
      <c r="R1586" t="str">
        <f>IFERROR(VLOOKUP('OB Format'!D1586,'Team Data'!C:AB,24,FALSE),"")</f>
        <v/>
      </c>
      <c r="S1586" t="str">
        <f>IFERROR(VLOOKUP('OB Format'!D1586,'Team Data'!C:AC,25,FALSE),"")</f>
        <v/>
      </c>
    </row>
    <row r="1587" spans="5:19" x14ac:dyDescent="0.25">
      <c r="E1587" t="str">
        <f>IFERROR(VLOOKUP(D1587,'Team Data'!C:AB,4,FALSE),"")</f>
        <v/>
      </c>
      <c r="F1587" t="str">
        <f>IFERROR(VLOOKUP(D1587,'Team Data'!C:AB,5,FALSE),"")</f>
        <v/>
      </c>
      <c r="G1587" t="str">
        <f>IFERROR(VLOOKUP('OB Format'!D1587,'Team Data'!C:AB,17,FALSE),"")</f>
        <v/>
      </c>
      <c r="H1587" t="str">
        <f>IFERROR(VLOOKUP(D1587,'Team Data'!C:AB,7,FALSE),"")</f>
        <v/>
      </c>
      <c r="I1587" t="str">
        <f>IFERROR(VLOOKUP(D1587,'Team Data'!C:AB,14,FALSE),"")</f>
        <v/>
      </c>
      <c r="J1587" t="str">
        <f>IFERROR(VLOOKUP(D1587,'Team Data'!C:AB,8,FALSE),"")</f>
        <v/>
      </c>
      <c r="K1587" t="str">
        <f>IFERROR(VLOOKUP(D1587,'Team Data'!C:AB,9,FALSE),"")</f>
        <v/>
      </c>
      <c r="L1587" t="str">
        <f>IFERROR(VLOOKUP(D1587,'Team Data'!C:AB,10,FALSE),"")</f>
        <v/>
      </c>
      <c r="M1587" t="str">
        <f t="shared" si="50"/>
        <v/>
      </c>
      <c r="N1587" t="str">
        <f>IFERROR(VLOOKUP(D1587,'Team Data'!C:AB,23,FALSE),"")</f>
        <v/>
      </c>
      <c r="O1587" t="str">
        <f>IFERROR(VLOOKUP(D1587,'Team Data'!C:AB,22,FALSE),"")</f>
        <v/>
      </c>
      <c r="P1587" t="str">
        <f t="shared" si="51"/>
        <v/>
      </c>
      <c r="Q1587" t="str">
        <f>IFERROR(VLOOKUP(D1587,'Team Data'!C:AB,15,FALSE),"")</f>
        <v/>
      </c>
      <c r="R1587" t="str">
        <f>IFERROR(VLOOKUP('OB Format'!D1587,'Team Data'!C:AB,24,FALSE),"")</f>
        <v/>
      </c>
      <c r="S1587" t="str">
        <f>IFERROR(VLOOKUP('OB Format'!D1587,'Team Data'!C:AC,25,FALSE),"")</f>
        <v/>
      </c>
    </row>
    <row r="1588" spans="5:19" x14ac:dyDescent="0.25">
      <c r="E1588" t="str">
        <f>IFERROR(VLOOKUP(D1588,'Team Data'!C:AB,4,FALSE),"")</f>
        <v/>
      </c>
      <c r="F1588" t="str">
        <f>IFERROR(VLOOKUP(D1588,'Team Data'!C:AB,5,FALSE),"")</f>
        <v/>
      </c>
      <c r="G1588" t="str">
        <f>IFERROR(VLOOKUP('OB Format'!D1588,'Team Data'!C:AB,17,FALSE),"")</f>
        <v/>
      </c>
      <c r="H1588" t="str">
        <f>IFERROR(VLOOKUP(D1588,'Team Data'!C:AB,7,FALSE),"")</f>
        <v/>
      </c>
      <c r="I1588" t="str">
        <f>IFERROR(VLOOKUP(D1588,'Team Data'!C:AB,14,FALSE),"")</f>
        <v/>
      </c>
      <c r="J1588" t="str">
        <f>IFERROR(VLOOKUP(D1588,'Team Data'!C:AB,8,FALSE),"")</f>
        <v/>
      </c>
      <c r="K1588" t="str">
        <f>IFERROR(VLOOKUP(D1588,'Team Data'!C:AB,9,FALSE),"")</f>
        <v/>
      </c>
      <c r="L1588" t="str">
        <f>IFERROR(VLOOKUP(D1588,'Team Data'!C:AB,10,FALSE),"")</f>
        <v/>
      </c>
      <c r="M1588" t="str">
        <f t="shared" si="50"/>
        <v/>
      </c>
      <c r="N1588" t="str">
        <f>IFERROR(VLOOKUP(D1588,'Team Data'!C:AB,23,FALSE),"")</f>
        <v/>
      </c>
      <c r="O1588" t="str">
        <f>IFERROR(VLOOKUP(D1588,'Team Data'!C:AB,22,FALSE),"")</f>
        <v/>
      </c>
      <c r="P1588" t="str">
        <f t="shared" si="51"/>
        <v/>
      </c>
      <c r="Q1588" t="str">
        <f>IFERROR(VLOOKUP(D1588,'Team Data'!C:AB,15,FALSE),"")</f>
        <v/>
      </c>
      <c r="R1588" t="str">
        <f>IFERROR(VLOOKUP('OB Format'!D1588,'Team Data'!C:AB,24,FALSE),"")</f>
        <v/>
      </c>
      <c r="S1588" t="str">
        <f>IFERROR(VLOOKUP('OB Format'!D1588,'Team Data'!C:AC,25,FALSE),"")</f>
        <v/>
      </c>
    </row>
    <row r="1589" spans="5:19" x14ac:dyDescent="0.25">
      <c r="E1589" t="str">
        <f>IFERROR(VLOOKUP(D1589,'Team Data'!C:AB,4,FALSE),"")</f>
        <v/>
      </c>
      <c r="F1589" t="str">
        <f>IFERROR(VLOOKUP(D1589,'Team Data'!C:AB,5,FALSE),"")</f>
        <v/>
      </c>
      <c r="G1589" t="str">
        <f>IFERROR(VLOOKUP('OB Format'!D1589,'Team Data'!C:AB,17,FALSE),"")</f>
        <v/>
      </c>
      <c r="H1589" t="str">
        <f>IFERROR(VLOOKUP(D1589,'Team Data'!C:AB,7,FALSE),"")</f>
        <v/>
      </c>
      <c r="I1589" t="str">
        <f>IFERROR(VLOOKUP(D1589,'Team Data'!C:AB,14,FALSE),"")</f>
        <v/>
      </c>
      <c r="J1589" t="str">
        <f>IFERROR(VLOOKUP(D1589,'Team Data'!C:AB,8,FALSE),"")</f>
        <v/>
      </c>
      <c r="K1589" t="str">
        <f>IFERROR(VLOOKUP(D1589,'Team Data'!C:AB,9,FALSE),"")</f>
        <v/>
      </c>
      <c r="L1589" t="str">
        <f>IFERROR(VLOOKUP(D1589,'Team Data'!C:AB,10,FALSE),"")</f>
        <v/>
      </c>
      <c r="M1589" t="str">
        <f t="shared" si="50"/>
        <v/>
      </c>
      <c r="N1589" t="str">
        <f>IFERROR(VLOOKUP(D1589,'Team Data'!C:AB,23,FALSE),"")</f>
        <v/>
      </c>
      <c r="O1589" t="str">
        <f>IFERROR(VLOOKUP(D1589,'Team Data'!C:AB,22,FALSE),"")</f>
        <v/>
      </c>
      <c r="P1589" t="str">
        <f t="shared" si="51"/>
        <v/>
      </c>
      <c r="Q1589" t="str">
        <f>IFERROR(VLOOKUP(D1589,'Team Data'!C:AB,15,FALSE),"")</f>
        <v/>
      </c>
      <c r="R1589" t="str">
        <f>IFERROR(VLOOKUP('OB Format'!D1589,'Team Data'!C:AB,24,FALSE),"")</f>
        <v/>
      </c>
      <c r="S1589" t="str">
        <f>IFERROR(VLOOKUP('OB Format'!D1589,'Team Data'!C:AC,25,FALSE),"")</f>
        <v/>
      </c>
    </row>
    <row r="1590" spans="5:19" x14ac:dyDescent="0.25">
      <c r="E1590" t="str">
        <f>IFERROR(VLOOKUP(D1590,'Team Data'!C:AB,4,FALSE),"")</f>
        <v/>
      </c>
      <c r="F1590" t="str">
        <f>IFERROR(VLOOKUP(D1590,'Team Data'!C:AB,5,FALSE),"")</f>
        <v/>
      </c>
      <c r="G1590" t="str">
        <f>IFERROR(VLOOKUP('OB Format'!D1590,'Team Data'!C:AB,17,FALSE),"")</f>
        <v/>
      </c>
      <c r="H1590" t="str">
        <f>IFERROR(VLOOKUP(D1590,'Team Data'!C:AB,7,FALSE),"")</f>
        <v/>
      </c>
      <c r="I1590" t="str">
        <f>IFERROR(VLOOKUP(D1590,'Team Data'!C:AB,14,FALSE),"")</f>
        <v/>
      </c>
      <c r="J1590" t="str">
        <f>IFERROR(VLOOKUP(D1590,'Team Data'!C:AB,8,FALSE),"")</f>
        <v/>
      </c>
      <c r="K1590" t="str">
        <f>IFERROR(VLOOKUP(D1590,'Team Data'!C:AB,9,FALSE),"")</f>
        <v/>
      </c>
      <c r="L1590" t="str">
        <f>IFERROR(VLOOKUP(D1590,'Team Data'!C:AB,10,FALSE),"")</f>
        <v/>
      </c>
      <c r="M1590" t="str">
        <f t="shared" si="50"/>
        <v/>
      </c>
      <c r="N1590" t="str">
        <f>IFERROR(VLOOKUP(D1590,'Team Data'!C:AB,23,FALSE),"")</f>
        <v/>
      </c>
      <c r="O1590" t="str">
        <f>IFERROR(VLOOKUP(D1590,'Team Data'!C:AB,22,FALSE),"")</f>
        <v/>
      </c>
      <c r="P1590" t="str">
        <f t="shared" si="51"/>
        <v/>
      </c>
      <c r="Q1590" t="str">
        <f>IFERROR(VLOOKUP(D1590,'Team Data'!C:AB,15,FALSE),"")</f>
        <v/>
      </c>
      <c r="R1590" t="str">
        <f>IFERROR(VLOOKUP('OB Format'!D1590,'Team Data'!C:AB,24,FALSE),"")</f>
        <v/>
      </c>
      <c r="S1590" t="str">
        <f>IFERROR(VLOOKUP('OB Format'!D1590,'Team Data'!C:AC,25,FALSE),"")</f>
        <v/>
      </c>
    </row>
    <row r="1591" spans="5:19" x14ac:dyDescent="0.25">
      <c r="E1591" t="str">
        <f>IFERROR(VLOOKUP(D1591,'Team Data'!C:AB,4,FALSE),"")</f>
        <v/>
      </c>
      <c r="F1591" t="str">
        <f>IFERROR(VLOOKUP(D1591,'Team Data'!C:AB,5,FALSE),"")</f>
        <v/>
      </c>
      <c r="G1591" t="str">
        <f>IFERROR(VLOOKUP('OB Format'!D1591,'Team Data'!C:AB,17,FALSE),"")</f>
        <v/>
      </c>
      <c r="H1591" t="str">
        <f>IFERROR(VLOOKUP(D1591,'Team Data'!C:AB,7,FALSE),"")</f>
        <v/>
      </c>
      <c r="I1591" t="str">
        <f>IFERROR(VLOOKUP(D1591,'Team Data'!C:AB,14,FALSE),"")</f>
        <v/>
      </c>
      <c r="J1591" t="str">
        <f>IFERROR(VLOOKUP(D1591,'Team Data'!C:AB,8,FALSE),"")</f>
        <v/>
      </c>
      <c r="K1591" t="str">
        <f>IFERROR(VLOOKUP(D1591,'Team Data'!C:AB,9,FALSE),"")</f>
        <v/>
      </c>
      <c r="L1591" t="str">
        <f>IFERROR(VLOOKUP(D1591,'Team Data'!C:AB,10,FALSE),"")</f>
        <v/>
      </c>
      <c r="M1591" t="str">
        <f t="shared" si="50"/>
        <v/>
      </c>
      <c r="N1591" t="str">
        <f>IFERROR(VLOOKUP(D1591,'Team Data'!C:AB,23,FALSE),"")</f>
        <v/>
      </c>
      <c r="O1591" t="str">
        <f>IFERROR(VLOOKUP(D1591,'Team Data'!C:AB,22,FALSE),"")</f>
        <v/>
      </c>
      <c r="P1591" t="str">
        <f t="shared" si="51"/>
        <v/>
      </c>
      <c r="Q1591" t="str">
        <f>IFERROR(VLOOKUP(D1591,'Team Data'!C:AB,15,FALSE),"")</f>
        <v/>
      </c>
      <c r="R1591" t="str">
        <f>IFERROR(VLOOKUP('OB Format'!D1591,'Team Data'!C:AB,24,FALSE),"")</f>
        <v/>
      </c>
      <c r="S1591" t="str">
        <f>IFERROR(VLOOKUP('OB Format'!D1591,'Team Data'!C:AC,25,FALSE),"")</f>
        <v/>
      </c>
    </row>
    <row r="1592" spans="5:19" x14ac:dyDescent="0.25">
      <c r="E1592" t="str">
        <f>IFERROR(VLOOKUP(D1592,'Team Data'!C:AB,4,FALSE),"")</f>
        <v/>
      </c>
      <c r="F1592" t="str">
        <f>IFERROR(VLOOKUP(D1592,'Team Data'!C:AB,5,FALSE),"")</f>
        <v/>
      </c>
      <c r="G1592" t="str">
        <f>IFERROR(VLOOKUP('OB Format'!D1592,'Team Data'!C:AB,17,FALSE),"")</f>
        <v/>
      </c>
      <c r="H1592" t="str">
        <f>IFERROR(VLOOKUP(D1592,'Team Data'!C:AB,7,FALSE),"")</f>
        <v/>
      </c>
      <c r="I1592" t="str">
        <f>IFERROR(VLOOKUP(D1592,'Team Data'!C:AB,14,FALSE),"")</f>
        <v/>
      </c>
      <c r="J1592" t="str">
        <f>IFERROR(VLOOKUP(D1592,'Team Data'!C:AB,8,FALSE),"")</f>
        <v/>
      </c>
      <c r="K1592" t="str">
        <f>IFERROR(VLOOKUP(D1592,'Team Data'!C:AB,9,FALSE),"")</f>
        <v/>
      </c>
      <c r="L1592" t="str">
        <f>IFERROR(VLOOKUP(D1592,'Team Data'!C:AB,10,FALSE),"")</f>
        <v/>
      </c>
      <c r="M1592" t="str">
        <f t="shared" si="50"/>
        <v/>
      </c>
      <c r="N1592" t="str">
        <f>IFERROR(VLOOKUP(D1592,'Team Data'!C:AB,23,FALSE),"")</f>
        <v/>
      </c>
      <c r="O1592" t="str">
        <f>IFERROR(VLOOKUP(D1592,'Team Data'!C:AB,22,FALSE),"")</f>
        <v/>
      </c>
      <c r="P1592" t="str">
        <f t="shared" si="51"/>
        <v/>
      </c>
      <c r="Q1592" t="str">
        <f>IFERROR(VLOOKUP(D1592,'Team Data'!C:AB,15,FALSE),"")</f>
        <v/>
      </c>
      <c r="R1592" t="str">
        <f>IFERROR(VLOOKUP('OB Format'!D1592,'Team Data'!C:AB,24,FALSE),"")</f>
        <v/>
      </c>
      <c r="S1592" t="str">
        <f>IFERROR(VLOOKUP('OB Format'!D1592,'Team Data'!C:AC,25,FALSE),"")</f>
        <v/>
      </c>
    </row>
    <row r="1593" spans="5:19" x14ac:dyDescent="0.25">
      <c r="E1593" t="str">
        <f>IFERROR(VLOOKUP(D1593,'Team Data'!C:AB,4,FALSE),"")</f>
        <v/>
      </c>
      <c r="F1593" t="str">
        <f>IFERROR(VLOOKUP(D1593,'Team Data'!C:AB,5,FALSE),"")</f>
        <v/>
      </c>
      <c r="G1593" t="str">
        <f>IFERROR(VLOOKUP('OB Format'!D1593,'Team Data'!C:AB,17,FALSE),"")</f>
        <v/>
      </c>
      <c r="H1593" t="str">
        <f>IFERROR(VLOOKUP(D1593,'Team Data'!C:AB,7,FALSE),"")</f>
        <v/>
      </c>
      <c r="I1593" t="str">
        <f>IFERROR(VLOOKUP(D1593,'Team Data'!C:AB,14,FALSE),"")</f>
        <v/>
      </c>
      <c r="J1593" t="str">
        <f>IFERROR(VLOOKUP(D1593,'Team Data'!C:AB,8,FALSE),"")</f>
        <v/>
      </c>
      <c r="K1593" t="str">
        <f>IFERROR(VLOOKUP(D1593,'Team Data'!C:AB,9,FALSE),"")</f>
        <v/>
      </c>
      <c r="L1593" t="str">
        <f>IFERROR(VLOOKUP(D1593,'Team Data'!C:AB,10,FALSE),"")</f>
        <v/>
      </c>
      <c r="M1593" t="str">
        <f t="shared" si="50"/>
        <v/>
      </c>
      <c r="N1593" t="str">
        <f>IFERROR(VLOOKUP(D1593,'Team Data'!C:AB,23,FALSE),"")</f>
        <v/>
      </c>
      <c r="O1593" t="str">
        <f>IFERROR(VLOOKUP(D1593,'Team Data'!C:AB,22,FALSE),"")</f>
        <v/>
      </c>
      <c r="P1593" t="str">
        <f t="shared" si="51"/>
        <v/>
      </c>
      <c r="Q1593" t="str">
        <f>IFERROR(VLOOKUP(D1593,'Team Data'!C:AB,15,FALSE),"")</f>
        <v/>
      </c>
      <c r="R1593" t="str">
        <f>IFERROR(VLOOKUP('OB Format'!D1593,'Team Data'!C:AB,24,FALSE),"")</f>
        <v/>
      </c>
      <c r="S1593" t="str">
        <f>IFERROR(VLOOKUP('OB Format'!D1593,'Team Data'!C:AC,25,FALSE),"")</f>
        <v/>
      </c>
    </row>
    <row r="1594" spans="5:19" x14ac:dyDescent="0.25">
      <c r="E1594" t="str">
        <f>IFERROR(VLOOKUP(D1594,'Team Data'!C:AB,4,FALSE),"")</f>
        <v/>
      </c>
      <c r="F1594" t="str">
        <f>IFERROR(VLOOKUP(D1594,'Team Data'!C:AB,5,FALSE),"")</f>
        <v/>
      </c>
      <c r="G1594" t="str">
        <f>IFERROR(VLOOKUP('OB Format'!D1594,'Team Data'!C:AB,17,FALSE),"")</f>
        <v/>
      </c>
      <c r="H1594" t="str">
        <f>IFERROR(VLOOKUP(D1594,'Team Data'!C:AB,7,FALSE),"")</f>
        <v/>
      </c>
      <c r="I1594" t="str">
        <f>IFERROR(VLOOKUP(D1594,'Team Data'!C:AB,14,FALSE),"")</f>
        <v/>
      </c>
      <c r="J1594" t="str">
        <f>IFERROR(VLOOKUP(D1594,'Team Data'!C:AB,8,FALSE),"")</f>
        <v/>
      </c>
      <c r="K1594" t="str">
        <f>IFERROR(VLOOKUP(D1594,'Team Data'!C:AB,9,FALSE),"")</f>
        <v/>
      </c>
      <c r="L1594" t="str">
        <f>IFERROR(VLOOKUP(D1594,'Team Data'!C:AB,10,FALSE),"")</f>
        <v/>
      </c>
      <c r="M1594" t="str">
        <f t="shared" si="50"/>
        <v/>
      </c>
      <c r="N1594" t="str">
        <f>IFERROR(VLOOKUP(D1594,'Team Data'!C:AB,23,FALSE),"")</f>
        <v/>
      </c>
      <c r="O1594" t="str">
        <f>IFERROR(VLOOKUP(D1594,'Team Data'!C:AB,22,FALSE),"")</f>
        <v/>
      </c>
      <c r="P1594" t="str">
        <f t="shared" si="51"/>
        <v/>
      </c>
      <c r="Q1594" t="str">
        <f>IFERROR(VLOOKUP(D1594,'Team Data'!C:AB,15,FALSE),"")</f>
        <v/>
      </c>
      <c r="R1594" t="str">
        <f>IFERROR(VLOOKUP('OB Format'!D1594,'Team Data'!C:AB,24,FALSE),"")</f>
        <v/>
      </c>
      <c r="S1594" t="str">
        <f>IFERROR(VLOOKUP('OB Format'!D1594,'Team Data'!C:AC,25,FALSE),"")</f>
        <v/>
      </c>
    </row>
    <row r="1595" spans="5:19" x14ac:dyDescent="0.25">
      <c r="E1595" t="str">
        <f>IFERROR(VLOOKUP(D1595,'Team Data'!C:AB,4,FALSE),"")</f>
        <v/>
      </c>
      <c r="F1595" t="str">
        <f>IFERROR(VLOOKUP(D1595,'Team Data'!C:AB,5,FALSE),"")</f>
        <v/>
      </c>
      <c r="G1595" t="str">
        <f>IFERROR(VLOOKUP('OB Format'!D1595,'Team Data'!C:AB,17,FALSE),"")</f>
        <v/>
      </c>
      <c r="H1595" t="str">
        <f>IFERROR(VLOOKUP(D1595,'Team Data'!C:AB,7,FALSE),"")</f>
        <v/>
      </c>
      <c r="I1595" t="str">
        <f>IFERROR(VLOOKUP(D1595,'Team Data'!C:AB,14,FALSE),"")</f>
        <v/>
      </c>
      <c r="J1595" t="str">
        <f>IFERROR(VLOOKUP(D1595,'Team Data'!C:AB,8,FALSE),"")</f>
        <v/>
      </c>
      <c r="K1595" t="str">
        <f>IFERROR(VLOOKUP(D1595,'Team Data'!C:AB,9,FALSE),"")</f>
        <v/>
      </c>
      <c r="L1595" t="str">
        <f>IFERROR(VLOOKUP(D1595,'Team Data'!C:AB,10,FALSE),"")</f>
        <v/>
      </c>
      <c r="M1595" t="str">
        <f t="shared" si="50"/>
        <v/>
      </c>
      <c r="N1595" t="str">
        <f>IFERROR(VLOOKUP(D1595,'Team Data'!C:AB,23,FALSE),"")</f>
        <v/>
      </c>
      <c r="O1595" t="str">
        <f>IFERROR(VLOOKUP(D1595,'Team Data'!C:AB,22,FALSE),"")</f>
        <v/>
      </c>
      <c r="P1595" t="str">
        <f t="shared" si="51"/>
        <v/>
      </c>
      <c r="Q1595" t="str">
        <f>IFERROR(VLOOKUP(D1595,'Team Data'!C:AB,15,FALSE),"")</f>
        <v/>
      </c>
      <c r="R1595" t="str">
        <f>IFERROR(VLOOKUP('OB Format'!D1595,'Team Data'!C:AB,24,FALSE),"")</f>
        <v/>
      </c>
      <c r="S1595" t="str">
        <f>IFERROR(VLOOKUP('OB Format'!D1595,'Team Data'!C:AC,25,FALSE),"")</f>
        <v/>
      </c>
    </row>
    <row r="1596" spans="5:19" x14ac:dyDescent="0.25">
      <c r="E1596" t="str">
        <f>IFERROR(VLOOKUP(D1596,'Team Data'!C:AB,4,FALSE),"")</f>
        <v/>
      </c>
      <c r="F1596" t="str">
        <f>IFERROR(VLOOKUP(D1596,'Team Data'!C:AB,5,FALSE),"")</f>
        <v/>
      </c>
      <c r="G1596" t="str">
        <f>IFERROR(VLOOKUP('OB Format'!D1596,'Team Data'!C:AB,17,FALSE),"")</f>
        <v/>
      </c>
      <c r="H1596" t="str">
        <f>IFERROR(VLOOKUP(D1596,'Team Data'!C:AB,7,FALSE),"")</f>
        <v/>
      </c>
      <c r="I1596" t="str">
        <f>IFERROR(VLOOKUP(D1596,'Team Data'!C:AB,14,FALSE),"")</f>
        <v/>
      </c>
      <c r="J1596" t="str">
        <f>IFERROR(VLOOKUP(D1596,'Team Data'!C:AB,8,FALSE),"")</f>
        <v/>
      </c>
      <c r="K1596" t="str">
        <f>IFERROR(VLOOKUP(D1596,'Team Data'!C:AB,9,FALSE),"")</f>
        <v/>
      </c>
      <c r="L1596" t="str">
        <f>IFERROR(VLOOKUP(D1596,'Team Data'!C:AB,10,FALSE),"")</f>
        <v/>
      </c>
      <c r="M1596" t="str">
        <f t="shared" si="50"/>
        <v/>
      </c>
      <c r="N1596" t="str">
        <f>IFERROR(VLOOKUP(D1596,'Team Data'!C:AB,23,FALSE),"")</f>
        <v/>
      </c>
      <c r="O1596" t="str">
        <f>IFERROR(VLOOKUP(D1596,'Team Data'!C:AB,22,FALSE),"")</f>
        <v/>
      </c>
      <c r="P1596" t="str">
        <f t="shared" si="51"/>
        <v/>
      </c>
      <c r="Q1596" t="str">
        <f>IFERROR(VLOOKUP(D1596,'Team Data'!C:AB,15,FALSE),"")</f>
        <v/>
      </c>
      <c r="R1596" t="str">
        <f>IFERROR(VLOOKUP('OB Format'!D1596,'Team Data'!C:AB,24,FALSE),"")</f>
        <v/>
      </c>
      <c r="S1596" t="str">
        <f>IFERROR(VLOOKUP('OB Format'!D1596,'Team Data'!C:AC,25,FALSE),"")</f>
        <v/>
      </c>
    </row>
    <row r="1597" spans="5:19" x14ac:dyDescent="0.25">
      <c r="E1597" t="str">
        <f>IFERROR(VLOOKUP(D1597,'Team Data'!C:AB,4,FALSE),"")</f>
        <v/>
      </c>
      <c r="F1597" t="str">
        <f>IFERROR(VLOOKUP(D1597,'Team Data'!C:AB,5,FALSE),"")</f>
        <v/>
      </c>
      <c r="G1597" t="str">
        <f>IFERROR(VLOOKUP('OB Format'!D1597,'Team Data'!C:AB,17,FALSE),"")</f>
        <v/>
      </c>
      <c r="H1597" t="str">
        <f>IFERROR(VLOOKUP(D1597,'Team Data'!C:AB,7,FALSE),"")</f>
        <v/>
      </c>
      <c r="I1597" t="str">
        <f>IFERROR(VLOOKUP(D1597,'Team Data'!C:AB,14,FALSE),"")</f>
        <v/>
      </c>
      <c r="J1597" t="str">
        <f>IFERROR(VLOOKUP(D1597,'Team Data'!C:AB,8,FALSE),"")</f>
        <v/>
      </c>
      <c r="K1597" t="str">
        <f>IFERROR(VLOOKUP(D1597,'Team Data'!C:AB,9,FALSE),"")</f>
        <v/>
      </c>
      <c r="L1597" t="str">
        <f>IFERROR(VLOOKUP(D1597,'Team Data'!C:AB,10,FALSE),"")</f>
        <v/>
      </c>
      <c r="M1597" t="str">
        <f t="shared" si="50"/>
        <v/>
      </c>
      <c r="N1597" t="str">
        <f>IFERROR(VLOOKUP(D1597,'Team Data'!C:AB,23,FALSE),"")</f>
        <v/>
      </c>
      <c r="O1597" t="str">
        <f>IFERROR(VLOOKUP(D1597,'Team Data'!C:AB,22,FALSE),"")</f>
        <v/>
      </c>
      <c r="P1597" t="str">
        <f t="shared" si="51"/>
        <v/>
      </c>
      <c r="Q1597" t="str">
        <f>IFERROR(VLOOKUP(D1597,'Team Data'!C:AB,15,FALSE),"")</f>
        <v/>
      </c>
      <c r="R1597" t="str">
        <f>IFERROR(VLOOKUP('OB Format'!D1597,'Team Data'!C:AB,24,FALSE),"")</f>
        <v/>
      </c>
      <c r="S1597" t="str">
        <f>IFERROR(VLOOKUP('OB Format'!D1597,'Team Data'!C:AC,25,FALSE),"")</f>
        <v/>
      </c>
    </row>
    <row r="1598" spans="5:19" x14ac:dyDescent="0.25">
      <c r="E1598" t="str">
        <f>IFERROR(VLOOKUP(D1598,'Team Data'!C:AB,4,FALSE),"")</f>
        <v/>
      </c>
      <c r="F1598" t="str">
        <f>IFERROR(VLOOKUP(D1598,'Team Data'!C:AB,5,FALSE),"")</f>
        <v/>
      </c>
      <c r="G1598" t="str">
        <f>IFERROR(VLOOKUP('OB Format'!D1598,'Team Data'!C:AB,17,FALSE),"")</f>
        <v/>
      </c>
      <c r="H1598" t="str">
        <f>IFERROR(VLOOKUP(D1598,'Team Data'!C:AB,7,FALSE),"")</f>
        <v/>
      </c>
      <c r="I1598" t="str">
        <f>IFERROR(VLOOKUP(D1598,'Team Data'!C:AB,14,FALSE),"")</f>
        <v/>
      </c>
      <c r="J1598" t="str">
        <f>IFERROR(VLOOKUP(D1598,'Team Data'!C:AB,8,FALSE),"")</f>
        <v/>
      </c>
      <c r="K1598" t="str">
        <f>IFERROR(VLOOKUP(D1598,'Team Data'!C:AB,9,FALSE),"")</f>
        <v/>
      </c>
      <c r="L1598" t="str">
        <f>IFERROR(VLOOKUP(D1598,'Team Data'!C:AB,10,FALSE),"")</f>
        <v/>
      </c>
      <c r="M1598" t="str">
        <f t="shared" si="50"/>
        <v/>
      </c>
      <c r="N1598" t="str">
        <f>IFERROR(VLOOKUP(D1598,'Team Data'!C:AB,23,FALSE),"")</f>
        <v/>
      </c>
      <c r="O1598" t="str">
        <f>IFERROR(VLOOKUP(D1598,'Team Data'!C:AB,22,FALSE),"")</f>
        <v/>
      </c>
      <c r="P1598" t="str">
        <f t="shared" si="51"/>
        <v/>
      </c>
      <c r="Q1598" t="str">
        <f>IFERROR(VLOOKUP(D1598,'Team Data'!C:AB,15,FALSE),"")</f>
        <v/>
      </c>
      <c r="R1598" t="str">
        <f>IFERROR(VLOOKUP('OB Format'!D1598,'Team Data'!C:AB,24,FALSE),"")</f>
        <v/>
      </c>
      <c r="S1598" t="str">
        <f>IFERROR(VLOOKUP('OB Format'!D1598,'Team Data'!C:AC,25,FALSE),"")</f>
        <v/>
      </c>
    </row>
    <row r="1599" spans="5:19" x14ac:dyDescent="0.25">
      <c r="E1599" t="str">
        <f>IFERROR(VLOOKUP(D1599,'Team Data'!C:AB,4,FALSE),"")</f>
        <v/>
      </c>
      <c r="F1599" t="str">
        <f>IFERROR(VLOOKUP(D1599,'Team Data'!C:AB,5,FALSE),"")</f>
        <v/>
      </c>
      <c r="G1599" t="str">
        <f>IFERROR(VLOOKUP('OB Format'!D1599,'Team Data'!C:AB,17,FALSE),"")</f>
        <v/>
      </c>
      <c r="H1599" t="str">
        <f>IFERROR(VLOOKUP(D1599,'Team Data'!C:AB,7,FALSE),"")</f>
        <v/>
      </c>
      <c r="I1599" t="str">
        <f>IFERROR(VLOOKUP(D1599,'Team Data'!C:AB,14,FALSE),"")</f>
        <v/>
      </c>
      <c r="J1599" t="str">
        <f>IFERROR(VLOOKUP(D1599,'Team Data'!C:AB,8,FALSE),"")</f>
        <v/>
      </c>
      <c r="K1599" t="str">
        <f>IFERROR(VLOOKUP(D1599,'Team Data'!C:AB,9,FALSE),"")</f>
        <v/>
      </c>
      <c r="L1599" t="str">
        <f>IFERROR(VLOOKUP(D1599,'Team Data'!C:AB,10,FALSE),"")</f>
        <v/>
      </c>
      <c r="M1599" t="str">
        <f t="shared" si="50"/>
        <v/>
      </c>
      <c r="N1599" t="str">
        <f>IFERROR(VLOOKUP(D1599,'Team Data'!C:AB,23,FALSE),"")</f>
        <v/>
      </c>
      <c r="O1599" t="str">
        <f>IFERROR(VLOOKUP(D1599,'Team Data'!C:AB,22,FALSE),"")</f>
        <v/>
      </c>
      <c r="P1599" t="str">
        <f t="shared" si="51"/>
        <v/>
      </c>
      <c r="Q1599" t="str">
        <f>IFERROR(VLOOKUP(D1599,'Team Data'!C:AB,15,FALSE),"")</f>
        <v/>
      </c>
      <c r="R1599" t="str">
        <f>IFERROR(VLOOKUP('OB Format'!D1599,'Team Data'!C:AB,24,FALSE),"")</f>
        <v/>
      </c>
      <c r="S1599" t="str">
        <f>IFERROR(VLOOKUP('OB Format'!D1599,'Team Data'!C:AC,25,FALSE),"")</f>
        <v/>
      </c>
    </row>
    <row r="1600" spans="5:19" x14ac:dyDescent="0.25">
      <c r="E1600" t="str">
        <f>IFERROR(VLOOKUP(D1600,'Team Data'!C:AB,4,FALSE),"")</f>
        <v/>
      </c>
      <c r="F1600" t="str">
        <f>IFERROR(VLOOKUP(D1600,'Team Data'!C:AB,5,FALSE),"")</f>
        <v/>
      </c>
      <c r="G1600" t="str">
        <f>IFERROR(VLOOKUP('OB Format'!D1600,'Team Data'!C:AB,17,FALSE),"")</f>
        <v/>
      </c>
      <c r="H1600" t="str">
        <f>IFERROR(VLOOKUP(D1600,'Team Data'!C:AB,7,FALSE),"")</f>
        <v/>
      </c>
      <c r="I1600" t="str">
        <f>IFERROR(VLOOKUP(D1600,'Team Data'!C:AB,14,FALSE),"")</f>
        <v/>
      </c>
      <c r="J1600" t="str">
        <f>IFERROR(VLOOKUP(D1600,'Team Data'!C:AB,8,FALSE),"")</f>
        <v/>
      </c>
      <c r="K1600" t="str">
        <f>IFERROR(VLOOKUP(D1600,'Team Data'!C:AB,9,FALSE),"")</f>
        <v/>
      </c>
      <c r="L1600" t="str">
        <f>IFERROR(VLOOKUP(D1600,'Team Data'!C:AB,10,FALSE),"")</f>
        <v/>
      </c>
      <c r="M1600" t="str">
        <f t="shared" si="50"/>
        <v/>
      </c>
      <c r="N1600" t="str">
        <f>IFERROR(VLOOKUP(D1600,'Team Data'!C:AB,23,FALSE),"")</f>
        <v/>
      </c>
      <c r="O1600" t="str">
        <f>IFERROR(VLOOKUP(D1600,'Team Data'!C:AB,22,FALSE),"")</f>
        <v/>
      </c>
      <c r="P1600" t="str">
        <f t="shared" si="51"/>
        <v/>
      </c>
      <c r="Q1600" t="str">
        <f>IFERROR(VLOOKUP(D1600,'Team Data'!C:AB,15,FALSE),"")</f>
        <v/>
      </c>
      <c r="R1600" t="str">
        <f>IFERROR(VLOOKUP('OB Format'!D1600,'Team Data'!C:AB,24,FALSE),"")</f>
        <v/>
      </c>
      <c r="S1600" t="str">
        <f>IFERROR(VLOOKUP('OB Format'!D1600,'Team Data'!C:AC,25,FALSE),"")</f>
        <v/>
      </c>
    </row>
    <row r="1601" spans="5:19" x14ac:dyDescent="0.25">
      <c r="E1601" t="str">
        <f>IFERROR(VLOOKUP(D1601,'Team Data'!C:AB,4,FALSE),"")</f>
        <v/>
      </c>
      <c r="F1601" t="str">
        <f>IFERROR(VLOOKUP(D1601,'Team Data'!C:AB,5,FALSE),"")</f>
        <v/>
      </c>
      <c r="G1601" t="str">
        <f>IFERROR(VLOOKUP('OB Format'!D1601,'Team Data'!C:AB,17,FALSE),"")</f>
        <v/>
      </c>
      <c r="H1601" t="str">
        <f>IFERROR(VLOOKUP(D1601,'Team Data'!C:AB,7,FALSE),"")</f>
        <v/>
      </c>
      <c r="I1601" t="str">
        <f>IFERROR(VLOOKUP(D1601,'Team Data'!C:AB,14,FALSE),"")</f>
        <v/>
      </c>
      <c r="J1601" t="str">
        <f>IFERROR(VLOOKUP(D1601,'Team Data'!C:AB,8,FALSE),"")</f>
        <v/>
      </c>
      <c r="K1601" t="str">
        <f>IFERROR(VLOOKUP(D1601,'Team Data'!C:AB,9,FALSE),"")</f>
        <v/>
      </c>
      <c r="L1601" t="str">
        <f>IFERROR(VLOOKUP(D1601,'Team Data'!C:AB,10,FALSE),"")</f>
        <v/>
      </c>
      <c r="M1601" t="str">
        <f t="shared" si="50"/>
        <v/>
      </c>
      <c r="N1601" t="str">
        <f>IFERROR(VLOOKUP(D1601,'Team Data'!C:AB,23,FALSE),"")</f>
        <v/>
      </c>
      <c r="O1601" t="str">
        <f>IFERROR(VLOOKUP(D1601,'Team Data'!C:AB,22,FALSE),"")</f>
        <v/>
      </c>
      <c r="P1601" t="str">
        <f t="shared" si="51"/>
        <v/>
      </c>
      <c r="Q1601" t="str">
        <f>IFERROR(VLOOKUP(D1601,'Team Data'!C:AB,15,FALSE),"")</f>
        <v/>
      </c>
      <c r="R1601" t="str">
        <f>IFERROR(VLOOKUP('OB Format'!D1601,'Team Data'!C:AB,24,FALSE),"")</f>
        <v/>
      </c>
      <c r="S1601" t="str">
        <f>IFERROR(VLOOKUP('OB Format'!D1601,'Team Data'!C:AC,25,FALSE),"")</f>
        <v/>
      </c>
    </row>
    <row r="1602" spans="5:19" x14ac:dyDescent="0.25">
      <c r="E1602" t="str">
        <f>IFERROR(VLOOKUP(D1602,'Team Data'!C:AB,4,FALSE),"")</f>
        <v/>
      </c>
      <c r="F1602" t="str">
        <f>IFERROR(VLOOKUP(D1602,'Team Data'!C:AB,5,FALSE),"")</f>
        <v/>
      </c>
      <c r="G1602" t="str">
        <f>IFERROR(VLOOKUP('OB Format'!D1602,'Team Data'!C:AB,17,FALSE),"")</f>
        <v/>
      </c>
      <c r="H1602" t="str">
        <f>IFERROR(VLOOKUP(D1602,'Team Data'!C:AB,7,FALSE),"")</f>
        <v/>
      </c>
      <c r="I1602" t="str">
        <f>IFERROR(VLOOKUP(D1602,'Team Data'!C:AB,14,FALSE),"")</f>
        <v/>
      </c>
      <c r="J1602" t="str">
        <f>IFERROR(VLOOKUP(D1602,'Team Data'!C:AB,8,FALSE),"")</f>
        <v/>
      </c>
      <c r="K1602" t="str">
        <f>IFERROR(VLOOKUP(D1602,'Team Data'!C:AB,9,FALSE),"")</f>
        <v/>
      </c>
      <c r="L1602" t="str">
        <f>IFERROR(VLOOKUP(D1602,'Team Data'!C:AB,10,FALSE),"")</f>
        <v/>
      </c>
      <c r="M1602" t="str">
        <f t="shared" si="50"/>
        <v/>
      </c>
      <c r="N1602" t="str">
        <f>IFERROR(VLOOKUP(D1602,'Team Data'!C:AB,23,FALSE),"")</f>
        <v/>
      </c>
      <c r="O1602" t="str">
        <f>IFERROR(VLOOKUP(D1602,'Team Data'!C:AB,22,FALSE),"")</f>
        <v/>
      </c>
      <c r="P1602" t="str">
        <f t="shared" si="51"/>
        <v/>
      </c>
      <c r="Q1602" t="str">
        <f>IFERROR(VLOOKUP(D1602,'Team Data'!C:AB,15,FALSE),"")</f>
        <v/>
      </c>
      <c r="R1602" t="str">
        <f>IFERROR(VLOOKUP('OB Format'!D1602,'Team Data'!C:AB,24,FALSE),"")</f>
        <v/>
      </c>
      <c r="S1602" t="str">
        <f>IFERROR(VLOOKUP('OB Format'!D1602,'Team Data'!C:AC,25,FALSE),"")</f>
        <v/>
      </c>
    </row>
    <row r="1603" spans="5:19" x14ac:dyDescent="0.25">
      <c r="E1603" t="str">
        <f>IFERROR(VLOOKUP(D1603,'Team Data'!C:AB,4,FALSE),"")</f>
        <v/>
      </c>
      <c r="F1603" t="str">
        <f>IFERROR(VLOOKUP(D1603,'Team Data'!C:AB,5,FALSE),"")</f>
        <v/>
      </c>
      <c r="G1603" t="str">
        <f>IFERROR(VLOOKUP('OB Format'!D1603,'Team Data'!C:AB,17,FALSE),"")</f>
        <v/>
      </c>
      <c r="H1603" t="str">
        <f>IFERROR(VLOOKUP(D1603,'Team Data'!C:AB,7,FALSE),"")</f>
        <v/>
      </c>
      <c r="I1603" t="str">
        <f>IFERROR(VLOOKUP(D1603,'Team Data'!C:AB,14,FALSE),"")</f>
        <v/>
      </c>
      <c r="J1603" t="str">
        <f>IFERROR(VLOOKUP(D1603,'Team Data'!C:AB,8,FALSE),"")</f>
        <v/>
      </c>
      <c r="K1603" t="str">
        <f>IFERROR(VLOOKUP(D1603,'Team Data'!C:AB,9,FALSE),"")</f>
        <v/>
      </c>
      <c r="L1603" t="str">
        <f>IFERROR(VLOOKUP(D1603,'Team Data'!C:AB,10,FALSE),"")</f>
        <v/>
      </c>
      <c r="M1603" t="str">
        <f t="shared" si="50"/>
        <v/>
      </c>
      <c r="N1603" t="str">
        <f>IFERROR(VLOOKUP(D1603,'Team Data'!C:AB,23,FALSE),"")</f>
        <v/>
      </c>
      <c r="O1603" t="str">
        <f>IFERROR(VLOOKUP(D1603,'Team Data'!C:AB,22,FALSE),"")</f>
        <v/>
      </c>
      <c r="P1603" t="str">
        <f t="shared" si="51"/>
        <v/>
      </c>
      <c r="Q1603" t="str">
        <f>IFERROR(VLOOKUP(D1603,'Team Data'!C:AB,15,FALSE),"")</f>
        <v/>
      </c>
      <c r="R1603" t="str">
        <f>IFERROR(VLOOKUP('OB Format'!D1603,'Team Data'!C:AB,24,FALSE),"")</f>
        <v/>
      </c>
      <c r="S1603" t="str">
        <f>IFERROR(VLOOKUP('OB Format'!D1603,'Team Data'!C:AC,25,FALSE),"")</f>
        <v/>
      </c>
    </row>
    <row r="1604" spans="5:19" x14ac:dyDescent="0.25">
      <c r="E1604" t="str">
        <f>IFERROR(VLOOKUP(D1604,'Team Data'!C:AB,4,FALSE),"")</f>
        <v/>
      </c>
      <c r="F1604" t="str">
        <f>IFERROR(VLOOKUP(D1604,'Team Data'!C:AB,5,FALSE),"")</f>
        <v/>
      </c>
      <c r="G1604" t="str">
        <f>IFERROR(VLOOKUP('OB Format'!D1604,'Team Data'!C:AB,17,FALSE),"")</f>
        <v/>
      </c>
      <c r="H1604" t="str">
        <f>IFERROR(VLOOKUP(D1604,'Team Data'!C:AB,7,FALSE),"")</f>
        <v/>
      </c>
      <c r="I1604" t="str">
        <f>IFERROR(VLOOKUP(D1604,'Team Data'!C:AB,14,FALSE),"")</f>
        <v/>
      </c>
      <c r="J1604" t="str">
        <f>IFERROR(VLOOKUP(D1604,'Team Data'!C:AB,8,FALSE),"")</f>
        <v/>
      </c>
      <c r="K1604" t="str">
        <f>IFERROR(VLOOKUP(D1604,'Team Data'!C:AB,9,FALSE),"")</f>
        <v/>
      </c>
      <c r="L1604" t="str">
        <f>IFERROR(VLOOKUP(D1604,'Team Data'!C:AB,10,FALSE),"")</f>
        <v/>
      </c>
      <c r="M1604" t="str">
        <f t="shared" si="50"/>
        <v/>
      </c>
      <c r="N1604" t="str">
        <f>IFERROR(VLOOKUP(D1604,'Team Data'!C:AB,23,FALSE),"")</f>
        <v/>
      </c>
      <c r="O1604" t="str">
        <f>IFERROR(VLOOKUP(D1604,'Team Data'!C:AB,22,FALSE),"")</f>
        <v/>
      </c>
      <c r="P1604" t="str">
        <f t="shared" si="51"/>
        <v/>
      </c>
      <c r="Q1604" t="str">
        <f>IFERROR(VLOOKUP(D1604,'Team Data'!C:AB,15,FALSE),"")</f>
        <v/>
      </c>
      <c r="R1604" t="str">
        <f>IFERROR(VLOOKUP('OB Format'!D1604,'Team Data'!C:AB,24,FALSE),"")</f>
        <v/>
      </c>
      <c r="S1604" t="str">
        <f>IFERROR(VLOOKUP('OB Format'!D1604,'Team Data'!C:AC,25,FALSE),"")</f>
        <v/>
      </c>
    </row>
    <row r="1605" spans="5:19" x14ac:dyDescent="0.25">
      <c r="E1605" t="str">
        <f>IFERROR(VLOOKUP(D1605,'Team Data'!C:AB,4,FALSE),"")</f>
        <v/>
      </c>
      <c r="F1605" t="str">
        <f>IFERROR(VLOOKUP(D1605,'Team Data'!C:AB,5,FALSE),"")</f>
        <v/>
      </c>
      <c r="G1605" t="str">
        <f>IFERROR(VLOOKUP('OB Format'!D1605,'Team Data'!C:AB,17,FALSE),"")</f>
        <v/>
      </c>
      <c r="H1605" t="str">
        <f>IFERROR(VLOOKUP(D1605,'Team Data'!C:AB,7,FALSE),"")</f>
        <v/>
      </c>
      <c r="I1605" t="str">
        <f>IFERROR(VLOOKUP(D1605,'Team Data'!C:AB,14,FALSE),"")</f>
        <v/>
      </c>
      <c r="J1605" t="str">
        <f>IFERROR(VLOOKUP(D1605,'Team Data'!C:AB,8,FALSE),"")</f>
        <v/>
      </c>
      <c r="K1605" t="str">
        <f>IFERROR(VLOOKUP(D1605,'Team Data'!C:AB,9,FALSE),"")</f>
        <v/>
      </c>
      <c r="L1605" t="str">
        <f>IFERROR(VLOOKUP(D1605,'Team Data'!C:AB,10,FALSE),"")</f>
        <v/>
      </c>
      <c r="M1605" t="str">
        <f t="shared" si="50"/>
        <v/>
      </c>
      <c r="N1605" t="str">
        <f>IFERROR(VLOOKUP(D1605,'Team Data'!C:AB,23,FALSE),"")</f>
        <v/>
      </c>
      <c r="O1605" t="str">
        <f>IFERROR(VLOOKUP(D1605,'Team Data'!C:AB,22,FALSE),"")</f>
        <v/>
      </c>
      <c r="P1605" t="str">
        <f t="shared" si="51"/>
        <v/>
      </c>
      <c r="Q1605" t="str">
        <f>IFERROR(VLOOKUP(D1605,'Team Data'!C:AB,15,FALSE),"")</f>
        <v/>
      </c>
      <c r="R1605" t="str">
        <f>IFERROR(VLOOKUP('OB Format'!D1605,'Team Data'!C:AB,24,FALSE),"")</f>
        <v/>
      </c>
      <c r="S1605" t="str">
        <f>IFERROR(VLOOKUP('OB Format'!D1605,'Team Data'!C:AC,25,FALSE),"")</f>
        <v/>
      </c>
    </row>
    <row r="1606" spans="5:19" x14ac:dyDescent="0.25">
      <c r="E1606" t="str">
        <f>IFERROR(VLOOKUP(D1606,'Team Data'!C:AB,4,FALSE),"")</f>
        <v/>
      </c>
      <c r="F1606" t="str">
        <f>IFERROR(VLOOKUP(D1606,'Team Data'!C:AB,5,FALSE),"")</f>
        <v/>
      </c>
      <c r="G1606" t="str">
        <f>IFERROR(VLOOKUP('OB Format'!D1606,'Team Data'!C:AB,17,FALSE),"")</f>
        <v/>
      </c>
      <c r="H1606" t="str">
        <f>IFERROR(VLOOKUP(D1606,'Team Data'!C:AB,7,FALSE),"")</f>
        <v/>
      </c>
      <c r="I1606" t="str">
        <f>IFERROR(VLOOKUP(D1606,'Team Data'!C:AB,14,FALSE),"")</f>
        <v/>
      </c>
      <c r="J1606" t="str">
        <f>IFERROR(VLOOKUP(D1606,'Team Data'!C:AB,8,FALSE),"")</f>
        <v/>
      </c>
      <c r="K1606" t="str">
        <f>IFERROR(VLOOKUP(D1606,'Team Data'!C:AB,9,FALSE),"")</f>
        <v/>
      </c>
      <c r="L1606" t="str">
        <f>IFERROR(VLOOKUP(D1606,'Team Data'!C:AB,10,FALSE),"")</f>
        <v/>
      </c>
      <c r="M1606" t="str">
        <f t="shared" si="50"/>
        <v/>
      </c>
      <c r="N1606" t="str">
        <f>IFERROR(VLOOKUP(D1606,'Team Data'!C:AB,23,FALSE),"")</f>
        <v/>
      </c>
      <c r="O1606" t="str">
        <f>IFERROR(VLOOKUP(D1606,'Team Data'!C:AB,22,FALSE),"")</f>
        <v/>
      </c>
      <c r="P1606" t="str">
        <f t="shared" si="51"/>
        <v/>
      </c>
      <c r="Q1606" t="str">
        <f>IFERROR(VLOOKUP(D1606,'Team Data'!C:AB,15,FALSE),"")</f>
        <v/>
      </c>
      <c r="R1606" t="str">
        <f>IFERROR(VLOOKUP('OB Format'!D1606,'Team Data'!C:AB,24,FALSE),"")</f>
        <v/>
      </c>
      <c r="S1606" t="str">
        <f>IFERROR(VLOOKUP('OB Format'!D1606,'Team Data'!C:AC,25,FALSE),"")</f>
        <v/>
      </c>
    </row>
    <row r="1607" spans="5:19" x14ac:dyDescent="0.25">
      <c r="E1607" t="str">
        <f>IFERROR(VLOOKUP(D1607,'Team Data'!C:AB,4,FALSE),"")</f>
        <v/>
      </c>
      <c r="F1607" t="str">
        <f>IFERROR(VLOOKUP(D1607,'Team Data'!C:AB,5,FALSE),"")</f>
        <v/>
      </c>
      <c r="G1607" t="str">
        <f>IFERROR(VLOOKUP('OB Format'!D1607,'Team Data'!C:AB,17,FALSE),"")</f>
        <v/>
      </c>
      <c r="H1607" t="str">
        <f>IFERROR(VLOOKUP(D1607,'Team Data'!C:AB,7,FALSE),"")</f>
        <v/>
      </c>
      <c r="I1607" t="str">
        <f>IFERROR(VLOOKUP(D1607,'Team Data'!C:AB,14,FALSE),"")</f>
        <v/>
      </c>
      <c r="J1607" t="str">
        <f>IFERROR(VLOOKUP(D1607,'Team Data'!C:AB,8,FALSE),"")</f>
        <v/>
      </c>
      <c r="K1607" t="str">
        <f>IFERROR(VLOOKUP(D1607,'Team Data'!C:AB,9,FALSE),"")</f>
        <v/>
      </c>
      <c r="L1607" t="str">
        <f>IFERROR(VLOOKUP(D1607,'Team Data'!C:AB,10,FALSE),"")</f>
        <v/>
      </c>
      <c r="M1607" t="str">
        <f t="shared" si="50"/>
        <v/>
      </c>
      <c r="N1607" t="str">
        <f>IFERROR(VLOOKUP(D1607,'Team Data'!C:AB,23,FALSE),"")</f>
        <v/>
      </c>
      <c r="O1607" t="str">
        <f>IFERROR(VLOOKUP(D1607,'Team Data'!C:AB,22,FALSE),"")</f>
        <v/>
      </c>
      <c r="P1607" t="str">
        <f t="shared" si="51"/>
        <v/>
      </c>
      <c r="Q1607" t="str">
        <f>IFERROR(VLOOKUP(D1607,'Team Data'!C:AB,15,FALSE),"")</f>
        <v/>
      </c>
      <c r="R1607" t="str">
        <f>IFERROR(VLOOKUP('OB Format'!D1607,'Team Data'!C:AB,24,FALSE),"")</f>
        <v/>
      </c>
      <c r="S1607" t="str">
        <f>IFERROR(VLOOKUP('OB Format'!D1607,'Team Data'!C:AC,25,FALSE),"")</f>
        <v/>
      </c>
    </row>
    <row r="1608" spans="5:19" x14ac:dyDescent="0.25">
      <c r="E1608" t="str">
        <f>IFERROR(VLOOKUP(D1608,'Team Data'!C:AB,4,FALSE),"")</f>
        <v/>
      </c>
      <c r="F1608" t="str">
        <f>IFERROR(VLOOKUP(D1608,'Team Data'!C:AB,5,FALSE),"")</f>
        <v/>
      </c>
      <c r="G1608" t="str">
        <f>IFERROR(VLOOKUP('OB Format'!D1608,'Team Data'!C:AB,17,FALSE),"")</f>
        <v/>
      </c>
      <c r="H1608" t="str">
        <f>IFERROR(VLOOKUP(D1608,'Team Data'!C:AB,7,FALSE),"")</f>
        <v/>
      </c>
      <c r="I1608" t="str">
        <f>IFERROR(VLOOKUP(D1608,'Team Data'!C:AB,14,FALSE),"")</f>
        <v/>
      </c>
      <c r="J1608" t="str">
        <f>IFERROR(VLOOKUP(D1608,'Team Data'!C:AB,8,FALSE),"")</f>
        <v/>
      </c>
      <c r="K1608" t="str">
        <f>IFERROR(VLOOKUP(D1608,'Team Data'!C:AB,9,FALSE),"")</f>
        <v/>
      </c>
      <c r="L1608" t="str">
        <f>IFERROR(VLOOKUP(D1608,'Team Data'!C:AB,10,FALSE),"")</f>
        <v/>
      </c>
      <c r="M1608" t="str">
        <f t="shared" si="50"/>
        <v/>
      </c>
      <c r="N1608" t="str">
        <f>IFERROR(VLOOKUP(D1608,'Team Data'!C:AB,23,FALSE),"")</f>
        <v/>
      </c>
      <c r="O1608" t="str">
        <f>IFERROR(VLOOKUP(D1608,'Team Data'!C:AB,22,FALSE),"")</f>
        <v/>
      </c>
      <c r="P1608" t="str">
        <f t="shared" si="51"/>
        <v/>
      </c>
      <c r="Q1608" t="str">
        <f>IFERROR(VLOOKUP(D1608,'Team Data'!C:AB,15,FALSE),"")</f>
        <v/>
      </c>
      <c r="R1608" t="str">
        <f>IFERROR(VLOOKUP('OB Format'!D1608,'Team Data'!C:AB,24,FALSE),"")</f>
        <v/>
      </c>
      <c r="S1608" t="str">
        <f>IFERROR(VLOOKUP('OB Format'!D1608,'Team Data'!C:AC,25,FALSE),"")</f>
        <v/>
      </c>
    </row>
    <row r="1609" spans="5:19" x14ac:dyDescent="0.25">
      <c r="E1609" t="str">
        <f>IFERROR(VLOOKUP(D1609,'Team Data'!C:AB,4,FALSE),"")</f>
        <v/>
      </c>
      <c r="F1609" t="str">
        <f>IFERROR(VLOOKUP(D1609,'Team Data'!C:AB,5,FALSE),"")</f>
        <v/>
      </c>
      <c r="G1609" t="str">
        <f>IFERROR(VLOOKUP('OB Format'!D1609,'Team Data'!C:AB,17,FALSE),"")</f>
        <v/>
      </c>
      <c r="H1609" t="str">
        <f>IFERROR(VLOOKUP(D1609,'Team Data'!C:AB,7,FALSE),"")</f>
        <v/>
      </c>
      <c r="I1609" t="str">
        <f>IFERROR(VLOOKUP(D1609,'Team Data'!C:AB,14,FALSE),"")</f>
        <v/>
      </c>
      <c r="J1609" t="str">
        <f>IFERROR(VLOOKUP(D1609,'Team Data'!C:AB,8,FALSE),"")</f>
        <v/>
      </c>
      <c r="K1609" t="str">
        <f>IFERROR(VLOOKUP(D1609,'Team Data'!C:AB,9,FALSE),"")</f>
        <v/>
      </c>
      <c r="L1609" t="str">
        <f>IFERROR(VLOOKUP(D1609,'Team Data'!C:AB,10,FALSE),"")</f>
        <v/>
      </c>
      <c r="M1609" t="str">
        <f t="shared" si="50"/>
        <v/>
      </c>
      <c r="N1609" t="str">
        <f>IFERROR(VLOOKUP(D1609,'Team Data'!C:AB,23,FALSE),"")</f>
        <v/>
      </c>
      <c r="O1609" t="str">
        <f>IFERROR(VLOOKUP(D1609,'Team Data'!C:AB,22,FALSE),"")</f>
        <v/>
      </c>
      <c r="P1609" t="str">
        <f t="shared" si="51"/>
        <v/>
      </c>
      <c r="Q1609" t="str">
        <f>IFERROR(VLOOKUP(D1609,'Team Data'!C:AB,15,FALSE),"")</f>
        <v/>
      </c>
      <c r="R1609" t="str">
        <f>IFERROR(VLOOKUP('OB Format'!D1609,'Team Data'!C:AB,24,FALSE),"")</f>
        <v/>
      </c>
      <c r="S1609" t="str">
        <f>IFERROR(VLOOKUP('OB Format'!D1609,'Team Data'!C:AC,25,FALSE),"")</f>
        <v/>
      </c>
    </row>
    <row r="1610" spans="5:19" x14ac:dyDescent="0.25">
      <c r="E1610" t="str">
        <f>IFERROR(VLOOKUP(D1610,'Team Data'!C:AB,4,FALSE),"")</f>
        <v/>
      </c>
      <c r="F1610" t="str">
        <f>IFERROR(VLOOKUP(D1610,'Team Data'!C:AB,5,FALSE),"")</f>
        <v/>
      </c>
      <c r="G1610" t="str">
        <f>IFERROR(VLOOKUP('OB Format'!D1610,'Team Data'!C:AB,17,FALSE),"")</f>
        <v/>
      </c>
      <c r="H1610" t="str">
        <f>IFERROR(VLOOKUP(D1610,'Team Data'!C:AB,7,FALSE),"")</f>
        <v/>
      </c>
      <c r="I1610" t="str">
        <f>IFERROR(VLOOKUP(D1610,'Team Data'!C:AB,14,FALSE),"")</f>
        <v/>
      </c>
      <c r="J1610" t="str">
        <f>IFERROR(VLOOKUP(D1610,'Team Data'!C:AB,8,FALSE),"")</f>
        <v/>
      </c>
      <c r="K1610" t="str">
        <f>IFERROR(VLOOKUP(D1610,'Team Data'!C:AB,9,FALSE),"")</f>
        <v/>
      </c>
      <c r="L1610" t="str">
        <f>IFERROR(VLOOKUP(D1610,'Team Data'!C:AB,10,FALSE),"")</f>
        <v/>
      </c>
      <c r="M1610" t="str">
        <f t="shared" si="50"/>
        <v/>
      </c>
      <c r="N1610" t="str">
        <f>IFERROR(VLOOKUP(D1610,'Team Data'!C:AB,23,FALSE),"")</f>
        <v/>
      </c>
      <c r="O1610" t="str">
        <f>IFERROR(VLOOKUP(D1610,'Team Data'!C:AB,22,FALSE),"")</f>
        <v/>
      </c>
      <c r="P1610" t="str">
        <f t="shared" si="51"/>
        <v/>
      </c>
      <c r="Q1610" t="str">
        <f>IFERROR(VLOOKUP(D1610,'Team Data'!C:AB,15,FALSE),"")</f>
        <v/>
      </c>
      <c r="R1610" t="str">
        <f>IFERROR(VLOOKUP('OB Format'!D1610,'Team Data'!C:AB,24,FALSE),"")</f>
        <v/>
      </c>
      <c r="S1610" t="str">
        <f>IFERROR(VLOOKUP('OB Format'!D1610,'Team Data'!C:AC,25,FALSE),"")</f>
        <v/>
      </c>
    </row>
    <row r="1611" spans="5:19" x14ac:dyDescent="0.25">
      <c r="E1611" t="str">
        <f>IFERROR(VLOOKUP(D1611,'Team Data'!C:AB,4,FALSE),"")</f>
        <v/>
      </c>
      <c r="F1611" t="str">
        <f>IFERROR(VLOOKUP(D1611,'Team Data'!C:AB,5,FALSE),"")</f>
        <v/>
      </c>
      <c r="G1611" t="str">
        <f>IFERROR(VLOOKUP('OB Format'!D1611,'Team Data'!C:AB,17,FALSE),"")</f>
        <v/>
      </c>
      <c r="H1611" t="str">
        <f>IFERROR(VLOOKUP(D1611,'Team Data'!C:AB,7,FALSE),"")</f>
        <v/>
      </c>
      <c r="I1611" t="str">
        <f>IFERROR(VLOOKUP(D1611,'Team Data'!C:AB,14,FALSE),"")</f>
        <v/>
      </c>
      <c r="J1611" t="str">
        <f>IFERROR(VLOOKUP(D1611,'Team Data'!C:AB,8,FALSE),"")</f>
        <v/>
      </c>
      <c r="K1611" t="str">
        <f>IFERROR(VLOOKUP(D1611,'Team Data'!C:AB,9,FALSE),"")</f>
        <v/>
      </c>
      <c r="L1611" t="str">
        <f>IFERROR(VLOOKUP(D1611,'Team Data'!C:AB,10,FALSE),"")</f>
        <v/>
      </c>
      <c r="M1611" t="str">
        <f t="shared" si="50"/>
        <v/>
      </c>
      <c r="N1611" t="str">
        <f>IFERROR(VLOOKUP(D1611,'Team Data'!C:AB,23,FALSE),"")</f>
        <v/>
      </c>
      <c r="O1611" t="str">
        <f>IFERROR(VLOOKUP(D1611,'Team Data'!C:AB,22,FALSE),"")</f>
        <v/>
      </c>
      <c r="P1611" t="str">
        <f t="shared" si="51"/>
        <v/>
      </c>
      <c r="Q1611" t="str">
        <f>IFERROR(VLOOKUP(D1611,'Team Data'!C:AB,15,FALSE),"")</f>
        <v/>
      </c>
      <c r="R1611" t="str">
        <f>IFERROR(VLOOKUP('OB Format'!D1611,'Team Data'!C:AB,24,FALSE),"")</f>
        <v/>
      </c>
      <c r="S1611" t="str">
        <f>IFERROR(VLOOKUP('OB Format'!D1611,'Team Data'!C:AC,25,FALSE),"")</f>
        <v/>
      </c>
    </row>
    <row r="1612" spans="5:19" x14ac:dyDescent="0.25">
      <c r="E1612" t="str">
        <f>IFERROR(VLOOKUP(D1612,'Team Data'!C:AB,4,FALSE),"")</f>
        <v/>
      </c>
      <c r="F1612" t="str">
        <f>IFERROR(VLOOKUP(D1612,'Team Data'!C:AB,5,FALSE),"")</f>
        <v/>
      </c>
      <c r="G1612" t="str">
        <f>IFERROR(VLOOKUP('OB Format'!D1612,'Team Data'!C:AB,17,FALSE),"")</f>
        <v/>
      </c>
      <c r="H1612" t="str">
        <f>IFERROR(VLOOKUP(D1612,'Team Data'!C:AB,7,FALSE),"")</f>
        <v/>
      </c>
      <c r="I1612" t="str">
        <f>IFERROR(VLOOKUP(D1612,'Team Data'!C:AB,14,FALSE),"")</f>
        <v/>
      </c>
      <c r="J1612" t="str">
        <f>IFERROR(VLOOKUP(D1612,'Team Data'!C:AB,8,FALSE),"")</f>
        <v/>
      </c>
      <c r="K1612" t="str">
        <f>IFERROR(VLOOKUP(D1612,'Team Data'!C:AB,9,FALSE),"")</f>
        <v/>
      </c>
      <c r="L1612" t="str">
        <f>IFERROR(VLOOKUP(D1612,'Team Data'!C:AB,10,FALSE),"")</f>
        <v/>
      </c>
      <c r="M1612" t="str">
        <f t="shared" si="50"/>
        <v/>
      </c>
      <c r="N1612" t="str">
        <f>IFERROR(VLOOKUP(D1612,'Team Data'!C:AB,23,FALSE),"")</f>
        <v/>
      </c>
      <c r="O1612" t="str">
        <f>IFERROR(VLOOKUP(D1612,'Team Data'!C:AB,22,FALSE),"")</f>
        <v/>
      </c>
      <c r="P1612" t="str">
        <f t="shared" si="51"/>
        <v/>
      </c>
      <c r="Q1612" t="str">
        <f>IFERROR(VLOOKUP(D1612,'Team Data'!C:AB,15,FALSE),"")</f>
        <v/>
      </c>
      <c r="R1612" t="str">
        <f>IFERROR(VLOOKUP('OB Format'!D1612,'Team Data'!C:AB,24,FALSE),"")</f>
        <v/>
      </c>
      <c r="S1612" t="str">
        <f>IFERROR(VLOOKUP('OB Format'!D1612,'Team Data'!C:AC,25,FALSE),"")</f>
        <v/>
      </c>
    </row>
    <row r="1613" spans="5:19" x14ac:dyDescent="0.25">
      <c r="E1613" t="str">
        <f>IFERROR(VLOOKUP(D1613,'Team Data'!C:AB,4,FALSE),"")</f>
        <v/>
      </c>
      <c r="F1613" t="str">
        <f>IFERROR(VLOOKUP(D1613,'Team Data'!C:AB,5,FALSE),"")</f>
        <v/>
      </c>
      <c r="G1613" t="str">
        <f>IFERROR(VLOOKUP('OB Format'!D1613,'Team Data'!C:AB,17,FALSE),"")</f>
        <v/>
      </c>
      <c r="H1613" t="str">
        <f>IFERROR(VLOOKUP(D1613,'Team Data'!C:AB,7,FALSE),"")</f>
        <v/>
      </c>
      <c r="I1613" t="str">
        <f>IFERROR(VLOOKUP(D1613,'Team Data'!C:AB,14,FALSE),"")</f>
        <v/>
      </c>
      <c r="J1613" t="str">
        <f>IFERROR(VLOOKUP(D1613,'Team Data'!C:AB,8,FALSE),"")</f>
        <v/>
      </c>
      <c r="K1613" t="str">
        <f>IFERROR(VLOOKUP(D1613,'Team Data'!C:AB,9,FALSE),"")</f>
        <v/>
      </c>
      <c r="L1613" t="str">
        <f>IFERROR(VLOOKUP(D1613,'Team Data'!C:AB,10,FALSE),"")</f>
        <v/>
      </c>
      <c r="M1613" t="str">
        <f t="shared" ref="M1613:M1676" si="52">IFERROR(H1613-(J1613+L1613+K1613),"")</f>
        <v/>
      </c>
      <c r="N1613" t="str">
        <f>IFERROR(VLOOKUP(D1613,'Team Data'!C:AB,23,FALSE),"")</f>
        <v/>
      </c>
      <c r="O1613" t="str">
        <f>IFERROR(VLOOKUP(D1613,'Team Data'!C:AB,22,FALSE),"")</f>
        <v/>
      </c>
      <c r="P1613" t="str">
        <f t="shared" ref="P1613:P1676" si="53">IFERROR(E1613-(H1613+N1613+Q1613+I1613+O1613),"")</f>
        <v/>
      </c>
      <c r="Q1613" t="str">
        <f>IFERROR(VLOOKUP(D1613,'Team Data'!C:AB,15,FALSE),"")</f>
        <v/>
      </c>
      <c r="R1613" t="str">
        <f>IFERROR(VLOOKUP('OB Format'!D1613,'Team Data'!C:AB,24,FALSE),"")</f>
        <v/>
      </c>
      <c r="S1613" t="str">
        <f>IFERROR(VLOOKUP('OB Format'!D1613,'Team Data'!C:AC,25,FALSE),"")</f>
        <v/>
      </c>
    </row>
    <row r="1614" spans="5:19" x14ac:dyDescent="0.25">
      <c r="E1614" t="str">
        <f>IFERROR(VLOOKUP(D1614,'Team Data'!C:AB,4,FALSE),"")</f>
        <v/>
      </c>
      <c r="F1614" t="str">
        <f>IFERROR(VLOOKUP(D1614,'Team Data'!C:AB,5,FALSE),"")</f>
        <v/>
      </c>
      <c r="G1614" t="str">
        <f>IFERROR(VLOOKUP('OB Format'!D1614,'Team Data'!C:AB,17,FALSE),"")</f>
        <v/>
      </c>
      <c r="H1614" t="str">
        <f>IFERROR(VLOOKUP(D1614,'Team Data'!C:AB,7,FALSE),"")</f>
        <v/>
      </c>
      <c r="I1614" t="str">
        <f>IFERROR(VLOOKUP(D1614,'Team Data'!C:AB,14,FALSE),"")</f>
        <v/>
      </c>
      <c r="J1614" t="str">
        <f>IFERROR(VLOOKUP(D1614,'Team Data'!C:AB,8,FALSE),"")</f>
        <v/>
      </c>
      <c r="K1614" t="str">
        <f>IFERROR(VLOOKUP(D1614,'Team Data'!C:AB,9,FALSE),"")</f>
        <v/>
      </c>
      <c r="L1614" t="str">
        <f>IFERROR(VLOOKUP(D1614,'Team Data'!C:AB,10,FALSE),"")</f>
        <v/>
      </c>
      <c r="M1614" t="str">
        <f t="shared" si="52"/>
        <v/>
      </c>
      <c r="N1614" t="str">
        <f>IFERROR(VLOOKUP(D1614,'Team Data'!C:AB,23,FALSE),"")</f>
        <v/>
      </c>
      <c r="O1614" t="str">
        <f>IFERROR(VLOOKUP(D1614,'Team Data'!C:AB,22,FALSE),"")</f>
        <v/>
      </c>
      <c r="P1614" t="str">
        <f t="shared" si="53"/>
        <v/>
      </c>
      <c r="Q1614" t="str">
        <f>IFERROR(VLOOKUP(D1614,'Team Data'!C:AB,15,FALSE),"")</f>
        <v/>
      </c>
      <c r="R1614" t="str">
        <f>IFERROR(VLOOKUP('OB Format'!D1614,'Team Data'!C:AB,24,FALSE),"")</f>
        <v/>
      </c>
      <c r="S1614" t="str">
        <f>IFERROR(VLOOKUP('OB Format'!D1614,'Team Data'!C:AC,25,FALSE),"")</f>
        <v/>
      </c>
    </row>
    <row r="1615" spans="5:19" x14ac:dyDescent="0.25">
      <c r="E1615" t="str">
        <f>IFERROR(VLOOKUP(D1615,'Team Data'!C:AB,4,FALSE),"")</f>
        <v/>
      </c>
      <c r="F1615" t="str">
        <f>IFERROR(VLOOKUP(D1615,'Team Data'!C:AB,5,FALSE),"")</f>
        <v/>
      </c>
      <c r="G1615" t="str">
        <f>IFERROR(VLOOKUP('OB Format'!D1615,'Team Data'!C:AB,17,FALSE),"")</f>
        <v/>
      </c>
      <c r="H1615" t="str">
        <f>IFERROR(VLOOKUP(D1615,'Team Data'!C:AB,7,FALSE),"")</f>
        <v/>
      </c>
      <c r="I1615" t="str">
        <f>IFERROR(VLOOKUP(D1615,'Team Data'!C:AB,14,FALSE),"")</f>
        <v/>
      </c>
      <c r="J1615" t="str">
        <f>IFERROR(VLOOKUP(D1615,'Team Data'!C:AB,8,FALSE),"")</f>
        <v/>
      </c>
      <c r="K1615" t="str">
        <f>IFERROR(VLOOKUP(D1615,'Team Data'!C:AB,9,FALSE),"")</f>
        <v/>
      </c>
      <c r="L1615" t="str">
        <f>IFERROR(VLOOKUP(D1615,'Team Data'!C:AB,10,FALSE),"")</f>
        <v/>
      </c>
      <c r="M1615" t="str">
        <f t="shared" si="52"/>
        <v/>
      </c>
      <c r="N1615" t="str">
        <f>IFERROR(VLOOKUP(D1615,'Team Data'!C:AB,23,FALSE),"")</f>
        <v/>
      </c>
      <c r="O1615" t="str">
        <f>IFERROR(VLOOKUP(D1615,'Team Data'!C:AB,22,FALSE),"")</f>
        <v/>
      </c>
      <c r="P1615" t="str">
        <f t="shared" si="53"/>
        <v/>
      </c>
      <c r="Q1615" t="str">
        <f>IFERROR(VLOOKUP(D1615,'Team Data'!C:AB,15,FALSE),"")</f>
        <v/>
      </c>
      <c r="R1615" t="str">
        <f>IFERROR(VLOOKUP('OB Format'!D1615,'Team Data'!C:AB,24,FALSE),"")</f>
        <v/>
      </c>
      <c r="S1615" t="str">
        <f>IFERROR(VLOOKUP('OB Format'!D1615,'Team Data'!C:AC,25,FALSE),"")</f>
        <v/>
      </c>
    </row>
    <row r="1616" spans="5:19" x14ac:dyDescent="0.25">
      <c r="E1616" t="str">
        <f>IFERROR(VLOOKUP(D1616,'Team Data'!C:AB,4,FALSE),"")</f>
        <v/>
      </c>
      <c r="F1616" t="str">
        <f>IFERROR(VLOOKUP(D1616,'Team Data'!C:AB,5,FALSE),"")</f>
        <v/>
      </c>
      <c r="G1616" t="str">
        <f>IFERROR(VLOOKUP('OB Format'!D1616,'Team Data'!C:AB,17,FALSE),"")</f>
        <v/>
      </c>
      <c r="H1616" t="str">
        <f>IFERROR(VLOOKUP(D1616,'Team Data'!C:AB,7,FALSE),"")</f>
        <v/>
      </c>
      <c r="I1616" t="str">
        <f>IFERROR(VLOOKUP(D1616,'Team Data'!C:AB,14,FALSE),"")</f>
        <v/>
      </c>
      <c r="J1616" t="str">
        <f>IFERROR(VLOOKUP(D1616,'Team Data'!C:AB,8,FALSE),"")</f>
        <v/>
      </c>
      <c r="K1616" t="str">
        <f>IFERROR(VLOOKUP(D1616,'Team Data'!C:AB,9,FALSE),"")</f>
        <v/>
      </c>
      <c r="L1616" t="str">
        <f>IFERROR(VLOOKUP(D1616,'Team Data'!C:AB,10,FALSE),"")</f>
        <v/>
      </c>
      <c r="M1616" t="str">
        <f t="shared" si="52"/>
        <v/>
      </c>
      <c r="N1616" t="str">
        <f>IFERROR(VLOOKUP(D1616,'Team Data'!C:AB,23,FALSE),"")</f>
        <v/>
      </c>
      <c r="O1616" t="str">
        <f>IFERROR(VLOOKUP(D1616,'Team Data'!C:AB,22,FALSE),"")</f>
        <v/>
      </c>
      <c r="P1616" t="str">
        <f t="shared" si="53"/>
        <v/>
      </c>
      <c r="Q1616" t="str">
        <f>IFERROR(VLOOKUP(D1616,'Team Data'!C:AB,15,FALSE),"")</f>
        <v/>
      </c>
      <c r="R1616" t="str">
        <f>IFERROR(VLOOKUP('OB Format'!D1616,'Team Data'!C:AB,24,FALSE),"")</f>
        <v/>
      </c>
      <c r="S1616" t="str">
        <f>IFERROR(VLOOKUP('OB Format'!D1616,'Team Data'!C:AC,25,FALSE),"")</f>
        <v/>
      </c>
    </row>
    <row r="1617" spans="5:19" x14ac:dyDescent="0.25">
      <c r="E1617" t="str">
        <f>IFERROR(VLOOKUP(D1617,'Team Data'!C:AB,4,FALSE),"")</f>
        <v/>
      </c>
      <c r="F1617" t="str">
        <f>IFERROR(VLOOKUP(D1617,'Team Data'!C:AB,5,FALSE),"")</f>
        <v/>
      </c>
      <c r="G1617" t="str">
        <f>IFERROR(VLOOKUP('OB Format'!D1617,'Team Data'!C:AB,17,FALSE),"")</f>
        <v/>
      </c>
      <c r="H1617" t="str">
        <f>IFERROR(VLOOKUP(D1617,'Team Data'!C:AB,7,FALSE),"")</f>
        <v/>
      </c>
      <c r="I1617" t="str">
        <f>IFERROR(VLOOKUP(D1617,'Team Data'!C:AB,14,FALSE),"")</f>
        <v/>
      </c>
      <c r="J1617" t="str">
        <f>IFERROR(VLOOKUP(D1617,'Team Data'!C:AB,8,FALSE),"")</f>
        <v/>
      </c>
      <c r="K1617" t="str">
        <f>IFERROR(VLOOKUP(D1617,'Team Data'!C:AB,9,FALSE),"")</f>
        <v/>
      </c>
      <c r="L1617" t="str">
        <f>IFERROR(VLOOKUP(D1617,'Team Data'!C:AB,10,FALSE),"")</f>
        <v/>
      </c>
      <c r="M1617" t="str">
        <f t="shared" si="52"/>
        <v/>
      </c>
      <c r="N1617" t="str">
        <f>IFERROR(VLOOKUP(D1617,'Team Data'!C:AB,23,FALSE),"")</f>
        <v/>
      </c>
      <c r="O1617" t="str">
        <f>IFERROR(VLOOKUP(D1617,'Team Data'!C:AB,22,FALSE),"")</f>
        <v/>
      </c>
      <c r="P1617" t="str">
        <f t="shared" si="53"/>
        <v/>
      </c>
      <c r="Q1617" t="str">
        <f>IFERROR(VLOOKUP(D1617,'Team Data'!C:AB,15,FALSE),"")</f>
        <v/>
      </c>
      <c r="R1617" t="str">
        <f>IFERROR(VLOOKUP('OB Format'!D1617,'Team Data'!C:AB,24,FALSE),"")</f>
        <v/>
      </c>
      <c r="S1617" t="str">
        <f>IFERROR(VLOOKUP('OB Format'!D1617,'Team Data'!C:AC,25,FALSE),"")</f>
        <v/>
      </c>
    </row>
    <row r="1618" spans="5:19" x14ac:dyDescent="0.25">
      <c r="E1618" t="str">
        <f>IFERROR(VLOOKUP(D1618,'Team Data'!C:AB,4,FALSE),"")</f>
        <v/>
      </c>
      <c r="F1618" t="str">
        <f>IFERROR(VLOOKUP(D1618,'Team Data'!C:AB,5,FALSE),"")</f>
        <v/>
      </c>
      <c r="G1618" t="str">
        <f>IFERROR(VLOOKUP('OB Format'!D1618,'Team Data'!C:AB,17,FALSE),"")</f>
        <v/>
      </c>
      <c r="H1618" t="str">
        <f>IFERROR(VLOOKUP(D1618,'Team Data'!C:AB,7,FALSE),"")</f>
        <v/>
      </c>
      <c r="I1618" t="str">
        <f>IFERROR(VLOOKUP(D1618,'Team Data'!C:AB,14,FALSE),"")</f>
        <v/>
      </c>
      <c r="J1618" t="str">
        <f>IFERROR(VLOOKUP(D1618,'Team Data'!C:AB,8,FALSE),"")</f>
        <v/>
      </c>
      <c r="K1618" t="str">
        <f>IFERROR(VLOOKUP(D1618,'Team Data'!C:AB,9,FALSE),"")</f>
        <v/>
      </c>
      <c r="L1618" t="str">
        <f>IFERROR(VLOOKUP(D1618,'Team Data'!C:AB,10,FALSE),"")</f>
        <v/>
      </c>
      <c r="M1618" t="str">
        <f t="shared" si="52"/>
        <v/>
      </c>
      <c r="N1618" t="str">
        <f>IFERROR(VLOOKUP(D1618,'Team Data'!C:AB,23,FALSE),"")</f>
        <v/>
      </c>
      <c r="O1618" t="str">
        <f>IFERROR(VLOOKUP(D1618,'Team Data'!C:AB,22,FALSE),"")</f>
        <v/>
      </c>
      <c r="P1618" t="str">
        <f t="shared" si="53"/>
        <v/>
      </c>
      <c r="Q1618" t="str">
        <f>IFERROR(VLOOKUP(D1618,'Team Data'!C:AB,15,FALSE),"")</f>
        <v/>
      </c>
      <c r="R1618" t="str">
        <f>IFERROR(VLOOKUP('OB Format'!D1618,'Team Data'!C:AB,24,FALSE),"")</f>
        <v/>
      </c>
      <c r="S1618" t="str">
        <f>IFERROR(VLOOKUP('OB Format'!D1618,'Team Data'!C:AC,25,FALSE),"")</f>
        <v/>
      </c>
    </row>
    <row r="1619" spans="5:19" x14ac:dyDescent="0.25">
      <c r="E1619" t="str">
        <f>IFERROR(VLOOKUP(D1619,'Team Data'!C:AB,4,FALSE),"")</f>
        <v/>
      </c>
      <c r="F1619" t="str">
        <f>IFERROR(VLOOKUP(D1619,'Team Data'!C:AB,5,FALSE),"")</f>
        <v/>
      </c>
      <c r="G1619" t="str">
        <f>IFERROR(VLOOKUP('OB Format'!D1619,'Team Data'!C:AB,17,FALSE),"")</f>
        <v/>
      </c>
      <c r="H1619" t="str">
        <f>IFERROR(VLOOKUP(D1619,'Team Data'!C:AB,7,FALSE),"")</f>
        <v/>
      </c>
      <c r="I1619" t="str">
        <f>IFERROR(VLOOKUP(D1619,'Team Data'!C:AB,14,FALSE),"")</f>
        <v/>
      </c>
      <c r="J1619" t="str">
        <f>IFERROR(VLOOKUP(D1619,'Team Data'!C:AB,8,FALSE),"")</f>
        <v/>
      </c>
      <c r="K1619" t="str">
        <f>IFERROR(VLOOKUP(D1619,'Team Data'!C:AB,9,FALSE),"")</f>
        <v/>
      </c>
      <c r="L1619" t="str">
        <f>IFERROR(VLOOKUP(D1619,'Team Data'!C:AB,10,FALSE),"")</f>
        <v/>
      </c>
      <c r="M1619" t="str">
        <f t="shared" si="52"/>
        <v/>
      </c>
      <c r="N1619" t="str">
        <f>IFERROR(VLOOKUP(D1619,'Team Data'!C:AB,23,FALSE),"")</f>
        <v/>
      </c>
      <c r="O1619" t="str">
        <f>IFERROR(VLOOKUP(D1619,'Team Data'!C:AB,22,FALSE),"")</f>
        <v/>
      </c>
      <c r="P1619" t="str">
        <f t="shared" si="53"/>
        <v/>
      </c>
      <c r="Q1619" t="str">
        <f>IFERROR(VLOOKUP(D1619,'Team Data'!C:AB,15,FALSE),"")</f>
        <v/>
      </c>
      <c r="R1619" t="str">
        <f>IFERROR(VLOOKUP('OB Format'!D1619,'Team Data'!C:AB,24,FALSE),"")</f>
        <v/>
      </c>
      <c r="S1619" t="str">
        <f>IFERROR(VLOOKUP('OB Format'!D1619,'Team Data'!C:AC,25,FALSE),"")</f>
        <v/>
      </c>
    </row>
    <row r="1620" spans="5:19" x14ac:dyDescent="0.25">
      <c r="E1620" t="str">
        <f>IFERROR(VLOOKUP(D1620,'Team Data'!C:AB,4,FALSE),"")</f>
        <v/>
      </c>
      <c r="F1620" t="str">
        <f>IFERROR(VLOOKUP(D1620,'Team Data'!C:AB,5,FALSE),"")</f>
        <v/>
      </c>
      <c r="G1620" t="str">
        <f>IFERROR(VLOOKUP('OB Format'!D1620,'Team Data'!C:AB,17,FALSE),"")</f>
        <v/>
      </c>
      <c r="H1620" t="str">
        <f>IFERROR(VLOOKUP(D1620,'Team Data'!C:AB,7,FALSE),"")</f>
        <v/>
      </c>
      <c r="I1620" t="str">
        <f>IFERROR(VLOOKUP(D1620,'Team Data'!C:AB,14,FALSE),"")</f>
        <v/>
      </c>
      <c r="J1620" t="str">
        <f>IFERROR(VLOOKUP(D1620,'Team Data'!C:AB,8,FALSE),"")</f>
        <v/>
      </c>
      <c r="K1620" t="str">
        <f>IFERROR(VLOOKUP(D1620,'Team Data'!C:AB,9,FALSE),"")</f>
        <v/>
      </c>
      <c r="L1620" t="str">
        <f>IFERROR(VLOOKUP(D1620,'Team Data'!C:AB,10,FALSE),"")</f>
        <v/>
      </c>
      <c r="M1620" t="str">
        <f t="shared" si="52"/>
        <v/>
      </c>
      <c r="N1620" t="str">
        <f>IFERROR(VLOOKUP(D1620,'Team Data'!C:AB,23,FALSE),"")</f>
        <v/>
      </c>
      <c r="O1620" t="str">
        <f>IFERROR(VLOOKUP(D1620,'Team Data'!C:AB,22,FALSE),"")</f>
        <v/>
      </c>
      <c r="P1620" t="str">
        <f t="shared" si="53"/>
        <v/>
      </c>
      <c r="Q1620" t="str">
        <f>IFERROR(VLOOKUP(D1620,'Team Data'!C:AB,15,FALSE),"")</f>
        <v/>
      </c>
      <c r="R1620" t="str">
        <f>IFERROR(VLOOKUP('OB Format'!D1620,'Team Data'!C:AB,24,FALSE),"")</f>
        <v/>
      </c>
      <c r="S1620" t="str">
        <f>IFERROR(VLOOKUP('OB Format'!D1620,'Team Data'!C:AC,25,FALSE),"")</f>
        <v/>
      </c>
    </row>
    <row r="1621" spans="5:19" x14ac:dyDescent="0.25">
      <c r="E1621" t="str">
        <f>IFERROR(VLOOKUP(D1621,'Team Data'!C:AB,4,FALSE),"")</f>
        <v/>
      </c>
      <c r="F1621" t="str">
        <f>IFERROR(VLOOKUP(D1621,'Team Data'!C:AB,5,FALSE),"")</f>
        <v/>
      </c>
      <c r="G1621" t="str">
        <f>IFERROR(VLOOKUP('OB Format'!D1621,'Team Data'!C:AB,17,FALSE),"")</f>
        <v/>
      </c>
      <c r="H1621" t="str">
        <f>IFERROR(VLOOKUP(D1621,'Team Data'!C:AB,7,FALSE),"")</f>
        <v/>
      </c>
      <c r="I1621" t="str">
        <f>IFERROR(VLOOKUP(D1621,'Team Data'!C:AB,14,FALSE),"")</f>
        <v/>
      </c>
      <c r="J1621" t="str">
        <f>IFERROR(VLOOKUP(D1621,'Team Data'!C:AB,8,FALSE),"")</f>
        <v/>
      </c>
      <c r="K1621" t="str">
        <f>IFERROR(VLOOKUP(D1621,'Team Data'!C:AB,9,FALSE),"")</f>
        <v/>
      </c>
      <c r="L1621" t="str">
        <f>IFERROR(VLOOKUP(D1621,'Team Data'!C:AB,10,FALSE),"")</f>
        <v/>
      </c>
      <c r="M1621" t="str">
        <f t="shared" si="52"/>
        <v/>
      </c>
      <c r="N1621" t="str">
        <f>IFERROR(VLOOKUP(D1621,'Team Data'!C:AB,23,FALSE),"")</f>
        <v/>
      </c>
      <c r="O1621" t="str">
        <f>IFERROR(VLOOKUP(D1621,'Team Data'!C:AB,22,FALSE),"")</f>
        <v/>
      </c>
      <c r="P1621" t="str">
        <f t="shared" si="53"/>
        <v/>
      </c>
      <c r="Q1621" t="str">
        <f>IFERROR(VLOOKUP(D1621,'Team Data'!C:AB,15,FALSE),"")</f>
        <v/>
      </c>
      <c r="R1621" t="str">
        <f>IFERROR(VLOOKUP('OB Format'!D1621,'Team Data'!C:AB,24,FALSE),"")</f>
        <v/>
      </c>
      <c r="S1621" t="str">
        <f>IFERROR(VLOOKUP('OB Format'!D1621,'Team Data'!C:AC,25,FALSE),"")</f>
        <v/>
      </c>
    </row>
    <row r="1622" spans="5:19" x14ac:dyDescent="0.25">
      <c r="E1622" t="str">
        <f>IFERROR(VLOOKUP(D1622,'Team Data'!C:AB,4,FALSE),"")</f>
        <v/>
      </c>
      <c r="F1622" t="str">
        <f>IFERROR(VLOOKUP(D1622,'Team Data'!C:AB,5,FALSE),"")</f>
        <v/>
      </c>
      <c r="G1622" t="str">
        <f>IFERROR(VLOOKUP('OB Format'!D1622,'Team Data'!C:AB,17,FALSE),"")</f>
        <v/>
      </c>
      <c r="H1622" t="str">
        <f>IFERROR(VLOOKUP(D1622,'Team Data'!C:AB,7,FALSE),"")</f>
        <v/>
      </c>
      <c r="I1622" t="str">
        <f>IFERROR(VLOOKUP(D1622,'Team Data'!C:AB,14,FALSE),"")</f>
        <v/>
      </c>
      <c r="J1622" t="str">
        <f>IFERROR(VLOOKUP(D1622,'Team Data'!C:AB,8,FALSE),"")</f>
        <v/>
      </c>
      <c r="K1622" t="str">
        <f>IFERROR(VLOOKUP(D1622,'Team Data'!C:AB,9,FALSE),"")</f>
        <v/>
      </c>
      <c r="L1622" t="str">
        <f>IFERROR(VLOOKUP(D1622,'Team Data'!C:AB,10,FALSE),"")</f>
        <v/>
      </c>
      <c r="M1622" t="str">
        <f t="shared" si="52"/>
        <v/>
      </c>
      <c r="N1622" t="str">
        <f>IFERROR(VLOOKUP(D1622,'Team Data'!C:AB,23,FALSE),"")</f>
        <v/>
      </c>
      <c r="O1622" t="str">
        <f>IFERROR(VLOOKUP(D1622,'Team Data'!C:AB,22,FALSE),"")</f>
        <v/>
      </c>
      <c r="P1622" t="str">
        <f t="shared" si="53"/>
        <v/>
      </c>
      <c r="Q1622" t="str">
        <f>IFERROR(VLOOKUP(D1622,'Team Data'!C:AB,15,FALSE),"")</f>
        <v/>
      </c>
      <c r="R1622" t="str">
        <f>IFERROR(VLOOKUP('OB Format'!D1622,'Team Data'!C:AB,24,FALSE),"")</f>
        <v/>
      </c>
      <c r="S1622" t="str">
        <f>IFERROR(VLOOKUP('OB Format'!D1622,'Team Data'!C:AC,25,FALSE),"")</f>
        <v/>
      </c>
    </row>
    <row r="1623" spans="5:19" x14ac:dyDescent="0.25">
      <c r="E1623" t="str">
        <f>IFERROR(VLOOKUP(D1623,'Team Data'!C:AB,4,FALSE),"")</f>
        <v/>
      </c>
      <c r="F1623" t="str">
        <f>IFERROR(VLOOKUP(D1623,'Team Data'!C:AB,5,FALSE),"")</f>
        <v/>
      </c>
      <c r="G1623" t="str">
        <f>IFERROR(VLOOKUP('OB Format'!D1623,'Team Data'!C:AB,17,FALSE),"")</f>
        <v/>
      </c>
      <c r="H1623" t="str">
        <f>IFERROR(VLOOKUP(D1623,'Team Data'!C:AB,7,FALSE),"")</f>
        <v/>
      </c>
      <c r="I1623" t="str">
        <f>IFERROR(VLOOKUP(D1623,'Team Data'!C:AB,14,FALSE),"")</f>
        <v/>
      </c>
      <c r="J1623" t="str">
        <f>IFERROR(VLOOKUP(D1623,'Team Data'!C:AB,8,FALSE),"")</f>
        <v/>
      </c>
      <c r="K1623" t="str">
        <f>IFERROR(VLOOKUP(D1623,'Team Data'!C:AB,9,FALSE),"")</f>
        <v/>
      </c>
      <c r="L1623" t="str">
        <f>IFERROR(VLOOKUP(D1623,'Team Data'!C:AB,10,FALSE),"")</f>
        <v/>
      </c>
      <c r="M1623" t="str">
        <f t="shared" si="52"/>
        <v/>
      </c>
      <c r="N1623" t="str">
        <f>IFERROR(VLOOKUP(D1623,'Team Data'!C:AB,23,FALSE),"")</f>
        <v/>
      </c>
      <c r="O1623" t="str">
        <f>IFERROR(VLOOKUP(D1623,'Team Data'!C:AB,22,FALSE),"")</f>
        <v/>
      </c>
      <c r="P1623" t="str">
        <f t="shared" si="53"/>
        <v/>
      </c>
      <c r="Q1623" t="str">
        <f>IFERROR(VLOOKUP(D1623,'Team Data'!C:AB,15,FALSE),"")</f>
        <v/>
      </c>
      <c r="R1623" t="str">
        <f>IFERROR(VLOOKUP('OB Format'!D1623,'Team Data'!C:AB,24,FALSE),"")</f>
        <v/>
      </c>
      <c r="S1623" t="str">
        <f>IFERROR(VLOOKUP('OB Format'!D1623,'Team Data'!C:AC,25,FALSE),"")</f>
        <v/>
      </c>
    </row>
    <row r="1624" spans="5:19" x14ac:dyDescent="0.25">
      <c r="E1624" t="str">
        <f>IFERROR(VLOOKUP(D1624,'Team Data'!C:AB,4,FALSE),"")</f>
        <v/>
      </c>
      <c r="F1624" t="str">
        <f>IFERROR(VLOOKUP(D1624,'Team Data'!C:AB,5,FALSE),"")</f>
        <v/>
      </c>
      <c r="G1624" t="str">
        <f>IFERROR(VLOOKUP('OB Format'!D1624,'Team Data'!C:AB,17,FALSE),"")</f>
        <v/>
      </c>
      <c r="H1624" t="str">
        <f>IFERROR(VLOOKUP(D1624,'Team Data'!C:AB,7,FALSE),"")</f>
        <v/>
      </c>
      <c r="I1624" t="str">
        <f>IFERROR(VLOOKUP(D1624,'Team Data'!C:AB,14,FALSE),"")</f>
        <v/>
      </c>
      <c r="J1624" t="str">
        <f>IFERROR(VLOOKUP(D1624,'Team Data'!C:AB,8,FALSE),"")</f>
        <v/>
      </c>
      <c r="K1624" t="str">
        <f>IFERROR(VLOOKUP(D1624,'Team Data'!C:AB,9,FALSE),"")</f>
        <v/>
      </c>
      <c r="L1624" t="str">
        <f>IFERROR(VLOOKUP(D1624,'Team Data'!C:AB,10,FALSE),"")</f>
        <v/>
      </c>
      <c r="M1624" t="str">
        <f t="shared" si="52"/>
        <v/>
      </c>
      <c r="N1624" t="str">
        <f>IFERROR(VLOOKUP(D1624,'Team Data'!C:AB,23,FALSE),"")</f>
        <v/>
      </c>
      <c r="O1624" t="str">
        <f>IFERROR(VLOOKUP(D1624,'Team Data'!C:AB,22,FALSE),"")</f>
        <v/>
      </c>
      <c r="P1624" t="str">
        <f t="shared" si="53"/>
        <v/>
      </c>
      <c r="Q1624" t="str">
        <f>IFERROR(VLOOKUP(D1624,'Team Data'!C:AB,15,FALSE),"")</f>
        <v/>
      </c>
      <c r="R1624" t="str">
        <f>IFERROR(VLOOKUP('OB Format'!D1624,'Team Data'!C:AB,24,FALSE),"")</f>
        <v/>
      </c>
      <c r="S1624" t="str">
        <f>IFERROR(VLOOKUP('OB Format'!D1624,'Team Data'!C:AC,25,FALSE),"")</f>
        <v/>
      </c>
    </row>
    <row r="1625" spans="5:19" x14ac:dyDescent="0.25">
      <c r="E1625" t="str">
        <f>IFERROR(VLOOKUP(D1625,'Team Data'!C:AB,4,FALSE),"")</f>
        <v/>
      </c>
      <c r="F1625" t="str">
        <f>IFERROR(VLOOKUP(D1625,'Team Data'!C:AB,5,FALSE),"")</f>
        <v/>
      </c>
      <c r="G1625" t="str">
        <f>IFERROR(VLOOKUP('OB Format'!D1625,'Team Data'!C:AB,17,FALSE),"")</f>
        <v/>
      </c>
      <c r="H1625" t="str">
        <f>IFERROR(VLOOKUP(D1625,'Team Data'!C:AB,7,FALSE),"")</f>
        <v/>
      </c>
      <c r="I1625" t="str">
        <f>IFERROR(VLOOKUP(D1625,'Team Data'!C:AB,14,FALSE),"")</f>
        <v/>
      </c>
      <c r="J1625" t="str">
        <f>IFERROR(VLOOKUP(D1625,'Team Data'!C:AB,8,FALSE),"")</f>
        <v/>
      </c>
      <c r="K1625" t="str">
        <f>IFERROR(VLOOKUP(D1625,'Team Data'!C:AB,9,FALSE),"")</f>
        <v/>
      </c>
      <c r="L1625" t="str">
        <f>IFERROR(VLOOKUP(D1625,'Team Data'!C:AB,10,FALSE),"")</f>
        <v/>
      </c>
      <c r="M1625" t="str">
        <f t="shared" si="52"/>
        <v/>
      </c>
      <c r="N1625" t="str">
        <f>IFERROR(VLOOKUP(D1625,'Team Data'!C:AB,23,FALSE),"")</f>
        <v/>
      </c>
      <c r="O1625" t="str">
        <f>IFERROR(VLOOKUP(D1625,'Team Data'!C:AB,22,FALSE),"")</f>
        <v/>
      </c>
      <c r="P1625" t="str">
        <f t="shared" si="53"/>
        <v/>
      </c>
      <c r="Q1625" t="str">
        <f>IFERROR(VLOOKUP(D1625,'Team Data'!C:AB,15,FALSE),"")</f>
        <v/>
      </c>
      <c r="R1625" t="str">
        <f>IFERROR(VLOOKUP('OB Format'!D1625,'Team Data'!C:AB,24,FALSE),"")</f>
        <v/>
      </c>
      <c r="S1625" t="str">
        <f>IFERROR(VLOOKUP('OB Format'!D1625,'Team Data'!C:AC,25,FALSE),"")</f>
        <v/>
      </c>
    </row>
    <row r="1626" spans="5:19" x14ac:dyDescent="0.25">
      <c r="E1626" t="str">
        <f>IFERROR(VLOOKUP(D1626,'Team Data'!C:AB,4,FALSE),"")</f>
        <v/>
      </c>
      <c r="F1626" t="str">
        <f>IFERROR(VLOOKUP(D1626,'Team Data'!C:AB,5,FALSE),"")</f>
        <v/>
      </c>
      <c r="G1626" t="str">
        <f>IFERROR(VLOOKUP('OB Format'!D1626,'Team Data'!C:AB,17,FALSE),"")</f>
        <v/>
      </c>
      <c r="H1626" t="str">
        <f>IFERROR(VLOOKUP(D1626,'Team Data'!C:AB,7,FALSE),"")</f>
        <v/>
      </c>
      <c r="I1626" t="str">
        <f>IFERROR(VLOOKUP(D1626,'Team Data'!C:AB,14,FALSE),"")</f>
        <v/>
      </c>
      <c r="J1626" t="str">
        <f>IFERROR(VLOOKUP(D1626,'Team Data'!C:AB,8,FALSE),"")</f>
        <v/>
      </c>
      <c r="K1626" t="str">
        <f>IFERROR(VLOOKUP(D1626,'Team Data'!C:AB,9,FALSE),"")</f>
        <v/>
      </c>
      <c r="L1626" t="str">
        <f>IFERROR(VLOOKUP(D1626,'Team Data'!C:AB,10,FALSE),"")</f>
        <v/>
      </c>
      <c r="M1626" t="str">
        <f t="shared" si="52"/>
        <v/>
      </c>
      <c r="N1626" t="str">
        <f>IFERROR(VLOOKUP(D1626,'Team Data'!C:AB,23,FALSE),"")</f>
        <v/>
      </c>
      <c r="O1626" t="str">
        <f>IFERROR(VLOOKUP(D1626,'Team Data'!C:AB,22,FALSE),"")</f>
        <v/>
      </c>
      <c r="P1626" t="str">
        <f t="shared" si="53"/>
        <v/>
      </c>
      <c r="Q1626" t="str">
        <f>IFERROR(VLOOKUP(D1626,'Team Data'!C:AB,15,FALSE),"")</f>
        <v/>
      </c>
      <c r="R1626" t="str">
        <f>IFERROR(VLOOKUP('OB Format'!D1626,'Team Data'!C:AB,24,FALSE),"")</f>
        <v/>
      </c>
      <c r="S1626" t="str">
        <f>IFERROR(VLOOKUP('OB Format'!D1626,'Team Data'!C:AC,25,FALSE),"")</f>
        <v/>
      </c>
    </row>
    <row r="1627" spans="5:19" x14ac:dyDescent="0.25">
      <c r="E1627" t="str">
        <f>IFERROR(VLOOKUP(D1627,'Team Data'!C:AB,4,FALSE),"")</f>
        <v/>
      </c>
      <c r="F1627" t="str">
        <f>IFERROR(VLOOKUP(D1627,'Team Data'!C:AB,5,FALSE),"")</f>
        <v/>
      </c>
      <c r="G1627" t="str">
        <f>IFERROR(VLOOKUP('OB Format'!D1627,'Team Data'!C:AB,17,FALSE),"")</f>
        <v/>
      </c>
      <c r="H1627" t="str">
        <f>IFERROR(VLOOKUP(D1627,'Team Data'!C:AB,7,FALSE),"")</f>
        <v/>
      </c>
      <c r="I1627" t="str">
        <f>IFERROR(VLOOKUP(D1627,'Team Data'!C:AB,14,FALSE),"")</f>
        <v/>
      </c>
      <c r="J1627" t="str">
        <f>IFERROR(VLOOKUP(D1627,'Team Data'!C:AB,8,FALSE),"")</f>
        <v/>
      </c>
      <c r="K1627" t="str">
        <f>IFERROR(VLOOKUP(D1627,'Team Data'!C:AB,9,FALSE),"")</f>
        <v/>
      </c>
      <c r="L1627" t="str">
        <f>IFERROR(VLOOKUP(D1627,'Team Data'!C:AB,10,FALSE),"")</f>
        <v/>
      </c>
      <c r="M1627" t="str">
        <f t="shared" si="52"/>
        <v/>
      </c>
      <c r="N1627" t="str">
        <f>IFERROR(VLOOKUP(D1627,'Team Data'!C:AB,23,FALSE),"")</f>
        <v/>
      </c>
      <c r="O1627" t="str">
        <f>IFERROR(VLOOKUP(D1627,'Team Data'!C:AB,22,FALSE),"")</f>
        <v/>
      </c>
      <c r="P1627" t="str">
        <f t="shared" si="53"/>
        <v/>
      </c>
      <c r="Q1627" t="str">
        <f>IFERROR(VLOOKUP(D1627,'Team Data'!C:AB,15,FALSE),"")</f>
        <v/>
      </c>
      <c r="R1627" t="str">
        <f>IFERROR(VLOOKUP('OB Format'!D1627,'Team Data'!C:AB,24,FALSE),"")</f>
        <v/>
      </c>
      <c r="S1627" t="str">
        <f>IFERROR(VLOOKUP('OB Format'!D1627,'Team Data'!C:AC,25,FALSE),"")</f>
        <v/>
      </c>
    </row>
    <row r="1628" spans="5:19" x14ac:dyDescent="0.25">
      <c r="E1628" t="str">
        <f>IFERROR(VLOOKUP(D1628,'Team Data'!C:AB,4,FALSE),"")</f>
        <v/>
      </c>
      <c r="F1628" t="str">
        <f>IFERROR(VLOOKUP(D1628,'Team Data'!C:AB,5,FALSE),"")</f>
        <v/>
      </c>
      <c r="G1628" t="str">
        <f>IFERROR(VLOOKUP('OB Format'!D1628,'Team Data'!C:AB,17,FALSE),"")</f>
        <v/>
      </c>
      <c r="H1628" t="str">
        <f>IFERROR(VLOOKUP(D1628,'Team Data'!C:AB,7,FALSE),"")</f>
        <v/>
      </c>
      <c r="I1628" t="str">
        <f>IFERROR(VLOOKUP(D1628,'Team Data'!C:AB,14,FALSE),"")</f>
        <v/>
      </c>
      <c r="J1628" t="str">
        <f>IFERROR(VLOOKUP(D1628,'Team Data'!C:AB,8,FALSE),"")</f>
        <v/>
      </c>
      <c r="K1628" t="str">
        <f>IFERROR(VLOOKUP(D1628,'Team Data'!C:AB,9,FALSE),"")</f>
        <v/>
      </c>
      <c r="L1628" t="str">
        <f>IFERROR(VLOOKUP(D1628,'Team Data'!C:AB,10,FALSE),"")</f>
        <v/>
      </c>
      <c r="M1628" t="str">
        <f t="shared" si="52"/>
        <v/>
      </c>
      <c r="N1628" t="str">
        <f>IFERROR(VLOOKUP(D1628,'Team Data'!C:AB,23,FALSE),"")</f>
        <v/>
      </c>
      <c r="O1628" t="str">
        <f>IFERROR(VLOOKUP(D1628,'Team Data'!C:AB,22,FALSE),"")</f>
        <v/>
      </c>
      <c r="P1628" t="str">
        <f t="shared" si="53"/>
        <v/>
      </c>
      <c r="Q1628" t="str">
        <f>IFERROR(VLOOKUP(D1628,'Team Data'!C:AB,15,FALSE),"")</f>
        <v/>
      </c>
      <c r="R1628" t="str">
        <f>IFERROR(VLOOKUP('OB Format'!D1628,'Team Data'!C:AB,24,FALSE),"")</f>
        <v/>
      </c>
      <c r="S1628" t="str">
        <f>IFERROR(VLOOKUP('OB Format'!D1628,'Team Data'!C:AC,25,FALSE),"")</f>
        <v/>
      </c>
    </row>
    <row r="1629" spans="5:19" x14ac:dyDescent="0.25">
      <c r="E1629" t="str">
        <f>IFERROR(VLOOKUP(D1629,'Team Data'!C:AB,4,FALSE),"")</f>
        <v/>
      </c>
      <c r="F1629" t="str">
        <f>IFERROR(VLOOKUP(D1629,'Team Data'!C:AB,5,FALSE),"")</f>
        <v/>
      </c>
      <c r="G1629" t="str">
        <f>IFERROR(VLOOKUP('OB Format'!D1629,'Team Data'!C:AB,17,FALSE),"")</f>
        <v/>
      </c>
      <c r="H1629" t="str">
        <f>IFERROR(VLOOKUP(D1629,'Team Data'!C:AB,7,FALSE),"")</f>
        <v/>
      </c>
      <c r="I1629" t="str">
        <f>IFERROR(VLOOKUP(D1629,'Team Data'!C:AB,14,FALSE),"")</f>
        <v/>
      </c>
      <c r="J1629" t="str">
        <f>IFERROR(VLOOKUP(D1629,'Team Data'!C:AB,8,FALSE),"")</f>
        <v/>
      </c>
      <c r="K1629" t="str">
        <f>IFERROR(VLOOKUP(D1629,'Team Data'!C:AB,9,FALSE),"")</f>
        <v/>
      </c>
      <c r="L1629" t="str">
        <f>IFERROR(VLOOKUP(D1629,'Team Data'!C:AB,10,FALSE),"")</f>
        <v/>
      </c>
      <c r="M1629" t="str">
        <f t="shared" si="52"/>
        <v/>
      </c>
      <c r="N1629" t="str">
        <f>IFERROR(VLOOKUP(D1629,'Team Data'!C:AB,23,FALSE),"")</f>
        <v/>
      </c>
      <c r="O1629" t="str">
        <f>IFERROR(VLOOKUP(D1629,'Team Data'!C:AB,22,FALSE),"")</f>
        <v/>
      </c>
      <c r="P1629" t="str">
        <f t="shared" si="53"/>
        <v/>
      </c>
      <c r="Q1629" t="str">
        <f>IFERROR(VLOOKUP(D1629,'Team Data'!C:AB,15,FALSE),"")</f>
        <v/>
      </c>
      <c r="R1629" t="str">
        <f>IFERROR(VLOOKUP('OB Format'!D1629,'Team Data'!C:AB,24,FALSE),"")</f>
        <v/>
      </c>
      <c r="S1629" t="str">
        <f>IFERROR(VLOOKUP('OB Format'!D1629,'Team Data'!C:AC,25,FALSE),"")</f>
        <v/>
      </c>
    </row>
    <row r="1630" spans="5:19" x14ac:dyDescent="0.25">
      <c r="E1630" t="str">
        <f>IFERROR(VLOOKUP(D1630,'Team Data'!C:AB,4,FALSE),"")</f>
        <v/>
      </c>
      <c r="F1630" t="str">
        <f>IFERROR(VLOOKUP(D1630,'Team Data'!C:AB,5,FALSE),"")</f>
        <v/>
      </c>
      <c r="G1630" t="str">
        <f>IFERROR(VLOOKUP('OB Format'!D1630,'Team Data'!C:AB,17,FALSE),"")</f>
        <v/>
      </c>
      <c r="H1630" t="str">
        <f>IFERROR(VLOOKUP(D1630,'Team Data'!C:AB,7,FALSE),"")</f>
        <v/>
      </c>
      <c r="I1630" t="str">
        <f>IFERROR(VLOOKUP(D1630,'Team Data'!C:AB,14,FALSE),"")</f>
        <v/>
      </c>
      <c r="J1630" t="str">
        <f>IFERROR(VLOOKUP(D1630,'Team Data'!C:AB,8,FALSE),"")</f>
        <v/>
      </c>
      <c r="K1630" t="str">
        <f>IFERROR(VLOOKUP(D1630,'Team Data'!C:AB,9,FALSE),"")</f>
        <v/>
      </c>
      <c r="L1630" t="str">
        <f>IFERROR(VLOOKUP(D1630,'Team Data'!C:AB,10,FALSE),"")</f>
        <v/>
      </c>
      <c r="M1630" t="str">
        <f t="shared" si="52"/>
        <v/>
      </c>
      <c r="N1630" t="str">
        <f>IFERROR(VLOOKUP(D1630,'Team Data'!C:AB,23,FALSE),"")</f>
        <v/>
      </c>
      <c r="O1630" t="str">
        <f>IFERROR(VLOOKUP(D1630,'Team Data'!C:AB,22,FALSE),"")</f>
        <v/>
      </c>
      <c r="P1630" t="str">
        <f t="shared" si="53"/>
        <v/>
      </c>
      <c r="Q1630" t="str">
        <f>IFERROR(VLOOKUP(D1630,'Team Data'!C:AB,15,FALSE),"")</f>
        <v/>
      </c>
      <c r="R1630" t="str">
        <f>IFERROR(VLOOKUP('OB Format'!D1630,'Team Data'!C:AB,24,FALSE),"")</f>
        <v/>
      </c>
      <c r="S1630" t="str">
        <f>IFERROR(VLOOKUP('OB Format'!D1630,'Team Data'!C:AC,25,FALSE),"")</f>
        <v/>
      </c>
    </row>
    <row r="1631" spans="5:19" x14ac:dyDescent="0.25">
      <c r="E1631" t="str">
        <f>IFERROR(VLOOKUP(D1631,'Team Data'!C:AB,4,FALSE),"")</f>
        <v/>
      </c>
      <c r="F1631" t="str">
        <f>IFERROR(VLOOKUP(D1631,'Team Data'!C:AB,5,FALSE),"")</f>
        <v/>
      </c>
      <c r="G1631" t="str">
        <f>IFERROR(VLOOKUP('OB Format'!D1631,'Team Data'!C:AB,17,FALSE),"")</f>
        <v/>
      </c>
      <c r="H1631" t="str">
        <f>IFERROR(VLOOKUP(D1631,'Team Data'!C:AB,7,FALSE),"")</f>
        <v/>
      </c>
      <c r="I1631" t="str">
        <f>IFERROR(VLOOKUP(D1631,'Team Data'!C:AB,14,FALSE),"")</f>
        <v/>
      </c>
      <c r="J1631" t="str">
        <f>IFERROR(VLOOKUP(D1631,'Team Data'!C:AB,8,FALSE),"")</f>
        <v/>
      </c>
      <c r="K1631" t="str">
        <f>IFERROR(VLOOKUP(D1631,'Team Data'!C:AB,9,FALSE),"")</f>
        <v/>
      </c>
      <c r="L1631" t="str">
        <f>IFERROR(VLOOKUP(D1631,'Team Data'!C:AB,10,FALSE),"")</f>
        <v/>
      </c>
      <c r="M1631" t="str">
        <f t="shared" si="52"/>
        <v/>
      </c>
      <c r="N1631" t="str">
        <f>IFERROR(VLOOKUP(D1631,'Team Data'!C:AB,23,FALSE),"")</f>
        <v/>
      </c>
      <c r="O1631" t="str">
        <f>IFERROR(VLOOKUP(D1631,'Team Data'!C:AB,22,FALSE),"")</f>
        <v/>
      </c>
      <c r="P1631" t="str">
        <f t="shared" si="53"/>
        <v/>
      </c>
      <c r="Q1631" t="str">
        <f>IFERROR(VLOOKUP(D1631,'Team Data'!C:AB,15,FALSE),"")</f>
        <v/>
      </c>
      <c r="R1631" t="str">
        <f>IFERROR(VLOOKUP('OB Format'!D1631,'Team Data'!C:AB,24,FALSE),"")</f>
        <v/>
      </c>
      <c r="S1631" t="str">
        <f>IFERROR(VLOOKUP('OB Format'!D1631,'Team Data'!C:AC,25,FALSE),"")</f>
        <v/>
      </c>
    </row>
    <row r="1632" spans="5:19" x14ac:dyDescent="0.25">
      <c r="E1632" t="str">
        <f>IFERROR(VLOOKUP(D1632,'Team Data'!C:AB,4,FALSE),"")</f>
        <v/>
      </c>
      <c r="F1632" t="str">
        <f>IFERROR(VLOOKUP(D1632,'Team Data'!C:AB,5,FALSE),"")</f>
        <v/>
      </c>
      <c r="G1632" t="str">
        <f>IFERROR(VLOOKUP('OB Format'!D1632,'Team Data'!C:AB,17,FALSE),"")</f>
        <v/>
      </c>
      <c r="H1632" t="str">
        <f>IFERROR(VLOOKUP(D1632,'Team Data'!C:AB,7,FALSE),"")</f>
        <v/>
      </c>
      <c r="I1632" t="str">
        <f>IFERROR(VLOOKUP(D1632,'Team Data'!C:AB,14,FALSE),"")</f>
        <v/>
      </c>
      <c r="J1632" t="str">
        <f>IFERROR(VLOOKUP(D1632,'Team Data'!C:AB,8,FALSE),"")</f>
        <v/>
      </c>
      <c r="K1632" t="str">
        <f>IFERROR(VLOOKUP(D1632,'Team Data'!C:AB,9,FALSE),"")</f>
        <v/>
      </c>
      <c r="L1632" t="str">
        <f>IFERROR(VLOOKUP(D1632,'Team Data'!C:AB,10,FALSE),"")</f>
        <v/>
      </c>
      <c r="M1632" t="str">
        <f t="shared" si="52"/>
        <v/>
      </c>
      <c r="N1632" t="str">
        <f>IFERROR(VLOOKUP(D1632,'Team Data'!C:AB,23,FALSE),"")</f>
        <v/>
      </c>
      <c r="O1632" t="str">
        <f>IFERROR(VLOOKUP(D1632,'Team Data'!C:AB,22,FALSE),"")</f>
        <v/>
      </c>
      <c r="P1632" t="str">
        <f t="shared" si="53"/>
        <v/>
      </c>
      <c r="Q1632" t="str">
        <f>IFERROR(VLOOKUP(D1632,'Team Data'!C:AB,15,FALSE),"")</f>
        <v/>
      </c>
      <c r="R1632" t="str">
        <f>IFERROR(VLOOKUP('OB Format'!D1632,'Team Data'!C:AB,24,FALSE),"")</f>
        <v/>
      </c>
      <c r="S1632" t="str">
        <f>IFERROR(VLOOKUP('OB Format'!D1632,'Team Data'!C:AC,25,FALSE),"")</f>
        <v/>
      </c>
    </row>
    <row r="1633" spans="5:19" x14ac:dyDescent="0.25">
      <c r="E1633" t="str">
        <f>IFERROR(VLOOKUP(D1633,'Team Data'!C:AB,4,FALSE),"")</f>
        <v/>
      </c>
      <c r="F1633" t="str">
        <f>IFERROR(VLOOKUP(D1633,'Team Data'!C:AB,5,FALSE),"")</f>
        <v/>
      </c>
      <c r="G1633" t="str">
        <f>IFERROR(VLOOKUP('OB Format'!D1633,'Team Data'!C:AB,17,FALSE),"")</f>
        <v/>
      </c>
      <c r="H1633" t="str">
        <f>IFERROR(VLOOKUP(D1633,'Team Data'!C:AB,7,FALSE),"")</f>
        <v/>
      </c>
      <c r="I1633" t="str">
        <f>IFERROR(VLOOKUP(D1633,'Team Data'!C:AB,14,FALSE),"")</f>
        <v/>
      </c>
      <c r="J1633" t="str">
        <f>IFERROR(VLOOKUP(D1633,'Team Data'!C:AB,8,FALSE),"")</f>
        <v/>
      </c>
      <c r="K1633" t="str">
        <f>IFERROR(VLOOKUP(D1633,'Team Data'!C:AB,9,FALSE),"")</f>
        <v/>
      </c>
      <c r="L1633" t="str">
        <f>IFERROR(VLOOKUP(D1633,'Team Data'!C:AB,10,FALSE),"")</f>
        <v/>
      </c>
      <c r="M1633" t="str">
        <f t="shared" si="52"/>
        <v/>
      </c>
      <c r="N1633" t="str">
        <f>IFERROR(VLOOKUP(D1633,'Team Data'!C:AB,23,FALSE),"")</f>
        <v/>
      </c>
      <c r="O1633" t="str">
        <f>IFERROR(VLOOKUP(D1633,'Team Data'!C:AB,22,FALSE),"")</f>
        <v/>
      </c>
      <c r="P1633" t="str">
        <f t="shared" si="53"/>
        <v/>
      </c>
      <c r="Q1633" t="str">
        <f>IFERROR(VLOOKUP(D1633,'Team Data'!C:AB,15,FALSE),"")</f>
        <v/>
      </c>
      <c r="R1633" t="str">
        <f>IFERROR(VLOOKUP('OB Format'!D1633,'Team Data'!C:AB,24,FALSE),"")</f>
        <v/>
      </c>
      <c r="S1633" t="str">
        <f>IFERROR(VLOOKUP('OB Format'!D1633,'Team Data'!C:AC,25,FALSE),"")</f>
        <v/>
      </c>
    </row>
    <row r="1634" spans="5:19" x14ac:dyDescent="0.25">
      <c r="E1634" t="str">
        <f>IFERROR(VLOOKUP(D1634,'Team Data'!C:AB,4,FALSE),"")</f>
        <v/>
      </c>
      <c r="F1634" t="str">
        <f>IFERROR(VLOOKUP(D1634,'Team Data'!C:AB,5,FALSE),"")</f>
        <v/>
      </c>
      <c r="G1634" t="str">
        <f>IFERROR(VLOOKUP('OB Format'!D1634,'Team Data'!C:AB,17,FALSE),"")</f>
        <v/>
      </c>
      <c r="H1634" t="str">
        <f>IFERROR(VLOOKUP(D1634,'Team Data'!C:AB,7,FALSE),"")</f>
        <v/>
      </c>
      <c r="I1634" t="str">
        <f>IFERROR(VLOOKUP(D1634,'Team Data'!C:AB,14,FALSE),"")</f>
        <v/>
      </c>
      <c r="J1634" t="str">
        <f>IFERROR(VLOOKUP(D1634,'Team Data'!C:AB,8,FALSE),"")</f>
        <v/>
      </c>
      <c r="K1634" t="str">
        <f>IFERROR(VLOOKUP(D1634,'Team Data'!C:AB,9,FALSE),"")</f>
        <v/>
      </c>
      <c r="L1634" t="str">
        <f>IFERROR(VLOOKUP(D1634,'Team Data'!C:AB,10,FALSE),"")</f>
        <v/>
      </c>
      <c r="M1634" t="str">
        <f t="shared" si="52"/>
        <v/>
      </c>
      <c r="N1634" t="str">
        <f>IFERROR(VLOOKUP(D1634,'Team Data'!C:AB,23,FALSE),"")</f>
        <v/>
      </c>
      <c r="O1634" t="str">
        <f>IFERROR(VLOOKUP(D1634,'Team Data'!C:AB,22,FALSE),"")</f>
        <v/>
      </c>
      <c r="P1634" t="str">
        <f t="shared" si="53"/>
        <v/>
      </c>
      <c r="Q1634" t="str">
        <f>IFERROR(VLOOKUP(D1634,'Team Data'!C:AB,15,FALSE),"")</f>
        <v/>
      </c>
      <c r="R1634" t="str">
        <f>IFERROR(VLOOKUP('OB Format'!D1634,'Team Data'!C:AB,24,FALSE),"")</f>
        <v/>
      </c>
      <c r="S1634" t="str">
        <f>IFERROR(VLOOKUP('OB Format'!D1634,'Team Data'!C:AC,25,FALSE),"")</f>
        <v/>
      </c>
    </row>
    <row r="1635" spans="5:19" x14ac:dyDescent="0.25">
      <c r="E1635" t="str">
        <f>IFERROR(VLOOKUP(D1635,'Team Data'!C:AB,4,FALSE),"")</f>
        <v/>
      </c>
      <c r="F1635" t="str">
        <f>IFERROR(VLOOKUP(D1635,'Team Data'!C:AB,5,FALSE),"")</f>
        <v/>
      </c>
      <c r="G1635" t="str">
        <f>IFERROR(VLOOKUP('OB Format'!D1635,'Team Data'!C:AB,17,FALSE),"")</f>
        <v/>
      </c>
      <c r="H1635" t="str">
        <f>IFERROR(VLOOKUP(D1635,'Team Data'!C:AB,7,FALSE),"")</f>
        <v/>
      </c>
      <c r="I1635" t="str">
        <f>IFERROR(VLOOKUP(D1635,'Team Data'!C:AB,14,FALSE),"")</f>
        <v/>
      </c>
      <c r="J1635" t="str">
        <f>IFERROR(VLOOKUP(D1635,'Team Data'!C:AB,8,FALSE),"")</f>
        <v/>
      </c>
      <c r="K1635" t="str">
        <f>IFERROR(VLOOKUP(D1635,'Team Data'!C:AB,9,FALSE),"")</f>
        <v/>
      </c>
      <c r="L1635" t="str">
        <f>IFERROR(VLOOKUP(D1635,'Team Data'!C:AB,10,FALSE),"")</f>
        <v/>
      </c>
      <c r="M1635" t="str">
        <f t="shared" si="52"/>
        <v/>
      </c>
      <c r="N1635" t="str">
        <f>IFERROR(VLOOKUP(D1635,'Team Data'!C:AB,23,FALSE),"")</f>
        <v/>
      </c>
      <c r="O1635" t="str">
        <f>IFERROR(VLOOKUP(D1635,'Team Data'!C:AB,22,FALSE),"")</f>
        <v/>
      </c>
      <c r="P1635" t="str">
        <f t="shared" si="53"/>
        <v/>
      </c>
      <c r="Q1635" t="str">
        <f>IFERROR(VLOOKUP(D1635,'Team Data'!C:AB,15,FALSE),"")</f>
        <v/>
      </c>
      <c r="R1635" t="str">
        <f>IFERROR(VLOOKUP('OB Format'!D1635,'Team Data'!C:AB,24,FALSE),"")</f>
        <v/>
      </c>
      <c r="S1635" t="str">
        <f>IFERROR(VLOOKUP('OB Format'!D1635,'Team Data'!C:AC,25,FALSE),"")</f>
        <v/>
      </c>
    </row>
    <row r="1636" spans="5:19" x14ac:dyDescent="0.25">
      <c r="E1636" t="str">
        <f>IFERROR(VLOOKUP(D1636,'Team Data'!C:AB,4,FALSE),"")</f>
        <v/>
      </c>
      <c r="F1636" t="str">
        <f>IFERROR(VLOOKUP(D1636,'Team Data'!C:AB,5,FALSE),"")</f>
        <v/>
      </c>
      <c r="G1636" t="str">
        <f>IFERROR(VLOOKUP('OB Format'!D1636,'Team Data'!C:AB,17,FALSE),"")</f>
        <v/>
      </c>
      <c r="H1636" t="str">
        <f>IFERROR(VLOOKUP(D1636,'Team Data'!C:AB,7,FALSE),"")</f>
        <v/>
      </c>
      <c r="I1636" t="str">
        <f>IFERROR(VLOOKUP(D1636,'Team Data'!C:AB,14,FALSE),"")</f>
        <v/>
      </c>
      <c r="J1636" t="str">
        <f>IFERROR(VLOOKUP(D1636,'Team Data'!C:AB,8,FALSE),"")</f>
        <v/>
      </c>
      <c r="K1636" t="str">
        <f>IFERROR(VLOOKUP(D1636,'Team Data'!C:AB,9,FALSE),"")</f>
        <v/>
      </c>
      <c r="L1636" t="str">
        <f>IFERROR(VLOOKUP(D1636,'Team Data'!C:AB,10,FALSE),"")</f>
        <v/>
      </c>
      <c r="M1636" t="str">
        <f t="shared" si="52"/>
        <v/>
      </c>
      <c r="N1636" t="str">
        <f>IFERROR(VLOOKUP(D1636,'Team Data'!C:AB,23,FALSE),"")</f>
        <v/>
      </c>
      <c r="O1636" t="str">
        <f>IFERROR(VLOOKUP(D1636,'Team Data'!C:AB,22,FALSE),"")</f>
        <v/>
      </c>
      <c r="P1636" t="str">
        <f t="shared" si="53"/>
        <v/>
      </c>
      <c r="Q1636" t="str">
        <f>IFERROR(VLOOKUP(D1636,'Team Data'!C:AB,15,FALSE),"")</f>
        <v/>
      </c>
      <c r="R1636" t="str">
        <f>IFERROR(VLOOKUP('OB Format'!D1636,'Team Data'!C:AB,24,FALSE),"")</f>
        <v/>
      </c>
      <c r="S1636" t="str">
        <f>IFERROR(VLOOKUP('OB Format'!D1636,'Team Data'!C:AC,25,FALSE),"")</f>
        <v/>
      </c>
    </row>
    <row r="1637" spans="5:19" x14ac:dyDescent="0.25">
      <c r="E1637" t="str">
        <f>IFERROR(VLOOKUP(D1637,'Team Data'!C:AB,4,FALSE),"")</f>
        <v/>
      </c>
      <c r="F1637" t="str">
        <f>IFERROR(VLOOKUP(D1637,'Team Data'!C:AB,5,FALSE),"")</f>
        <v/>
      </c>
      <c r="G1637" t="str">
        <f>IFERROR(VLOOKUP('OB Format'!D1637,'Team Data'!C:AB,17,FALSE),"")</f>
        <v/>
      </c>
      <c r="H1637" t="str">
        <f>IFERROR(VLOOKUP(D1637,'Team Data'!C:AB,7,FALSE),"")</f>
        <v/>
      </c>
      <c r="I1637" t="str">
        <f>IFERROR(VLOOKUP(D1637,'Team Data'!C:AB,14,FALSE),"")</f>
        <v/>
      </c>
      <c r="J1637" t="str">
        <f>IFERROR(VLOOKUP(D1637,'Team Data'!C:AB,8,FALSE),"")</f>
        <v/>
      </c>
      <c r="K1637" t="str">
        <f>IFERROR(VLOOKUP(D1637,'Team Data'!C:AB,9,FALSE),"")</f>
        <v/>
      </c>
      <c r="L1637" t="str">
        <f>IFERROR(VLOOKUP(D1637,'Team Data'!C:AB,10,FALSE),"")</f>
        <v/>
      </c>
      <c r="M1637" t="str">
        <f t="shared" si="52"/>
        <v/>
      </c>
      <c r="N1637" t="str">
        <f>IFERROR(VLOOKUP(D1637,'Team Data'!C:AB,23,FALSE),"")</f>
        <v/>
      </c>
      <c r="O1637" t="str">
        <f>IFERROR(VLOOKUP(D1637,'Team Data'!C:AB,22,FALSE),"")</f>
        <v/>
      </c>
      <c r="P1637" t="str">
        <f t="shared" si="53"/>
        <v/>
      </c>
      <c r="Q1637" t="str">
        <f>IFERROR(VLOOKUP(D1637,'Team Data'!C:AB,15,FALSE),"")</f>
        <v/>
      </c>
      <c r="R1637" t="str">
        <f>IFERROR(VLOOKUP('OB Format'!D1637,'Team Data'!C:AB,24,FALSE),"")</f>
        <v/>
      </c>
      <c r="S1637" t="str">
        <f>IFERROR(VLOOKUP('OB Format'!D1637,'Team Data'!C:AC,25,FALSE),"")</f>
        <v/>
      </c>
    </row>
    <row r="1638" spans="5:19" x14ac:dyDescent="0.25">
      <c r="E1638" t="str">
        <f>IFERROR(VLOOKUP(D1638,'Team Data'!C:AB,4,FALSE),"")</f>
        <v/>
      </c>
      <c r="F1638" t="str">
        <f>IFERROR(VLOOKUP(D1638,'Team Data'!C:AB,5,FALSE),"")</f>
        <v/>
      </c>
      <c r="G1638" t="str">
        <f>IFERROR(VLOOKUP('OB Format'!D1638,'Team Data'!C:AB,17,FALSE),"")</f>
        <v/>
      </c>
      <c r="H1638" t="str">
        <f>IFERROR(VLOOKUP(D1638,'Team Data'!C:AB,7,FALSE),"")</f>
        <v/>
      </c>
      <c r="I1638" t="str">
        <f>IFERROR(VLOOKUP(D1638,'Team Data'!C:AB,14,FALSE),"")</f>
        <v/>
      </c>
      <c r="J1638" t="str">
        <f>IFERROR(VLOOKUP(D1638,'Team Data'!C:AB,8,FALSE),"")</f>
        <v/>
      </c>
      <c r="K1638" t="str">
        <f>IFERROR(VLOOKUP(D1638,'Team Data'!C:AB,9,FALSE),"")</f>
        <v/>
      </c>
      <c r="L1638" t="str">
        <f>IFERROR(VLOOKUP(D1638,'Team Data'!C:AB,10,FALSE),"")</f>
        <v/>
      </c>
      <c r="M1638" t="str">
        <f t="shared" si="52"/>
        <v/>
      </c>
      <c r="N1638" t="str">
        <f>IFERROR(VLOOKUP(D1638,'Team Data'!C:AB,23,FALSE),"")</f>
        <v/>
      </c>
      <c r="O1638" t="str">
        <f>IFERROR(VLOOKUP(D1638,'Team Data'!C:AB,22,FALSE),"")</f>
        <v/>
      </c>
      <c r="P1638" t="str">
        <f t="shared" si="53"/>
        <v/>
      </c>
      <c r="Q1638" t="str">
        <f>IFERROR(VLOOKUP(D1638,'Team Data'!C:AB,15,FALSE),"")</f>
        <v/>
      </c>
      <c r="R1638" t="str">
        <f>IFERROR(VLOOKUP('OB Format'!D1638,'Team Data'!C:AB,24,FALSE),"")</f>
        <v/>
      </c>
      <c r="S1638" t="str">
        <f>IFERROR(VLOOKUP('OB Format'!D1638,'Team Data'!C:AC,25,FALSE),"")</f>
        <v/>
      </c>
    </row>
    <row r="1639" spans="5:19" x14ac:dyDescent="0.25">
      <c r="E1639" t="str">
        <f>IFERROR(VLOOKUP(D1639,'Team Data'!C:AB,4,FALSE),"")</f>
        <v/>
      </c>
      <c r="F1639" t="str">
        <f>IFERROR(VLOOKUP(D1639,'Team Data'!C:AB,5,FALSE),"")</f>
        <v/>
      </c>
      <c r="G1639" t="str">
        <f>IFERROR(VLOOKUP('OB Format'!D1639,'Team Data'!C:AB,17,FALSE),"")</f>
        <v/>
      </c>
      <c r="H1639" t="str">
        <f>IFERROR(VLOOKUP(D1639,'Team Data'!C:AB,7,FALSE),"")</f>
        <v/>
      </c>
      <c r="I1639" t="str">
        <f>IFERROR(VLOOKUP(D1639,'Team Data'!C:AB,14,FALSE),"")</f>
        <v/>
      </c>
      <c r="J1639" t="str">
        <f>IFERROR(VLOOKUP(D1639,'Team Data'!C:AB,8,FALSE),"")</f>
        <v/>
      </c>
      <c r="K1639" t="str">
        <f>IFERROR(VLOOKUP(D1639,'Team Data'!C:AB,9,FALSE),"")</f>
        <v/>
      </c>
      <c r="L1639" t="str">
        <f>IFERROR(VLOOKUP(D1639,'Team Data'!C:AB,10,FALSE),"")</f>
        <v/>
      </c>
      <c r="M1639" t="str">
        <f t="shared" si="52"/>
        <v/>
      </c>
      <c r="N1639" t="str">
        <f>IFERROR(VLOOKUP(D1639,'Team Data'!C:AB,23,FALSE),"")</f>
        <v/>
      </c>
      <c r="O1639" t="str">
        <f>IFERROR(VLOOKUP(D1639,'Team Data'!C:AB,22,FALSE),"")</f>
        <v/>
      </c>
      <c r="P1639" t="str">
        <f t="shared" si="53"/>
        <v/>
      </c>
      <c r="Q1639" t="str">
        <f>IFERROR(VLOOKUP(D1639,'Team Data'!C:AB,15,FALSE),"")</f>
        <v/>
      </c>
      <c r="R1639" t="str">
        <f>IFERROR(VLOOKUP('OB Format'!D1639,'Team Data'!C:AB,24,FALSE),"")</f>
        <v/>
      </c>
      <c r="S1639" t="str">
        <f>IFERROR(VLOOKUP('OB Format'!D1639,'Team Data'!C:AC,25,FALSE),"")</f>
        <v/>
      </c>
    </row>
    <row r="1640" spans="5:19" x14ac:dyDescent="0.25">
      <c r="E1640" t="str">
        <f>IFERROR(VLOOKUP(D1640,'Team Data'!C:AB,4,FALSE),"")</f>
        <v/>
      </c>
      <c r="F1640" t="str">
        <f>IFERROR(VLOOKUP(D1640,'Team Data'!C:AB,5,FALSE),"")</f>
        <v/>
      </c>
      <c r="G1640" t="str">
        <f>IFERROR(VLOOKUP('OB Format'!D1640,'Team Data'!C:AB,17,FALSE),"")</f>
        <v/>
      </c>
      <c r="H1640" t="str">
        <f>IFERROR(VLOOKUP(D1640,'Team Data'!C:AB,7,FALSE),"")</f>
        <v/>
      </c>
      <c r="I1640" t="str">
        <f>IFERROR(VLOOKUP(D1640,'Team Data'!C:AB,14,FALSE),"")</f>
        <v/>
      </c>
      <c r="J1640" t="str">
        <f>IFERROR(VLOOKUP(D1640,'Team Data'!C:AB,8,FALSE),"")</f>
        <v/>
      </c>
      <c r="K1640" t="str">
        <f>IFERROR(VLOOKUP(D1640,'Team Data'!C:AB,9,FALSE),"")</f>
        <v/>
      </c>
      <c r="L1640" t="str">
        <f>IFERROR(VLOOKUP(D1640,'Team Data'!C:AB,10,FALSE),"")</f>
        <v/>
      </c>
      <c r="M1640" t="str">
        <f t="shared" si="52"/>
        <v/>
      </c>
      <c r="N1640" t="str">
        <f>IFERROR(VLOOKUP(D1640,'Team Data'!C:AB,23,FALSE),"")</f>
        <v/>
      </c>
      <c r="O1640" t="str">
        <f>IFERROR(VLOOKUP(D1640,'Team Data'!C:AB,22,FALSE),"")</f>
        <v/>
      </c>
      <c r="P1640" t="str">
        <f t="shared" si="53"/>
        <v/>
      </c>
      <c r="Q1640" t="str">
        <f>IFERROR(VLOOKUP(D1640,'Team Data'!C:AB,15,FALSE),"")</f>
        <v/>
      </c>
      <c r="R1640" t="str">
        <f>IFERROR(VLOOKUP('OB Format'!D1640,'Team Data'!C:AB,24,FALSE),"")</f>
        <v/>
      </c>
      <c r="S1640" t="str">
        <f>IFERROR(VLOOKUP('OB Format'!D1640,'Team Data'!C:AC,25,FALSE),"")</f>
        <v/>
      </c>
    </row>
    <row r="1641" spans="5:19" x14ac:dyDescent="0.25">
      <c r="E1641" t="str">
        <f>IFERROR(VLOOKUP(D1641,'Team Data'!C:AB,4,FALSE),"")</f>
        <v/>
      </c>
      <c r="F1641" t="str">
        <f>IFERROR(VLOOKUP(D1641,'Team Data'!C:AB,5,FALSE),"")</f>
        <v/>
      </c>
      <c r="G1641" t="str">
        <f>IFERROR(VLOOKUP('OB Format'!D1641,'Team Data'!C:AB,17,FALSE),"")</f>
        <v/>
      </c>
      <c r="H1641" t="str">
        <f>IFERROR(VLOOKUP(D1641,'Team Data'!C:AB,7,FALSE),"")</f>
        <v/>
      </c>
      <c r="I1641" t="str">
        <f>IFERROR(VLOOKUP(D1641,'Team Data'!C:AB,14,FALSE),"")</f>
        <v/>
      </c>
      <c r="J1641" t="str">
        <f>IFERROR(VLOOKUP(D1641,'Team Data'!C:AB,8,FALSE),"")</f>
        <v/>
      </c>
      <c r="K1641" t="str">
        <f>IFERROR(VLOOKUP(D1641,'Team Data'!C:AB,9,FALSE),"")</f>
        <v/>
      </c>
      <c r="L1641" t="str">
        <f>IFERROR(VLOOKUP(D1641,'Team Data'!C:AB,10,FALSE),"")</f>
        <v/>
      </c>
      <c r="M1641" t="str">
        <f t="shared" si="52"/>
        <v/>
      </c>
      <c r="N1641" t="str">
        <f>IFERROR(VLOOKUP(D1641,'Team Data'!C:AB,23,FALSE),"")</f>
        <v/>
      </c>
      <c r="O1641" t="str">
        <f>IFERROR(VLOOKUP(D1641,'Team Data'!C:AB,22,FALSE),"")</f>
        <v/>
      </c>
      <c r="P1641" t="str">
        <f t="shared" si="53"/>
        <v/>
      </c>
      <c r="Q1641" t="str">
        <f>IFERROR(VLOOKUP(D1641,'Team Data'!C:AB,15,FALSE),"")</f>
        <v/>
      </c>
      <c r="R1641" t="str">
        <f>IFERROR(VLOOKUP('OB Format'!D1641,'Team Data'!C:AB,24,FALSE),"")</f>
        <v/>
      </c>
      <c r="S1641" t="str">
        <f>IFERROR(VLOOKUP('OB Format'!D1641,'Team Data'!C:AC,25,FALSE),"")</f>
        <v/>
      </c>
    </row>
    <row r="1642" spans="5:19" x14ac:dyDescent="0.25">
      <c r="E1642" t="str">
        <f>IFERROR(VLOOKUP(D1642,'Team Data'!C:AB,4,FALSE),"")</f>
        <v/>
      </c>
      <c r="F1642" t="str">
        <f>IFERROR(VLOOKUP(D1642,'Team Data'!C:AB,5,FALSE),"")</f>
        <v/>
      </c>
      <c r="G1642" t="str">
        <f>IFERROR(VLOOKUP('OB Format'!D1642,'Team Data'!C:AB,17,FALSE),"")</f>
        <v/>
      </c>
      <c r="H1642" t="str">
        <f>IFERROR(VLOOKUP(D1642,'Team Data'!C:AB,7,FALSE),"")</f>
        <v/>
      </c>
      <c r="I1642" t="str">
        <f>IFERROR(VLOOKUP(D1642,'Team Data'!C:AB,14,FALSE),"")</f>
        <v/>
      </c>
      <c r="J1642" t="str">
        <f>IFERROR(VLOOKUP(D1642,'Team Data'!C:AB,8,FALSE),"")</f>
        <v/>
      </c>
      <c r="K1642" t="str">
        <f>IFERROR(VLOOKUP(D1642,'Team Data'!C:AB,9,FALSE),"")</f>
        <v/>
      </c>
      <c r="L1642" t="str">
        <f>IFERROR(VLOOKUP(D1642,'Team Data'!C:AB,10,FALSE),"")</f>
        <v/>
      </c>
      <c r="M1642" t="str">
        <f t="shared" si="52"/>
        <v/>
      </c>
      <c r="N1642" t="str">
        <f>IFERROR(VLOOKUP(D1642,'Team Data'!C:AB,23,FALSE),"")</f>
        <v/>
      </c>
      <c r="O1642" t="str">
        <f>IFERROR(VLOOKUP(D1642,'Team Data'!C:AB,22,FALSE),"")</f>
        <v/>
      </c>
      <c r="P1642" t="str">
        <f t="shared" si="53"/>
        <v/>
      </c>
      <c r="Q1642" t="str">
        <f>IFERROR(VLOOKUP(D1642,'Team Data'!C:AB,15,FALSE),"")</f>
        <v/>
      </c>
      <c r="R1642" t="str">
        <f>IFERROR(VLOOKUP('OB Format'!D1642,'Team Data'!C:AB,24,FALSE),"")</f>
        <v/>
      </c>
      <c r="S1642" t="str">
        <f>IFERROR(VLOOKUP('OB Format'!D1642,'Team Data'!C:AC,25,FALSE),"")</f>
        <v/>
      </c>
    </row>
    <row r="1643" spans="5:19" x14ac:dyDescent="0.25">
      <c r="E1643" t="str">
        <f>IFERROR(VLOOKUP(D1643,'Team Data'!C:AB,4,FALSE),"")</f>
        <v/>
      </c>
      <c r="F1643" t="str">
        <f>IFERROR(VLOOKUP(D1643,'Team Data'!C:AB,5,FALSE),"")</f>
        <v/>
      </c>
      <c r="G1643" t="str">
        <f>IFERROR(VLOOKUP('OB Format'!D1643,'Team Data'!C:AB,17,FALSE),"")</f>
        <v/>
      </c>
      <c r="H1643" t="str">
        <f>IFERROR(VLOOKUP(D1643,'Team Data'!C:AB,7,FALSE),"")</f>
        <v/>
      </c>
      <c r="I1643" t="str">
        <f>IFERROR(VLOOKUP(D1643,'Team Data'!C:AB,14,FALSE),"")</f>
        <v/>
      </c>
      <c r="J1643" t="str">
        <f>IFERROR(VLOOKUP(D1643,'Team Data'!C:AB,8,FALSE),"")</f>
        <v/>
      </c>
      <c r="K1643" t="str">
        <f>IFERROR(VLOOKUP(D1643,'Team Data'!C:AB,9,FALSE),"")</f>
        <v/>
      </c>
      <c r="L1643" t="str">
        <f>IFERROR(VLOOKUP(D1643,'Team Data'!C:AB,10,FALSE),"")</f>
        <v/>
      </c>
      <c r="M1643" t="str">
        <f t="shared" si="52"/>
        <v/>
      </c>
      <c r="N1643" t="str">
        <f>IFERROR(VLOOKUP(D1643,'Team Data'!C:AB,23,FALSE),"")</f>
        <v/>
      </c>
      <c r="O1643" t="str">
        <f>IFERROR(VLOOKUP(D1643,'Team Data'!C:AB,22,FALSE),"")</f>
        <v/>
      </c>
      <c r="P1643" t="str">
        <f t="shared" si="53"/>
        <v/>
      </c>
      <c r="Q1643" t="str">
        <f>IFERROR(VLOOKUP(D1643,'Team Data'!C:AB,15,FALSE),"")</f>
        <v/>
      </c>
      <c r="R1643" t="str">
        <f>IFERROR(VLOOKUP('OB Format'!D1643,'Team Data'!C:AB,24,FALSE),"")</f>
        <v/>
      </c>
      <c r="S1643" t="str">
        <f>IFERROR(VLOOKUP('OB Format'!D1643,'Team Data'!C:AC,25,FALSE),"")</f>
        <v/>
      </c>
    </row>
    <row r="1644" spans="5:19" x14ac:dyDescent="0.25">
      <c r="E1644" t="str">
        <f>IFERROR(VLOOKUP(D1644,'Team Data'!C:AB,4,FALSE),"")</f>
        <v/>
      </c>
      <c r="F1644" t="str">
        <f>IFERROR(VLOOKUP(D1644,'Team Data'!C:AB,5,FALSE),"")</f>
        <v/>
      </c>
      <c r="G1644" t="str">
        <f>IFERROR(VLOOKUP('OB Format'!D1644,'Team Data'!C:AB,17,FALSE),"")</f>
        <v/>
      </c>
      <c r="H1644" t="str">
        <f>IFERROR(VLOOKUP(D1644,'Team Data'!C:AB,7,FALSE),"")</f>
        <v/>
      </c>
      <c r="I1644" t="str">
        <f>IFERROR(VLOOKUP(D1644,'Team Data'!C:AB,14,FALSE),"")</f>
        <v/>
      </c>
      <c r="J1644" t="str">
        <f>IFERROR(VLOOKUP(D1644,'Team Data'!C:AB,8,FALSE),"")</f>
        <v/>
      </c>
      <c r="K1644" t="str">
        <f>IFERROR(VLOOKUP(D1644,'Team Data'!C:AB,9,FALSE),"")</f>
        <v/>
      </c>
      <c r="L1644" t="str">
        <f>IFERROR(VLOOKUP(D1644,'Team Data'!C:AB,10,FALSE),"")</f>
        <v/>
      </c>
      <c r="M1644" t="str">
        <f t="shared" si="52"/>
        <v/>
      </c>
      <c r="N1644" t="str">
        <f>IFERROR(VLOOKUP(D1644,'Team Data'!C:AB,23,FALSE),"")</f>
        <v/>
      </c>
      <c r="O1644" t="str">
        <f>IFERROR(VLOOKUP(D1644,'Team Data'!C:AB,22,FALSE),"")</f>
        <v/>
      </c>
      <c r="P1644" t="str">
        <f t="shared" si="53"/>
        <v/>
      </c>
      <c r="Q1644" t="str">
        <f>IFERROR(VLOOKUP(D1644,'Team Data'!C:AB,15,FALSE),"")</f>
        <v/>
      </c>
      <c r="R1644" t="str">
        <f>IFERROR(VLOOKUP('OB Format'!D1644,'Team Data'!C:AB,24,FALSE),"")</f>
        <v/>
      </c>
      <c r="S1644" t="str">
        <f>IFERROR(VLOOKUP('OB Format'!D1644,'Team Data'!C:AC,25,FALSE),"")</f>
        <v/>
      </c>
    </row>
    <row r="1645" spans="5:19" x14ac:dyDescent="0.25">
      <c r="E1645" t="str">
        <f>IFERROR(VLOOKUP(D1645,'Team Data'!C:AB,4,FALSE),"")</f>
        <v/>
      </c>
      <c r="F1645" t="str">
        <f>IFERROR(VLOOKUP(D1645,'Team Data'!C:AB,5,FALSE),"")</f>
        <v/>
      </c>
      <c r="G1645" t="str">
        <f>IFERROR(VLOOKUP('OB Format'!D1645,'Team Data'!C:AB,17,FALSE),"")</f>
        <v/>
      </c>
      <c r="H1645" t="str">
        <f>IFERROR(VLOOKUP(D1645,'Team Data'!C:AB,7,FALSE),"")</f>
        <v/>
      </c>
      <c r="I1645" t="str">
        <f>IFERROR(VLOOKUP(D1645,'Team Data'!C:AB,14,FALSE),"")</f>
        <v/>
      </c>
      <c r="J1645" t="str">
        <f>IFERROR(VLOOKUP(D1645,'Team Data'!C:AB,8,FALSE),"")</f>
        <v/>
      </c>
      <c r="K1645" t="str">
        <f>IFERROR(VLOOKUP(D1645,'Team Data'!C:AB,9,FALSE),"")</f>
        <v/>
      </c>
      <c r="L1645" t="str">
        <f>IFERROR(VLOOKUP(D1645,'Team Data'!C:AB,10,FALSE),"")</f>
        <v/>
      </c>
      <c r="M1645" t="str">
        <f t="shared" si="52"/>
        <v/>
      </c>
      <c r="N1645" t="str">
        <f>IFERROR(VLOOKUP(D1645,'Team Data'!C:AB,23,FALSE),"")</f>
        <v/>
      </c>
      <c r="O1645" t="str">
        <f>IFERROR(VLOOKUP(D1645,'Team Data'!C:AB,22,FALSE),"")</f>
        <v/>
      </c>
      <c r="P1645" t="str">
        <f t="shared" si="53"/>
        <v/>
      </c>
      <c r="Q1645" t="str">
        <f>IFERROR(VLOOKUP(D1645,'Team Data'!C:AB,15,FALSE),"")</f>
        <v/>
      </c>
      <c r="R1645" t="str">
        <f>IFERROR(VLOOKUP('OB Format'!D1645,'Team Data'!C:AB,24,FALSE),"")</f>
        <v/>
      </c>
      <c r="S1645" t="str">
        <f>IFERROR(VLOOKUP('OB Format'!D1645,'Team Data'!C:AC,25,FALSE),"")</f>
        <v/>
      </c>
    </row>
    <row r="1646" spans="5:19" x14ac:dyDescent="0.25">
      <c r="E1646" t="str">
        <f>IFERROR(VLOOKUP(D1646,'Team Data'!C:AB,4,FALSE),"")</f>
        <v/>
      </c>
      <c r="F1646" t="str">
        <f>IFERROR(VLOOKUP(D1646,'Team Data'!C:AB,5,FALSE),"")</f>
        <v/>
      </c>
      <c r="G1646" t="str">
        <f>IFERROR(VLOOKUP('OB Format'!D1646,'Team Data'!C:AB,17,FALSE),"")</f>
        <v/>
      </c>
      <c r="H1646" t="str">
        <f>IFERROR(VLOOKUP(D1646,'Team Data'!C:AB,7,FALSE),"")</f>
        <v/>
      </c>
      <c r="I1646" t="str">
        <f>IFERROR(VLOOKUP(D1646,'Team Data'!C:AB,14,FALSE),"")</f>
        <v/>
      </c>
      <c r="J1646" t="str">
        <f>IFERROR(VLOOKUP(D1646,'Team Data'!C:AB,8,FALSE),"")</f>
        <v/>
      </c>
      <c r="K1646" t="str">
        <f>IFERROR(VLOOKUP(D1646,'Team Data'!C:AB,9,FALSE),"")</f>
        <v/>
      </c>
      <c r="L1646" t="str">
        <f>IFERROR(VLOOKUP(D1646,'Team Data'!C:AB,10,FALSE),"")</f>
        <v/>
      </c>
      <c r="M1646" t="str">
        <f t="shared" si="52"/>
        <v/>
      </c>
      <c r="N1646" t="str">
        <f>IFERROR(VLOOKUP(D1646,'Team Data'!C:AB,23,FALSE),"")</f>
        <v/>
      </c>
      <c r="O1646" t="str">
        <f>IFERROR(VLOOKUP(D1646,'Team Data'!C:AB,22,FALSE),"")</f>
        <v/>
      </c>
      <c r="P1646" t="str">
        <f t="shared" si="53"/>
        <v/>
      </c>
      <c r="Q1646" t="str">
        <f>IFERROR(VLOOKUP(D1646,'Team Data'!C:AB,15,FALSE),"")</f>
        <v/>
      </c>
      <c r="R1646" t="str">
        <f>IFERROR(VLOOKUP('OB Format'!D1646,'Team Data'!C:AB,24,FALSE),"")</f>
        <v/>
      </c>
      <c r="S1646" t="str">
        <f>IFERROR(VLOOKUP('OB Format'!D1646,'Team Data'!C:AC,25,FALSE),"")</f>
        <v/>
      </c>
    </row>
    <row r="1647" spans="5:19" x14ac:dyDescent="0.25">
      <c r="E1647" t="str">
        <f>IFERROR(VLOOKUP(D1647,'Team Data'!C:AB,4,FALSE),"")</f>
        <v/>
      </c>
      <c r="F1647" t="str">
        <f>IFERROR(VLOOKUP(D1647,'Team Data'!C:AB,5,FALSE),"")</f>
        <v/>
      </c>
      <c r="G1647" t="str">
        <f>IFERROR(VLOOKUP('OB Format'!D1647,'Team Data'!C:AB,17,FALSE),"")</f>
        <v/>
      </c>
      <c r="H1647" t="str">
        <f>IFERROR(VLOOKUP(D1647,'Team Data'!C:AB,7,FALSE),"")</f>
        <v/>
      </c>
      <c r="I1647" t="str">
        <f>IFERROR(VLOOKUP(D1647,'Team Data'!C:AB,14,FALSE),"")</f>
        <v/>
      </c>
      <c r="J1647" t="str">
        <f>IFERROR(VLOOKUP(D1647,'Team Data'!C:AB,8,FALSE),"")</f>
        <v/>
      </c>
      <c r="K1647" t="str">
        <f>IFERROR(VLOOKUP(D1647,'Team Data'!C:AB,9,FALSE),"")</f>
        <v/>
      </c>
      <c r="L1647" t="str">
        <f>IFERROR(VLOOKUP(D1647,'Team Data'!C:AB,10,FALSE),"")</f>
        <v/>
      </c>
      <c r="M1647" t="str">
        <f t="shared" si="52"/>
        <v/>
      </c>
      <c r="N1647" t="str">
        <f>IFERROR(VLOOKUP(D1647,'Team Data'!C:AB,23,FALSE),"")</f>
        <v/>
      </c>
      <c r="O1647" t="str">
        <f>IFERROR(VLOOKUP(D1647,'Team Data'!C:AB,22,FALSE),"")</f>
        <v/>
      </c>
      <c r="P1647" t="str">
        <f t="shared" si="53"/>
        <v/>
      </c>
      <c r="Q1647" t="str">
        <f>IFERROR(VLOOKUP(D1647,'Team Data'!C:AB,15,FALSE),"")</f>
        <v/>
      </c>
      <c r="R1647" t="str">
        <f>IFERROR(VLOOKUP('OB Format'!D1647,'Team Data'!C:AB,24,FALSE),"")</f>
        <v/>
      </c>
      <c r="S1647" t="str">
        <f>IFERROR(VLOOKUP('OB Format'!D1647,'Team Data'!C:AC,25,FALSE),"")</f>
        <v/>
      </c>
    </row>
    <row r="1648" spans="5:19" x14ac:dyDescent="0.25">
      <c r="E1648" t="str">
        <f>IFERROR(VLOOKUP(D1648,'Team Data'!C:AB,4,FALSE),"")</f>
        <v/>
      </c>
      <c r="F1648" t="str">
        <f>IFERROR(VLOOKUP(D1648,'Team Data'!C:AB,5,FALSE),"")</f>
        <v/>
      </c>
      <c r="G1648" t="str">
        <f>IFERROR(VLOOKUP('OB Format'!D1648,'Team Data'!C:AB,17,FALSE),"")</f>
        <v/>
      </c>
      <c r="H1648" t="str">
        <f>IFERROR(VLOOKUP(D1648,'Team Data'!C:AB,7,FALSE),"")</f>
        <v/>
      </c>
      <c r="I1648" t="str">
        <f>IFERROR(VLOOKUP(D1648,'Team Data'!C:AB,14,FALSE),"")</f>
        <v/>
      </c>
      <c r="J1648" t="str">
        <f>IFERROR(VLOOKUP(D1648,'Team Data'!C:AB,8,FALSE),"")</f>
        <v/>
      </c>
      <c r="K1648" t="str">
        <f>IFERROR(VLOOKUP(D1648,'Team Data'!C:AB,9,FALSE),"")</f>
        <v/>
      </c>
      <c r="L1648" t="str">
        <f>IFERROR(VLOOKUP(D1648,'Team Data'!C:AB,10,FALSE),"")</f>
        <v/>
      </c>
      <c r="M1648" t="str">
        <f t="shared" si="52"/>
        <v/>
      </c>
      <c r="N1648" t="str">
        <f>IFERROR(VLOOKUP(D1648,'Team Data'!C:AB,23,FALSE),"")</f>
        <v/>
      </c>
      <c r="O1648" t="str">
        <f>IFERROR(VLOOKUP(D1648,'Team Data'!C:AB,22,FALSE),"")</f>
        <v/>
      </c>
      <c r="P1648" t="str">
        <f t="shared" si="53"/>
        <v/>
      </c>
      <c r="Q1648" t="str">
        <f>IFERROR(VLOOKUP(D1648,'Team Data'!C:AB,15,FALSE),"")</f>
        <v/>
      </c>
      <c r="R1648" t="str">
        <f>IFERROR(VLOOKUP('OB Format'!D1648,'Team Data'!C:AB,24,FALSE),"")</f>
        <v/>
      </c>
      <c r="S1648" t="str">
        <f>IFERROR(VLOOKUP('OB Format'!D1648,'Team Data'!C:AC,25,FALSE),"")</f>
        <v/>
      </c>
    </row>
    <row r="1649" spans="5:19" x14ac:dyDescent="0.25">
      <c r="E1649" t="str">
        <f>IFERROR(VLOOKUP(D1649,'Team Data'!C:AB,4,FALSE),"")</f>
        <v/>
      </c>
      <c r="F1649" t="str">
        <f>IFERROR(VLOOKUP(D1649,'Team Data'!C:AB,5,FALSE),"")</f>
        <v/>
      </c>
      <c r="G1649" t="str">
        <f>IFERROR(VLOOKUP('OB Format'!D1649,'Team Data'!C:AB,17,FALSE),"")</f>
        <v/>
      </c>
      <c r="H1649" t="str">
        <f>IFERROR(VLOOKUP(D1649,'Team Data'!C:AB,7,FALSE),"")</f>
        <v/>
      </c>
      <c r="I1649" t="str">
        <f>IFERROR(VLOOKUP(D1649,'Team Data'!C:AB,14,FALSE),"")</f>
        <v/>
      </c>
      <c r="J1649" t="str">
        <f>IFERROR(VLOOKUP(D1649,'Team Data'!C:AB,8,FALSE),"")</f>
        <v/>
      </c>
      <c r="K1649" t="str">
        <f>IFERROR(VLOOKUP(D1649,'Team Data'!C:AB,9,FALSE),"")</f>
        <v/>
      </c>
      <c r="L1649" t="str">
        <f>IFERROR(VLOOKUP(D1649,'Team Data'!C:AB,10,FALSE),"")</f>
        <v/>
      </c>
      <c r="M1649" t="str">
        <f t="shared" si="52"/>
        <v/>
      </c>
      <c r="N1649" t="str">
        <f>IFERROR(VLOOKUP(D1649,'Team Data'!C:AB,23,FALSE),"")</f>
        <v/>
      </c>
      <c r="O1649" t="str">
        <f>IFERROR(VLOOKUP(D1649,'Team Data'!C:AB,22,FALSE),"")</f>
        <v/>
      </c>
      <c r="P1649" t="str">
        <f t="shared" si="53"/>
        <v/>
      </c>
      <c r="Q1649" t="str">
        <f>IFERROR(VLOOKUP(D1649,'Team Data'!C:AB,15,FALSE),"")</f>
        <v/>
      </c>
      <c r="R1649" t="str">
        <f>IFERROR(VLOOKUP('OB Format'!D1649,'Team Data'!C:AB,24,FALSE),"")</f>
        <v/>
      </c>
      <c r="S1649" t="str">
        <f>IFERROR(VLOOKUP('OB Format'!D1649,'Team Data'!C:AC,25,FALSE),"")</f>
        <v/>
      </c>
    </row>
    <row r="1650" spans="5:19" x14ac:dyDescent="0.25">
      <c r="E1650" t="str">
        <f>IFERROR(VLOOKUP(D1650,'Team Data'!C:AB,4,FALSE),"")</f>
        <v/>
      </c>
      <c r="F1650" t="str">
        <f>IFERROR(VLOOKUP(D1650,'Team Data'!C:AB,5,FALSE),"")</f>
        <v/>
      </c>
      <c r="G1650" t="str">
        <f>IFERROR(VLOOKUP('OB Format'!D1650,'Team Data'!C:AB,17,FALSE),"")</f>
        <v/>
      </c>
      <c r="H1650" t="str">
        <f>IFERROR(VLOOKUP(D1650,'Team Data'!C:AB,7,FALSE),"")</f>
        <v/>
      </c>
      <c r="I1650" t="str">
        <f>IFERROR(VLOOKUP(D1650,'Team Data'!C:AB,14,FALSE),"")</f>
        <v/>
      </c>
      <c r="J1650" t="str">
        <f>IFERROR(VLOOKUP(D1650,'Team Data'!C:AB,8,FALSE),"")</f>
        <v/>
      </c>
      <c r="K1650" t="str">
        <f>IFERROR(VLOOKUP(D1650,'Team Data'!C:AB,9,FALSE),"")</f>
        <v/>
      </c>
      <c r="L1650" t="str">
        <f>IFERROR(VLOOKUP(D1650,'Team Data'!C:AB,10,FALSE),"")</f>
        <v/>
      </c>
      <c r="M1650" t="str">
        <f t="shared" si="52"/>
        <v/>
      </c>
      <c r="N1650" t="str">
        <f>IFERROR(VLOOKUP(D1650,'Team Data'!C:AB,23,FALSE),"")</f>
        <v/>
      </c>
      <c r="O1650" t="str">
        <f>IFERROR(VLOOKUP(D1650,'Team Data'!C:AB,22,FALSE),"")</f>
        <v/>
      </c>
      <c r="P1650" t="str">
        <f t="shared" si="53"/>
        <v/>
      </c>
      <c r="Q1650" t="str">
        <f>IFERROR(VLOOKUP(D1650,'Team Data'!C:AB,15,FALSE),"")</f>
        <v/>
      </c>
      <c r="R1650" t="str">
        <f>IFERROR(VLOOKUP('OB Format'!D1650,'Team Data'!C:AB,24,FALSE),"")</f>
        <v/>
      </c>
      <c r="S1650" t="str">
        <f>IFERROR(VLOOKUP('OB Format'!D1650,'Team Data'!C:AC,25,FALSE),"")</f>
        <v/>
      </c>
    </row>
    <row r="1651" spans="5:19" x14ac:dyDescent="0.25">
      <c r="E1651" t="str">
        <f>IFERROR(VLOOKUP(D1651,'Team Data'!C:AB,4,FALSE),"")</f>
        <v/>
      </c>
      <c r="F1651" t="str">
        <f>IFERROR(VLOOKUP(D1651,'Team Data'!C:AB,5,FALSE),"")</f>
        <v/>
      </c>
      <c r="G1651" t="str">
        <f>IFERROR(VLOOKUP('OB Format'!D1651,'Team Data'!C:AB,17,FALSE),"")</f>
        <v/>
      </c>
      <c r="H1651" t="str">
        <f>IFERROR(VLOOKUP(D1651,'Team Data'!C:AB,7,FALSE),"")</f>
        <v/>
      </c>
      <c r="I1651" t="str">
        <f>IFERROR(VLOOKUP(D1651,'Team Data'!C:AB,14,FALSE),"")</f>
        <v/>
      </c>
      <c r="J1651" t="str">
        <f>IFERROR(VLOOKUP(D1651,'Team Data'!C:AB,8,FALSE),"")</f>
        <v/>
      </c>
      <c r="K1651" t="str">
        <f>IFERROR(VLOOKUP(D1651,'Team Data'!C:AB,9,FALSE),"")</f>
        <v/>
      </c>
      <c r="L1651" t="str">
        <f>IFERROR(VLOOKUP(D1651,'Team Data'!C:AB,10,FALSE),"")</f>
        <v/>
      </c>
      <c r="M1651" t="str">
        <f t="shared" si="52"/>
        <v/>
      </c>
      <c r="N1651" t="str">
        <f>IFERROR(VLOOKUP(D1651,'Team Data'!C:AB,23,FALSE),"")</f>
        <v/>
      </c>
      <c r="O1651" t="str">
        <f>IFERROR(VLOOKUP(D1651,'Team Data'!C:AB,22,FALSE),"")</f>
        <v/>
      </c>
      <c r="P1651" t="str">
        <f t="shared" si="53"/>
        <v/>
      </c>
      <c r="Q1651" t="str">
        <f>IFERROR(VLOOKUP(D1651,'Team Data'!C:AB,15,FALSE),"")</f>
        <v/>
      </c>
      <c r="R1651" t="str">
        <f>IFERROR(VLOOKUP('OB Format'!D1651,'Team Data'!C:AB,24,FALSE),"")</f>
        <v/>
      </c>
      <c r="S1651" t="str">
        <f>IFERROR(VLOOKUP('OB Format'!D1651,'Team Data'!C:AC,25,FALSE),"")</f>
        <v/>
      </c>
    </row>
    <row r="1652" spans="5:19" x14ac:dyDescent="0.25">
      <c r="E1652" t="str">
        <f>IFERROR(VLOOKUP(D1652,'Team Data'!C:AB,4,FALSE),"")</f>
        <v/>
      </c>
      <c r="F1652" t="str">
        <f>IFERROR(VLOOKUP(D1652,'Team Data'!C:AB,5,FALSE),"")</f>
        <v/>
      </c>
      <c r="G1652" t="str">
        <f>IFERROR(VLOOKUP('OB Format'!D1652,'Team Data'!C:AB,17,FALSE),"")</f>
        <v/>
      </c>
      <c r="H1652" t="str">
        <f>IFERROR(VLOOKUP(D1652,'Team Data'!C:AB,7,FALSE),"")</f>
        <v/>
      </c>
      <c r="I1652" t="str">
        <f>IFERROR(VLOOKUP(D1652,'Team Data'!C:AB,14,FALSE),"")</f>
        <v/>
      </c>
      <c r="J1652" t="str">
        <f>IFERROR(VLOOKUP(D1652,'Team Data'!C:AB,8,FALSE),"")</f>
        <v/>
      </c>
      <c r="K1652" t="str">
        <f>IFERROR(VLOOKUP(D1652,'Team Data'!C:AB,9,FALSE),"")</f>
        <v/>
      </c>
      <c r="L1652" t="str">
        <f>IFERROR(VLOOKUP(D1652,'Team Data'!C:AB,10,FALSE),"")</f>
        <v/>
      </c>
      <c r="M1652" t="str">
        <f t="shared" si="52"/>
        <v/>
      </c>
      <c r="N1652" t="str">
        <f>IFERROR(VLOOKUP(D1652,'Team Data'!C:AB,23,FALSE),"")</f>
        <v/>
      </c>
      <c r="O1652" t="str">
        <f>IFERROR(VLOOKUP(D1652,'Team Data'!C:AB,22,FALSE),"")</f>
        <v/>
      </c>
      <c r="P1652" t="str">
        <f t="shared" si="53"/>
        <v/>
      </c>
      <c r="Q1652" t="str">
        <f>IFERROR(VLOOKUP(D1652,'Team Data'!C:AB,15,FALSE),"")</f>
        <v/>
      </c>
      <c r="R1652" t="str">
        <f>IFERROR(VLOOKUP('OB Format'!D1652,'Team Data'!C:AB,24,FALSE),"")</f>
        <v/>
      </c>
      <c r="S1652" t="str">
        <f>IFERROR(VLOOKUP('OB Format'!D1652,'Team Data'!C:AC,25,FALSE),"")</f>
        <v/>
      </c>
    </row>
    <row r="1653" spans="5:19" x14ac:dyDescent="0.25">
      <c r="E1653" t="str">
        <f>IFERROR(VLOOKUP(D1653,'Team Data'!C:AB,4,FALSE),"")</f>
        <v/>
      </c>
      <c r="F1653" t="str">
        <f>IFERROR(VLOOKUP(D1653,'Team Data'!C:AB,5,FALSE),"")</f>
        <v/>
      </c>
      <c r="G1653" t="str">
        <f>IFERROR(VLOOKUP('OB Format'!D1653,'Team Data'!C:AB,17,FALSE),"")</f>
        <v/>
      </c>
      <c r="H1653" t="str">
        <f>IFERROR(VLOOKUP(D1653,'Team Data'!C:AB,7,FALSE),"")</f>
        <v/>
      </c>
      <c r="I1653" t="str">
        <f>IFERROR(VLOOKUP(D1653,'Team Data'!C:AB,14,FALSE),"")</f>
        <v/>
      </c>
      <c r="J1653" t="str">
        <f>IFERROR(VLOOKUP(D1653,'Team Data'!C:AB,8,FALSE),"")</f>
        <v/>
      </c>
      <c r="K1653" t="str">
        <f>IFERROR(VLOOKUP(D1653,'Team Data'!C:AB,9,FALSE),"")</f>
        <v/>
      </c>
      <c r="L1653" t="str">
        <f>IFERROR(VLOOKUP(D1653,'Team Data'!C:AB,10,FALSE),"")</f>
        <v/>
      </c>
      <c r="M1653" t="str">
        <f t="shared" si="52"/>
        <v/>
      </c>
      <c r="N1653" t="str">
        <f>IFERROR(VLOOKUP(D1653,'Team Data'!C:AB,23,FALSE),"")</f>
        <v/>
      </c>
      <c r="O1653" t="str">
        <f>IFERROR(VLOOKUP(D1653,'Team Data'!C:AB,22,FALSE),"")</f>
        <v/>
      </c>
      <c r="P1653" t="str">
        <f t="shared" si="53"/>
        <v/>
      </c>
      <c r="Q1653" t="str">
        <f>IFERROR(VLOOKUP(D1653,'Team Data'!C:AB,15,FALSE),"")</f>
        <v/>
      </c>
      <c r="R1653" t="str">
        <f>IFERROR(VLOOKUP('OB Format'!D1653,'Team Data'!C:AB,24,FALSE),"")</f>
        <v/>
      </c>
      <c r="S1653" t="str">
        <f>IFERROR(VLOOKUP('OB Format'!D1653,'Team Data'!C:AC,25,FALSE),"")</f>
        <v/>
      </c>
    </row>
    <row r="1654" spans="5:19" x14ac:dyDescent="0.25">
      <c r="E1654" t="str">
        <f>IFERROR(VLOOKUP(D1654,'Team Data'!C:AB,4,FALSE),"")</f>
        <v/>
      </c>
      <c r="F1654" t="str">
        <f>IFERROR(VLOOKUP(D1654,'Team Data'!C:AB,5,FALSE),"")</f>
        <v/>
      </c>
      <c r="G1654" t="str">
        <f>IFERROR(VLOOKUP('OB Format'!D1654,'Team Data'!C:AB,17,FALSE),"")</f>
        <v/>
      </c>
      <c r="H1654" t="str">
        <f>IFERROR(VLOOKUP(D1654,'Team Data'!C:AB,7,FALSE),"")</f>
        <v/>
      </c>
      <c r="I1654" t="str">
        <f>IFERROR(VLOOKUP(D1654,'Team Data'!C:AB,14,FALSE),"")</f>
        <v/>
      </c>
      <c r="J1654" t="str">
        <f>IFERROR(VLOOKUP(D1654,'Team Data'!C:AB,8,FALSE),"")</f>
        <v/>
      </c>
      <c r="K1654" t="str">
        <f>IFERROR(VLOOKUP(D1654,'Team Data'!C:AB,9,FALSE),"")</f>
        <v/>
      </c>
      <c r="L1654" t="str">
        <f>IFERROR(VLOOKUP(D1654,'Team Data'!C:AB,10,FALSE),"")</f>
        <v/>
      </c>
      <c r="M1654" t="str">
        <f t="shared" si="52"/>
        <v/>
      </c>
      <c r="N1654" t="str">
        <f>IFERROR(VLOOKUP(D1654,'Team Data'!C:AB,23,FALSE),"")</f>
        <v/>
      </c>
      <c r="O1654" t="str">
        <f>IFERROR(VLOOKUP(D1654,'Team Data'!C:AB,22,FALSE),"")</f>
        <v/>
      </c>
      <c r="P1654" t="str">
        <f t="shared" si="53"/>
        <v/>
      </c>
      <c r="Q1654" t="str">
        <f>IFERROR(VLOOKUP(D1654,'Team Data'!C:AB,15,FALSE),"")</f>
        <v/>
      </c>
      <c r="R1654" t="str">
        <f>IFERROR(VLOOKUP('OB Format'!D1654,'Team Data'!C:AB,24,FALSE),"")</f>
        <v/>
      </c>
      <c r="S1654" t="str">
        <f>IFERROR(VLOOKUP('OB Format'!D1654,'Team Data'!C:AC,25,FALSE),"")</f>
        <v/>
      </c>
    </row>
    <row r="1655" spans="5:19" x14ac:dyDescent="0.25">
      <c r="E1655" t="str">
        <f>IFERROR(VLOOKUP(D1655,'Team Data'!C:AB,4,FALSE),"")</f>
        <v/>
      </c>
      <c r="F1655" t="str">
        <f>IFERROR(VLOOKUP(D1655,'Team Data'!C:AB,5,FALSE),"")</f>
        <v/>
      </c>
      <c r="G1655" t="str">
        <f>IFERROR(VLOOKUP('OB Format'!D1655,'Team Data'!C:AB,17,FALSE),"")</f>
        <v/>
      </c>
      <c r="H1655" t="str">
        <f>IFERROR(VLOOKUP(D1655,'Team Data'!C:AB,7,FALSE),"")</f>
        <v/>
      </c>
      <c r="I1655" t="str">
        <f>IFERROR(VLOOKUP(D1655,'Team Data'!C:AB,14,FALSE),"")</f>
        <v/>
      </c>
      <c r="J1655" t="str">
        <f>IFERROR(VLOOKUP(D1655,'Team Data'!C:AB,8,FALSE),"")</f>
        <v/>
      </c>
      <c r="K1655" t="str">
        <f>IFERROR(VLOOKUP(D1655,'Team Data'!C:AB,9,FALSE),"")</f>
        <v/>
      </c>
      <c r="L1655" t="str">
        <f>IFERROR(VLOOKUP(D1655,'Team Data'!C:AB,10,FALSE),"")</f>
        <v/>
      </c>
      <c r="M1655" t="str">
        <f t="shared" si="52"/>
        <v/>
      </c>
      <c r="N1655" t="str">
        <f>IFERROR(VLOOKUP(D1655,'Team Data'!C:AB,23,FALSE),"")</f>
        <v/>
      </c>
      <c r="O1655" t="str">
        <f>IFERROR(VLOOKUP(D1655,'Team Data'!C:AB,22,FALSE),"")</f>
        <v/>
      </c>
      <c r="P1655" t="str">
        <f t="shared" si="53"/>
        <v/>
      </c>
      <c r="Q1655" t="str">
        <f>IFERROR(VLOOKUP(D1655,'Team Data'!C:AB,15,FALSE),"")</f>
        <v/>
      </c>
      <c r="R1655" t="str">
        <f>IFERROR(VLOOKUP('OB Format'!D1655,'Team Data'!C:AB,24,FALSE),"")</f>
        <v/>
      </c>
      <c r="S1655" t="str">
        <f>IFERROR(VLOOKUP('OB Format'!D1655,'Team Data'!C:AC,25,FALSE),"")</f>
        <v/>
      </c>
    </row>
    <row r="1656" spans="5:19" x14ac:dyDescent="0.25">
      <c r="E1656" t="str">
        <f>IFERROR(VLOOKUP(D1656,'Team Data'!C:AB,4,FALSE),"")</f>
        <v/>
      </c>
      <c r="F1656" t="str">
        <f>IFERROR(VLOOKUP(D1656,'Team Data'!C:AB,5,FALSE),"")</f>
        <v/>
      </c>
      <c r="G1656" t="str">
        <f>IFERROR(VLOOKUP('OB Format'!D1656,'Team Data'!C:AB,17,FALSE),"")</f>
        <v/>
      </c>
      <c r="H1656" t="str">
        <f>IFERROR(VLOOKUP(D1656,'Team Data'!C:AB,7,FALSE),"")</f>
        <v/>
      </c>
      <c r="I1656" t="str">
        <f>IFERROR(VLOOKUP(D1656,'Team Data'!C:AB,14,FALSE),"")</f>
        <v/>
      </c>
      <c r="J1656" t="str">
        <f>IFERROR(VLOOKUP(D1656,'Team Data'!C:AB,8,FALSE),"")</f>
        <v/>
      </c>
      <c r="K1656" t="str">
        <f>IFERROR(VLOOKUP(D1656,'Team Data'!C:AB,9,FALSE),"")</f>
        <v/>
      </c>
      <c r="L1656" t="str">
        <f>IFERROR(VLOOKUP(D1656,'Team Data'!C:AB,10,FALSE),"")</f>
        <v/>
      </c>
      <c r="M1656" t="str">
        <f t="shared" si="52"/>
        <v/>
      </c>
      <c r="N1656" t="str">
        <f>IFERROR(VLOOKUP(D1656,'Team Data'!C:AB,23,FALSE),"")</f>
        <v/>
      </c>
      <c r="O1656" t="str">
        <f>IFERROR(VLOOKUP(D1656,'Team Data'!C:AB,22,FALSE),"")</f>
        <v/>
      </c>
      <c r="P1656" t="str">
        <f t="shared" si="53"/>
        <v/>
      </c>
      <c r="Q1656" t="str">
        <f>IFERROR(VLOOKUP(D1656,'Team Data'!C:AB,15,FALSE),"")</f>
        <v/>
      </c>
      <c r="R1656" t="str">
        <f>IFERROR(VLOOKUP('OB Format'!D1656,'Team Data'!C:AB,24,FALSE),"")</f>
        <v/>
      </c>
      <c r="S1656" t="str">
        <f>IFERROR(VLOOKUP('OB Format'!D1656,'Team Data'!C:AC,25,FALSE),"")</f>
        <v/>
      </c>
    </row>
    <row r="1657" spans="5:19" x14ac:dyDescent="0.25">
      <c r="E1657" t="str">
        <f>IFERROR(VLOOKUP(D1657,'Team Data'!C:AB,4,FALSE),"")</f>
        <v/>
      </c>
      <c r="F1657" t="str">
        <f>IFERROR(VLOOKUP(D1657,'Team Data'!C:AB,5,FALSE),"")</f>
        <v/>
      </c>
      <c r="G1657" t="str">
        <f>IFERROR(VLOOKUP('OB Format'!D1657,'Team Data'!C:AB,17,FALSE),"")</f>
        <v/>
      </c>
      <c r="H1657" t="str">
        <f>IFERROR(VLOOKUP(D1657,'Team Data'!C:AB,7,FALSE),"")</f>
        <v/>
      </c>
      <c r="I1657" t="str">
        <f>IFERROR(VLOOKUP(D1657,'Team Data'!C:AB,14,FALSE),"")</f>
        <v/>
      </c>
      <c r="J1657" t="str">
        <f>IFERROR(VLOOKUP(D1657,'Team Data'!C:AB,8,FALSE),"")</f>
        <v/>
      </c>
      <c r="K1657" t="str">
        <f>IFERROR(VLOOKUP(D1657,'Team Data'!C:AB,9,FALSE),"")</f>
        <v/>
      </c>
      <c r="L1657" t="str">
        <f>IFERROR(VLOOKUP(D1657,'Team Data'!C:AB,10,FALSE),"")</f>
        <v/>
      </c>
      <c r="M1657" t="str">
        <f t="shared" si="52"/>
        <v/>
      </c>
      <c r="N1657" t="str">
        <f>IFERROR(VLOOKUP(D1657,'Team Data'!C:AB,23,FALSE),"")</f>
        <v/>
      </c>
      <c r="O1657" t="str">
        <f>IFERROR(VLOOKUP(D1657,'Team Data'!C:AB,22,FALSE),"")</f>
        <v/>
      </c>
      <c r="P1657" t="str">
        <f t="shared" si="53"/>
        <v/>
      </c>
      <c r="Q1657" t="str">
        <f>IFERROR(VLOOKUP(D1657,'Team Data'!C:AB,15,FALSE),"")</f>
        <v/>
      </c>
      <c r="R1657" t="str">
        <f>IFERROR(VLOOKUP('OB Format'!D1657,'Team Data'!C:AB,24,FALSE),"")</f>
        <v/>
      </c>
      <c r="S1657" t="str">
        <f>IFERROR(VLOOKUP('OB Format'!D1657,'Team Data'!C:AC,25,FALSE),"")</f>
        <v/>
      </c>
    </row>
    <row r="1658" spans="5:19" x14ac:dyDescent="0.25">
      <c r="E1658" t="str">
        <f>IFERROR(VLOOKUP(D1658,'Team Data'!C:AB,4,FALSE),"")</f>
        <v/>
      </c>
      <c r="F1658" t="str">
        <f>IFERROR(VLOOKUP(D1658,'Team Data'!C:AB,5,FALSE),"")</f>
        <v/>
      </c>
      <c r="G1658" t="str">
        <f>IFERROR(VLOOKUP('OB Format'!D1658,'Team Data'!C:AB,17,FALSE),"")</f>
        <v/>
      </c>
      <c r="H1658" t="str">
        <f>IFERROR(VLOOKUP(D1658,'Team Data'!C:AB,7,FALSE),"")</f>
        <v/>
      </c>
      <c r="I1658" t="str">
        <f>IFERROR(VLOOKUP(D1658,'Team Data'!C:AB,14,FALSE),"")</f>
        <v/>
      </c>
      <c r="J1658" t="str">
        <f>IFERROR(VLOOKUP(D1658,'Team Data'!C:AB,8,FALSE),"")</f>
        <v/>
      </c>
      <c r="K1658" t="str">
        <f>IFERROR(VLOOKUP(D1658,'Team Data'!C:AB,9,FALSE),"")</f>
        <v/>
      </c>
      <c r="L1658" t="str">
        <f>IFERROR(VLOOKUP(D1658,'Team Data'!C:AB,10,FALSE),"")</f>
        <v/>
      </c>
      <c r="M1658" t="str">
        <f t="shared" si="52"/>
        <v/>
      </c>
      <c r="N1658" t="str">
        <f>IFERROR(VLOOKUP(D1658,'Team Data'!C:AB,23,FALSE),"")</f>
        <v/>
      </c>
      <c r="O1658" t="str">
        <f>IFERROR(VLOOKUP(D1658,'Team Data'!C:AB,22,FALSE),"")</f>
        <v/>
      </c>
      <c r="P1658" t="str">
        <f t="shared" si="53"/>
        <v/>
      </c>
      <c r="Q1658" t="str">
        <f>IFERROR(VLOOKUP(D1658,'Team Data'!C:AB,15,FALSE),"")</f>
        <v/>
      </c>
      <c r="R1658" t="str">
        <f>IFERROR(VLOOKUP('OB Format'!D1658,'Team Data'!C:AB,24,FALSE),"")</f>
        <v/>
      </c>
      <c r="S1658" t="str">
        <f>IFERROR(VLOOKUP('OB Format'!D1658,'Team Data'!C:AC,25,FALSE),"")</f>
        <v/>
      </c>
    </row>
    <row r="1659" spans="5:19" x14ac:dyDescent="0.25">
      <c r="E1659" t="str">
        <f>IFERROR(VLOOKUP(D1659,'Team Data'!C:AB,4,FALSE),"")</f>
        <v/>
      </c>
      <c r="F1659" t="str">
        <f>IFERROR(VLOOKUP(D1659,'Team Data'!C:AB,5,FALSE),"")</f>
        <v/>
      </c>
      <c r="G1659" t="str">
        <f>IFERROR(VLOOKUP('OB Format'!D1659,'Team Data'!C:AB,17,FALSE),"")</f>
        <v/>
      </c>
      <c r="H1659" t="str">
        <f>IFERROR(VLOOKUP(D1659,'Team Data'!C:AB,7,FALSE),"")</f>
        <v/>
      </c>
      <c r="I1659" t="str">
        <f>IFERROR(VLOOKUP(D1659,'Team Data'!C:AB,14,FALSE),"")</f>
        <v/>
      </c>
      <c r="J1659" t="str">
        <f>IFERROR(VLOOKUP(D1659,'Team Data'!C:AB,8,FALSE),"")</f>
        <v/>
      </c>
      <c r="K1659" t="str">
        <f>IFERROR(VLOOKUP(D1659,'Team Data'!C:AB,9,FALSE),"")</f>
        <v/>
      </c>
      <c r="L1659" t="str">
        <f>IFERROR(VLOOKUP(D1659,'Team Data'!C:AB,10,FALSE),"")</f>
        <v/>
      </c>
      <c r="M1659" t="str">
        <f t="shared" si="52"/>
        <v/>
      </c>
      <c r="N1659" t="str">
        <f>IFERROR(VLOOKUP(D1659,'Team Data'!C:AB,23,FALSE),"")</f>
        <v/>
      </c>
      <c r="O1659" t="str">
        <f>IFERROR(VLOOKUP(D1659,'Team Data'!C:AB,22,FALSE),"")</f>
        <v/>
      </c>
      <c r="P1659" t="str">
        <f t="shared" si="53"/>
        <v/>
      </c>
      <c r="Q1659" t="str">
        <f>IFERROR(VLOOKUP(D1659,'Team Data'!C:AB,15,FALSE),"")</f>
        <v/>
      </c>
      <c r="R1659" t="str">
        <f>IFERROR(VLOOKUP('OB Format'!D1659,'Team Data'!C:AB,24,FALSE),"")</f>
        <v/>
      </c>
      <c r="S1659" t="str">
        <f>IFERROR(VLOOKUP('OB Format'!D1659,'Team Data'!C:AC,25,FALSE),"")</f>
        <v/>
      </c>
    </row>
    <row r="1660" spans="5:19" x14ac:dyDescent="0.25">
      <c r="E1660" t="str">
        <f>IFERROR(VLOOKUP(D1660,'Team Data'!C:AB,4,FALSE),"")</f>
        <v/>
      </c>
      <c r="F1660" t="str">
        <f>IFERROR(VLOOKUP(D1660,'Team Data'!C:AB,5,FALSE),"")</f>
        <v/>
      </c>
      <c r="G1660" t="str">
        <f>IFERROR(VLOOKUP('OB Format'!D1660,'Team Data'!C:AB,17,FALSE),"")</f>
        <v/>
      </c>
      <c r="H1660" t="str">
        <f>IFERROR(VLOOKUP(D1660,'Team Data'!C:AB,7,FALSE),"")</f>
        <v/>
      </c>
      <c r="I1660" t="str">
        <f>IFERROR(VLOOKUP(D1660,'Team Data'!C:AB,14,FALSE),"")</f>
        <v/>
      </c>
      <c r="J1660" t="str">
        <f>IFERROR(VLOOKUP(D1660,'Team Data'!C:AB,8,FALSE),"")</f>
        <v/>
      </c>
      <c r="K1660" t="str">
        <f>IFERROR(VLOOKUP(D1660,'Team Data'!C:AB,9,FALSE),"")</f>
        <v/>
      </c>
      <c r="L1660" t="str">
        <f>IFERROR(VLOOKUP(D1660,'Team Data'!C:AB,10,FALSE),"")</f>
        <v/>
      </c>
      <c r="M1660" t="str">
        <f t="shared" si="52"/>
        <v/>
      </c>
      <c r="N1660" t="str">
        <f>IFERROR(VLOOKUP(D1660,'Team Data'!C:AB,23,FALSE),"")</f>
        <v/>
      </c>
      <c r="O1660" t="str">
        <f>IFERROR(VLOOKUP(D1660,'Team Data'!C:AB,22,FALSE),"")</f>
        <v/>
      </c>
      <c r="P1660" t="str">
        <f t="shared" si="53"/>
        <v/>
      </c>
      <c r="Q1660" t="str">
        <f>IFERROR(VLOOKUP(D1660,'Team Data'!C:AB,15,FALSE),"")</f>
        <v/>
      </c>
      <c r="R1660" t="str">
        <f>IFERROR(VLOOKUP('OB Format'!D1660,'Team Data'!C:AB,24,FALSE),"")</f>
        <v/>
      </c>
      <c r="S1660" t="str">
        <f>IFERROR(VLOOKUP('OB Format'!D1660,'Team Data'!C:AC,25,FALSE),"")</f>
        <v/>
      </c>
    </row>
    <row r="1661" spans="5:19" x14ac:dyDescent="0.25">
      <c r="E1661" t="str">
        <f>IFERROR(VLOOKUP(D1661,'Team Data'!C:AB,4,FALSE),"")</f>
        <v/>
      </c>
      <c r="F1661" t="str">
        <f>IFERROR(VLOOKUP(D1661,'Team Data'!C:AB,5,FALSE),"")</f>
        <v/>
      </c>
      <c r="G1661" t="str">
        <f>IFERROR(VLOOKUP('OB Format'!D1661,'Team Data'!C:AB,17,FALSE),"")</f>
        <v/>
      </c>
      <c r="H1661" t="str">
        <f>IFERROR(VLOOKUP(D1661,'Team Data'!C:AB,7,FALSE),"")</f>
        <v/>
      </c>
      <c r="I1661" t="str">
        <f>IFERROR(VLOOKUP(D1661,'Team Data'!C:AB,14,FALSE),"")</f>
        <v/>
      </c>
      <c r="J1661" t="str">
        <f>IFERROR(VLOOKUP(D1661,'Team Data'!C:AB,8,FALSE),"")</f>
        <v/>
      </c>
      <c r="K1661" t="str">
        <f>IFERROR(VLOOKUP(D1661,'Team Data'!C:AB,9,FALSE),"")</f>
        <v/>
      </c>
      <c r="L1661" t="str">
        <f>IFERROR(VLOOKUP(D1661,'Team Data'!C:AB,10,FALSE),"")</f>
        <v/>
      </c>
      <c r="M1661" t="str">
        <f t="shared" si="52"/>
        <v/>
      </c>
      <c r="N1661" t="str">
        <f>IFERROR(VLOOKUP(D1661,'Team Data'!C:AB,23,FALSE),"")</f>
        <v/>
      </c>
      <c r="O1661" t="str">
        <f>IFERROR(VLOOKUP(D1661,'Team Data'!C:AB,22,FALSE),"")</f>
        <v/>
      </c>
      <c r="P1661" t="str">
        <f t="shared" si="53"/>
        <v/>
      </c>
      <c r="Q1661" t="str">
        <f>IFERROR(VLOOKUP(D1661,'Team Data'!C:AB,15,FALSE),"")</f>
        <v/>
      </c>
      <c r="R1661" t="str">
        <f>IFERROR(VLOOKUP('OB Format'!D1661,'Team Data'!C:AB,24,FALSE),"")</f>
        <v/>
      </c>
      <c r="S1661" t="str">
        <f>IFERROR(VLOOKUP('OB Format'!D1661,'Team Data'!C:AC,25,FALSE),"")</f>
        <v/>
      </c>
    </row>
    <row r="1662" spans="5:19" x14ac:dyDescent="0.25">
      <c r="E1662" t="str">
        <f>IFERROR(VLOOKUP(D1662,'Team Data'!C:AB,4,FALSE),"")</f>
        <v/>
      </c>
      <c r="F1662" t="str">
        <f>IFERROR(VLOOKUP(D1662,'Team Data'!C:AB,5,FALSE),"")</f>
        <v/>
      </c>
      <c r="G1662" t="str">
        <f>IFERROR(VLOOKUP('OB Format'!D1662,'Team Data'!C:AB,17,FALSE),"")</f>
        <v/>
      </c>
      <c r="H1662" t="str">
        <f>IFERROR(VLOOKUP(D1662,'Team Data'!C:AB,7,FALSE),"")</f>
        <v/>
      </c>
      <c r="I1662" t="str">
        <f>IFERROR(VLOOKUP(D1662,'Team Data'!C:AB,14,FALSE),"")</f>
        <v/>
      </c>
      <c r="J1662" t="str">
        <f>IFERROR(VLOOKUP(D1662,'Team Data'!C:AB,8,FALSE),"")</f>
        <v/>
      </c>
      <c r="K1662" t="str">
        <f>IFERROR(VLOOKUP(D1662,'Team Data'!C:AB,9,FALSE),"")</f>
        <v/>
      </c>
      <c r="L1662" t="str">
        <f>IFERROR(VLOOKUP(D1662,'Team Data'!C:AB,10,FALSE),"")</f>
        <v/>
      </c>
      <c r="M1662" t="str">
        <f t="shared" si="52"/>
        <v/>
      </c>
      <c r="N1662" t="str">
        <f>IFERROR(VLOOKUP(D1662,'Team Data'!C:AB,23,FALSE),"")</f>
        <v/>
      </c>
      <c r="O1662" t="str">
        <f>IFERROR(VLOOKUP(D1662,'Team Data'!C:AB,22,FALSE),"")</f>
        <v/>
      </c>
      <c r="P1662" t="str">
        <f t="shared" si="53"/>
        <v/>
      </c>
      <c r="Q1662" t="str">
        <f>IFERROR(VLOOKUP(D1662,'Team Data'!C:AB,15,FALSE),"")</f>
        <v/>
      </c>
      <c r="R1662" t="str">
        <f>IFERROR(VLOOKUP('OB Format'!D1662,'Team Data'!C:AB,24,FALSE),"")</f>
        <v/>
      </c>
      <c r="S1662" t="str">
        <f>IFERROR(VLOOKUP('OB Format'!D1662,'Team Data'!C:AC,25,FALSE),"")</f>
        <v/>
      </c>
    </row>
    <row r="1663" spans="5:19" x14ac:dyDescent="0.25">
      <c r="E1663" t="str">
        <f>IFERROR(VLOOKUP(D1663,'Team Data'!C:AB,4,FALSE),"")</f>
        <v/>
      </c>
      <c r="F1663" t="str">
        <f>IFERROR(VLOOKUP(D1663,'Team Data'!C:AB,5,FALSE),"")</f>
        <v/>
      </c>
      <c r="G1663" t="str">
        <f>IFERROR(VLOOKUP('OB Format'!D1663,'Team Data'!C:AB,17,FALSE),"")</f>
        <v/>
      </c>
      <c r="H1663" t="str">
        <f>IFERROR(VLOOKUP(D1663,'Team Data'!C:AB,7,FALSE),"")</f>
        <v/>
      </c>
      <c r="I1663" t="str">
        <f>IFERROR(VLOOKUP(D1663,'Team Data'!C:AB,14,FALSE),"")</f>
        <v/>
      </c>
      <c r="J1663" t="str">
        <f>IFERROR(VLOOKUP(D1663,'Team Data'!C:AB,8,FALSE),"")</f>
        <v/>
      </c>
      <c r="K1663" t="str">
        <f>IFERROR(VLOOKUP(D1663,'Team Data'!C:AB,9,FALSE),"")</f>
        <v/>
      </c>
      <c r="L1663" t="str">
        <f>IFERROR(VLOOKUP(D1663,'Team Data'!C:AB,10,FALSE),"")</f>
        <v/>
      </c>
      <c r="M1663" t="str">
        <f t="shared" si="52"/>
        <v/>
      </c>
      <c r="N1663" t="str">
        <f>IFERROR(VLOOKUP(D1663,'Team Data'!C:AB,23,FALSE),"")</f>
        <v/>
      </c>
      <c r="O1663" t="str">
        <f>IFERROR(VLOOKUP(D1663,'Team Data'!C:AB,22,FALSE),"")</f>
        <v/>
      </c>
      <c r="P1663" t="str">
        <f t="shared" si="53"/>
        <v/>
      </c>
      <c r="Q1663" t="str">
        <f>IFERROR(VLOOKUP(D1663,'Team Data'!C:AB,15,FALSE),"")</f>
        <v/>
      </c>
      <c r="R1663" t="str">
        <f>IFERROR(VLOOKUP('OB Format'!D1663,'Team Data'!C:AB,24,FALSE),"")</f>
        <v/>
      </c>
      <c r="S1663" t="str">
        <f>IFERROR(VLOOKUP('OB Format'!D1663,'Team Data'!C:AC,25,FALSE),"")</f>
        <v/>
      </c>
    </row>
    <row r="1664" spans="5:19" x14ac:dyDescent="0.25">
      <c r="E1664" t="str">
        <f>IFERROR(VLOOKUP(D1664,'Team Data'!C:AB,4,FALSE),"")</f>
        <v/>
      </c>
      <c r="F1664" t="str">
        <f>IFERROR(VLOOKUP(D1664,'Team Data'!C:AB,5,FALSE),"")</f>
        <v/>
      </c>
      <c r="G1664" t="str">
        <f>IFERROR(VLOOKUP('OB Format'!D1664,'Team Data'!C:AB,17,FALSE),"")</f>
        <v/>
      </c>
      <c r="H1664" t="str">
        <f>IFERROR(VLOOKUP(D1664,'Team Data'!C:AB,7,FALSE),"")</f>
        <v/>
      </c>
      <c r="I1664" t="str">
        <f>IFERROR(VLOOKUP(D1664,'Team Data'!C:AB,14,FALSE),"")</f>
        <v/>
      </c>
      <c r="J1664" t="str">
        <f>IFERROR(VLOOKUP(D1664,'Team Data'!C:AB,8,FALSE),"")</f>
        <v/>
      </c>
      <c r="K1664" t="str">
        <f>IFERROR(VLOOKUP(D1664,'Team Data'!C:AB,9,FALSE),"")</f>
        <v/>
      </c>
      <c r="L1664" t="str">
        <f>IFERROR(VLOOKUP(D1664,'Team Data'!C:AB,10,FALSE),"")</f>
        <v/>
      </c>
      <c r="M1664" t="str">
        <f t="shared" si="52"/>
        <v/>
      </c>
      <c r="N1664" t="str">
        <f>IFERROR(VLOOKUP(D1664,'Team Data'!C:AB,23,FALSE),"")</f>
        <v/>
      </c>
      <c r="O1664" t="str">
        <f>IFERROR(VLOOKUP(D1664,'Team Data'!C:AB,22,FALSE),"")</f>
        <v/>
      </c>
      <c r="P1664" t="str">
        <f t="shared" si="53"/>
        <v/>
      </c>
      <c r="Q1664" t="str">
        <f>IFERROR(VLOOKUP(D1664,'Team Data'!C:AB,15,FALSE),"")</f>
        <v/>
      </c>
      <c r="R1664" t="str">
        <f>IFERROR(VLOOKUP('OB Format'!D1664,'Team Data'!C:AB,24,FALSE),"")</f>
        <v/>
      </c>
      <c r="S1664" t="str">
        <f>IFERROR(VLOOKUP('OB Format'!D1664,'Team Data'!C:AC,25,FALSE),"")</f>
        <v/>
      </c>
    </row>
    <row r="1665" spans="5:19" x14ac:dyDescent="0.25">
      <c r="E1665" t="str">
        <f>IFERROR(VLOOKUP(D1665,'Team Data'!C:AB,4,FALSE),"")</f>
        <v/>
      </c>
      <c r="F1665" t="str">
        <f>IFERROR(VLOOKUP(D1665,'Team Data'!C:AB,5,FALSE),"")</f>
        <v/>
      </c>
      <c r="G1665" t="str">
        <f>IFERROR(VLOOKUP('OB Format'!D1665,'Team Data'!C:AB,17,FALSE),"")</f>
        <v/>
      </c>
      <c r="H1665" t="str">
        <f>IFERROR(VLOOKUP(D1665,'Team Data'!C:AB,7,FALSE),"")</f>
        <v/>
      </c>
      <c r="I1665" t="str">
        <f>IFERROR(VLOOKUP(D1665,'Team Data'!C:AB,14,FALSE),"")</f>
        <v/>
      </c>
      <c r="J1665" t="str">
        <f>IFERROR(VLOOKUP(D1665,'Team Data'!C:AB,8,FALSE),"")</f>
        <v/>
      </c>
      <c r="K1665" t="str">
        <f>IFERROR(VLOOKUP(D1665,'Team Data'!C:AB,9,FALSE),"")</f>
        <v/>
      </c>
      <c r="L1665" t="str">
        <f>IFERROR(VLOOKUP(D1665,'Team Data'!C:AB,10,FALSE),"")</f>
        <v/>
      </c>
      <c r="M1665" t="str">
        <f t="shared" si="52"/>
        <v/>
      </c>
      <c r="N1665" t="str">
        <f>IFERROR(VLOOKUP(D1665,'Team Data'!C:AB,23,FALSE),"")</f>
        <v/>
      </c>
      <c r="O1665" t="str">
        <f>IFERROR(VLOOKUP(D1665,'Team Data'!C:AB,22,FALSE),"")</f>
        <v/>
      </c>
      <c r="P1665" t="str">
        <f t="shared" si="53"/>
        <v/>
      </c>
      <c r="Q1665" t="str">
        <f>IFERROR(VLOOKUP(D1665,'Team Data'!C:AB,15,FALSE),"")</f>
        <v/>
      </c>
      <c r="R1665" t="str">
        <f>IFERROR(VLOOKUP('OB Format'!D1665,'Team Data'!C:AB,24,FALSE),"")</f>
        <v/>
      </c>
      <c r="S1665" t="str">
        <f>IFERROR(VLOOKUP('OB Format'!D1665,'Team Data'!C:AC,25,FALSE),"")</f>
        <v/>
      </c>
    </row>
    <row r="1666" spans="5:19" x14ac:dyDescent="0.25">
      <c r="E1666" t="str">
        <f>IFERROR(VLOOKUP(D1666,'Team Data'!C:AB,4,FALSE),"")</f>
        <v/>
      </c>
      <c r="F1666" t="str">
        <f>IFERROR(VLOOKUP(D1666,'Team Data'!C:AB,5,FALSE),"")</f>
        <v/>
      </c>
      <c r="G1666" t="str">
        <f>IFERROR(VLOOKUP('OB Format'!D1666,'Team Data'!C:AB,17,FALSE),"")</f>
        <v/>
      </c>
      <c r="H1666" t="str">
        <f>IFERROR(VLOOKUP(D1666,'Team Data'!C:AB,7,FALSE),"")</f>
        <v/>
      </c>
      <c r="I1666" t="str">
        <f>IFERROR(VLOOKUP(D1666,'Team Data'!C:AB,14,FALSE),"")</f>
        <v/>
      </c>
      <c r="J1666" t="str">
        <f>IFERROR(VLOOKUP(D1666,'Team Data'!C:AB,8,FALSE),"")</f>
        <v/>
      </c>
      <c r="K1666" t="str">
        <f>IFERROR(VLOOKUP(D1666,'Team Data'!C:AB,9,FALSE),"")</f>
        <v/>
      </c>
      <c r="L1666" t="str">
        <f>IFERROR(VLOOKUP(D1666,'Team Data'!C:AB,10,FALSE),"")</f>
        <v/>
      </c>
      <c r="M1666" t="str">
        <f t="shared" si="52"/>
        <v/>
      </c>
      <c r="N1666" t="str">
        <f>IFERROR(VLOOKUP(D1666,'Team Data'!C:AB,23,FALSE),"")</f>
        <v/>
      </c>
      <c r="O1666" t="str">
        <f>IFERROR(VLOOKUP(D1666,'Team Data'!C:AB,22,FALSE),"")</f>
        <v/>
      </c>
      <c r="P1666" t="str">
        <f t="shared" si="53"/>
        <v/>
      </c>
      <c r="Q1666" t="str">
        <f>IFERROR(VLOOKUP(D1666,'Team Data'!C:AB,15,FALSE),"")</f>
        <v/>
      </c>
      <c r="R1666" t="str">
        <f>IFERROR(VLOOKUP('OB Format'!D1666,'Team Data'!C:AB,24,FALSE),"")</f>
        <v/>
      </c>
      <c r="S1666" t="str">
        <f>IFERROR(VLOOKUP('OB Format'!D1666,'Team Data'!C:AC,25,FALSE),"")</f>
        <v/>
      </c>
    </row>
    <row r="1667" spans="5:19" x14ac:dyDescent="0.25">
      <c r="E1667" t="str">
        <f>IFERROR(VLOOKUP(D1667,'Team Data'!C:AB,4,FALSE),"")</f>
        <v/>
      </c>
      <c r="F1667" t="str">
        <f>IFERROR(VLOOKUP(D1667,'Team Data'!C:AB,5,FALSE),"")</f>
        <v/>
      </c>
      <c r="G1667" t="str">
        <f>IFERROR(VLOOKUP('OB Format'!D1667,'Team Data'!C:AB,17,FALSE),"")</f>
        <v/>
      </c>
      <c r="H1667" t="str">
        <f>IFERROR(VLOOKUP(D1667,'Team Data'!C:AB,7,FALSE),"")</f>
        <v/>
      </c>
      <c r="I1667" t="str">
        <f>IFERROR(VLOOKUP(D1667,'Team Data'!C:AB,14,FALSE),"")</f>
        <v/>
      </c>
      <c r="J1667" t="str">
        <f>IFERROR(VLOOKUP(D1667,'Team Data'!C:AB,8,FALSE),"")</f>
        <v/>
      </c>
      <c r="K1667" t="str">
        <f>IFERROR(VLOOKUP(D1667,'Team Data'!C:AB,9,FALSE),"")</f>
        <v/>
      </c>
      <c r="L1667" t="str">
        <f>IFERROR(VLOOKUP(D1667,'Team Data'!C:AB,10,FALSE),"")</f>
        <v/>
      </c>
      <c r="M1667" t="str">
        <f t="shared" si="52"/>
        <v/>
      </c>
      <c r="N1667" t="str">
        <f>IFERROR(VLOOKUP(D1667,'Team Data'!C:AB,23,FALSE),"")</f>
        <v/>
      </c>
      <c r="O1667" t="str">
        <f>IFERROR(VLOOKUP(D1667,'Team Data'!C:AB,22,FALSE),"")</f>
        <v/>
      </c>
      <c r="P1667" t="str">
        <f t="shared" si="53"/>
        <v/>
      </c>
      <c r="Q1667" t="str">
        <f>IFERROR(VLOOKUP(D1667,'Team Data'!C:AB,15,FALSE),"")</f>
        <v/>
      </c>
      <c r="R1667" t="str">
        <f>IFERROR(VLOOKUP('OB Format'!D1667,'Team Data'!C:AB,24,FALSE),"")</f>
        <v/>
      </c>
      <c r="S1667" t="str">
        <f>IFERROR(VLOOKUP('OB Format'!D1667,'Team Data'!C:AC,25,FALSE),"")</f>
        <v/>
      </c>
    </row>
    <row r="1668" spans="5:19" x14ac:dyDescent="0.25">
      <c r="E1668" t="str">
        <f>IFERROR(VLOOKUP(D1668,'Team Data'!C:AB,4,FALSE),"")</f>
        <v/>
      </c>
      <c r="F1668" t="str">
        <f>IFERROR(VLOOKUP(D1668,'Team Data'!C:AB,5,FALSE),"")</f>
        <v/>
      </c>
      <c r="G1668" t="str">
        <f>IFERROR(VLOOKUP('OB Format'!D1668,'Team Data'!C:AB,17,FALSE),"")</f>
        <v/>
      </c>
      <c r="H1668" t="str">
        <f>IFERROR(VLOOKUP(D1668,'Team Data'!C:AB,7,FALSE),"")</f>
        <v/>
      </c>
      <c r="I1668" t="str">
        <f>IFERROR(VLOOKUP(D1668,'Team Data'!C:AB,14,FALSE),"")</f>
        <v/>
      </c>
      <c r="J1668" t="str">
        <f>IFERROR(VLOOKUP(D1668,'Team Data'!C:AB,8,FALSE),"")</f>
        <v/>
      </c>
      <c r="K1668" t="str">
        <f>IFERROR(VLOOKUP(D1668,'Team Data'!C:AB,9,FALSE),"")</f>
        <v/>
      </c>
      <c r="L1668" t="str">
        <f>IFERROR(VLOOKUP(D1668,'Team Data'!C:AB,10,FALSE),"")</f>
        <v/>
      </c>
      <c r="M1668" t="str">
        <f t="shared" si="52"/>
        <v/>
      </c>
      <c r="N1668" t="str">
        <f>IFERROR(VLOOKUP(D1668,'Team Data'!C:AB,23,FALSE),"")</f>
        <v/>
      </c>
      <c r="O1668" t="str">
        <f>IFERROR(VLOOKUP(D1668,'Team Data'!C:AB,22,FALSE),"")</f>
        <v/>
      </c>
      <c r="P1668" t="str">
        <f t="shared" si="53"/>
        <v/>
      </c>
      <c r="Q1668" t="str">
        <f>IFERROR(VLOOKUP(D1668,'Team Data'!C:AB,15,FALSE),"")</f>
        <v/>
      </c>
      <c r="R1668" t="str">
        <f>IFERROR(VLOOKUP('OB Format'!D1668,'Team Data'!C:AB,24,FALSE),"")</f>
        <v/>
      </c>
      <c r="S1668" t="str">
        <f>IFERROR(VLOOKUP('OB Format'!D1668,'Team Data'!C:AC,25,FALSE),"")</f>
        <v/>
      </c>
    </row>
    <row r="1669" spans="5:19" x14ac:dyDescent="0.25">
      <c r="E1669" t="str">
        <f>IFERROR(VLOOKUP(D1669,'Team Data'!C:AB,4,FALSE),"")</f>
        <v/>
      </c>
      <c r="F1669" t="str">
        <f>IFERROR(VLOOKUP(D1669,'Team Data'!C:AB,5,FALSE),"")</f>
        <v/>
      </c>
      <c r="G1669" t="str">
        <f>IFERROR(VLOOKUP('OB Format'!D1669,'Team Data'!C:AB,17,FALSE),"")</f>
        <v/>
      </c>
      <c r="H1669" t="str">
        <f>IFERROR(VLOOKUP(D1669,'Team Data'!C:AB,7,FALSE),"")</f>
        <v/>
      </c>
      <c r="I1669" t="str">
        <f>IFERROR(VLOOKUP(D1669,'Team Data'!C:AB,14,FALSE),"")</f>
        <v/>
      </c>
      <c r="J1669" t="str">
        <f>IFERROR(VLOOKUP(D1669,'Team Data'!C:AB,8,FALSE),"")</f>
        <v/>
      </c>
      <c r="K1669" t="str">
        <f>IFERROR(VLOOKUP(D1669,'Team Data'!C:AB,9,FALSE),"")</f>
        <v/>
      </c>
      <c r="L1669" t="str">
        <f>IFERROR(VLOOKUP(D1669,'Team Data'!C:AB,10,FALSE),"")</f>
        <v/>
      </c>
      <c r="M1669" t="str">
        <f t="shared" si="52"/>
        <v/>
      </c>
      <c r="N1669" t="str">
        <f>IFERROR(VLOOKUP(D1669,'Team Data'!C:AB,23,FALSE),"")</f>
        <v/>
      </c>
      <c r="O1669" t="str">
        <f>IFERROR(VLOOKUP(D1669,'Team Data'!C:AB,22,FALSE),"")</f>
        <v/>
      </c>
      <c r="P1669" t="str">
        <f t="shared" si="53"/>
        <v/>
      </c>
      <c r="Q1669" t="str">
        <f>IFERROR(VLOOKUP(D1669,'Team Data'!C:AB,15,FALSE),"")</f>
        <v/>
      </c>
      <c r="R1669" t="str">
        <f>IFERROR(VLOOKUP('OB Format'!D1669,'Team Data'!C:AB,24,FALSE),"")</f>
        <v/>
      </c>
      <c r="S1669" t="str">
        <f>IFERROR(VLOOKUP('OB Format'!D1669,'Team Data'!C:AC,25,FALSE),"")</f>
        <v/>
      </c>
    </row>
    <row r="1670" spans="5:19" x14ac:dyDescent="0.25">
      <c r="E1670" t="str">
        <f>IFERROR(VLOOKUP(D1670,'Team Data'!C:AB,4,FALSE),"")</f>
        <v/>
      </c>
      <c r="F1670" t="str">
        <f>IFERROR(VLOOKUP(D1670,'Team Data'!C:AB,5,FALSE),"")</f>
        <v/>
      </c>
      <c r="G1670" t="str">
        <f>IFERROR(VLOOKUP('OB Format'!D1670,'Team Data'!C:AB,17,FALSE),"")</f>
        <v/>
      </c>
      <c r="H1670" t="str">
        <f>IFERROR(VLOOKUP(D1670,'Team Data'!C:AB,7,FALSE),"")</f>
        <v/>
      </c>
      <c r="I1670" t="str">
        <f>IFERROR(VLOOKUP(D1670,'Team Data'!C:AB,14,FALSE),"")</f>
        <v/>
      </c>
      <c r="J1670" t="str">
        <f>IFERROR(VLOOKUP(D1670,'Team Data'!C:AB,8,FALSE),"")</f>
        <v/>
      </c>
      <c r="K1670" t="str">
        <f>IFERROR(VLOOKUP(D1670,'Team Data'!C:AB,9,FALSE),"")</f>
        <v/>
      </c>
      <c r="L1670" t="str">
        <f>IFERROR(VLOOKUP(D1670,'Team Data'!C:AB,10,FALSE),"")</f>
        <v/>
      </c>
      <c r="M1670" t="str">
        <f t="shared" si="52"/>
        <v/>
      </c>
      <c r="N1670" t="str">
        <f>IFERROR(VLOOKUP(D1670,'Team Data'!C:AB,23,FALSE),"")</f>
        <v/>
      </c>
      <c r="O1670" t="str">
        <f>IFERROR(VLOOKUP(D1670,'Team Data'!C:AB,22,FALSE),"")</f>
        <v/>
      </c>
      <c r="P1670" t="str">
        <f t="shared" si="53"/>
        <v/>
      </c>
      <c r="Q1670" t="str">
        <f>IFERROR(VLOOKUP(D1670,'Team Data'!C:AB,15,FALSE),"")</f>
        <v/>
      </c>
      <c r="R1670" t="str">
        <f>IFERROR(VLOOKUP('OB Format'!D1670,'Team Data'!C:AB,24,FALSE),"")</f>
        <v/>
      </c>
      <c r="S1670" t="str">
        <f>IFERROR(VLOOKUP('OB Format'!D1670,'Team Data'!C:AC,25,FALSE),"")</f>
        <v/>
      </c>
    </row>
    <row r="1671" spans="5:19" x14ac:dyDescent="0.25">
      <c r="E1671" t="str">
        <f>IFERROR(VLOOKUP(D1671,'Team Data'!C:AB,4,FALSE),"")</f>
        <v/>
      </c>
      <c r="F1671" t="str">
        <f>IFERROR(VLOOKUP(D1671,'Team Data'!C:AB,5,FALSE),"")</f>
        <v/>
      </c>
      <c r="G1671" t="str">
        <f>IFERROR(VLOOKUP('OB Format'!D1671,'Team Data'!C:AB,17,FALSE),"")</f>
        <v/>
      </c>
      <c r="H1671" t="str">
        <f>IFERROR(VLOOKUP(D1671,'Team Data'!C:AB,7,FALSE),"")</f>
        <v/>
      </c>
      <c r="I1671" t="str">
        <f>IFERROR(VLOOKUP(D1671,'Team Data'!C:AB,14,FALSE),"")</f>
        <v/>
      </c>
      <c r="J1671" t="str">
        <f>IFERROR(VLOOKUP(D1671,'Team Data'!C:AB,8,FALSE),"")</f>
        <v/>
      </c>
      <c r="K1671" t="str">
        <f>IFERROR(VLOOKUP(D1671,'Team Data'!C:AB,9,FALSE),"")</f>
        <v/>
      </c>
      <c r="L1671" t="str">
        <f>IFERROR(VLOOKUP(D1671,'Team Data'!C:AB,10,FALSE),"")</f>
        <v/>
      </c>
      <c r="M1671" t="str">
        <f t="shared" si="52"/>
        <v/>
      </c>
      <c r="N1671" t="str">
        <f>IFERROR(VLOOKUP(D1671,'Team Data'!C:AB,23,FALSE),"")</f>
        <v/>
      </c>
      <c r="O1671" t="str">
        <f>IFERROR(VLOOKUP(D1671,'Team Data'!C:AB,22,FALSE),"")</f>
        <v/>
      </c>
      <c r="P1671" t="str">
        <f t="shared" si="53"/>
        <v/>
      </c>
      <c r="Q1671" t="str">
        <f>IFERROR(VLOOKUP(D1671,'Team Data'!C:AB,15,FALSE),"")</f>
        <v/>
      </c>
      <c r="R1671" t="str">
        <f>IFERROR(VLOOKUP('OB Format'!D1671,'Team Data'!C:AB,24,FALSE),"")</f>
        <v/>
      </c>
      <c r="S1671" t="str">
        <f>IFERROR(VLOOKUP('OB Format'!D1671,'Team Data'!C:AC,25,FALSE),"")</f>
        <v/>
      </c>
    </row>
    <row r="1672" spans="5:19" x14ac:dyDescent="0.25">
      <c r="E1672" t="str">
        <f>IFERROR(VLOOKUP(D1672,'Team Data'!C:AB,4,FALSE),"")</f>
        <v/>
      </c>
      <c r="F1672" t="str">
        <f>IFERROR(VLOOKUP(D1672,'Team Data'!C:AB,5,FALSE),"")</f>
        <v/>
      </c>
      <c r="G1672" t="str">
        <f>IFERROR(VLOOKUP('OB Format'!D1672,'Team Data'!C:AB,17,FALSE),"")</f>
        <v/>
      </c>
      <c r="H1672" t="str">
        <f>IFERROR(VLOOKUP(D1672,'Team Data'!C:AB,7,FALSE),"")</f>
        <v/>
      </c>
      <c r="I1672" t="str">
        <f>IFERROR(VLOOKUP(D1672,'Team Data'!C:AB,14,FALSE),"")</f>
        <v/>
      </c>
      <c r="J1672" t="str">
        <f>IFERROR(VLOOKUP(D1672,'Team Data'!C:AB,8,FALSE),"")</f>
        <v/>
      </c>
      <c r="K1672" t="str">
        <f>IFERROR(VLOOKUP(D1672,'Team Data'!C:AB,9,FALSE),"")</f>
        <v/>
      </c>
      <c r="L1672" t="str">
        <f>IFERROR(VLOOKUP(D1672,'Team Data'!C:AB,10,FALSE),"")</f>
        <v/>
      </c>
      <c r="M1672" t="str">
        <f t="shared" si="52"/>
        <v/>
      </c>
      <c r="N1672" t="str">
        <f>IFERROR(VLOOKUP(D1672,'Team Data'!C:AB,23,FALSE),"")</f>
        <v/>
      </c>
      <c r="O1672" t="str">
        <f>IFERROR(VLOOKUP(D1672,'Team Data'!C:AB,22,FALSE),"")</f>
        <v/>
      </c>
      <c r="P1672" t="str">
        <f t="shared" si="53"/>
        <v/>
      </c>
      <c r="Q1672" t="str">
        <f>IFERROR(VLOOKUP(D1672,'Team Data'!C:AB,15,FALSE),"")</f>
        <v/>
      </c>
      <c r="R1672" t="str">
        <f>IFERROR(VLOOKUP('OB Format'!D1672,'Team Data'!C:AB,24,FALSE),"")</f>
        <v/>
      </c>
      <c r="S1672" t="str">
        <f>IFERROR(VLOOKUP('OB Format'!D1672,'Team Data'!C:AC,25,FALSE),"")</f>
        <v/>
      </c>
    </row>
    <row r="1673" spans="5:19" x14ac:dyDescent="0.25">
      <c r="E1673" t="str">
        <f>IFERROR(VLOOKUP(D1673,'Team Data'!C:AB,4,FALSE),"")</f>
        <v/>
      </c>
      <c r="F1673" t="str">
        <f>IFERROR(VLOOKUP(D1673,'Team Data'!C:AB,5,FALSE),"")</f>
        <v/>
      </c>
      <c r="G1673" t="str">
        <f>IFERROR(VLOOKUP('OB Format'!D1673,'Team Data'!C:AB,17,FALSE),"")</f>
        <v/>
      </c>
      <c r="H1673" t="str">
        <f>IFERROR(VLOOKUP(D1673,'Team Data'!C:AB,7,FALSE),"")</f>
        <v/>
      </c>
      <c r="I1673" t="str">
        <f>IFERROR(VLOOKUP(D1673,'Team Data'!C:AB,14,FALSE),"")</f>
        <v/>
      </c>
      <c r="J1673" t="str">
        <f>IFERROR(VLOOKUP(D1673,'Team Data'!C:AB,8,FALSE),"")</f>
        <v/>
      </c>
      <c r="K1673" t="str">
        <f>IFERROR(VLOOKUP(D1673,'Team Data'!C:AB,9,FALSE),"")</f>
        <v/>
      </c>
      <c r="L1673" t="str">
        <f>IFERROR(VLOOKUP(D1673,'Team Data'!C:AB,10,FALSE),"")</f>
        <v/>
      </c>
      <c r="M1673" t="str">
        <f t="shared" si="52"/>
        <v/>
      </c>
      <c r="N1673" t="str">
        <f>IFERROR(VLOOKUP(D1673,'Team Data'!C:AB,23,FALSE),"")</f>
        <v/>
      </c>
      <c r="O1673" t="str">
        <f>IFERROR(VLOOKUP(D1673,'Team Data'!C:AB,22,FALSE),"")</f>
        <v/>
      </c>
      <c r="P1673" t="str">
        <f t="shared" si="53"/>
        <v/>
      </c>
      <c r="Q1673" t="str">
        <f>IFERROR(VLOOKUP(D1673,'Team Data'!C:AB,15,FALSE),"")</f>
        <v/>
      </c>
      <c r="R1673" t="str">
        <f>IFERROR(VLOOKUP('OB Format'!D1673,'Team Data'!C:AB,24,FALSE),"")</f>
        <v/>
      </c>
      <c r="S1673" t="str">
        <f>IFERROR(VLOOKUP('OB Format'!D1673,'Team Data'!C:AC,25,FALSE),"")</f>
        <v/>
      </c>
    </row>
    <row r="1674" spans="5:19" x14ac:dyDescent="0.25">
      <c r="E1674" t="str">
        <f>IFERROR(VLOOKUP(D1674,'Team Data'!C:AB,4,FALSE),"")</f>
        <v/>
      </c>
      <c r="F1674" t="str">
        <f>IFERROR(VLOOKUP(D1674,'Team Data'!C:AB,5,FALSE),"")</f>
        <v/>
      </c>
      <c r="G1674" t="str">
        <f>IFERROR(VLOOKUP('OB Format'!D1674,'Team Data'!C:AB,17,FALSE),"")</f>
        <v/>
      </c>
      <c r="H1674" t="str">
        <f>IFERROR(VLOOKUP(D1674,'Team Data'!C:AB,7,FALSE),"")</f>
        <v/>
      </c>
      <c r="I1674" t="str">
        <f>IFERROR(VLOOKUP(D1674,'Team Data'!C:AB,14,FALSE),"")</f>
        <v/>
      </c>
      <c r="J1674" t="str">
        <f>IFERROR(VLOOKUP(D1674,'Team Data'!C:AB,8,FALSE),"")</f>
        <v/>
      </c>
      <c r="K1674" t="str">
        <f>IFERROR(VLOOKUP(D1674,'Team Data'!C:AB,9,FALSE),"")</f>
        <v/>
      </c>
      <c r="L1674" t="str">
        <f>IFERROR(VLOOKUP(D1674,'Team Data'!C:AB,10,FALSE),"")</f>
        <v/>
      </c>
      <c r="M1674" t="str">
        <f t="shared" si="52"/>
        <v/>
      </c>
      <c r="N1674" t="str">
        <f>IFERROR(VLOOKUP(D1674,'Team Data'!C:AB,23,FALSE),"")</f>
        <v/>
      </c>
      <c r="O1674" t="str">
        <f>IFERROR(VLOOKUP(D1674,'Team Data'!C:AB,22,FALSE),"")</f>
        <v/>
      </c>
      <c r="P1674" t="str">
        <f t="shared" si="53"/>
        <v/>
      </c>
      <c r="Q1674" t="str">
        <f>IFERROR(VLOOKUP(D1674,'Team Data'!C:AB,15,FALSE),"")</f>
        <v/>
      </c>
      <c r="R1674" t="str">
        <f>IFERROR(VLOOKUP('OB Format'!D1674,'Team Data'!C:AB,24,FALSE),"")</f>
        <v/>
      </c>
      <c r="S1674" t="str">
        <f>IFERROR(VLOOKUP('OB Format'!D1674,'Team Data'!C:AC,25,FALSE),"")</f>
        <v/>
      </c>
    </row>
    <row r="1675" spans="5:19" x14ac:dyDescent="0.25">
      <c r="E1675" t="str">
        <f>IFERROR(VLOOKUP(D1675,'Team Data'!C:AB,4,FALSE),"")</f>
        <v/>
      </c>
      <c r="F1675" t="str">
        <f>IFERROR(VLOOKUP(D1675,'Team Data'!C:AB,5,FALSE),"")</f>
        <v/>
      </c>
      <c r="G1675" t="str">
        <f>IFERROR(VLOOKUP('OB Format'!D1675,'Team Data'!C:AB,17,FALSE),"")</f>
        <v/>
      </c>
      <c r="H1675" t="str">
        <f>IFERROR(VLOOKUP(D1675,'Team Data'!C:AB,7,FALSE),"")</f>
        <v/>
      </c>
      <c r="I1675" t="str">
        <f>IFERROR(VLOOKUP(D1675,'Team Data'!C:AB,14,FALSE),"")</f>
        <v/>
      </c>
      <c r="J1675" t="str">
        <f>IFERROR(VLOOKUP(D1675,'Team Data'!C:AB,8,FALSE),"")</f>
        <v/>
      </c>
      <c r="K1675" t="str">
        <f>IFERROR(VLOOKUP(D1675,'Team Data'!C:AB,9,FALSE),"")</f>
        <v/>
      </c>
      <c r="L1675" t="str">
        <f>IFERROR(VLOOKUP(D1675,'Team Data'!C:AB,10,FALSE),"")</f>
        <v/>
      </c>
      <c r="M1675" t="str">
        <f t="shared" si="52"/>
        <v/>
      </c>
      <c r="N1675" t="str">
        <f>IFERROR(VLOOKUP(D1675,'Team Data'!C:AB,23,FALSE),"")</f>
        <v/>
      </c>
      <c r="O1675" t="str">
        <f>IFERROR(VLOOKUP(D1675,'Team Data'!C:AB,22,FALSE),"")</f>
        <v/>
      </c>
      <c r="P1675" t="str">
        <f t="shared" si="53"/>
        <v/>
      </c>
      <c r="Q1675" t="str">
        <f>IFERROR(VLOOKUP(D1675,'Team Data'!C:AB,15,FALSE),"")</f>
        <v/>
      </c>
      <c r="R1675" t="str">
        <f>IFERROR(VLOOKUP('OB Format'!D1675,'Team Data'!C:AB,24,FALSE),"")</f>
        <v/>
      </c>
      <c r="S1675" t="str">
        <f>IFERROR(VLOOKUP('OB Format'!D1675,'Team Data'!C:AC,25,FALSE),"")</f>
        <v/>
      </c>
    </row>
    <row r="1676" spans="5:19" x14ac:dyDescent="0.25">
      <c r="E1676" t="str">
        <f>IFERROR(VLOOKUP(D1676,'Team Data'!C:AB,4,FALSE),"")</f>
        <v/>
      </c>
      <c r="F1676" t="str">
        <f>IFERROR(VLOOKUP(D1676,'Team Data'!C:AB,5,FALSE),"")</f>
        <v/>
      </c>
      <c r="G1676" t="str">
        <f>IFERROR(VLOOKUP('OB Format'!D1676,'Team Data'!C:AB,17,FALSE),"")</f>
        <v/>
      </c>
      <c r="H1676" t="str">
        <f>IFERROR(VLOOKUP(D1676,'Team Data'!C:AB,7,FALSE),"")</f>
        <v/>
      </c>
      <c r="I1676" t="str">
        <f>IFERROR(VLOOKUP(D1676,'Team Data'!C:AB,14,FALSE),"")</f>
        <v/>
      </c>
      <c r="J1676" t="str">
        <f>IFERROR(VLOOKUP(D1676,'Team Data'!C:AB,8,FALSE),"")</f>
        <v/>
      </c>
      <c r="K1676" t="str">
        <f>IFERROR(VLOOKUP(D1676,'Team Data'!C:AB,9,FALSE),"")</f>
        <v/>
      </c>
      <c r="L1676" t="str">
        <f>IFERROR(VLOOKUP(D1676,'Team Data'!C:AB,10,FALSE),"")</f>
        <v/>
      </c>
      <c r="M1676" t="str">
        <f t="shared" si="52"/>
        <v/>
      </c>
      <c r="N1676" t="str">
        <f>IFERROR(VLOOKUP(D1676,'Team Data'!C:AB,23,FALSE),"")</f>
        <v/>
      </c>
      <c r="O1676" t="str">
        <f>IFERROR(VLOOKUP(D1676,'Team Data'!C:AB,22,FALSE),"")</f>
        <v/>
      </c>
      <c r="P1676" t="str">
        <f t="shared" si="53"/>
        <v/>
      </c>
      <c r="Q1676" t="str">
        <f>IFERROR(VLOOKUP(D1676,'Team Data'!C:AB,15,FALSE),"")</f>
        <v/>
      </c>
      <c r="R1676" t="str">
        <f>IFERROR(VLOOKUP('OB Format'!D1676,'Team Data'!C:AB,24,FALSE),"")</f>
        <v/>
      </c>
      <c r="S1676" t="str">
        <f>IFERROR(VLOOKUP('OB Format'!D1676,'Team Data'!C:AC,25,FALSE),"")</f>
        <v/>
      </c>
    </row>
    <row r="1677" spans="5:19" x14ac:dyDescent="0.25">
      <c r="E1677" t="str">
        <f>IFERROR(VLOOKUP(D1677,'Team Data'!C:AB,4,FALSE),"")</f>
        <v/>
      </c>
      <c r="F1677" t="str">
        <f>IFERROR(VLOOKUP(D1677,'Team Data'!C:AB,5,FALSE),"")</f>
        <v/>
      </c>
      <c r="G1677" t="str">
        <f>IFERROR(VLOOKUP('OB Format'!D1677,'Team Data'!C:AB,17,FALSE),"")</f>
        <v/>
      </c>
      <c r="H1677" t="str">
        <f>IFERROR(VLOOKUP(D1677,'Team Data'!C:AB,7,FALSE),"")</f>
        <v/>
      </c>
      <c r="I1677" t="str">
        <f>IFERROR(VLOOKUP(D1677,'Team Data'!C:AB,14,FALSE),"")</f>
        <v/>
      </c>
      <c r="J1677" t="str">
        <f>IFERROR(VLOOKUP(D1677,'Team Data'!C:AB,8,FALSE),"")</f>
        <v/>
      </c>
      <c r="K1677" t="str">
        <f>IFERROR(VLOOKUP(D1677,'Team Data'!C:AB,9,FALSE),"")</f>
        <v/>
      </c>
      <c r="L1677" t="str">
        <f>IFERROR(VLOOKUP(D1677,'Team Data'!C:AB,10,FALSE),"")</f>
        <v/>
      </c>
      <c r="M1677" t="str">
        <f t="shared" ref="M1677:M1740" si="54">IFERROR(H1677-(J1677+L1677+K1677),"")</f>
        <v/>
      </c>
      <c r="N1677" t="str">
        <f>IFERROR(VLOOKUP(D1677,'Team Data'!C:AB,23,FALSE),"")</f>
        <v/>
      </c>
      <c r="O1677" t="str">
        <f>IFERROR(VLOOKUP(D1677,'Team Data'!C:AB,22,FALSE),"")</f>
        <v/>
      </c>
      <c r="P1677" t="str">
        <f t="shared" ref="P1677:P1740" si="55">IFERROR(E1677-(H1677+N1677+Q1677+I1677+O1677),"")</f>
        <v/>
      </c>
      <c r="Q1677" t="str">
        <f>IFERROR(VLOOKUP(D1677,'Team Data'!C:AB,15,FALSE),"")</f>
        <v/>
      </c>
      <c r="R1677" t="str">
        <f>IFERROR(VLOOKUP('OB Format'!D1677,'Team Data'!C:AB,24,FALSE),"")</f>
        <v/>
      </c>
      <c r="S1677" t="str">
        <f>IFERROR(VLOOKUP('OB Format'!D1677,'Team Data'!C:AC,25,FALSE),"")</f>
        <v/>
      </c>
    </row>
    <row r="1678" spans="5:19" x14ac:dyDescent="0.25">
      <c r="E1678" t="str">
        <f>IFERROR(VLOOKUP(D1678,'Team Data'!C:AB,4,FALSE),"")</f>
        <v/>
      </c>
      <c r="F1678" t="str">
        <f>IFERROR(VLOOKUP(D1678,'Team Data'!C:AB,5,FALSE),"")</f>
        <v/>
      </c>
      <c r="G1678" t="str">
        <f>IFERROR(VLOOKUP('OB Format'!D1678,'Team Data'!C:AB,17,FALSE),"")</f>
        <v/>
      </c>
      <c r="H1678" t="str">
        <f>IFERROR(VLOOKUP(D1678,'Team Data'!C:AB,7,FALSE),"")</f>
        <v/>
      </c>
      <c r="I1678" t="str">
        <f>IFERROR(VLOOKUP(D1678,'Team Data'!C:AB,14,FALSE),"")</f>
        <v/>
      </c>
      <c r="J1678" t="str">
        <f>IFERROR(VLOOKUP(D1678,'Team Data'!C:AB,8,FALSE),"")</f>
        <v/>
      </c>
      <c r="K1678" t="str">
        <f>IFERROR(VLOOKUP(D1678,'Team Data'!C:AB,9,FALSE),"")</f>
        <v/>
      </c>
      <c r="L1678" t="str">
        <f>IFERROR(VLOOKUP(D1678,'Team Data'!C:AB,10,FALSE),"")</f>
        <v/>
      </c>
      <c r="M1678" t="str">
        <f t="shared" si="54"/>
        <v/>
      </c>
      <c r="N1678" t="str">
        <f>IFERROR(VLOOKUP(D1678,'Team Data'!C:AB,23,FALSE),"")</f>
        <v/>
      </c>
      <c r="O1678" t="str">
        <f>IFERROR(VLOOKUP(D1678,'Team Data'!C:AB,22,FALSE),"")</f>
        <v/>
      </c>
      <c r="P1678" t="str">
        <f t="shared" si="55"/>
        <v/>
      </c>
      <c r="Q1678" t="str">
        <f>IFERROR(VLOOKUP(D1678,'Team Data'!C:AB,15,FALSE),"")</f>
        <v/>
      </c>
      <c r="R1678" t="str">
        <f>IFERROR(VLOOKUP('OB Format'!D1678,'Team Data'!C:AB,24,FALSE),"")</f>
        <v/>
      </c>
      <c r="S1678" t="str">
        <f>IFERROR(VLOOKUP('OB Format'!D1678,'Team Data'!C:AC,25,FALSE),"")</f>
        <v/>
      </c>
    </row>
    <row r="1679" spans="5:19" x14ac:dyDescent="0.25">
      <c r="E1679" t="str">
        <f>IFERROR(VLOOKUP(D1679,'Team Data'!C:AB,4,FALSE),"")</f>
        <v/>
      </c>
      <c r="F1679" t="str">
        <f>IFERROR(VLOOKUP(D1679,'Team Data'!C:AB,5,FALSE),"")</f>
        <v/>
      </c>
      <c r="G1679" t="str">
        <f>IFERROR(VLOOKUP('OB Format'!D1679,'Team Data'!C:AB,17,FALSE),"")</f>
        <v/>
      </c>
      <c r="H1679" t="str">
        <f>IFERROR(VLOOKUP(D1679,'Team Data'!C:AB,7,FALSE),"")</f>
        <v/>
      </c>
      <c r="I1679" t="str">
        <f>IFERROR(VLOOKUP(D1679,'Team Data'!C:AB,14,FALSE),"")</f>
        <v/>
      </c>
      <c r="J1679" t="str">
        <f>IFERROR(VLOOKUP(D1679,'Team Data'!C:AB,8,FALSE),"")</f>
        <v/>
      </c>
      <c r="K1679" t="str">
        <f>IFERROR(VLOOKUP(D1679,'Team Data'!C:AB,9,FALSE),"")</f>
        <v/>
      </c>
      <c r="L1679" t="str">
        <f>IFERROR(VLOOKUP(D1679,'Team Data'!C:AB,10,FALSE),"")</f>
        <v/>
      </c>
      <c r="M1679" t="str">
        <f t="shared" si="54"/>
        <v/>
      </c>
      <c r="N1679" t="str">
        <f>IFERROR(VLOOKUP(D1679,'Team Data'!C:AB,23,FALSE),"")</f>
        <v/>
      </c>
      <c r="O1679" t="str">
        <f>IFERROR(VLOOKUP(D1679,'Team Data'!C:AB,22,FALSE),"")</f>
        <v/>
      </c>
      <c r="P1679" t="str">
        <f t="shared" si="55"/>
        <v/>
      </c>
      <c r="Q1679" t="str">
        <f>IFERROR(VLOOKUP(D1679,'Team Data'!C:AB,15,FALSE),"")</f>
        <v/>
      </c>
      <c r="R1679" t="str">
        <f>IFERROR(VLOOKUP('OB Format'!D1679,'Team Data'!C:AB,24,FALSE),"")</f>
        <v/>
      </c>
      <c r="S1679" t="str">
        <f>IFERROR(VLOOKUP('OB Format'!D1679,'Team Data'!C:AC,25,FALSE),"")</f>
        <v/>
      </c>
    </row>
    <row r="1680" spans="5:19" x14ac:dyDescent="0.25">
      <c r="E1680" t="str">
        <f>IFERROR(VLOOKUP(D1680,'Team Data'!C:AB,4,FALSE),"")</f>
        <v/>
      </c>
      <c r="F1680" t="str">
        <f>IFERROR(VLOOKUP(D1680,'Team Data'!C:AB,5,FALSE),"")</f>
        <v/>
      </c>
      <c r="G1680" t="str">
        <f>IFERROR(VLOOKUP('OB Format'!D1680,'Team Data'!C:AB,17,FALSE),"")</f>
        <v/>
      </c>
      <c r="H1680" t="str">
        <f>IFERROR(VLOOKUP(D1680,'Team Data'!C:AB,7,FALSE),"")</f>
        <v/>
      </c>
      <c r="I1680" t="str">
        <f>IFERROR(VLOOKUP(D1680,'Team Data'!C:AB,14,FALSE),"")</f>
        <v/>
      </c>
      <c r="J1680" t="str">
        <f>IFERROR(VLOOKUP(D1680,'Team Data'!C:AB,8,FALSE),"")</f>
        <v/>
      </c>
      <c r="K1680" t="str">
        <f>IFERROR(VLOOKUP(D1680,'Team Data'!C:AB,9,FALSE),"")</f>
        <v/>
      </c>
      <c r="L1680" t="str">
        <f>IFERROR(VLOOKUP(D1680,'Team Data'!C:AB,10,FALSE),"")</f>
        <v/>
      </c>
      <c r="M1680" t="str">
        <f t="shared" si="54"/>
        <v/>
      </c>
      <c r="N1680" t="str">
        <f>IFERROR(VLOOKUP(D1680,'Team Data'!C:AB,23,FALSE),"")</f>
        <v/>
      </c>
      <c r="O1680" t="str">
        <f>IFERROR(VLOOKUP(D1680,'Team Data'!C:AB,22,FALSE),"")</f>
        <v/>
      </c>
      <c r="P1680" t="str">
        <f t="shared" si="55"/>
        <v/>
      </c>
      <c r="Q1680" t="str">
        <f>IFERROR(VLOOKUP(D1680,'Team Data'!C:AB,15,FALSE),"")</f>
        <v/>
      </c>
      <c r="R1680" t="str">
        <f>IFERROR(VLOOKUP('OB Format'!D1680,'Team Data'!C:AB,24,FALSE),"")</f>
        <v/>
      </c>
      <c r="S1680" t="str">
        <f>IFERROR(VLOOKUP('OB Format'!D1680,'Team Data'!C:AC,25,FALSE),"")</f>
        <v/>
      </c>
    </row>
    <row r="1681" spans="5:19" x14ac:dyDescent="0.25">
      <c r="E1681" t="str">
        <f>IFERROR(VLOOKUP(D1681,'Team Data'!C:AB,4,FALSE),"")</f>
        <v/>
      </c>
      <c r="F1681" t="str">
        <f>IFERROR(VLOOKUP(D1681,'Team Data'!C:AB,5,FALSE),"")</f>
        <v/>
      </c>
      <c r="G1681" t="str">
        <f>IFERROR(VLOOKUP('OB Format'!D1681,'Team Data'!C:AB,17,FALSE),"")</f>
        <v/>
      </c>
      <c r="H1681" t="str">
        <f>IFERROR(VLOOKUP(D1681,'Team Data'!C:AB,7,FALSE),"")</f>
        <v/>
      </c>
      <c r="I1681" t="str">
        <f>IFERROR(VLOOKUP(D1681,'Team Data'!C:AB,14,FALSE),"")</f>
        <v/>
      </c>
      <c r="J1681" t="str">
        <f>IFERROR(VLOOKUP(D1681,'Team Data'!C:AB,8,FALSE),"")</f>
        <v/>
      </c>
      <c r="K1681" t="str">
        <f>IFERROR(VLOOKUP(D1681,'Team Data'!C:AB,9,FALSE),"")</f>
        <v/>
      </c>
      <c r="L1681" t="str">
        <f>IFERROR(VLOOKUP(D1681,'Team Data'!C:AB,10,FALSE),"")</f>
        <v/>
      </c>
      <c r="M1681" t="str">
        <f t="shared" si="54"/>
        <v/>
      </c>
      <c r="N1681" t="str">
        <f>IFERROR(VLOOKUP(D1681,'Team Data'!C:AB,23,FALSE),"")</f>
        <v/>
      </c>
      <c r="O1681" t="str">
        <f>IFERROR(VLOOKUP(D1681,'Team Data'!C:AB,22,FALSE),"")</f>
        <v/>
      </c>
      <c r="P1681" t="str">
        <f t="shared" si="55"/>
        <v/>
      </c>
      <c r="Q1681" t="str">
        <f>IFERROR(VLOOKUP(D1681,'Team Data'!C:AB,15,FALSE),"")</f>
        <v/>
      </c>
      <c r="R1681" t="str">
        <f>IFERROR(VLOOKUP('OB Format'!D1681,'Team Data'!C:AB,24,FALSE),"")</f>
        <v/>
      </c>
      <c r="S1681" t="str">
        <f>IFERROR(VLOOKUP('OB Format'!D1681,'Team Data'!C:AC,25,FALSE),"")</f>
        <v/>
      </c>
    </row>
    <row r="1682" spans="5:19" x14ac:dyDescent="0.25">
      <c r="E1682" t="str">
        <f>IFERROR(VLOOKUP(D1682,'Team Data'!C:AB,4,FALSE),"")</f>
        <v/>
      </c>
      <c r="F1682" t="str">
        <f>IFERROR(VLOOKUP(D1682,'Team Data'!C:AB,5,FALSE),"")</f>
        <v/>
      </c>
      <c r="G1682" t="str">
        <f>IFERROR(VLOOKUP('OB Format'!D1682,'Team Data'!C:AB,17,FALSE),"")</f>
        <v/>
      </c>
      <c r="H1682" t="str">
        <f>IFERROR(VLOOKUP(D1682,'Team Data'!C:AB,7,FALSE),"")</f>
        <v/>
      </c>
      <c r="I1682" t="str">
        <f>IFERROR(VLOOKUP(D1682,'Team Data'!C:AB,14,FALSE),"")</f>
        <v/>
      </c>
      <c r="J1682" t="str">
        <f>IFERROR(VLOOKUP(D1682,'Team Data'!C:AB,8,FALSE),"")</f>
        <v/>
      </c>
      <c r="K1682" t="str">
        <f>IFERROR(VLOOKUP(D1682,'Team Data'!C:AB,9,FALSE),"")</f>
        <v/>
      </c>
      <c r="L1682" t="str">
        <f>IFERROR(VLOOKUP(D1682,'Team Data'!C:AB,10,FALSE),"")</f>
        <v/>
      </c>
      <c r="M1682" t="str">
        <f t="shared" si="54"/>
        <v/>
      </c>
      <c r="N1682" t="str">
        <f>IFERROR(VLOOKUP(D1682,'Team Data'!C:AB,23,FALSE),"")</f>
        <v/>
      </c>
      <c r="O1682" t="str">
        <f>IFERROR(VLOOKUP(D1682,'Team Data'!C:AB,22,FALSE),"")</f>
        <v/>
      </c>
      <c r="P1682" t="str">
        <f t="shared" si="55"/>
        <v/>
      </c>
      <c r="Q1682" t="str">
        <f>IFERROR(VLOOKUP(D1682,'Team Data'!C:AB,15,FALSE),"")</f>
        <v/>
      </c>
      <c r="R1682" t="str">
        <f>IFERROR(VLOOKUP('OB Format'!D1682,'Team Data'!C:AB,24,FALSE),"")</f>
        <v/>
      </c>
      <c r="S1682" t="str">
        <f>IFERROR(VLOOKUP('OB Format'!D1682,'Team Data'!C:AC,25,FALSE),"")</f>
        <v/>
      </c>
    </row>
    <row r="1683" spans="5:19" x14ac:dyDescent="0.25">
      <c r="E1683" t="str">
        <f>IFERROR(VLOOKUP(D1683,'Team Data'!C:AB,4,FALSE),"")</f>
        <v/>
      </c>
      <c r="F1683" t="str">
        <f>IFERROR(VLOOKUP(D1683,'Team Data'!C:AB,5,FALSE),"")</f>
        <v/>
      </c>
      <c r="G1683" t="str">
        <f>IFERROR(VLOOKUP('OB Format'!D1683,'Team Data'!C:AB,17,FALSE),"")</f>
        <v/>
      </c>
      <c r="H1683" t="str">
        <f>IFERROR(VLOOKUP(D1683,'Team Data'!C:AB,7,FALSE),"")</f>
        <v/>
      </c>
      <c r="I1683" t="str">
        <f>IFERROR(VLOOKUP(D1683,'Team Data'!C:AB,14,FALSE),"")</f>
        <v/>
      </c>
      <c r="J1683" t="str">
        <f>IFERROR(VLOOKUP(D1683,'Team Data'!C:AB,8,FALSE),"")</f>
        <v/>
      </c>
      <c r="K1683" t="str">
        <f>IFERROR(VLOOKUP(D1683,'Team Data'!C:AB,9,FALSE),"")</f>
        <v/>
      </c>
      <c r="L1683" t="str">
        <f>IFERROR(VLOOKUP(D1683,'Team Data'!C:AB,10,FALSE),"")</f>
        <v/>
      </c>
      <c r="M1683" t="str">
        <f t="shared" si="54"/>
        <v/>
      </c>
      <c r="N1683" t="str">
        <f>IFERROR(VLOOKUP(D1683,'Team Data'!C:AB,23,FALSE),"")</f>
        <v/>
      </c>
      <c r="O1683" t="str">
        <f>IFERROR(VLOOKUP(D1683,'Team Data'!C:AB,22,FALSE),"")</f>
        <v/>
      </c>
      <c r="P1683" t="str">
        <f t="shared" si="55"/>
        <v/>
      </c>
      <c r="Q1683" t="str">
        <f>IFERROR(VLOOKUP(D1683,'Team Data'!C:AB,15,FALSE),"")</f>
        <v/>
      </c>
      <c r="R1683" t="str">
        <f>IFERROR(VLOOKUP('OB Format'!D1683,'Team Data'!C:AB,24,FALSE),"")</f>
        <v/>
      </c>
      <c r="S1683" t="str">
        <f>IFERROR(VLOOKUP('OB Format'!D1683,'Team Data'!C:AC,25,FALSE),"")</f>
        <v/>
      </c>
    </row>
    <row r="1684" spans="5:19" x14ac:dyDescent="0.25">
      <c r="E1684" t="str">
        <f>IFERROR(VLOOKUP(D1684,'Team Data'!C:AB,4,FALSE),"")</f>
        <v/>
      </c>
      <c r="F1684" t="str">
        <f>IFERROR(VLOOKUP(D1684,'Team Data'!C:AB,5,FALSE),"")</f>
        <v/>
      </c>
      <c r="G1684" t="str">
        <f>IFERROR(VLOOKUP('OB Format'!D1684,'Team Data'!C:AB,17,FALSE),"")</f>
        <v/>
      </c>
      <c r="H1684" t="str">
        <f>IFERROR(VLOOKUP(D1684,'Team Data'!C:AB,7,FALSE),"")</f>
        <v/>
      </c>
      <c r="I1684" t="str">
        <f>IFERROR(VLOOKUP(D1684,'Team Data'!C:AB,14,FALSE),"")</f>
        <v/>
      </c>
      <c r="J1684" t="str">
        <f>IFERROR(VLOOKUP(D1684,'Team Data'!C:AB,8,FALSE),"")</f>
        <v/>
      </c>
      <c r="K1684" t="str">
        <f>IFERROR(VLOOKUP(D1684,'Team Data'!C:AB,9,FALSE),"")</f>
        <v/>
      </c>
      <c r="L1684" t="str">
        <f>IFERROR(VLOOKUP(D1684,'Team Data'!C:AB,10,FALSE),"")</f>
        <v/>
      </c>
      <c r="M1684" t="str">
        <f t="shared" si="54"/>
        <v/>
      </c>
      <c r="N1684" t="str">
        <f>IFERROR(VLOOKUP(D1684,'Team Data'!C:AB,23,FALSE),"")</f>
        <v/>
      </c>
      <c r="O1684" t="str">
        <f>IFERROR(VLOOKUP(D1684,'Team Data'!C:AB,22,FALSE),"")</f>
        <v/>
      </c>
      <c r="P1684" t="str">
        <f t="shared" si="55"/>
        <v/>
      </c>
      <c r="Q1684" t="str">
        <f>IFERROR(VLOOKUP(D1684,'Team Data'!C:AB,15,FALSE),"")</f>
        <v/>
      </c>
      <c r="R1684" t="str">
        <f>IFERROR(VLOOKUP('OB Format'!D1684,'Team Data'!C:AB,24,FALSE),"")</f>
        <v/>
      </c>
      <c r="S1684" t="str">
        <f>IFERROR(VLOOKUP('OB Format'!D1684,'Team Data'!C:AC,25,FALSE),"")</f>
        <v/>
      </c>
    </row>
    <row r="1685" spans="5:19" x14ac:dyDescent="0.25">
      <c r="E1685" t="str">
        <f>IFERROR(VLOOKUP(D1685,'Team Data'!C:AB,4,FALSE),"")</f>
        <v/>
      </c>
      <c r="F1685" t="str">
        <f>IFERROR(VLOOKUP(D1685,'Team Data'!C:AB,5,FALSE),"")</f>
        <v/>
      </c>
      <c r="G1685" t="str">
        <f>IFERROR(VLOOKUP('OB Format'!D1685,'Team Data'!C:AB,17,FALSE),"")</f>
        <v/>
      </c>
      <c r="H1685" t="str">
        <f>IFERROR(VLOOKUP(D1685,'Team Data'!C:AB,7,FALSE),"")</f>
        <v/>
      </c>
      <c r="I1685" t="str">
        <f>IFERROR(VLOOKUP(D1685,'Team Data'!C:AB,14,FALSE),"")</f>
        <v/>
      </c>
      <c r="J1685" t="str">
        <f>IFERROR(VLOOKUP(D1685,'Team Data'!C:AB,8,FALSE),"")</f>
        <v/>
      </c>
      <c r="K1685" t="str">
        <f>IFERROR(VLOOKUP(D1685,'Team Data'!C:AB,9,FALSE),"")</f>
        <v/>
      </c>
      <c r="L1685" t="str">
        <f>IFERROR(VLOOKUP(D1685,'Team Data'!C:AB,10,FALSE),"")</f>
        <v/>
      </c>
      <c r="M1685" t="str">
        <f t="shared" si="54"/>
        <v/>
      </c>
      <c r="N1685" t="str">
        <f>IFERROR(VLOOKUP(D1685,'Team Data'!C:AB,23,FALSE),"")</f>
        <v/>
      </c>
      <c r="O1685" t="str">
        <f>IFERROR(VLOOKUP(D1685,'Team Data'!C:AB,22,FALSE),"")</f>
        <v/>
      </c>
      <c r="P1685" t="str">
        <f t="shared" si="55"/>
        <v/>
      </c>
      <c r="Q1685" t="str">
        <f>IFERROR(VLOOKUP(D1685,'Team Data'!C:AB,15,FALSE),"")</f>
        <v/>
      </c>
      <c r="R1685" t="str">
        <f>IFERROR(VLOOKUP('OB Format'!D1685,'Team Data'!C:AB,24,FALSE),"")</f>
        <v/>
      </c>
      <c r="S1685" t="str">
        <f>IFERROR(VLOOKUP('OB Format'!D1685,'Team Data'!C:AC,25,FALSE),"")</f>
        <v/>
      </c>
    </row>
    <row r="1686" spans="5:19" x14ac:dyDescent="0.25">
      <c r="E1686" t="str">
        <f>IFERROR(VLOOKUP(D1686,'Team Data'!C:AB,4,FALSE),"")</f>
        <v/>
      </c>
      <c r="F1686" t="str">
        <f>IFERROR(VLOOKUP(D1686,'Team Data'!C:AB,5,FALSE),"")</f>
        <v/>
      </c>
      <c r="G1686" t="str">
        <f>IFERROR(VLOOKUP('OB Format'!D1686,'Team Data'!C:AB,17,FALSE),"")</f>
        <v/>
      </c>
      <c r="H1686" t="str">
        <f>IFERROR(VLOOKUP(D1686,'Team Data'!C:AB,7,FALSE),"")</f>
        <v/>
      </c>
      <c r="I1686" t="str">
        <f>IFERROR(VLOOKUP(D1686,'Team Data'!C:AB,14,FALSE),"")</f>
        <v/>
      </c>
      <c r="J1686" t="str">
        <f>IFERROR(VLOOKUP(D1686,'Team Data'!C:AB,8,FALSE),"")</f>
        <v/>
      </c>
      <c r="K1686" t="str">
        <f>IFERROR(VLOOKUP(D1686,'Team Data'!C:AB,9,FALSE),"")</f>
        <v/>
      </c>
      <c r="L1686" t="str">
        <f>IFERROR(VLOOKUP(D1686,'Team Data'!C:AB,10,FALSE),"")</f>
        <v/>
      </c>
      <c r="M1686" t="str">
        <f t="shared" si="54"/>
        <v/>
      </c>
      <c r="N1686" t="str">
        <f>IFERROR(VLOOKUP(D1686,'Team Data'!C:AB,23,FALSE),"")</f>
        <v/>
      </c>
      <c r="O1686" t="str">
        <f>IFERROR(VLOOKUP(D1686,'Team Data'!C:AB,22,FALSE),"")</f>
        <v/>
      </c>
      <c r="P1686" t="str">
        <f t="shared" si="55"/>
        <v/>
      </c>
      <c r="Q1686" t="str">
        <f>IFERROR(VLOOKUP(D1686,'Team Data'!C:AB,15,FALSE),"")</f>
        <v/>
      </c>
      <c r="R1686" t="str">
        <f>IFERROR(VLOOKUP('OB Format'!D1686,'Team Data'!C:AB,24,FALSE),"")</f>
        <v/>
      </c>
      <c r="S1686" t="str">
        <f>IFERROR(VLOOKUP('OB Format'!D1686,'Team Data'!C:AC,25,FALSE),"")</f>
        <v/>
      </c>
    </row>
    <row r="1687" spans="5:19" x14ac:dyDescent="0.25">
      <c r="E1687" t="str">
        <f>IFERROR(VLOOKUP(D1687,'Team Data'!C:AB,4,FALSE),"")</f>
        <v/>
      </c>
      <c r="F1687" t="str">
        <f>IFERROR(VLOOKUP(D1687,'Team Data'!C:AB,5,FALSE),"")</f>
        <v/>
      </c>
      <c r="G1687" t="str">
        <f>IFERROR(VLOOKUP('OB Format'!D1687,'Team Data'!C:AB,17,FALSE),"")</f>
        <v/>
      </c>
      <c r="H1687" t="str">
        <f>IFERROR(VLOOKUP(D1687,'Team Data'!C:AB,7,FALSE),"")</f>
        <v/>
      </c>
      <c r="I1687" t="str">
        <f>IFERROR(VLOOKUP(D1687,'Team Data'!C:AB,14,FALSE),"")</f>
        <v/>
      </c>
      <c r="J1687" t="str">
        <f>IFERROR(VLOOKUP(D1687,'Team Data'!C:AB,8,FALSE),"")</f>
        <v/>
      </c>
      <c r="K1687" t="str">
        <f>IFERROR(VLOOKUP(D1687,'Team Data'!C:AB,9,FALSE),"")</f>
        <v/>
      </c>
      <c r="L1687" t="str">
        <f>IFERROR(VLOOKUP(D1687,'Team Data'!C:AB,10,FALSE),"")</f>
        <v/>
      </c>
      <c r="M1687" t="str">
        <f t="shared" si="54"/>
        <v/>
      </c>
      <c r="N1687" t="str">
        <f>IFERROR(VLOOKUP(D1687,'Team Data'!C:AB,23,FALSE),"")</f>
        <v/>
      </c>
      <c r="O1687" t="str">
        <f>IFERROR(VLOOKUP(D1687,'Team Data'!C:AB,22,FALSE),"")</f>
        <v/>
      </c>
      <c r="P1687" t="str">
        <f t="shared" si="55"/>
        <v/>
      </c>
      <c r="Q1687" t="str">
        <f>IFERROR(VLOOKUP(D1687,'Team Data'!C:AB,15,FALSE),"")</f>
        <v/>
      </c>
      <c r="R1687" t="str">
        <f>IFERROR(VLOOKUP('OB Format'!D1687,'Team Data'!C:AB,24,FALSE),"")</f>
        <v/>
      </c>
      <c r="S1687" t="str">
        <f>IFERROR(VLOOKUP('OB Format'!D1687,'Team Data'!C:AC,25,FALSE),"")</f>
        <v/>
      </c>
    </row>
    <row r="1688" spans="5:19" x14ac:dyDescent="0.25">
      <c r="E1688" t="str">
        <f>IFERROR(VLOOKUP(D1688,'Team Data'!C:AB,4,FALSE),"")</f>
        <v/>
      </c>
      <c r="F1688" t="str">
        <f>IFERROR(VLOOKUP(D1688,'Team Data'!C:AB,5,FALSE),"")</f>
        <v/>
      </c>
      <c r="G1688" t="str">
        <f>IFERROR(VLOOKUP('OB Format'!D1688,'Team Data'!C:AB,17,FALSE),"")</f>
        <v/>
      </c>
      <c r="H1688" t="str">
        <f>IFERROR(VLOOKUP(D1688,'Team Data'!C:AB,7,FALSE),"")</f>
        <v/>
      </c>
      <c r="I1688" t="str">
        <f>IFERROR(VLOOKUP(D1688,'Team Data'!C:AB,14,FALSE),"")</f>
        <v/>
      </c>
      <c r="J1688" t="str">
        <f>IFERROR(VLOOKUP(D1688,'Team Data'!C:AB,8,FALSE),"")</f>
        <v/>
      </c>
      <c r="K1688" t="str">
        <f>IFERROR(VLOOKUP(D1688,'Team Data'!C:AB,9,FALSE),"")</f>
        <v/>
      </c>
      <c r="L1688" t="str">
        <f>IFERROR(VLOOKUP(D1688,'Team Data'!C:AB,10,FALSE),"")</f>
        <v/>
      </c>
      <c r="M1688" t="str">
        <f t="shared" si="54"/>
        <v/>
      </c>
      <c r="N1688" t="str">
        <f>IFERROR(VLOOKUP(D1688,'Team Data'!C:AB,23,FALSE),"")</f>
        <v/>
      </c>
      <c r="O1688" t="str">
        <f>IFERROR(VLOOKUP(D1688,'Team Data'!C:AB,22,FALSE),"")</f>
        <v/>
      </c>
      <c r="P1688" t="str">
        <f t="shared" si="55"/>
        <v/>
      </c>
      <c r="Q1688" t="str">
        <f>IFERROR(VLOOKUP(D1688,'Team Data'!C:AB,15,FALSE),"")</f>
        <v/>
      </c>
      <c r="R1688" t="str">
        <f>IFERROR(VLOOKUP('OB Format'!D1688,'Team Data'!C:AB,24,FALSE),"")</f>
        <v/>
      </c>
      <c r="S1688" t="str">
        <f>IFERROR(VLOOKUP('OB Format'!D1688,'Team Data'!C:AC,25,FALSE),"")</f>
        <v/>
      </c>
    </row>
    <row r="1689" spans="5:19" x14ac:dyDescent="0.25">
      <c r="E1689" t="str">
        <f>IFERROR(VLOOKUP(D1689,'Team Data'!C:AB,4,FALSE),"")</f>
        <v/>
      </c>
      <c r="F1689" t="str">
        <f>IFERROR(VLOOKUP(D1689,'Team Data'!C:AB,5,FALSE),"")</f>
        <v/>
      </c>
      <c r="G1689" t="str">
        <f>IFERROR(VLOOKUP('OB Format'!D1689,'Team Data'!C:AB,17,FALSE),"")</f>
        <v/>
      </c>
      <c r="H1689" t="str">
        <f>IFERROR(VLOOKUP(D1689,'Team Data'!C:AB,7,FALSE),"")</f>
        <v/>
      </c>
      <c r="I1689" t="str">
        <f>IFERROR(VLOOKUP(D1689,'Team Data'!C:AB,14,FALSE),"")</f>
        <v/>
      </c>
      <c r="J1689" t="str">
        <f>IFERROR(VLOOKUP(D1689,'Team Data'!C:AB,8,FALSE),"")</f>
        <v/>
      </c>
      <c r="K1689" t="str">
        <f>IFERROR(VLOOKUP(D1689,'Team Data'!C:AB,9,FALSE),"")</f>
        <v/>
      </c>
      <c r="L1689" t="str">
        <f>IFERROR(VLOOKUP(D1689,'Team Data'!C:AB,10,FALSE),"")</f>
        <v/>
      </c>
      <c r="M1689" t="str">
        <f t="shared" si="54"/>
        <v/>
      </c>
      <c r="N1689" t="str">
        <f>IFERROR(VLOOKUP(D1689,'Team Data'!C:AB,23,FALSE),"")</f>
        <v/>
      </c>
      <c r="O1689" t="str">
        <f>IFERROR(VLOOKUP(D1689,'Team Data'!C:AB,22,FALSE),"")</f>
        <v/>
      </c>
      <c r="P1689" t="str">
        <f t="shared" si="55"/>
        <v/>
      </c>
      <c r="Q1689" t="str">
        <f>IFERROR(VLOOKUP(D1689,'Team Data'!C:AB,15,FALSE),"")</f>
        <v/>
      </c>
      <c r="R1689" t="str">
        <f>IFERROR(VLOOKUP('OB Format'!D1689,'Team Data'!C:AB,24,FALSE),"")</f>
        <v/>
      </c>
      <c r="S1689" t="str">
        <f>IFERROR(VLOOKUP('OB Format'!D1689,'Team Data'!C:AC,25,FALSE),"")</f>
        <v/>
      </c>
    </row>
    <row r="1690" spans="5:19" x14ac:dyDescent="0.25">
      <c r="E1690" t="str">
        <f>IFERROR(VLOOKUP(D1690,'Team Data'!C:AB,4,FALSE),"")</f>
        <v/>
      </c>
      <c r="F1690" t="str">
        <f>IFERROR(VLOOKUP(D1690,'Team Data'!C:AB,5,FALSE),"")</f>
        <v/>
      </c>
      <c r="G1690" t="str">
        <f>IFERROR(VLOOKUP('OB Format'!D1690,'Team Data'!C:AB,17,FALSE),"")</f>
        <v/>
      </c>
      <c r="H1690" t="str">
        <f>IFERROR(VLOOKUP(D1690,'Team Data'!C:AB,7,FALSE),"")</f>
        <v/>
      </c>
      <c r="I1690" t="str">
        <f>IFERROR(VLOOKUP(D1690,'Team Data'!C:AB,14,FALSE),"")</f>
        <v/>
      </c>
      <c r="J1690" t="str">
        <f>IFERROR(VLOOKUP(D1690,'Team Data'!C:AB,8,FALSE),"")</f>
        <v/>
      </c>
      <c r="K1690" t="str">
        <f>IFERROR(VLOOKUP(D1690,'Team Data'!C:AB,9,FALSE),"")</f>
        <v/>
      </c>
      <c r="L1690" t="str">
        <f>IFERROR(VLOOKUP(D1690,'Team Data'!C:AB,10,FALSE),"")</f>
        <v/>
      </c>
      <c r="M1690" t="str">
        <f t="shared" si="54"/>
        <v/>
      </c>
      <c r="N1690" t="str">
        <f>IFERROR(VLOOKUP(D1690,'Team Data'!C:AB,23,FALSE),"")</f>
        <v/>
      </c>
      <c r="O1690" t="str">
        <f>IFERROR(VLOOKUP(D1690,'Team Data'!C:AB,22,FALSE),"")</f>
        <v/>
      </c>
      <c r="P1690" t="str">
        <f t="shared" si="55"/>
        <v/>
      </c>
      <c r="Q1690" t="str">
        <f>IFERROR(VLOOKUP(D1690,'Team Data'!C:AB,15,FALSE),"")</f>
        <v/>
      </c>
      <c r="R1690" t="str">
        <f>IFERROR(VLOOKUP('OB Format'!D1690,'Team Data'!C:AB,24,FALSE),"")</f>
        <v/>
      </c>
      <c r="S1690" t="str">
        <f>IFERROR(VLOOKUP('OB Format'!D1690,'Team Data'!C:AC,25,FALSE),"")</f>
        <v/>
      </c>
    </row>
    <row r="1691" spans="5:19" x14ac:dyDescent="0.25">
      <c r="E1691" t="str">
        <f>IFERROR(VLOOKUP(D1691,'Team Data'!C:AB,4,FALSE),"")</f>
        <v/>
      </c>
      <c r="F1691" t="str">
        <f>IFERROR(VLOOKUP(D1691,'Team Data'!C:AB,5,FALSE),"")</f>
        <v/>
      </c>
      <c r="G1691" t="str">
        <f>IFERROR(VLOOKUP('OB Format'!D1691,'Team Data'!C:AB,17,FALSE),"")</f>
        <v/>
      </c>
      <c r="H1691" t="str">
        <f>IFERROR(VLOOKUP(D1691,'Team Data'!C:AB,7,FALSE),"")</f>
        <v/>
      </c>
      <c r="I1691" t="str">
        <f>IFERROR(VLOOKUP(D1691,'Team Data'!C:AB,14,FALSE),"")</f>
        <v/>
      </c>
      <c r="J1691" t="str">
        <f>IFERROR(VLOOKUP(D1691,'Team Data'!C:AB,8,FALSE),"")</f>
        <v/>
      </c>
      <c r="K1691" t="str">
        <f>IFERROR(VLOOKUP(D1691,'Team Data'!C:AB,9,FALSE),"")</f>
        <v/>
      </c>
      <c r="L1691" t="str">
        <f>IFERROR(VLOOKUP(D1691,'Team Data'!C:AB,10,FALSE),"")</f>
        <v/>
      </c>
      <c r="M1691" t="str">
        <f t="shared" si="54"/>
        <v/>
      </c>
      <c r="N1691" t="str">
        <f>IFERROR(VLOOKUP(D1691,'Team Data'!C:AB,23,FALSE),"")</f>
        <v/>
      </c>
      <c r="O1691" t="str">
        <f>IFERROR(VLOOKUP(D1691,'Team Data'!C:AB,22,FALSE),"")</f>
        <v/>
      </c>
      <c r="P1691" t="str">
        <f t="shared" si="55"/>
        <v/>
      </c>
      <c r="Q1691" t="str">
        <f>IFERROR(VLOOKUP(D1691,'Team Data'!C:AB,15,FALSE),"")</f>
        <v/>
      </c>
      <c r="R1691" t="str">
        <f>IFERROR(VLOOKUP('OB Format'!D1691,'Team Data'!C:AB,24,FALSE),"")</f>
        <v/>
      </c>
      <c r="S1691" t="str">
        <f>IFERROR(VLOOKUP('OB Format'!D1691,'Team Data'!C:AC,25,FALSE),"")</f>
        <v/>
      </c>
    </row>
    <row r="1692" spans="5:19" x14ac:dyDescent="0.25">
      <c r="E1692" t="str">
        <f>IFERROR(VLOOKUP(D1692,'Team Data'!C:AB,4,FALSE),"")</f>
        <v/>
      </c>
      <c r="F1692" t="str">
        <f>IFERROR(VLOOKUP(D1692,'Team Data'!C:AB,5,FALSE),"")</f>
        <v/>
      </c>
      <c r="G1692" t="str">
        <f>IFERROR(VLOOKUP('OB Format'!D1692,'Team Data'!C:AB,17,FALSE),"")</f>
        <v/>
      </c>
      <c r="H1692" t="str">
        <f>IFERROR(VLOOKUP(D1692,'Team Data'!C:AB,7,FALSE),"")</f>
        <v/>
      </c>
      <c r="I1692" t="str">
        <f>IFERROR(VLOOKUP(D1692,'Team Data'!C:AB,14,FALSE),"")</f>
        <v/>
      </c>
      <c r="J1692" t="str">
        <f>IFERROR(VLOOKUP(D1692,'Team Data'!C:AB,8,FALSE),"")</f>
        <v/>
      </c>
      <c r="K1692" t="str">
        <f>IFERROR(VLOOKUP(D1692,'Team Data'!C:AB,9,FALSE),"")</f>
        <v/>
      </c>
      <c r="L1692" t="str">
        <f>IFERROR(VLOOKUP(D1692,'Team Data'!C:AB,10,FALSE),"")</f>
        <v/>
      </c>
      <c r="M1692" t="str">
        <f t="shared" si="54"/>
        <v/>
      </c>
      <c r="N1692" t="str">
        <f>IFERROR(VLOOKUP(D1692,'Team Data'!C:AB,23,FALSE),"")</f>
        <v/>
      </c>
      <c r="O1692" t="str">
        <f>IFERROR(VLOOKUP(D1692,'Team Data'!C:AB,22,FALSE),"")</f>
        <v/>
      </c>
      <c r="P1692" t="str">
        <f t="shared" si="55"/>
        <v/>
      </c>
      <c r="Q1692" t="str">
        <f>IFERROR(VLOOKUP(D1692,'Team Data'!C:AB,15,FALSE),"")</f>
        <v/>
      </c>
      <c r="R1692" t="str">
        <f>IFERROR(VLOOKUP('OB Format'!D1692,'Team Data'!C:AB,24,FALSE),"")</f>
        <v/>
      </c>
      <c r="S1692" t="str">
        <f>IFERROR(VLOOKUP('OB Format'!D1692,'Team Data'!C:AC,25,FALSE),"")</f>
        <v/>
      </c>
    </row>
    <row r="1693" spans="5:19" x14ac:dyDescent="0.25">
      <c r="E1693" t="str">
        <f>IFERROR(VLOOKUP(D1693,'Team Data'!C:AB,4,FALSE),"")</f>
        <v/>
      </c>
      <c r="F1693" t="str">
        <f>IFERROR(VLOOKUP(D1693,'Team Data'!C:AB,5,FALSE),"")</f>
        <v/>
      </c>
      <c r="G1693" t="str">
        <f>IFERROR(VLOOKUP('OB Format'!D1693,'Team Data'!C:AB,17,FALSE),"")</f>
        <v/>
      </c>
      <c r="H1693" t="str">
        <f>IFERROR(VLOOKUP(D1693,'Team Data'!C:AB,7,FALSE),"")</f>
        <v/>
      </c>
      <c r="I1693" t="str">
        <f>IFERROR(VLOOKUP(D1693,'Team Data'!C:AB,14,FALSE),"")</f>
        <v/>
      </c>
      <c r="J1693" t="str">
        <f>IFERROR(VLOOKUP(D1693,'Team Data'!C:AB,8,FALSE),"")</f>
        <v/>
      </c>
      <c r="K1693" t="str">
        <f>IFERROR(VLOOKUP(D1693,'Team Data'!C:AB,9,FALSE),"")</f>
        <v/>
      </c>
      <c r="L1693" t="str">
        <f>IFERROR(VLOOKUP(D1693,'Team Data'!C:AB,10,FALSE),"")</f>
        <v/>
      </c>
      <c r="M1693" t="str">
        <f t="shared" si="54"/>
        <v/>
      </c>
      <c r="N1693" t="str">
        <f>IFERROR(VLOOKUP(D1693,'Team Data'!C:AB,23,FALSE),"")</f>
        <v/>
      </c>
      <c r="O1693" t="str">
        <f>IFERROR(VLOOKUP(D1693,'Team Data'!C:AB,22,FALSE),"")</f>
        <v/>
      </c>
      <c r="P1693" t="str">
        <f t="shared" si="55"/>
        <v/>
      </c>
      <c r="Q1693" t="str">
        <f>IFERROR(VLOOKUP(D1693,'Team Data'!C:AB,15,FALSE),"")</f>
        <v/>
      </c>
      <c r="R1693" t="str">
        <f>IFERROR(VLOOKUP('OB Format'!D1693,'Team Data'!C:AB,24,FALSE),"")</f>
        <v/>
      </c>
      <c r="S1693" t="str">
        <f>IFERROR(VLOOKUP('OB Format'!D1693,'Team Data'!C:AC,25,FALSE),"")</f>
        <v/>
      </c>
    </row>
    <row r="1694" spans="5:19" x14ac:dyDescent="0.25">
      <c r="E1694" t="str">
        <f>IFERROR(VLOOKUP(D1694,'Team Data'!C:AB,4,FALSE),"")</f>
        <v/>
      </c>
      <c r="F1694" t="str">
        <f>IFERROR(VLOOKUP(D1694,'Team Data'!C:AB,5,FALSE),"")</f>
        <v/>
      </c>
      <c r="G1694" t="str">
        <f>IFERROR(VLOOKUP('OB Format'!D1694,'Team Data'!C:AB,17,FALSE),"")</f>
        <v/>
      </c>
      <c r="H1694" t="str">
        <f>IFERROR(VLOOKUP(D1694,'Team Data'!C:AB,7,FALSE),"")</f>
        <v/>
      </c>
      <c r="I1694" t="str">
        <f>IFERROR(VLOOKUP(D1694,'Team Data'!C:AB,14,FALSE),"")</f>
        <v/>
      </c>
      <c r="J1694" t="str">
        <f>IFERROR(VLOOKUP(D1694,'Team Data'!C:AB,8,FALSE),"")</f>
        <v/>
      </c>
      <c r="K1694" t="str">
        <f>IFERROR(VLOOKUP(D1694,'Team Data'!C:AB,9,FALSE),"")</f>
        <v/>
      </c>
      <c r="L1694" t="str">
        <f>IFERROR(VLOOKUP(D1694,'Team Data'!C:AB,10,FALSE),"")</f>
        <v/>
      </c>
      <c r="M1694" t="str">
        <f t="shared" si="54"/>
        <v/>
      </c>
      <c r="N1694" t="str">
        <f>IFERROR(VLOOKUP(D1694,'Team Data'!C:AB,23,FALSE),"")</f>
        <v/>
      </c>
      <c r="O1694" t="str">
        <f>IFERROR(VLOOKUP(D1694,'Team Data'!C:AB,22,FALSE),"")</f>
        <v/>
      </c>
      <c r="P1694" t="str">
        <f t="shared" si="55"/>
        <v/>
      </c>
      <c r="Q1694" t="str">
        <f>IFERROR(VLOOKUP(D1694,'Team Data'!C:AB,15,FALSE),"")</f>
        <v/>
      </c>
      <c r="R1694" t="str">
        <f>IFERROR(VLOOKUP('OB Format'!D1694,'Team Data'!C:AB,24,FALSE),"")</f>
        <v/>
      </c>
      <c r="S1694" t="str">
        <f>IFERROR(VLOOKUP('OB Format'!D1694,'Team Data'!C:AC,25,FALSE),"")</f>
        <v/>
      </c>
    </row>
    <row r="1695" spans="5:19" x14ac:dyDescent="0.25">
      <c r="E1695" t="str">
        <f>IFERROR(VLOOKUP(D1695,'Team Data'!C:AB,4,FALSE),"")</f>
        <v/>
      </c>
      <c r="F1695" t="str">
        <f>IFERROR(VLOOKUP(D1695,'Team Data'!C:AB,5,FALSE),"")</f>
        <v/>
      </c>
      <c r="G1695" t="str">
        <f>IFERROR(VLOOKUP('OB Format'!D1695,'Team Data'!C:AB,17,FALSE),"")</f>
        <v/>
      </c>
      <c r="H1695" t="str">
        <f>IFERROR(VLOOKUP(D1695,'Team Data'!C:AB,7,FALSE),"")</f>
        <v/>
      </c>
      <c r="I1695" t="str">
        <f>IFERROR(VLOOKUP(D1695,'Team Data'!C:AB,14,FALSE),"")</f>
        <v/>
      </c>
      <c r="J1695" t="str">
        <f>IFERROR(VLOOKUP(D1695,'Team Data'!C:AB,8,FALSE),"")</f>
        <v/>
      </c>
      <c r="K1695" t="str">
        <f>IFERROR(VLOOKUP(D1695,'Team Data'!C:AB,9,FALSE),"")</f>
        <v/>
      </c>
      <c r="L1695" t="str">
        <f>IFERROR(VLOOKUP(D1695,'Team Data'!C:AB,10,FALSE),"")</f>
        <v/>
      </c>
      <c r="M1695" t="str">
        <f t="shared" si="54"/>
        <v/>
      </c>
      <c r="N1695" t="str">
        <f>IFERROR(VLOOKUP(D1695,'Team Data'!C:AB,23,FALSE),"")</f>
        <v/>
      </c>
      <c r="O1695" t="str">
        <f>IFERROR(VLOOKUP(D1695,'Team Data'!C:AB,22,FALSE),"")</f>
        <v/>
      </c>
      <c r="P1695" t="str">
        <f t="shared" si="55"/>
        <v/>
      </c>
      <c r="Q1695" t="str">
        <f>IFERROR(VLOOKUP(D1695,'Team Data'!C:AB,15,FALSE),"")</f>
        <v/>
      </c>
      <c r="R1695" t="str">
        <f>IFERROR(VLOOKUP('OB Format'!D1695,'Team Data'!C:AB,24,FALSE),"")</f>
        <v/>
      </c>
      <c r="S1695" t="str">
        <f>IFERROR(VLOOKUP('OB Format'!D1695,'Team Data'!C:AC,25,FALSE),"")</f>
        <v/>
      </c>
    </row>
    <row r="1696" spans="5:19" x14ac:dyDescent="0.25">
      <c r="E1696" t="str">
        <f>IFERROR(VLOOKUP(D1696,'Team Data'!C:AB,4,FALSE),"")</f>
        <v/>
      </c>
      <c r="F1696" t="str">
        <f>IFERROR(VLOOKUP(D1696,'Team Data'!C:AB,5,FALSE),"")</f>
        <v/>
      </c>
      <c r="G1696" t="str">
        <f>IFERROR(VLOOKUP('OB Format'!D1696,'Team Data'!C:AB,17,FALSE),"")</f>
        <v/>
      </c>
      <c r="H1696" t="str">
        <f>IFERROR(VLOOKUP(D1696,'Team Data'!C:AB,7,FALSE),"")</f>
        <v/>
      </c>
      <c r="I1696" t="str">
        <f>IFERROR(VLOOKUP(D1696,'Team Data'!C:AB,14,FALSE),"")</f>
        <v/>
      </c>
      <c r="J1696" t="str">
        <f>IFERROR(VLOOKUP(D1696,'Team Data'!C:AB,8,FALSE),"")</f>
        <v/>
      </c>
      <c r="K1696" t="str">
        <f>IFERROR(VLOOKUP(D1696,'Team Data'!C:AB,9,FALSE),"")</f>
        <v/>
      </c>
      <c r="L1696" t="str">
        <f>IFERROR(VLOOKUP(D1696,'Team Data'!C:AB,10,FALSE),"")</f>
        <v/>
      </c>
      <c r="M1696" t="str">
        <f t="shared" si="54"/>
        <v/>
      </c>
      <c r="N1696" t="str">
        <f>IFERROR(VLOOKUP(D1696,'Team Data'!C:AB,23,FALSE),"")</f>
        <v/>
      </c>
      <c r="O1696" t="str">
        <f>IFERROR(VLOOKUP(D1696,'Team Data'!C:AB,22,FALSE),"")</f>
        <v/>
      </c>
      <c r="P1696" t="str">
        <f t="shared" si="55"/>
        <v/>
      </c>
      <c r="Q1696" t="str">
        <f>IFERROR(VLOOKUP(D1696,'Team Data'!C:AB,15,FALSE),"")</f>
        <v/>
      </c>
      <c r="R1696" t="str">
        <f>IFERROR(VLOOKUP('OB Format'!D1696,'Team Data'!C:AB,24,FALSE),"")</f>
        <v/>
      </c>
      <c r="S1696" t="str">
        <f>IFERROR(VLOOKUP('OB Format'!D1696,'Team Data'!C:AC,25,FALSE),"")</f>
        <v/>
      </c>
    </row>
    <row r="1697" spans="5:19" x14ac:dyDescent="0.25">
      <c r="E1697" t="str">
        <f>IFERROR(VLOOKUP(D1697,'Team Data'!C:AB,4,FALSE),"")</f>
        <v/>
      </c>
      <c r="F1697" t="str">
        <f>IFERROR(VLOOKUP(D1697,'Team Data'!C:AB,5,FALSE),"")</f>
        <v/>
      </c>
      <c r="G1697" t="str">
        <f>IFERROR(VLOOKUP('OB Format'!D1697,'Team Data'!C:AB,17,FALSE),"")</f>
        <v/>
      </c>
      <c r="H1697" t="str">
        <f>IFERROR(VLOOKUP(D1697,'Team Data'!C:AB,7,FALSE),"")</f>
        <v/>
      </c>
      <c r="I1697" t="str">
        <f>IFERROR(VLOOKUP(D1697,'Team Data'!C:AB,14,FALSE),"")</f>
        <v/>
      </c>
      <c r="J1697" t="str">
        <f>IFERROR(VLOOKUP(D1697,'Team Data'!C:AB,8,FALSE),"")</f>
        <v/>
      </c>
      <c r="K1697" t="str">
        <f>IFERROR(VLOOKUP(D1697,'Team Data'!C:AB,9,FALSE),"")</f>
        <v/>
      </c>
      <c r="L1697" t="str">
        <f>IFERROR(VLOOKUP(D1697,'Team Data'!C:AB,10,FALSE),"")</f>
        <v/>
      </c>
      <c r="M1697" t="str">
        <f t="shared" si="54"/>
        <v/>
      </c>
      <c r="N1697" t="str">
        <f>IFERROR(VLOOKUP(D1697,'Team Data'!C:AB,23,FALSE),"")</f>
        <v/>
      </c>
      <c r="O1697" t="str">
        <f>IFERROR(VLOOKUP(D1697,'Team Data'!C:AB,22,FALSE),"")</f>
        <v/>
      </c>
      <c r="P1697" t="str">
        <f t="shared" si="55"/>
        <v/>
      </c>
      <c r="Q1697" t="str">
        <f>IFERROR(VLOOKUP(D1697,'Team Data'!C:AB,15,FALSE),"")</f>
        <v/>
      </c>
      <c r="R1697" t="str">
        <f>IFERROR(VLOOKUP('OB Format'!D1697,'Team Data'!C:AB,24,FALSE),"")</f>
        <v/>
      </c>
      <c r="S1697" t="str">
        <f>IFERROR(VLOOKUP('OB Format'!D1697,'Team Data'!C:AC,25,FALSE),"")</f>
        <v/>
      </c>
    </row>
    <row r="1698" spans="5:19" x14ac:dyDescent="0.25">
      <c r="E1698" t="str">
        <f>IFERROR(VLOOKUP(D1698,'Team Data'!C:AB,4,FALSE),"")</f>
        <v/>
      </c>
      <c r="F1698" t="str">
        <f>IFERROR(VLOOKUP(D1698,'Team Data'!C:AB,5,FALSE),"")</f>
        <v/>
      </c>
      <c r="G1698" t="str">
        <f>IFERROR(VLOOKUP('OB Format'!D1698,'Team Data'!C:AB,17,FALSE),"")</f>
        <v/>
      </c>
      <c r="H1698" t="str">
        <f>IFERROR(VLOOKUP(D1698,'Team Data'!C:AB,7,FALSE),"")</f>
        <v/>
      </c>
      <c r="I1698" t="str">
        <f>IFERROR(VLOOKUP(D1698,'Team Data'!C:AB,14,FALSE),"")</f>
        <v/>
      </c>
      <c r="J1698" t="str">
        <f>IFERROR(VLOOKUP(D1698,'Team Data'!C:AB,8,FALSE),"")</f>
        <v/>
      </c>
      <c r="K1698" t="str">
        <f>IFERROR(VLOOKUP(D1698,'Team Data'!C:AB,9,FALSE),"")</f>
        <v/>
      </c>
      <c r="L1698" t="str">
        <f>IFERROR(VLOOKUP(D1698,'Team Data'!C:AB,10,FALSE),"")</f>
        <v/>
      </c>
      <c r="M1698" t="str">
        <f t="shared" si="54"/>
        <v/>
      </c>
      <c r="N1698" t="str">
        <f>IFERROR(VLOOKUP(D1698,'Team Data'!C:AB,23,FALSE),"")</f>
        <v/>
      </c>
      <c r="O1698" t="str">
        <f>IFERROR(VLOOKUP(D1698,'Team Data'!C:AB,22,FALSE),"")</f>
        <v/>
      </c>
      <c r="P1698" t="str">
        <f t="shared" si="55"/>
        <v/>
      </c>
      <c r="Q1698" t="str">
        <f>IFERROR(VLOOKUP(D1698,'Team Data'!C:AB,15,FALSE),"")</f>
        <v/>
      </c>
      <c r="R1698" t="str">
        <f>IFERROR(VLOOKUP('OB Format'!D1698,'Team Data'!C:AB,24,FALSE),"")</f>
        <v/>
      </c>
      <c r="S1698" t="str">
        <f>IFERROR(VLOOKUP('OB Format'!D1698,'Team Data'!C:AC,25,FALSE),"")</f>
        <v/>
      </c>
    </row>
    <row r="1699" spans="5:19" x14ac:dyDescent="0.25">
      <c r="E1699" t="str">
        <f>IFERROR(VLOOKUP(D1699,'Team Data'!C:AB,4,FALSE),"")</f>
        <v/>
      </c>
      <c r="F1699" t="str">
        <f>IFERROR(VLOOKUP(D1699,'Team Data'!C:AB,5,FALSE),"")</f>
        <v/>
      </c>
      <c r="G1699" t="str">
        <f>IFERROR(VLOOKUP('OB Format'!D1699,'Team Data'!C:AB,17,FALSE),"")</f>
        <v/>
      </c>
      <c r="H1699" t="str">
        <f>IFERROR(VLOOKUP(D1699,'Team Data'!C:AB,7,FALSE),"")</f>
        <v/>
      </c>
      <c r="I1699" t="str">
        <f>IFERROR(VLOOKUP(D1699,'Team Data'!C:AB,14,FALSE),"")</f>
        <v/>
      </c>
      <c r="J1699" t="str">
        <f>IFERROR(VLOOKUP(D1699,'Team Data'!C:AB,8,FALSE),"")</f>
        <v/>
      </c>
      <c r="K1699" t="str">
        <f>IFERROR(VLOOKUP(D1699,'Team Data'!C:AB,9,FALSE),"")</f>
        <v/>
      </c>
      <c r="L1699" t="str">
        <f>IFERROR(VLOOKUP(D1699,'Team Data'!C:AB,10,FALSE),"")</f>
        <v/>
      </c>
      <c r="M1699" t="str">
        <f t="shared" si="54"/>
        <v/>
      </c>
      <c r="N1699" t="str">
        <f>IFERROR(VLOOKUP(D1699,'Team Data'!C:AB,23,FALSE),"")</f>
        <v/>
      </c>
      <c r="O1699" t="str">
        <f>IFERROR(VLOOKUP(D1699,'Team Data'!C:AB,22,FALSE),"")</f>
        <v/>
      </c>
      <c r="P1699" t="str">
        <f t="shared" si="55"/>
        <v/>
      </c>
      <c r="Q1699" t="str">
        <f>IFERROR(VLOOKUP(D1699,'Team Data'!C:AB,15,FALSE),"")</f>
        <v/>
      </c>
      <c r="R1699" t="str">
        <f>IFERROR(VLOOKUP('OB Format'!D1699,'Team Data'!C:AB,24,FALSE),"")</f>
        <v/>
      </c>
      <c r="S1699" t="str">
        <f>IFERROR(VLOOKUP('OB Format'!D1699,'Team Data'!C:AC,25,FALSE),"")</f>
        <v/>
      </c>
    </row>
    <row r="1700" spans="5:19" x14ac:dyDescent="0.25">
      <c r="E1700" t="str">
        <f>IFERROR(VLOOKUP(D1700,'Team Data'!C:AB,4,FALSE),"")</f>
        <v/>
      </c>
      <c r="F1700" t="str">
        <f>IFERROR(VLOOKUP(D1700,'Team Data'!C:AB,5,FALSE),"")</f>
        <v/>
      </c>
      <c r="G1700" t="str">
        <f>IFERROR(VLOOKUP('OB Format'!D1700,'Team Data'!C:AB,17,FALSE),"")</f>
        <v/>
      </c>
      <c r="H1700" t="str">
        <f>IFERROR(VLOOKUP(D1700,'Team Data'!C:AB,7,FALSE),"")</f>
        <v/>
      </c>
      <c r="I1700" t="str">
        <f>IFERROR(VLOOKUP(D1700,'Team Data'!C:AB,14,FALSE),"")</f>
        <v/>
      </c>
      <c r="J1700" t="str">
        <f>IFERROR(VLOOKUP(D1700,'Team Data'!C:AB,8,FALSE),"")</f>
        <v/>
      </c>
      <c r="K1700" t="str">
        <f>IFERROR(VLOOKUP(D1700,'Team Data'!C:AB,9,FALSE),"")</f>
        <v/>
      </c>
      <c r="L1700" t="str">
        <f>IFERROR(VLOOKUP(D1700,'Team Data'!C:AB,10,FALSE),"")</f>
        <v/>
      </c>
      <c r="M1700" t="str">
        <f t="shared" si="54"/>
        <v/>
      </c>
      <c r="N1700" t="str">
        <f>IFERROR(VLOOKUP(D1700,'Team Data'!C:AB,23,FALSE),"")</f>
        <v/>
      </c>
      <c r="O1700" t="str">
        <f>IFERROR(VLOOKUP(D1700,'Team Data'!C:AB,22,FALSE),"")</f>
        <v/>
      </c>
      <c r="P1700" t="str">
        <f t="shared" si="55"/>
        <v/>
      </c>
      <c r="Q1700" t="str">
        <f>IFERROR(VLOOKUP(D1700,'Team Data'!C:AB,15,FALSE),"")</f>
        <v/>
      </c>
      <c r="R1700" t="str">
        <f>IFERROR(VLOOKUP('OB Format'!D1700,'Team Data'!C:AB,24,FALSE),"")</f>
        <v/>
      </c>
      <c r="S1700" t="str">
        <f>IFERROR(VLOOKUP('OB Format'!D1700,'Team Data'!C:AC,25,FALSE),"")</f>
        <v/>
      </c>
    </row>
    <row r="1701" spans="5:19" x14ac:dyDescent="0.25">
      <c r="E1701" t="str">
        <f>IFERROR(VLOOKUP(D1701,'Team Data'!C:AB,4,FALSE),"")</f>
        <v/>
      </c>
      <c r="F1701" t="str">
        <f>IFERROR(VLOOKUP(D1701,'Team Data'!C:AB,5,FALSE),"")</f>
        <v/>
      </c>
      <c r="G1701" t="str">
        <f>IFERROR(VLOOKUP('OB Format'!D1701,'Team Data'!C:AB,17,FALSE),"")</f>
        <v/>
      </c>
      <c r="H1701" t="str">
        <f>IFERROR(VLOOKUP(D1701,'Team Data'!C:AB,7,FALSE),"")</f>
        <v/>
      </c>
      <c r="I1701" t="str">
        <f>IFERROR(VLOOKUP(D1701,'Team Data'!C:AB,14,FALSE),"")</f>
        <v/>
      </c>
      <c r="J1701" t="str">
        <f>IFERROR(VLOOKUP(D1701,'Team Data'!C:AB,8,FALSE),"")</f>
        <v/>
      </c>
      <c r="K1701" t="str">
        <f>IFERROR(VLOOKUP(D1701,'Team Data'!C:AB,9,FALSE),"")</f>
        <v/>
      </c>
      <c r="L1701" t="str">
        <f>IFERROR(VLOOKUP(D1701,'Team Data'!C:AB,10,FALSE),"")</f>
        <v/>
      </c>
      <c r="M1701" t="str">
        <f t="shared" si="54"/>
        <v/>
      </c>
      <c r="N1701" t="str">
        <f>IFERROR(VLOOKUP(D1701,'Team Data'!C:AB,23,FALSE),"")</f>
        <v/>
      </c>
      <c r="O1701" t="str">
        <f>IFERROR(VLOOKUP(D1701,'Team Data'!C:AB,22,FALSE),"")</f>
        <v/>
      </c>
      <c r="P1701" t="str">
        <f t="shared" si="55"/>
        <v/>
      </c>
      <c r="Q1701" t="str">
        <f>IFERROR(VLOOKUP(D1701,'Team Data'!C:AB,15,FALSE),"")</f>
        <v/>
      </c>
      <c r="R1701" t="str">
        <f>IFERROR(VLOOKUP('OB Format'!D1701,'Team Data'!C:AB,24,FALSE),"")</f>
        <v/>
      </c>
      <c r="S1701" t="str">
        <f>IFERROR(VLOOKUP('OB Format'!D1701,'Team Data'!C:AC,25,FALSE),"")</f>
        <v/>
      </c>
    </row>
    <row r="1702" spans="5:19" x14ac:dyDescent="0.25">
      <c r="E1702" t="str">
        <f>IFERROR(VLOOKUP(D1702,'Team Data'!C:AB,4,FALSE),"")</f>
        <v/>
      </c>
      <c r="F1702" t="str">
        <f>IFERROR(VLOOKUP(D1702,'Team Data'!C:AB,5,FALSE),"")</f>
        <v/>
      </c>
      <c r="G1702" t="str">
        <f>IFERROR(VLOOKUP('OB Format'!D1702,'Team Data'!C:AB,17,FALSE),"")</f>
        <v/>
      </c>
      <c r="H1702" t="str">
        <f>IFERROR(VLOOKUP(D1702,'Team Data'!C:AB,7,FALSE),"")</f>
        <v/>
      </c>
      <c r="I1702" t="str">
        <f>IFERROR(VLOOKUP(D1702,'Team Data'!C:AB,14,FALSE),"")</f>
        <v/>
      </c>
      <c r="J1702" t="str">
        <f>IFERROR(VLOOKUP(D1702,'Team Data'!C:AB,8,FALSE),"")</f>
        <v/>
      </c>
      <c r="K1702" t="str">
        <f>IFERROR(VLOOKUP(D1702,'Team Data'!C:AB,9,FALSE),"")</f>
        <v/>
      </c>
      <c r="L1702" t="str">
        <f>IFERROR(VLOOKUP(D1702,'Team Data'!C:AB,10,FALSE),"")</f>
        <v/>
      </c>
      <c r="M1702" t="str">
        <f t="shared" si="54"/>
        <v/>
      </c>
      <c r="N1702" t="str">
        <f>IFERROR(VLOOKUP(D1702,'Team Data'!C:AB,23,FALSE),"")</f>
        <v/>
      </c>
      <c r="O1702" t="str">
        <f>IFERROR(VLOOKUP(D1702,'Team Data'!C:AB,22,FALSE),"")</f>
        <v/>
      </c>
      <c r="P1702" t="str">
        <f t="shared" si="55"/>
        <v/>
      </c>
      <c r="Q1702" t="str">
        <f>IFERROR(VLOOKUP(D1702,'Team Data'!C:AB,15,FALSE),"")</f>
        <v/>
      </c>
      <c r="R1702" t="str">
        <f>IFERROR(VLOOKUP('OB Format'!D1702,'Team Data'!C:AB,24,FALSE),"")</f>
        <v/>
      </c>
      <c r="S1702" t="str">
        <f>IFERROR(VLOOKUP('OB Format'!D1702,'Team Data'!C:AC,25,FALSE),"")</f>
        <v/>
      </c>
    </row>
    <row r="1703" spans="5:19" x14ac:dyDescent="0.25">
      <c r="E1703" t="str">
        <f>IFERROR(VLOOKUP(D1703,'Team Data'!C:AB,4,FALSE),"")</f>
        <v/>
      </c>
      <c r="F1703" t="str">
        <f>IFERROR(VLOOKUP(D1703,'Team Data'!C:AB,5,FALSE),"")</f>
        <v/>
      </c>
      <c r="G1703" t="str">
        <f>IFERROR(VLOOKUP('OB Format'!D1703,'Team Data'!C:AB,17,FALSE),"")</f>
        <v/>
      </c>
      <c r="H1703" t="str">
        <f>IFERROR(VLOOKUP(D1703,'Team Data'!C:AB,7,FALSE),"")</f>
        <v/>
      </c>
      <c r="I1703" t="str">
        <f>IFERROR(VLOOKUP(D1703,'Team Data'!C:AB,14,FALSE),"")</f>
        <v/>
      </c>
      <c r="J1703" t="str">
        <f>IFERROR(VLOOKUP(D1703,'Team Data'!C:AB,8,FALSE),"")</f>
        <v/>
      </c>
      <c r="K1703" t="str">
        <f>IFERROR(VLOOKUP(D1703,'Team Data'!C:AB,9,FALSE),"")</f>
        <v/>
      </c>
      <c r="L1703" t="str">
        <f>IFERROR(VLOOKUP(D1703,'Team Data'!C:AB,10,FALSE),"")</f>
        <v/>
      </c>
      <c r="M1703" t="str">
        <f t="shared" si="54"/>
        <v/>
      </c>
      <c r="N1703" t="str">
        <f>IFERROR(VLOOKUP(D1703,'Team Data'!C:AB,23,FALSE),"")</f>
        <v/>
      </c>
      <c r="O1703" t="str">
        <f>IFERROR(VLOOKUP(D1703,'Team Data'!C:AB,22,FALSE),"")</f>
        <v/>
      </c>
      <c r="P1703" t="str">
        <f t="shared" si="55"/>
        <v/>
      </c>
      <c r="Q1703" t="str">
        <f>IFERROR(VLOOKUP(D1703,'Team Data'!C:AB,15,FALSE),"")</f>
        <v/>
      </c>
      <c r="R1703" t="str">
        <f>IFERROR(VLOOKUP('OB Format'!D1703,'Team Data'!C:AB,24,FALSE),"")</f>
        <v/>
      </c>
      <c r="S1703" t="str">
        <f>IFERROR(VLOOKUP('OB Format'!D1703,'Team Data'!C:AC,25,FALSE),"")</f>
        <v/>
      </c>
    </row>
    <row r="1704" spans="5:19" x14ac:dyDescent="0.25">
      <c r="E1704" t="str">
        <f>IFERROR(VLOOKUP(D1704,'Team Data'!C:AB,4,FALSE),"")</f>
        <v/>
      </c>
      <c r="F1704" t="str">
        <f>IFERROR(VLOOKUP(D1704,'Team Data'!C:AB,5,FALSE),"")</f>
        <v/>
      </c>
      <c r="G1704" t="str">
        <f>IFERROR(VLOOKUP('OB Format'!D1704,'Team Data'!C:AB,17,FALSE),"")</f>
        <v/>
      </c>
      <c r="H1704" t="str">
        <f>IFERROR(VLOOKUP(D1704,'Team Data'!C:AB,7,FALSE),"")</f>
        <v/>
      </c>
      <c r="I1704" t="str">
        <f>IFERROR(VLOOKUP(D1704,'Team Data'!C:AB,14,FALSE),"")</f>
        <v/>
      </c>
      <c r="J1704" t="str">
        <f>IFERROR(VLOOKUP(D1704,'Team Data'!C:AB,8,FALSE),"")</f>
        <v/>
      </c>
      <c r="K1704" t="str">
        <f>IFERROR(VLOOKUP(D1704,'Team Data'!C:AB,9,FALSE),"")</f>
        <v/>
      </c>
      <c r="L1704" t="str">
        <f>IFERROR(VLOOKUP(D1704,'Team Data'!C:AB,10,FALSE),"")</f>
        <v/>
      </c>
      <c r="M1704" t="str">
        <f t="shared" si="54"/>
        <v/>
      </c>
      <c r="N1704" t="str">
        <f>IFERROR(VLOOKUP(D1704,'Team Data'!C:AB,23,FALSE),"")</f>
        <v/>
      </c>
      <c r="O1704" t="str">
        <f>IFERROR(VLOOKUP(D1704,'Team Data'!C:AB,22,FALSE),"")</f>
        <v/>
      </c>
      <c r="P1704" t="str">
        <f t="shared" si="55"/>
        <v/>
      </c>
      <c r="Q1704" t="str">
        <f>IFERROR(VLOOKUP(D1704,'Team Data'!C:AB,15,FALSE),"")</f>
        <v/>
      </c>
      <c r="R1704" t="str">
        <f>IFERROR(VLOOKUP('OB Format'!D1704,'Team Data'!C:AB,24,FALSE),"")</f>
        <v/>
      </c>
      <c r="S1704" t="str">
        <f>IFERROR(VLOOKUP('OB Format'!D1704,'Team Data'!C:AC,25,FALSE),"")</f>
        <v/>
      </c>
    </row>
    <row r="1705" spans="5:19" x14ac:dyDescent="0.25">
      <c r="E1705" t="str">
        <f>IFERROR(VLOOKUP(D1705,'Team Data'!C:AB,4,FALSE),"")</f>
        <v/>
      </c>
      <c r="F1705" t="str">
        <f>IFERROR(VLOOKUP(D1705,'Team Data'!C:AB,5,FALSE),"")</f>
        <v/>
      </c>
      <c r="G1705" t="str">
        <f>IFERROR(VLOOKUP('OB Format'!D1705,'Team Data'!C:AB,17,FALSE),"")</f>
        <v/>
      </c>
      <c r="H1705" t="str">
        <f>IFERROR(VLOOKUP(D1705,'Team Data'!C:AB,7,FALSE),"")</f>
        <v/>
      </c>
      <c r="I1705" t="str">
        <f>IFERROR(VLOOKUP(D1705,'Team Data'!C:AB,14,FALSE),"")</f>
        <v/>
      </c>
      <c r="J1705" t="str">
        <f>IFERROR(VLOOKUP(D1705,'Team Data'!C:AB,8,FALSE),"")</f>
        <v/>
      </c>
      <c r="K1705" t="str">
        <f>IFERROR(VLOOKUP(D1705,'Team Data'!C:AB,9,FALSE),"")</f>
        <v/>
      </c>
      <c r="L1705" t="str">
        <f>IFERROR(VLOOKUP(D1705,'Team Data'!C:AB,10,FALSE),"")</f>
        <v/>
      </c>
      <c r="M1705" t="str">
        <f t="shared" si="54"/>
        <v/>
      </c>
      <c r="N1705" t="str">
        <f>IFERROR(VLOOKUP(D1705,'Team Data'!C:AB,23,FALSE),"")</f>
        <v/>
      </c>
      <c r="O1705" t="str">
        <f>IFERROR(VLOOKUP(D1705,'Team Data'!C:AB,22,FALSE),"")</f>
        <v/>
      </c>
      <c r="P1705" t="str">
        <f t="shared" si="55"/>
        <v/>
      </c>
      <c r="Q1705" t="str">
        <f>IFERROR(VLOOKUP(D1705,'Team Data'!C:AB,15,FALSE),"")</f>
        <v/>
      </c>
      <c r="R1705" t="str">
        <f>IFERROR(VLOOKUP('OB Format'!D1705,'Team Data'!C:AB,24,FALSE),"")</f>
        <v/>
      </c>
      <c r="S1705" t="str">
        <f>IFERROR(VLOOKUP('OB Format'!D1705,'Team Data'!C:AC,25,FALSE),"")</f>
        <v/>
      </c>
    </row>
    <row r="1706" spans="5:19" x14ac:dyDescent="0.25">
      <c r="E1706" t="str">
        <f>IFERROR(VLOOKUP(D1706,'Team Data'!C:AB,4,FALSE),"")</f>
        <v/>
      </c>
      <c r="F1706" t="str">
        <f>IFERROR(VLOOKUP(D1706,'Team Data'!C:AB,5,FALSE),"")</f>
        <v/>
      </c>
      <c r="G1706" t="str">
        <f>IFERROR(VLOOKUP('OB Format'!D1706,'Team Data'!C:AB,17,FALSE),"")</f>
        <v/>
      </c>
      <c r="H1706" t="str">
        <f>IFERROR(VLOOKUP(D1706,'Team Data'!C:AB,7,FALSE),"")</f>
        <v/>
      </c>
      <c r="I1706" t="str">
        <f>IFERROR(VLOOKUP(D1706,'Team Data'!C:AB,14,FALSE),"")</f>
        <v/>
      </c>
      <c r="J1706" t="str">
        <f>IFERROR(VLOOKUP(D1706,'Team Data'!C:AB,8,FALSE),"")</f>
        <v/>
      </c>
      <c r="K1706" t="str">
        <f>IFERROR(VLOOKUP(D1706,'Team Data'!C:AB,9,FALSE),"")</f>
        <v/>
      </c>
      <c r="L1706" t="str">
        <f>IFERROR(VLOOKUP(D1706,'Team Data'!C:AB,10,FALSE),"")</f>
        <v/>
      </c>
      <c r="M1706" t="str">
        <f t="shared" si="54"/>
        <v/>
      </c>
      <c r="N1706" t="str">
        <f>IFERROR(VLOOKUP(D1706,'Team Data'!C:AB,23,FALSE),"")</f>
        <v/>
      </c>
      <c r="O1706" t="str">
        <f>IFERROR(VLOOKUP(D1706,'Team Data'!C:AB,22,FALSE),"")</f>
        <v/>
      </c>
      <c r="P1706" t="str">
        <f t="shared" si="55"/>
        <v/>
      </c>
      <c r="Q1706" t="str">
        <f>IFERROR(VLOOKUP(D1706,'Team Data'!C:AB,15,FALSE),"")</f>
        <v/>
      </c>
      <c r="R1706" t="str">
        <f>IFERROR(VLOOKUP('OB Format'!D1706,'Team Data'!C:AB,24,FALSE),"")</f>
        <v/>
      </c>
      <c r="S1706" t="str">
        <f>IFERROR(VLOOKUP('OB Format'!D1706,'Team Data'!C:AC,25,FALSE),"")</f>
        <v/>
      </c>
    </row>
    <row r="1707" spans="5:19" x14ac:dyDescent="0.25">
      <c r="E1707" t="str">
        <f>IFERROR(VLOOKUP(D1707,'Team Data'!C:AB,4,FALSE),"")</f>
        <v/>
      </c>
      <c r="F1707" t="str">
        <f>IFERROR(VLOOKUP(D1707,'Team Data'!C:AB,5,FALSE),"")</f>
        <v/>
      </c>
      <c r="G1707" t="str">
        <f>IFERROR(VLOOKUP('OB Format'!D1707,'Team Data'!C:AB,17,FALSE),"")</f>
        <v/>
      </c>
      <c r="H1707" t="str">
        <f>IFERROR(VLOOKUP(D1707,'Team Data'!C:AB,7,FALSE),"")</f>
        <v/>
      </c>
      <c r="I1707" t="str">
        <f>IFERROR(VLOOKUP(D1707,'Team Data'!C:AB,14,FALSE),"")</f>
        <v/>
      </c>
      <c r="J1707" t="str">
        <f>IFERROR(VLOOKUP(D1707,'Team Data'!C:AB,8,FALSE),"")</f>
        <v/>
      </c>
      <c r="K1707" t="str">
        <f>IFERROR(VLOOKUP(D1707,'Team Data'!C:AB,9,FALSE),"")</f>
        <v/>
      </c>
      <c r="L1707" t="str">
        <f>IFERROR(VLOOKUP(D1707,'Team Data'!C:AB,10,FALSE),"")</f>
        <v/>
      </c>
      <c r="M1707" t="str">
        <f t="shared" si="54"/>
        <v/>
      </c>
      <c r="N1707" t="str">
        <f>IFERROR(VLOOKUP(D1707,'Team Data'!C:AB,23,FALSE),"")</f>
        <v/>
      </c>
      <c r="O1707" t="str">
        <f>IFERROR(VLOOKUP(D1707,'Team Data'!C:AB,22,FALSE),"")</f>
        <v/>
      </c>
      <c r="P1707" t="str">
        <f t="shared" si="55"/>
        <v/>
      </c>
      <c r="Q1707" t="str">
        <f>IFERROR(VLOOKUP(D1707,'Team Data'!C:AB,15,FALSE),"")</f>
        <v/>
      </c>
      <c r="R1707" t="str">
        <f>IFERROR(VLOOKUP('OB Format'!D1707,'Team Data'!C:AB,24,FALSE),"")</f>
        <v/>
      </c>
      <c r="S1707" t="str">
        <f>IFERROR(VLOOKUP('OB Format'!D1707,'Team Data'!C:AC,25,FALSE),"")</f>
        <v/>
      </c>
    </row>
    <row r="1708" spans="5:19" x14ac:dyDescent="0.25">
      <c r="E1708" t="str">
        <f>IFERROR(VLOOKUP(D1708,'Team Data'!C:AB,4,FALSE),"")</f>
        <v/>
      </c>
      <c r="F1708" t="str">
        <f>IFERROR(VLOOKUP(D1708,'Team Data'!C:AB,5,FALSE),"")</f>
        <v/>
      </c>
      <c r="G1708" t="str">
        <f>IFERROR(VLOOKUP('OB Format'!D1708,'Team Data'!C:AB,17,FALSE),"")</f>
        <v/>
      </c>
      <c r="H1708" t="str">
        <f>IFERROR(VLOOKUP(D1708,'Team Data'!C:AB,7,FALSE),"")</f>
        <v/>
      </c>
      <c r="I1708" t="str">
        <f>IFERROR(VLOOKUP(D1708,'Team Data'!C:AB,14,FALSE),"")</f>
        <v/>
      </c>
      <c r="J1708" t="str">
        <f>IFERROR(VLOOKUP(D1708,'Team Data'!C:AB,8,FALSE),"")</f>
        <v/>
      </c>
      <c r="K1708" t="str">
        <f>IFERROR(VLOOKUP(D1708,'Team Data'!C:AB,9,FALSE),"")</f>
        <v/>
      </c>
      <c r="L1708" t="str">
        <f>IFERROR(VLOOKUP(D1708,'Team Data'!C:AB,10,FALSE),"")</f>
        <v/>
      </c>
      <c r="M1708" t="str">
        <f t="shared" si="54"/>
        <v/>
      </c>
      <c r="N1708" t="str">
        <f>IFERROR(VLOOKUP(D1708,'Team Data'!C:AB,23,FALSE),"")</f>
        <v/>
      </c>
      <c r="O1708" t="str">
        <f>IFERROR(VLOOKUP(D1708,'Team Data'!C:AB,22,FALSE),"")</f>
        <v/>
      </c>
      <c r="P1708" t="str">
        <f t="shared" si="55"/>
        <v/>
      </c>
      <c r="Q1708" t="str">
        <f>IFERROR(VLOOKUP(D1708,'Team Data'!C:AB,15,FALSE),"")</f>
        <v/>
      </c>
      <c r="R1708" t="str">
        <f>IFERROR(VLOOKUP('OB Format'!D1708,'Team Data'!C:AB,24,FALSE),"")</f>
        <v/>
      </c>
      <c r="S1708" t="str">
        <f>IFERROR(VLOOKUP('OB Format'!D1708,'Team Data'!C:AC,25,FALSE),"")</f>
        <v/>
      </c>
    </row>
    <row r="1709" spans="5:19" x14ac:dyDescent="0.25">
      <c r="E1709" t="str">
        <f>IFERROR(VLOOKUP(D1709,'Team Data'!C:AB,4,FALSE),"")</f>
        <v/>
      </c>
      <c r="F1709" t="str">
        <f>IFERROR(VLOOKUP(D1709,'Team Data'!C:AB,5,FALSE),"")</f>
        <v/>
      </c>
      <c r="G1709" t="str">
        <f>IFERROR(VLOOKUP('OB Format'!D1709,'Team Data'!C:AB,17,FALSE),"")</f>
        <v/>
      </c>
      <c r="H1709" t="str">
        <f>IFERROR(VLOOKUP(D1709,'Team Data'!C:AB,7,FALSE),"")</f>
        <v/>
      </c>
      <c r="I1709" t="str">
        <f>IFERROR(VLOOKUP(D1709,'Team Data'!C:AB,14,FALSE),"")</f>
        <v/>
      </c>
      <c r="J1709" t="str">
        <f>IFERROR(VLOOKUP(D1709,'Team Data'!C:AB,8,FALSE),"")</f>
        <v/>
      </c>
      <c r="K1709" t="str">
        <f>IFERROR(VLOOKUP(D1709,'Team Data'!C:AB,9,FALSE),"")</f>
        <v/>
      </c>
      <c r="L1709" t="str">
        <f>IFERROR(VLOOKUP(D1709,'Team Data'!C:AB,10,FALSE),"")</f>
        <v/>
      </c>
      <c r="M1709" t="str">
        <f t="shared" si="54"/>
        <v/>
      </c>
      <c r="N1709" t="str">
        <f>IFERROR(VLOOKUP(D1709,'Team Data'!C:AB,23,FALSE),"")</f>
        <v/>
      </c>
      <c r="O1709" t="str">
        <f>IFERROR(VLOOKUP(D1709,'Team Data'!C:AB,22,FALSE),"")</f>
        <v/>
      </c>
      <c r="P1709" t="str">
        <f t="shared" si="55"/>
        <v/>
      </c>
      <c r="Q1709" t="str">
        <f>IFERROR(VLOOKUP(D1709,'Team Data'!C:AB,15,FALSE),"")</f>
        <v/>
      </c>
      <c r="R1709" t="str">
        <f>IFERROR(VLOOKUP('OB Format'!D1709,'Team Data'!C:AB,24,FALSE),"")</f>
        <v/>
      </c>
      <c r="S1709" t="str">
        <f>IFERROR(VLOOKUP('OB Format'!D1709,'Team Data'!C:AC,25,FALSE),"")</f>
        <v/>
      </c>
    </row>
    <row r="1710" spans="5:19" x14ac:dyDescent="0.25">
      <c r="E1710" t="str">
        <f>IFERROR(VLOOKUP(D1710,'Team Data'!C:AB,4,FALSE),"")</f>
        <v/>
      </c>
      <c r="F1710" t="str">
        <f>IFERROR(VLOOKUP(D1710,'Team Data'!C:AB,5,FALSE),"")</f>
        <v/>
      </c>
      <c r="G1710" t="str">
        <f>IFERROR(VLOOKUP('OB Format'!D1710,'Team Data'!C:AB,17,FALSE),"")</f>
        <v/>
      </c>
      <c r="H1710" t="str">
        <f>IFERROR(VLOOKUP(D1710,'Team Data'!C:AB,7,FALSE),"")</f>
        <v/>
      </c>
      <c r="I1710" t="str">
        <f>IFERROR(VLOOKUP(D1710,'Team Data'!C:AB,14,FALSE),"")</f>
        <v/>
      </c>
      <c r="J1710" t="str">
        <f>IFERROR(VLOOKUP(D1710,'Team Data'!C:AB,8,FALSE),"")</f>
        <v/>
      </c>
      <c r="K1710" t="str">
        <f>IFERROR(VLOOKUP(D1710,'Team Data'!C:AB,9,FALSE),"")</f>
        <v/>
      </c>
      <c r="L1710" t="str">
        <f>IFERROR(VLOOKUP(D1710,'Team Data'!C:AB,10,FALSE),"")</f>
        <v/>
      </c>
      <c r="M1710" t="str">
        <f t="shared" si="54"/>
        <v/>
      </c>
      <c r="N1710" t="str">
        <f>IFERROR(VLOOKUP(D1710,'Team Data'!C:AB,23,FALSE),"")</f>
        <v/>
      </c>
      <c r="O1710" t="str">
        <f>IFERROR(VLOOKUP(D1710,'Team Data'!C:AB,22,FALSE),"")</f>
        <v/>
      </c>
      <c r="P1710" t="str">
        <f t="shared" si="55"/>
        <v/>
      </c>
      <c r="Q1710" t="str">
        <f>IFERROR(VLOOKUP(D1710,'Team Data'!C:AB,15,FALSE),"")</f>
        <v/>
      </c>
      <c r="R1710" t="str">
        <f>IFERROR(VLOOKUP('OB Format'!D1710,'Team Data'!C:AB,24,FALSE),"")</f>
        <v/>
      </c>
      <c r="S1710" t="str">
        <f>IFERROR(VLOOKUP('OB Format'!D1710,'Team Data'!C:AC,25,FALSE),"")</f>
        <v/>
      </c>
    </row>
    <row r="1711" spans="5:19" x14ac:dyDescent="0.25">
      <c r="E1711" t="str">
        <f>IFERROR(VLOOKUP(D1711,'Team Data'!C:AB,4,FALSE),"")</f>
        <v/>
      </c>
      <c r="F1711" t="str">
        <f>IFERROR(VLOOKUP(D1711,'Team Data'!C:AB,5,FALSE),"")</f>
        <v/>
      </c>
      <c r="G1711" t="str">
        <f>IFERROR(VLOOKUP('OB Format'!D1711,'Team Data'!C:AB,17,FALSE),"")</f>
        <v/>
      </c>
      <c r="H1711" t="str">
        <f>IFERROR(VLOOKUP(D1711,'Team Data'!C:AB,7,FALSE),"")</f>
        <v/>
      </c>
      <c r="I1711" t="str">
        <f>IFERROR(VLOOKUP(D1711,'Team Data'!C:AB,14,FALSE),"")</f>
        <v/>
      </c>
      <c r="J1711" t="str">
        <f>IFERROR(VLOOKUP(D1711,'Team Data'!C:AB,8,FALSE),"")</f>
        <v/>
      </c>
      <c r="K1711" t="str">
        <f>IFERROR(VLOOKUP(D1711,'Team Data'!C:AB,9,FALSE),"")</f>
        <v/>
      </c>
      <c r="L1711" t="str">
        <f>IFERROR(VLOOKUP(D1711,'Team Data'!C:AB,10,FALSE),"")</f>
        <v/>
      </c>
      <c r="M1711" t="str">
        <f t="shared" si="54"/>
        <v/>
      </c>
      <c r="N1711" t="str">
        <f>IFERROR(VLOOKUP(D1711,'Team Data'!C:AB,23,FALSE),"")</f>
        <v/>
      </c>
      <c r="O1711" t="str">
        <f>IFERROR(VLOOKUP(D1711,'Team Data'!C:AB,22,FALSE),"")</f>
        <v/>
      </c>
      <c r="P1711" t="str">
        <f t="shared" si="55"/>
        <v/>
      </c>
      <c r="Q1711" t="str">
        <f>IFERROR(VLOOKUP(D1711,'Team Data'!C:AB,15,FALSE),"")</f>
        <v/>
      </c>
      <c r="R1711" t="str">
        <f>IFERROR(VLOOKUP('OB Format'!D1711,'Team Data'!C:AB,24,FALSE),"")</f>
        <v/>
      </c>
      <c r="S1711" t="str">
        <f>IFERROR(VLOOKUP('OB Format'!D1711,'Team Data'!C:AC,25,FALSE),"")</f>
        <v/>
      </c>
    </row>
    <row r="1712" spans="5:19" x14ac:dyDescent="0.25">
      <c r="E1712" t="str">
        <f>IFERROR(VLOOKUP(D1712,'Team Data'!C:AB,4,FALSE),"")</f>
        <v/>
      </c>
      <c r="F1712" t="str">
        <f>IFERROR(VLOOKUP(D1712,'Team Data'!C:AB,5,FALSE),"")</f>
        <v/>
      </c>
      <c r="G1712" t="str">
        <f>IFERROR(VLOOKUP('OB Format'!D1712,'Team Data'!C:AB,17,FALSE),"")</f>
        <v/>
      </c>
      <c r="H1712" t="str">
        <f>IFERROR(VLOOKUP(D1712,'Team Data'!C:AB,7,FALSE),"")</f>
        <v/>
      </c>
      <c r="I1712" t="str">
        <f>IFERROR(VLOOKUP(D1712,'Team Data'!C:AB,14,FALSE),"")</f>
        <v/>
      </c>
      <c r="J1712" t="str">
        <f>IFERROR(VLOOKUP(D1712,'Team Data'!C:AB,8,FALSE),"")</f>
        <v/>
      </c>
      <c r="K1712" t="str">
        <f>IFERROR(VLOOKUP(D1712,'Team Data'!C:AB,9,FALSE),"")</f>
        <v/>
      </c>
      <c r="L1712" t="str">
        <f>IFERROR(VLOOKUP(D1712,'Team Data'!C:AB,10,FALSE),"")</f>
        <v/>
      </c>
      <c r="M1712" t="str">
        <f t="shared" si="54"/>
        <v/>
      </c>
      <c r="N1712" t="str">
        <f>IFERROR(VLOOKUP(D1712,'Team Data'!C:AB,23,FALSE),"")</f>
        <v/>
      </c>
      <c r="O1712" t="str">
        <f>IFERROR(VLOOKUP(D1712,'Team Data'!C:AB,22,FALSE),"")</f>
        <v/>
      </c>
      <c r="P1712" t="str">
        <f t="shared" si="55"/>
        <v/>
      </c>
      <c r="Q1712" t="str">
        <f>IFERROR(VLOOKUP(D1712,'Team Data'!C:AB,15,FALSE),"")</f>
        <v/>
      </c>
      <c r="R1712" t="str">
        <f>IFERROR(VLOOKUP('OB Format'!D1712,'Team Data'!C:AB,24,FALSE),"")</f>
        <v/>
      </c>
      <c r="S1712" t="str">
        <f>IFERROR(VLOOKUP('OB Format'!D1712,'Team Data'!C:AC,25,FALSE),"")</f>
        <v/>
      </c>
    </row>
    <row r="1713" spans="5:19" x14ac:dyDescent="0.25">
      <c r="E1713" t="str">
        <f>IFERROR(VLOOKUP(D1713,'Team Data'!C:AB,4,FALSE),"")</f>
        <v/>
      </c>
      <c r="F1713" t="str">
        <f>IFERROR(VLOOKUP(D1713,'Team Data'!C:AB,5,FALSE),"")</f>
        <v/>
      </c>
      <c r="G1713" t="str">
        <f>IFERROR(VLOOKUP('OB Format'!D1713,'Team Data'!C:AB,17,FALSE),"")</f>
        <v/>
      </c>
      <c r="H1713" t="str">
        <f>IFERROR(VLOOKUP(D1713,'Team Data'!C:AB,7,FALSE),"")</f>
        <v/>
      </c>
      <c r="I1713" t="str">
        <f>IFERROR(VLOOKUP(D1713,'Team Data'!C:AB,14,FALSE),"")</f>
        <v/>
      </c>
      <c r="J1713" t="str">
        <f>IFERROR(VLOOKUP(D1713,'Team Data'!C:AB,8,FALSE),"")</f>
        <v/>
      </c>
      <c r="K1713" t="str">
        <f>IFERROR(VLOOKUP(D1713,'Team Data'!C:AB,9,FALSE),"")</f>
        <v/>
      </c>
      <c r="L1713" t="str">
        <f>IFERROR(VLOOKUP(D1713,'Team Data'!C:AB,10,FALSE),"")</f>
        <v/>
      </c>
      <c r="M1713" t="str">
        <f t="shared" si="54"/>
        <v/>
      </c>
      <c r="N1713" t="str">
        <f>IFERROR(VLOOKUP(D1713,'Team Data'!C:AB,23,FALSE),"")</f>
        <v/>
      </c>
      <c r="O1713" t="str">
        <f>IFERROR(VLOOKUP(D1713,'Team Data'!C:AB,22,FALSE),"")</f>
        <v/>
      </c>
      <c r="P1713" t="str">
        <f t="shared" si="55"/>
        <v/>
      </c>
      <c r="Q1713" t="str">
        <f>IFERROR(VLOOKUP(D1713,'Team Data'!C:AB,15,FALSE),"")</f>
        <v/>
      </c>
      <c r="R1713" t="str">
        <f>IFERROR(VLOOKUP('OB Format'!D1713,'Team Data'!C:AB,24,FALSE),"")</f>
        <v/>
      </c>
      <c r="S1713" t="str">
        <f>IFERROR(VLOOKUP('OB Format'!D1713,'Team Data'!C:AC,25,FALSE),"")</f>
        <v/>
      </c>
    </row>
    <row r="1714" spans="5:19" x14ac:dyDescent="0.25">
      <c r="E1714" t="str">
        <f>IFERROR(VLOOKUP(D1714,'Team Data'!C:AB,4,FALSE),"")</f>
        <v/>
      </c>
      <c r="F1714" t="str">
        <f>IFERROR(VLOOKUP(D1714,'Team Data'!C:AB,5,FALSE),"")</f>
        <v/>
      </c>
      <c r="G1714" t="str">
        <f>IFERROR(VLOOKUP('OB Format'!D1714,'Team Data'!C:AB,17,FALSE),"")</f>
        <v/>
      </c>
      <c r="H1714" t="str">
        <f>IFERROR(VLOOKUP(D1714,'Team Data'!C:AB,7,FALSE),"")</f>
        <v/>
      </c>
      <c r="I1714" t="str">
        <f>IFERROR(VLOOKUP(D1714,'Team Data'!C:AB,14,FALSE),"")</f>
        <v/>
      </c>
      <c r="J1714" t="str">
        <f>IFERROR(VLOOKUP(D1714,'Team Data'!C:AB,8,FALSE),"")</f>
        <v/>
      </c>
      <c r="K1714" t="str">
        <f>IFERROR(VLOOKUP(D1714,'Team Data'!C:AB,9,FALSE),"")</f>
        <v/>
      </c>
      <c r="L1714" t="str">
        <f>IFERROR(VLOOKUP(D1714,'Team Data'!C:AB,10,FALSE),"")</f>
        <v/>
      </c>
      <c r="M1714" t="str">
        <f t="shared" si="54"/>
        <v/>
      </c>
      <c r="N1714" t="str">
        <f>IFERROR(VLOOKUP(D1714,'Team Data'!C:AB,23,FALSE),"")</f>
        <v/>
      </c>
      <c r="O1714" t="str">
        <f>IFERROR(VLOOKUP(D1714,'Team Data'!C:AB,22,FALSE),"")</f>
        <v/>
      </c>
      <c r="P1714" t="str">
        <f t="shared" si="55"/>
        <v/>
      </c>
      <c r="Q1714" t="str">
        <f>IFERROR(VLOOKUP(D1714,'Team Data'!C:AB,15,FALSE),"")</f>
        <v/>
      </c>
      <c r="R1714" t="str">
        <f>IFERROR(VLOOKUP('OB Format'!D1714,'Team Data'!C:AB,24,FALSE),"")</f>
        <v/>
      </c>
      <c r="S1714" t="str">
        <f>IFERROR(VLOOKUP('OB Format'!D1714,'Team Data'!C:AC,25,FALSE),"")</f>
        <v/>
      </c>
    </row>
    <row r="1715" spans="5:19" x14ac:dyDescent="0.25">
      <c r="E1715" t="str">
        <f>IFERROR(VLOOKUP(D1715,'Team Data'!C:AB,4,FALSE),"")</f>
        <v/>
      </c>
      <c r="F1715" t="str">
        <f>IFERROR(VLOOKUP(D1715,'Team Data'!C:AB,5,FALSE),"")</f>
        <v/>
      </c>
      <c r="G1715" t="str">
        <f>IFERROR(VLOOKUP('OB Format'!D1715,'Team Data'!C:AB,17,FALSE),"")</f>
        <v/>
      </c>
      <c r="H1715" t="str">
        <f>IFERROR(VLOOKUP(D1715,'Team Data'!C:AB,7,FALSE),"")</f>
        <v/>
      </c>
      <c r="I1715" t="str">
        <f>IFERROR(VLOOKUP(D1715,'Team Data'!C:AB,14,FALSE),"")</f>
        <v/>
      </c>
      <c r="J1715" t="str">
        <f>IFERROR(VLOOKUP(D1715,'Team Data'!C:AB,8,FALSE),"")</f>
        <v/>
      </c>
      <c r="K1715" t="str">
        <f>IFERROR(VLOOKUP(D1715,'Team Data'!C:AB,9,FALSE),"")</f>
        <v/>
      </c>
      <c r="L1715" t="str">
        <f>IFERROR(VLOOKUP(D1715,'Team Data'!C:AB,10,FALSE),"")</f>
        <v/>
      </c>
      <c r="M1715" t="str">
        <f t="shared" si="54"/>
        <v/>
      </c>
      <c r="N1715" t="str">
        <f>IFERROR(VLOOKUP(D1715,'Team Data'!C:AB,23,FALSE),"")</f>
        <v/>
      </c>
      <c r="O1715" t="str">
        <f>IFERROR(VLOOKUP(D1715,'Team Data'!C:AB,22,FALSE),"")</f>
        <v/>
      </c>
      <c r="P1715" t="str">
        <f t="shared" si="55"/>
        <v/>
      </c>
      <c r="Q1715" t="str">
        <f>IFERROR(VLOOKUP(D1715,'Team Data'!C:AB,15,FALSE),"")</f>
        <v/>
      </c>
      <c r="R1715" t="str">
        <f>IFERROR(VLOOKUP('OB Format'!D1715,'Team Data'!C:AB,24,FALSE),"")</f>
        <v/>
      </c>
      <c r="S1715" t="str">
        <f>IFERROR(VLOOKUP('OB Format'!D1715,'Team Data'!C:AC,25,FALSE),"")</f>
        <v/>
      </c>
    </row>
    <row r="1716" spans="5:19" x14ac:dyDescent="0.25">
      <c r="E1716" t="str">
        <f>IFERROR(VLOOKUP(D1716,'Team Data'!C:AB,4,FALSE),"")</f>
        <v/>
      </c>
      <c r="F1716" t="str">
        <f>IFERROR(VLOOKUP(D1716,'Team Data'!C:AB,5,FALSE),"")</f>
        <v/>
      </c>
      <c r="G1716" t="str">
        <f>IFERROR(VLOOKUP('OB Format'!D1716,'Team Data'!C:AB,17,FALSE),"")</f>
        <v/>
      </c>
      <c r="H1716" t="str">
        <f>IFERROR(VLOOKUP(D1716,'Team Data'!C:AB,7,FALSE),"")</f>
        <v/>
      </c>
      <c r="I1716" t="str">
        <f>IFERROR(VLOOKUP(D1716,'Team Data'!C:AB,14,FALSE),"")</f>
        <v/>
      </c>
      <c r="J1716" t="str">
        <f>IFERROR(VLOOKUP(D1716,'Team Data'!C:AB,8,FALSE),"")</f>
        <v/>
      </c>
      <c r="K1716" t="str">
        <f>IFERROR(VLOOKUP(D1716,'Team Data'!C:AB,9,FALSE),"")</f>
        <v/>
      </c>
      <c r="L1716" t="str">
        <f>IFERROR(VLOOKUP(D1716,'Team Data'!C:AB,10,FALSE),"")</f>
        <v/>
      </c>
      <c r="M1716" t="str">
        <f t="shared" si="54"/>
        <v/>
      </c>
      <c r="N1716" t="str">
        <f>IFERROR(VLOOKUP(D1716,'Team Data'!C:AB,23,FALSE),"")</f>
        <v/>
      </c>
      <c r="O1716" t="str">
        <f>IFERROR(VLOOKUP(D1716,'Team Data'!C:AB,22,FALSE),"")</f>
        <v/>
      </c>
      <c r="P1716" t="str">
        <f t="shared" si="55"/>
        <v/>
      </c>
      <c r="Q1716" t="str">
        <f>IFERROR(VLOOKUP(D1716,'Team Data'!C:AB,15,FALSE),"")</f>
        <v/>
      </c>
      <c r="R1716" t="str">
        <f>IFERROR(VLOOKUP('OB Format'!D1716,'Team Data'!C:AB,24,FALSE),"")</f>
        <v/>
      </c>
      <c r="S1716" t="str">
        <f>IFERROR(VLOOKUP('OB Format'!D1716,'Team Data'!C:AC,25,FALSE),"")</f>
        <v/>
      </c>
    </row>
    <row r="1717" spans="5:19" x14ac:dyDescent="0.25">
      <c r="E1717" t="str">
        <f>IFERROR(VLOOKUP(D1717,'Team Data'!C:AB,4,FALSE),"")</f>
        <v/>
      </c>
      <c r="F1717" t="str">
        <f>IFERROR(VLOOKUP(D1717,'Team Data'!C:AB,5,FALSE),"")</f>
        <v/>
      </c>
      <c r="G1717" t="str">
        <f>IFERROR(VLOOKUP('OB Format'!D1717,'Team Data'!C:AB,17,FALSE),"")</f>
        <v/>
      </c>
      <c r="H1717" t="str">
        <f>IFERROR(VLOOKUP(D1717,'Team Data'!C:AB,7,FALSE),"")</f>
        <v/>
      </c>
      <c r="I1717" t="str">
        <f>IFERROR(VLOOKUP(D1717,'Team Data'!C:AB,14,FALSE),"")</f>
        <v/>
      </c>
      <c r="J1717" t="str">
        <f>IFERROR(VLOOKUP(D1717,'Team Data'!C:AB,8,FALSE),"")</f>
        <v/>
      </c>
      <c r="K1717" t="str">
        <f>IFERROR(VLOOKUP(D1717,'Team Data'!C:AB,9,FALSE),"")</f>
        <v/>
      </c>
      <c r="L1717" t="str">
        <f>IFERROR(VLOOKUP(D1717,'Team Data'!C:AB,10,FALSE),"")</f>
        <v/>
      </c>
      <c r="M1717" t="str">
        <f t="shared" si="54"/>
        <v/>
      </c>
      <c r="N1717" t="str">
        <f>IFERROR(VLOOKUP(D1717,'Team Data'!C:AB,23,FALSE),"")</f>
        <v/>
      </c>
      <c r="O1717" t="str">
        <f>IFERROR(VLOOKUP(D1717,'Team Data'!C:AB,22,FALSE),"")</f>
        <v/>
      </c>
      <c r="P1717" t="str">
        <f t="shared" si="55"/>
        <v/>
      </c>
      <c r="Q1717" t="str">
        <f>IFERROR(VLOOKUP(D1717,'Team Data'!C:AB,15,FALSE),"")</f>
        <v/>
      </c>
      <c r="R1717" t="str">
        <f>IFERROR(VLOOKUP('OB Format'!D1717,'Team Data'!C:AB,24,FALSE),"")</f>
        <v/>
      </c>
      <c r="S1717" t="str">
        <f>IFERROR(VLOOKUP('OB Format'!D1717,'Team Data'!C:AC,25,FALSE),"")</f>
        <v/>
      </c>
    </row>
    <row r="1718" spans="5:19" x14ac:dyDescent="0.25">
      <c r="E1718" t="str">
        <f>IFERROR(VLOOKUP(D1718,'Team Data'!C:AB,4,FALSE),"")</f>
        <v/>
      </c>
      <c r="F1718" t="str">
        <f>IFERROR(VLOOKUP(D1718,'Team Data'!C:AB,5,FALSE),"")</f>
        <v/>
      </c>
      <c r="G1718" t="str">
        <f>IFERROR(VLOOKUP('OB Format'!D1718,'Team Data'!C:AB,17,FALSE),"")</f>
        <v/>
      </c>
      <c r="H1718" t="str">
        <f>IFERROR(VLOOKUP(D1718,'Team Data'!C:AB,7,FALSE),"")</f>
        <v/>
      </c>
      <c r="I1718" t="str">
        <f>IFERROR(VLOOKUP(D1718,'Team Data'!C:AB,14,FALSE),"")</f>
        <v/>
      </c>
      <c r="J1718" t="str">
        <f>IFERROR(VLOOKUP(D1718,'Team Data'!C:AB,8,FALSE),"")</f>
        <v/>
      </c>
      <c r="K1718" t="str">
        <f>IFERROR(VLOOKUP(D1718,'Team Data'!C:AB,9,FALSE),"")</f>
        <v/>
      </c>
      <c r="L1718" t="str">
        <f>IFERROR(VLOOKUP(D1718,'Team Data'!C:AB,10,FALSE),"")</f>
        <v/>
      </c>
      <c r="M1718" t="str">
        <f t="shared" si="54"/>
        <v/>
      </c>
      <c r="N1718" t="str">
        <f>IFERROR(VLOOKUP(D1718,'Team Data'!C:AB,23,FALSE),"")</f>
        <v/>
      </c>
      <c r="O1718" t="str">
        <f>IFERROR(VLOOKUP(D1718,'Team Data'!C:AB,22,FALSE),"")</f>
        <v/>
      </c>
      <c r="P1718" t="str">
        <f t="shared" si="55"/>
        <v/>
      </c>
      <c r="Q1718" t="str">
        <f>IFERROR(VLOOKUP(D1718,'Team Data'!C:AB,15,FALSE),"")</f>
        <v/>
      </c>
      <c r="R1718" t="str">
        <f>IFERROR(VLOOKUP('OB Format'!D1718,'Team Data'!C:AB,24,FALSE),"")</f>
        <v/>
      </c>
      <c r="S1718" t="str">
        <f>IFERROR(VLOOKUP('OB Format'!D1718,'Team Data'!C:AC,25,FALSE),"")</f>
        <v/>
      </c>
    </row>
    <row r="1719" spans="5:19" x14ac:dyDescent="0.25">
      <c r="E1719" t="str">
        <f>IFERROR(VLOOKUP(D1719,'Team Data'!C:AB,4,FALSE),"")</f>
        <v/>
      </c>
      <c r="F1719" t="str">
        <f>IFERROR(VLOOKUP(D1719,'Team Data'!C:AB,5,FALSE),"")</f>
        <v/>
      </c>
      <c r="G1719" t="str">
        <f>IFERROR(VLOOKUP('OB Format'!D1719,'Team Data'!C:AB,17,FALSE),"")</f>
        <v/>
      </c>
      <c r="H1719" t="str">
        <f>IFERROR(VLOOKUP(D1719,'Team Data'!C:AB,7,FALSE),"")</f>
        <v/>
      </c>
      <c r="I1719" t="str">
        <f>IFERROR(VLOOKUP(D1719,'Team Data'!C:AB,14,FALSE),"")</f>
        <v/>
      </c>
      <c r="J1719" t="str">
        <f>IFERROR(VLOOKUP(D1719,'Team Data'!C:AB,8,FALSE),"")</f>
        <v/>
      </c>
      <c r="K1719" t="str">
        <f>IFERROR(VLOOKUP(D1719,'Team Data'!C:AB,9,FALSE),"")</f>
        <v/>
      </c>
      <c r="L1719" t="str">
        <f>IFERROR(VLOOKUP(D1719,'Team Data'!C:AB,10,FALSE),"")</f>
        <v/>
      </c>
      <c r="M1719" t="str">
        <f t="shared" si="54"/>
        <v/>
      </c>
      <c r="N1719" t="str">
        <f>IFERROR(VLOOKUP(D1719,'Team Data'!C:AB,23,FALSE),"")</f>
        <v/>
      </c>
      <c r="O1719" t="str">
        <f>IFERROR(VLOOKUP(D1719,'Team Data'!C:AB,22,FALSE),"")</f>
        <v/>
      </c>
      <c r="P1719" t="str">
        <f t="shared" si="55"/>
        <v/>
      </c>
      <c r="Q1719" t="str">
        <f>IFERROR(VLOOKUP(D1719,'Team Data'!C:AB,15,FALSE),"")</f>
        <v/>
      </c>
      <c r="R1719" t="str">
        <f>IFERROR(VLOOKUP('OB Format'!D1719,'Team Data'!C:AB,24,FALSE),"")</f>
        <v/>
      </c>
      <c r="S1719" t="str">
        <f>IFERROR(VLOOKUP('OB Format'!D1719,'Team Data'!C:AC,25,FALSE),"")</f>
        <v/>
      </c>
    </row>
    <row r="1720" spans="5:19" x14ac:dyDescent="0.25">
      <c r="E1720" t="str">
        <f>IFERROR(VLOOKUP(D1720,'Team Data'!C:AB,4,FALSE),"")</f>
        <v/>
      </c>
      <c r="F1720" t="str">
        <f>IFERROR(VLOOKUP(D1720,'Team Data'!C:AB,5,FALSE),"")</f>
        <v/>
      </c>
      <c r="G1720" t="str">
        <f>IFERROR(VLOOKUP('OB Format'!D1720,'Team Data'!C:AB,17,FALSE),"")</f>
        <v/>
      </c>
      <c r="H1720" t="str">
        <f>IFERROR(VLOOKUP(D1720,'Team Data'!C:AB,7,FALSE),"")</f>
        <v/>
      </c>
      <c r="I1720" t="str">
        <f>IFERROR(VLOOKUP(D1720,'Team Data'!C:AB,14,FALSE),"")</f>
        <v/>
      </c>
      <c r="J1720" t="str">
        <f>IFERROR(VLOOKUP(D1720,'Team Data'!C:AB,8,FALSE),"")</f>
        <v/>
      </c>
      <c r="K1720" t="str">
        <f>IFERROR(VLOOKUP(D1720,'Team Data'!C:AB,9,FALSE),"")</f>
        <v/>
      </c>
      <c r="L1720" t="str">
        <f>IFERROR(VLOOKUP(D1720,'Team Data'!C:AB,10,FALSE),"")</f>
        <v/>
      </c>
      <c r="M1720" t="str">
        <f t="shared" si="54"/>
        <v/>
      </c>
      <c r="N1720" t="str">
        <f>IFERROR(VLOOKUP(D1720,'Team Data'!C:AB,23,FALSE),"")</f>
        <v/>
      </c>
      <c r="O1720" t="str">
        <f>IFERROR(VLOOKUP(D1720,'Team Data'!C:AB,22,FALSE),"")</f>
        <v/>
      </c>
      <c r="P1720" t="str">
        <f t="shared" si="55"/>
        <v/>
      </c>
      <c r="Q1720" t="str">
        <f>IFERROR(VLOOKUP(D1720,'Team Data'!C:AB,15,FALSE),"")</f>
        <v/>
      </c>
      <c r="R1720" t="str">
        <f>IFERROR(VLOOKUP('OB Format'!D1720,'Team Data'!C:AB,24,FALSE),"")</f>
        <v/>
      </c>
      <c r="S1720" t="str">
        <f>IFERROR(VLOOKUP('OB Format'!D1720,'Team Data'!C:AC,25,FALSE),"")</f>
        <v/>
      </c>
    </row>
    <row r="1721" spans="5:19" x14ac:dyDescent="0.25">
      <c r="E1721" t="str">
        <f>IFERROR(VLOOKUP(D1721,'Team Data'!C:AB,4,FALSE),"")</f>
        <v/>
      </c>
      <c r="F1721" t="str">
        <f>IFERROR(VLOOKUP(D1721,'Team Data'!C:AB,5,FALSE),"")</f>
        <v/>
      </c>
      <c r="G1721" t="str">
        <f>IFERROR(VLOOKUP('OB Format'!D1721,'Team Data'!C:AB,17,FALSE),"")</f>
        <v/>
      </c>
      <c r="H1721" t="str">
        <f>IFERROR(VLOOKUP(D1721,'Team Data'!C:AB,7,FALSE),"")</f>
        <v/>
      </c>
      <c r="I1721" t="str">
        <f>IFERROR(VLOOKUP(D1721,'Team Data'!C:AB,14,FALSE),"")</f>
        <v/>
      </c>
      <c r="J1721" t="str">
        <f>IFERROR(VLOOKUP(D1721,'Team Data'!C:AB,8,FALSE),"")</f>
        <v/>
      </c>
      <c r="K1721" t="str">
        <f>IFERROR(VLOOKUP(D1721,'Team Data'!C:AB,9,FALSE),"")</f>
        <v/>
      </c>
      <c r="L1721" t="str">
        <f>IFERROR(VLOOKUP(D1721,'Team Data'!C:AB,10,FALSE),"")</f>
        <v/>
      </c>
      <c r="M1721" t="str">
        <f t="shared" si="54"/>
        <v/>
      </c>
      <c r="N1721" t="str">
        <f>IFERROR(VLOOKUP(D1721,'Team Data'!C:AB,23,FALSE),"")</f>
        <v/>
      </c>
      <c r="O1721" t="str">
        <f>IFERROR(VLOOKUP(D1721,'Team Data'!C:AB,22,FALSE),"")</f>
        <v/>
      </c>
      <c r="P1721" t="str">
        <f t="shared" si="55"/>
        <v/>
      </c>
      <c r="Q1721" t="str">
        <f>IFERROR(VLOOKUP(D1721,'Team Data'!C:AB,15,FALSE),"")</f>
        <v/>
      </c>
      <c r="R1721" t="str">
        <f>IFERROR(VLOOKUP('OB Format'!D1721,'Team Data'!C:AB,24,FALSE),"")</f>
        <v/>
      </c>
      <c r="S1721" t="str">
        <f>IFERROR(VLOOKUP('OB Format'!D1721,'Team Data'!C:AC,25,FALSE),"")</f>
        <v/>
      </c>
    </row>
    <row r="1722" spans="5:19" x14ac:dyDescent="0.25">
      <c r="E1722" t="str">
        <f>IFERROR(VLOOKUP(D1722,'Team Data'!C:AB,4,FALSE),"")</f>
        <v/>
      </c>
      <c r="F1722" t="str">
        <f>IFERROR(VLOOKUP(D1722,'Team Data'!C:AB,5,FALSE),"")</f>
        <v/>
      </c>
      <c r="G1722" t="str">
        <f>IFERROR(VLOOKUP('OB Format'!D1722,'Team Data'!C:AB,17,FALSE),"")</f>
        <v/>
      </c>
      <c r="H1722" t="str">
        <f>IFERROR(VLOOKUP(D1722,'Team Data'!C:AB,7,FALSE),"")</f>
        <v/>
      </c>
      <c r="I1722" t="str">
        <f>IFERROR(VLOOKUP(D1722,'Team Data'!C:AB,14,FALSE),"")</f>
        <v/>
      </c>
      <c r="J1722" t="str">
        <f>IFERROR(VLOOKUP(D1722,'Team Data'!C:AB,8,FALSE),"")</f>
        <v/>
      </c>
      <c r="K1722" t="str">
        <f>IFERROR(VLOOKUP(D1722,'Team Data'!C:AB,9,FALSE),"")</f>
        <v/>
      </c>
      <c r="L1722" t="str">
        <f>IFERROR(VLOOKUP(D1722,'Team Data'!C:AB,10,FALSE),"")</f>
        <v/>
      </c>
      <c r="M1722" t="str">
        <f t="shared" si="54"/>
        <v/>
      </c>
      <c r="N1722" t="str">
        <f>IFERROR(VLOOKUP(D1722,'Team Data'!C:AB,23,FALSE),"")</f>
        <v/>
      </c>
      <c r="O1722" t="str">
        <f>IFERROR(VLOOKUP(D1722,'Team Data'!C:AB,22,FALSE),"")</f>
        <v/>
      </c>
      <c r="P1722" t="str">
        <f t="shared" si="55"/>
        <v/>
      </c>
      <c r="Q1722" t="str">
        <f>IFERROR(VLOOKUP(D1722,'Team Data'!C:AB,15,FALSE),"")</f>
        <v/>
      </c>
      <c r="R1722" t="str">
        <f>IFERROR(VLOOKUP('OB Format'!D1722,'Team Data'!C:AB,24,FALSE),"")</f>
        <v/>
      </c>
      <c r="S1722" t="str">
        <f>IFERROR(VLOOKUP('OB Format'!D1722,'Team Data'!C:AC,25,FALSE),"")</f>
        <v/>
      </c>
    </row>
    <row r="1723" spans="5:19" x14ac:dyDescent="0.25">
      <c r="E1723" t="str">
        <f>IFERROR(VLOOKUP(D1723,'Team Data'!C:AB,4,FALSE),"")</f>
        <v/>
      </c>
      <c r="F1723" t="str">
        <f>IFERROR(VLOOKUP(D1723,'Team Data'!C:AB,5,FALSE),"")</f>
        <v/>
      </c>
      <c r="G1723" t="str">
        <f>IFERROR(VLOOKUP('OB Format'!D1723,'Team Data'!C:AB,17,FALSE),"")</f>
        <v/>
      </c>
      <c r="H1723" t="str">
        <f>IFERROR(VLOOKUP(D1723,'Team Data'!C:AB,7,FALSE),"")</f>
        <v/>
      </c>
      <c r="I1723" t="str">
        <f>IFERROR(VLOOKUP(D1723,'Team Data'!C:AB,14,FALSE),"")</f>
        <v/>
      </c>
      <c r="J1723" t="str">
        <f>IFERROR(VLOOKUP(D1723,'Team Data'!C:AB,8,FALSE),"")</f>
        <v/>
      </c>
      <c r="K1723" t="str">
        <f>IFERROR(VLOOKUP(D1723,'Team Data'!C:AB,9,FALSE),"")</f>
        <v/>
      </c>
      <c r="L1723" t="str">
        <f>IFERROR(VLOOKUP(D1723,'Team Data'!C:AB,10,FALSE),"")</f>
        <v/>
      </c>
      <c r="M1723" t="str">
        <f t="shared" si="54"/>
        <v/>
      </c>
      <c r="N1723" t="str">
        <f>IFERROR(VLOOKUP(D1723,'Team Data'!C:AB,23,FALSE),"")</f>
        <v/>
      </c>
      <c r="O1723" t="str">
        <f>IFERROR(VLOOKUP(D1723,'Team Data'!C:AB,22,FALSE),"")</f>
        <v/>
      </c>
      <c r="P1723" t="str">
        <f t="shared" si="55"/>
        <v/>
      </c>
      <c r="Q1723" t="str">
        <f>IFERROR(VLOOKUP(D1723,'Team Data'!C:AB,15,FALSE),"")</f>
        <v/>
      </c>
      <c r="R1723" t="str">
        <f>IFERROR(VLOOKUP('OB Format'!D1723,'Team Data'!C:AB,24,FALSE),"")</f>
        <v/>
      </c>
      <c r="S1723" t="str">
        <f>IFERROR(VLOOKUP('OB Format'!D1723,'Team Data'!C:AC,25,FALSE),"")</f>
        <v/>
      </c>
    </row>
    <row r="1724" spans="5:19" x14ac:dyDescent="0.25">
      <c r="E1724" t="str">
        <f>IFERROR(VLOOKUP(D1724,'Team Data'!C:AB,4,FALSE),"")</f>
        <v/>
      </c>
      <c r="F1724" t="str">
        <f>IFERROR(VLOOKUP(D1724,'Team Data'!C:AB,5,FALSE),"")</f>
        <v/>
      </c>
      <c r="G1724" t="str">
        <f>IFERROR(VLOOKUP('OB Format'!D1724,'Team Data'!C:AB,17,FALSE),"")</f>
        <v/>
      </c>
      <c r="H1724" t="str">
        <f>IFERROR(VLOOKUP(D1724,'Team Data'!C:AB,7,FALSE),"")</f>
        <v/>
      </c>
      <c r="I1724" t="str">
        <f>IFERROR(VLOOKUP(D1724,'Team Data'!C:AB,14,FALSE),"")</f>
        <v/>
      </c>
      <c r="J1724" t="str">
        <f>IFERROR(VLOOKUP(D1724,'Team Data'!C:AB,8,FALSE),"")</f>
        <v/>
      </c>
      <c r="K1724" t="str">
        <f>IFERROR(VLOOKUP(D1724,'Team Data'!C:AB,9,FALSE),"")</f>
        <v/>
      </c>
      <c r="L1724" t="str">
        <f>IFERROR(VLOOKUP(D1724,'Team Data'!C:AB,10,FALSE),"")</f>
        <v/>
      </c>
      <c r="M1724" t="str">
        <f t="shared" si="54"/>
        <v/>
      </c>
      <c r="N1724" t="str">
        <f>IFERROR(VLOOKUP(D1724,'Team Data'!C:AB,23,FALSE),"")</f>
        <v/>
      </c>
      <c r="O1724" t="str">
        <f>IFERROR(VLOOKUP(D1724,'Team Data'!C:AB,22,FALSE),"")</f>
        <v/>
      </c>
      <c r="P1724" t="str">
        <f t="shared" si="55"/>
        <v/>
      </c>
      <c r="Q1724" t="str">
        <f>IFERROR(VLOOKUP(D1724,'Team Data'!C:AB,15,FALSE),"")</f>
        <v/>
      </c>
      <c r="R1724" t="str">
        <f>IFERROR(VLOOKUP('OB Format'!D1724,'Team Data'!C:AB,24,FALSE),"")</f>
        <v/>
      </c>
      <c r="S1724" t="str">
        <f>IFERROR(VLOOKUP('OB Format'!D1724,'Team Data'!C:AC,25,FALSE),"")</f>
        <v/>
      </c>
    </row>
    <row r="1725" spans="5:19" x14ac:dyDescent="0.25">
      <c r="E1725" t="str">
        <f>IFERROR(VLOOKUP(D1725,'Team Data'!C:AB,4,FALSE),"")</f>
        <v/>
      </c>
      <c r="F1725" t="str">
        <f>IFERROR(VLOOKUP(D1725,'Team Data'!C:AB,5,FALSE),"")</f>
        <v/>
      </c>
      <c r="G1725" t="str">
        <f>IFERROR(VLOOKUP('OB Format'!D1725,'Team Data'!C:AB,17,FALSE),"")</f>
        <v/>
      </c>
      <c r="H1725" t="str">
        <f>IFERROR(VLOOKUP(D1725,'Team Data'!C:AB,7,FALSE),"")</f>
        <v/>
      </c>
      <c r="I1725" t="str">
        <f>IFERROR(VLOOKUP(D1725,'Team Data'!C:AB,14,FALSE),"")</f>
        <v/>
      </c>
      <c r="J1725" t="str">
        <f>IFERROR(VLOOKUP(D1725,'Team Data'!C:AB,8,FALSE),"")</f>
        <v/>
      </c>
      <c r="K1725" t="str">
        <f>IFERROR(VLOOKUP(D1725,'Team Data'!C:AB,9,FALSE),"")</f>
        <v/>
      </c>
      <c r="L1725" t="str">
        <f>IFERROR(VLOOKUP(D1725,'Team Data'!C:AB,10,FALSE),"")</f>
        <v/>
      </c>
      <c r="M1725" t="str">
        <f t="shared" si="54"/>
        <v/>
      </c>
      <c r="N1725" t="str">
        <f>IFERROR(VLOOKUP(D1725,'Team Data'!C:AB,23,FALSE),"")</f>
        <v/>
      </c>
      <c r="O1725" t="str">
        <f>IFERROR(VLOOKUP(D1725,'Team Data'!C:AB,22,FALSE),"")</f>
        <v/>
      </c>
      <c r="P1725" t="str">
        <f t="shared" si="55"/>
        <v/>
      </c>
      <c r="Q1725" t="str">
        <f>IFERROR(VLOOKUP(D1725,'Team Data'!C:AB,15,FALSE),"")</f>
        <v/>
      </c>
      <c r="R1725" t="str">
        <f>IFERROR(VLOOKUP('OB Format'!D1725,'Team Data'!C:AB,24,FALSE),"")</f>
        <v/>
      </c>
      <c r="S1725" t="str">
        <f>IFERROR(VLOOKUP('OB Format'!D1725,'Team Data'!C:AC,25,FALSE),"")</f>
        <v/>
      </c>
    </row>
    <row r="1726" spans="5:19" x14ac:dyDescent="0.25">
      <c r="E1726" t="str">
        <f>IFERROR(VLOOKUP(D1726,'Team Data'!C:AB,4,FALSE),"")</f>
        <v/>
      </c>
      <c r="F1726" t="str">
        <f>IFERROR(VLOOKUP(D1726,'Team Data'!C:AB,5,FALSE),"")</f>
        <v/>
      </c>
      <c r="G1726" t="str">
        <f>IFERROR(VLOOKUP('OB Format'!D1726,'Team Data'!C:AB,17,FALSE),"")</f>
        <v/>
      </c>
      <c r="H1726" t="str">
        <f>IFERROR(VLOOKUP(D1726,'Team Data'!C:AB,7,FALSE),"")</f>
        <v/>
      </c>
      <c r="I1726" t="str">
        <f>IFERROR(VLOOKUP(D1726,'Team Data'!C:AB,14,FALSE),"")</f>
        <v/>
      </c>
      <c r="J1726" t="str">
        <f>IFERROR(VLOOKUP(D1726,'Team Data'!C:AB,8,FALSE),"")</f>
        <v/>
      </c>
      <c r="K1726" t="str">
        <f>IFERROR(VLOOKUP(D1726,'Team Data'!C:AB,9,FALSE),"")</f>
        <v/>
      </c>
      <c r="L1726" t="str">
        <f>IFERROR(VLOOKUP(D1726,'Team Data'!C:AB,10,FALSE),"")</f>
        <v/>
      </c>
      <c r="M1726" t="str">
        <f t="shared" si="54"/>
        <v/>
      </c>
      <c r="N1726" t="str">
        <f>IFERROR(VLOOKUP(D1726,'Team Data'!C:AB,23,FALSE),"")</f>
        <v/>
      </c>
      <c r="O1726" t="str">
        <f>IFERROR(VLOOKUP(D1726,'Team Data'!C:AB,22,FALSE),"")</f>
        <v/>
      </c>
      <c r="P1726" t="str">
        <f t="shared" si="55"/>
        <v/>
      </c>
      <c r="Q1726" t="str">
        <f>IFERROR(VLOOKUP(D1726,'Team Data'!C:AB,15,FALSE),"")</f>
        <v/>
      </c>
      <c r="R1726" t="str">
        <f>IFERROR(VLOOKUP('OB Format'!D1726,'Team Data'!C:AB,24,FALSE),"")</f>
        <v/>
      </c>
      <c r="S1726" t="str">
        <f>IFERROR(VLOOKUP('OB Format'!D1726,'Team Data'!C:AC,25,FALSE),"")</f>
        <v/>
      </c>
    </row>
    <row r="1727" spans="5:19" x14ac:dyDescent="0.25">
      <c r="E1727" t="str">
        <f>IFERROR(VLOOKUP(D1727,'Team Data'!C:AB,4,FALSE),"")</f>
        <v/>
      </c>
      <c r="F1727" t="str">
        <f>IFERROR(VLOOKUP(D1727,'Team Data'!C:AB,5,FALSE),"")</f>
        <v/>
      </c>
      <c r="G1727" t="str">
        <f>IFERROR(VLOOKUP('OB Format'!D1727,'Team Data'!C:AB,17,FALSE),"")</f>
        <v/>
      </c>
      <c r="H1727" t="str">
        <f>IFERROR(VLOOKUP(D1727,'Team Data'!C:AB,7,FALSE),"")</f>
        <v/>
      </c>
      <c r="I1727" t="str">
        <f>IFERROR(VLOOKUP(D1727,'Team Data'!C:AB,14,FALSE),"")</f>
        <v/>
      </c>
      <c r="J1727" t="str">
        <f>IFERROR(VLOOKUP(D1727,'Team Data'!C:AB,8,FALSE),"")</f>
        <v/>
      </c>
      <c r="K1727" t="str">
        <f>IFERROR(VLOOKUP(D1727,'Team Data'!C:AB,9,FALSE),"")</f>
        <v/>
      </c>
      <c r="L1727" t="str">
        <f>IFERROR(VLOOKUP(D1727,'Team Data'!C:AB,10,FALSE),"")</f>
        <v/>
      </c>
      <c r="M1727" t="str">
        <f t="shared" si="54"/>
        <v/>
      </c>
      <c r="N1727" t="str">
        <f>IFERROR(VLOOKUP(D1727,'Team Data'!C:AB,23,FALSE),"")</f>
        <v/>
      </c>
      <c r="O1727" t="str">
        <f>IFERROR(VLOOKUP(D1727,'Team Data'!C:AB,22,FALSE),"")</f>
        <v/>
      </c>
      <c r="P1727" t="str">
        <f t="shared" si="55"/>
        <v/>
      </c>
      <c r="Q1727" t="str">
        <f>IFERROR(VLOOKUP(D1727,'Team Data'!C:AB,15,FALSE),"")</f>
        <v/>
      </c>
      <c r="R1727" t="str">
        <f>IFERROR(VLOOKUP('OB Format'!D1727,'Team Data'!C:AB,24,FALSE),"")</f>
        <v/>
      </c>
      <c r="S1727" t="str">
        <f>IFERROR(VLOOKUP('OB Format'!D1727,'Team Data'!C:AC,25,FALSE),"")</f>
        <v/>
      </c>
    </row>
    <row r="1728" spans="5:19" x14ac:dyDescent="0.25">
      <c r="E1728" t="str">
        <f>IFERROR(VLOOKUP(D1728,'Team Data'!C:AB,4,FALSE),"")</f>
        <v/>
      </c>
      <c r="F1728" t="str">
        <f>IFERROR(VLOOKUP(D1728,'Team Data'!C:AB,5,FALSE),"")</f>
        <v/>
      </c>
      <c r="G1728" t="str">
        <f>IFERROR(VLOOKUP('OB Format'!D1728,'Team Data'!C:AB,17,FALSE),"")</f>
        <v/>
      </c>
      <c r="H1728" t="str">
        <f>IFERROR(VLOOKUP(D1728,'Team Data'!C:AB,7,FALSE),"")</f>
        <v/>
      </c>
      <c r="I1728" t="str">
        <f>IFERROR(VLOOKUP(D1728,'Team Data'!C:AB,14,FALSE),"")</f>
        <v/>
      </c>
      <c r="J1728" t="str">
        <f>IFERROR(VLOOKUP(D1728,'Team Data'!C:AB,8,FALSE),"")</f>
        <v/>
      </c>
      <c r="K1728" t="str">
        <f>IFERROR(VLOOKUP(D1728,'Team Data'!C:AB,9,FALSE),"")</f>
        <v/>
      </c>
      <c r="L1728" t="str">
        <f>IFERROR(VLOOKUP(D1728,'Team Data'!C:AB,10,FALSE),"")</f>
        <v/>
      </c>
      <c r="M1728" t="str">
        <f t="shared" si="54"/>
        <v/>
      </c>
      <c r="N1728" t="str">
        <f>IFERROR(VLOOKUP(D1728,'Team Data'!C:AB,23,FALSE),"")</f>
        <v/>
      </c>
      <c r="O1728" t="str">
        <f>IFERROR(VLOOKUP(D1728,'Team Data'!C:AB,22,FALSE),"")</f>
        <v/>
      </c>
      <c r="P1728" t="str">
        <f t="shared" si="55"/>
        <v/>
      </c>
      <c r="Q1728" t="str">
        <f>IFERROR(VLOOKUP(D1728,'Team Data'!C:AB,15,FALSE),"")</f>
        <v/>
      </c>
      <c r="R1728" t="str">
        <f>IFERROR(VLOOKUP('OB Format'!D1728,'Team Data'!C:AB,24,FALSE),"")</f>
        <v/>
      </c>
      <c r="S1728" t="str">
        <f>IFERROR(VLOOKUP('OB Format'!D1728,'Team Data'!C:AC,25,FALSE),"")</f>
        <v/>
      </c>
    </row>
    <row r="1729" spans="5:19" x14ac:dyDescent="0.25">
      <c r="E1729" t="str">
        <f>IFERROR(VLOOKUP(D1729,'Team Data'!C:AB,4,FALSE),"")</f>
        <v/>
      </c>
      <c r="F1729" t="str">
        <f>IFERROR(VLOOKUP(D1729,'Team Data'!C:AB,5,FALSE),"")</f>
        <v/>
      </c>
      <c r="G1729" t="str">
        <f>IFERROR(VLOOKUP('OB Format'!D1729,'Team Data'!C:AB,17,FALSE),"")</f>
        <v/>
      </c>
      <c r="H1729" t="str">
        <f>IFERROR(VLOOKUP(D1729,'Team Data'!C:AB,7,FALSE),"")</f>
        <v/>
      </c>
      <c r="I1729" t="str">
        <f>IFERROR(VLOOKUP(D1729,'Team Data'!C:AB,14,FALSE),"")</f>
        <v/>
      </c>
      <c r="J1729" t="str">
        <f>IFERROR(VLOOKUP(D1729,'Team Data'!C:AB,8,FALSE),"")</f>
        <v/>
      </c>
      <c r="K1729" t="str">
        <f>IFERROR(VLOOKUP(D1729,'Team Data'!C:AB,9,FALSE),"")</f>
        <v/>
      </c>
      <c r="L1729" t="str">
        <f>IFERROR(VLOOKUP(D1729,'Team Data'!C:AB,10,FALSE),"")</f>
        <v/>
      </c>
      <c r="M1729" t="str">
        <f t="shared" si="54"/>
        <v/>
      </c>
      <c r="N1729" t="str">
        <f>IFERROR(VLOOKUP(D1729,'Team Data'!C:AB,23,FALSE),"")</f>
        <v/>
      </c>
      <c r="O1729" t="str">
        <f>IFERROR(VLOOKUP(D1729,'Team Data'!C:AB,22,FALSE),"")</f>
        <v/>
      </c>
      <c r="P1729" t="str">
        <f t="shared" si="55"/>
        <v/>
      </c>
      <c r="Q1729" t="str">
        <f>IFERROR(VLOOKUP(D1729,'Team Data'!C:AB,15,FALSE),"")</f>
        <v/>
      </c>
      <c r="R1729" t="str">
        <f>IFERROR(VLOOKUP('OB Format'!D1729,'Team Data'!C:AB,24,FALSE),"")</f>
        <v/>
      </c>
      <c r="S1729" t="str">
        <f>IFERROR(VLOOKUP('OB Format'!D1729,'Team Data'!C:AC,25,FALSE),"")</f>
        <v/>
      </c>
    </row>
    <row r="1730" spans="5:19" x14ac:dyDescent="0.25">
      <c r="E1730" t="str">
        <f>IFERROR(VLOOKUP(D1730,'Team Data'!C:AB,4,FALSE),"")</f>
        <v/>
      </c>
      <c r="F1730" t="str">
        <f>IFERROR(VLOOKUP(D1730,'Team Data'!C:AB,5,FALSE),"")</f>
        <v/>
      </c>
      <c r="G1730" t="str">
        <f>IFERROR(VLOOKUP('OB Format'!D1730,'Team Data'!C:AB,17,FALSE),"")</f>
        <v/>
      </c>
      <c r="H1730" t="str">
        <f>IFERROR(VLOOKUP(D1730,'Team Data'!C:AB,7,FALSE),"")</f>
        <v/>
      </c>
      <c r="I1730" t="str">
        <f>IFERROR(VLOOKUP(D1730,'Team Data'!C:AB,14,FALSE),"")</f>
        <v/>
      </c>
      <c r="J1730" t="str">
        <f>IFERROR(VLOOKUP(D1730,'Team Data'!C:AB,8,FALSE),"")</f>
        <v/>
      </c>
      <c r="K1730" t="str">
        <f>IFERROR(VLOOKUP(D1730,'Team Data'!C:AB,9,FALSE),"")</f>
        <v/>
      </c>
      <c r="L1730" t="str">
        <f>IFERROR(VLOOKUP(D1730,'Team Data'!C:AB,10,FALSE),"")</f>
        <v/>
      </c>
      <c r="M1730" t="str">
        <f t="shared" si="54"/>
        <v/>
      </c>
      <c r="N1730" t="str">
        <f>IFERROR(VLOOKUP(D1730,'Team Data'!C:AB,23,FALSE),"")</f>
        <v/>
      </c>
      <c r="O1730" t="str">
        <f>IFERROR(VLOOKUP(D1730,'Team Data'!C:AB,22,FALSE),"")</f>
        <v/>
      </c>
      <c r="P1730" t="str">
        <f t="shared" si="55"/>
        <v/>
      </c>
      <c r="Q1730" t="str">
        <f>IFERROR(VLOOKUP(D1730,'Team Data'!C:AB,15,FALSE),"")</f>
        <v/>
      </c>
      <c r="R1730" t="str">
        <f>IFERROR(VLOOKUP('OB Format'!D1730,'Team Data'!C:AB,24,FALSE),"")</f>
        <v/>
      </c>
      <c r="S1730" t="str">
        <f>IFERROR(VLOOKUP('OB Format'!D1730,'Team Data'!C:AC,25,FALSE),"")</f>
        <v/>
      </c>
    </row>
    <row r="1731" spans="5:19" x14ac:dyDescent="0.25">
      <c r="E1731" t="str">
        <f>IFERROR(VLOOKUP(D1731,'Team Data'!C:AB,4,FALSE),"")</f>
        <v/>
      </c>
      <c r="F1731" t="str">
        <f>IFERROR(VLOOKUP(D1731,'Team Data'!C:AB,5,FALSE),"")</f>
        <v/>
      </c>
      <c r="G1731" t="str">
        <f>IFERROR(VLOOKUP('OB Format'!D1731,'Team Data'!C:AB,17,FALSE),"")</f>
        <v/>
      </c>
      <c r="H1731" t="str">
        <f>IFERROR(VLOOKUP(D1731,'Team Data'!C:AB,7,FALSE),"")</f>
        <v/>
      </c>
      <c r="I1731" t="str">
        <f>IFERROR(VLOOKUP(D1731,'Team Data'!C:AB,14,FALSE),"")</f>
        <v/>
      </c>
      <c r="J1731" t="str">
        <f>IFERROR(VLOOKUP(D1731,'Team Data'!C:AB,8,FALSE),"")</f>
        <v/>
      </c>
      <c r="K1731" t="str">
        <f>IFERROR(VLOOKUP(D1731,'Team Data'!C:AB,9,FALSE),"")</f>
        <v/>
      </c>
      <c r="L1731" t="str">
        <f>IFERROR(VLOOKUP(D1731,'Team Data'!C:AB,10,FALSE),"")</f>
        <v/>
      </c>
      <c r="M1731" t="str">
        <f t="shared" si="54"/>
        <v/>
      </c>
      <c r="N1731" t="str">
        <f>IFERROR(VLOOKUP(D1731,'Team Data'!C:AB,23,FALSE),"")</f>
        <v/>
      </c>
      <c r="O1731" t="str">
        <f>IFERROR(VLOOKUP(D1731,'Team Data'!C:AB,22,FALSE),"")</f>
        <v/>
      </c>
      <c r="P1731" t="str">
        <f t="shared" si="55"/>
        <v/>
      </c>
      <c r="Q1731" t="str">
        <f>IFERROR(VLOOKUP(D1731,'Team Data'!C:AB,15,FALSE),"")</f>
        <v/>
      </c>
      <c r="R1731" t="str">
        <f>IFERROR(VLOOKUP('OB Format'!D1731,'Team Data'!C:AB,24,FALSE),"")</f>
        <v/>
      </c>
      <c r="S1731" t="str">
        <f>IFERROR(VLOOKUP('OB Format'!D1731,'Team Data'!C:AC,25,FALSE),"")</f>
        <v/>
      </c>
    </row>
    <row r="1732" spans="5:19" x14ac:dyDescent="0.25">
      <c r="E1732" t="str">
        <f>IFERROR(VLOOKUP(D1732,'Team Data'!C:AB,4,FALSE),"")</f>
        <v/>
      </c>
      <c r="F1732" t="str">
        <f>IFERROR(VLOOKUP(D1732,'Team Data'!C:AB,5,FALSE),"")</f>
        <v/>
      </c>
      <c r="G1732" t="str">
        <f>IFERROR(VLOOKUP('OB Format'!D1732,'Team Data'!C:AB,17,FALSE),"")</f>
        <v/>
      </c>
      <c r="H1732" t="str">
        <f>IFERROR(VLOOKUP(D1732,'Team Data'!C:AB,7,FALSE),"")</f>
        <v/>
      </c>
      <c r="I1732" t="str">
        <f>IFERROR(VLOOKUP(D1732,'Team Data'!C:AB,14,FALSE),"")</f>
        <v/>
      </c>
      <c r="J1732" t="str">
        <f>IFERROR(VLOOKUP(D1732,'Team Data'!C:AB,8,FALSE),"")</f>
        <v/>
      </c>
      <c r="K1732" t="str">
        <f>IFERROR(VLOOKUP(D1732,'Team Data'!C:AB,9,FALSE),"")</f>
        <v/>
      </c>
      <c r="L1732" t="str">
        <f>IFERROR(VLOOKUP(D1732,'Team Data'!C:AB,10,FALSE),"")</f>
        <v/>
      </c>
      <c r="M1732" t="str">
        <f t="shared" si="54"/>
        <v/>
      </c>
      <c r="N1732" t="str">
        <f>IFERROR(VLOOKUP(D1732,'Team Data'!C:AB,23,FALSE),"")</f>
        <v/>
      </c>
      <c r="O1732" t="str">
        <f>IFERROR(VLOOKUP(D1732,'Team Data'!C:AB,22,FALSE),"")</f>
        <v/>
      </c>
      <c r="P1732" t="str">
        <f t="shared" si="55"/>
        <v/>
      </c>
      <c r="Q1732" t="str">
        <f>IFERROR(VLOOKUP(D1732,'Team Data'!C:AB,15,FALSE),"")</f>
        <v/>
      </c>
      <c r="R1732" t="str">
        <f>IFERROR(VLOOKUP('OB Format'!D1732,'Team Data'!C:AB,24,FALSE),"")</f>
        <v/>
      </c>
      <c r="S1732" t="str">
        <f>IFERROR(VLOOKUP('OB Format'!D1732,'Team Data'!C:AC,25,FALSE),"")</f>
        <v/>
      </c>
    </row>
    <row r="1733" spans="5:19" x14ac:dyDescent="0.25">
      <c r="E1733" t="str">
        <f>IFERROR(VLOOKUP(D1733,'Team Data'!C:AB,4,FALSE),"")</f>
        <v/>
      </c>
      <c r="F1733" t="str">
        <f>IFERROR(VLOOKUP(D1733,'Team Data'!C:AB,5,FALSE),"")</f>
        <v/>
      </c>
      <c r="G1733" t="str">
        <f>IFERROR(VLOOKUP('OB Format'!D1733,'Team Data'!C:AB,17,FALSE),"")</f>
        <v/>
      </c>
      <c r="H1733" t="str">
        <f>IFERROR(VLOOKUP(D1733,'Team Data'!C:AB,7,FALSE),"")</f>
        <v/>
      </c>
      <c r="I1733" t="str">
        <f>IFERROR(VLOOKUP(D1733,'Team Data'!C:AB,14,FALSE),"")</f>
        <v/>
      </c>
      <c r="J1733" t="str">
        <f>IFERROR(VLOOKUP(D1733,'Team Data'!C:AB,8,FALSE),"")</f>
        <v/>
      </c>
      <c r="K1733" t="str">
        <f>IFERROR(VLOOKUP(D1733,'Team Data'!C:AB,9,FALSE),"")</f>
        <v/>
      </c>
      <c r="L1733" t="str">
        <f>IFERROR(VLOOKUP(D1733,'Team Data'!C:AB,10,FALSE),"")</f>
        <v/>
      </c>
      <c r="M1733" t="str">
        <f t="shared" si="54"/>
        <v/>
      </c>
      <c r="N1733" t="str">
        <f>IFERROR(VLOOKUP(D1733,'Team Data'!C:AB,23,FALSE),"")</f>
        <v/>
      </c>
      <c r="O1733" t="str">
        <f>IFERROR(VLOOKUP(D1733,'Team Data'!C:AB,22,FALSE),"")</f>
        <v/>
      </c>
      <c r="P1733" t="str">
        <f t="shared" si="55"/>
        <v/>
      </c>
      <c r="Q1733" t="str">
        <f>IFERROR(VLOOKUP(D1733,'Team Data'!C:AB,15,FALSE),"")</f>
        <v/>
      </c>
      <c r="R1733" t="str">
        <f>IFERROR(VLOOKUP('OB Format'!D1733,'Team Data'!C:AB,24,FALSE),"")</f>
        <v/>
      </c>
      <c r="S1733" t="str">
        <f>IFERROR(VLOOKUP('OB Format'!D1733,'Team Data'!C:AC,25,FALSE),"")</f>
        <v/>
      </c>
    </row>
    <row r="1734" spans="5:19" x14ac:dyDescent="0.25">
      <c r="E1734" t="str">
        <f>IFERROR(VLOOKUP(D1734,'Team Data'!C:AB,4,FALSE),"")</f>
        <v/>
      </c>
      <c r="F1734" t="str">
        <f>IFERROR(VLOOKUP(D1734,'Team Data'!C:AB,5,FALSE),"")</f>
        <v/>
      </c>
      <c r="G1734" t="str">
        <f>IFERROR(VLOOKUP('OB Format'!D1734,'Team Data'!C:AB,17,FALSE),"")</f>
        <v/>
      </c>
      <c r="H1734" t="str">
        <f>IFERROR(VLOOKUP(D1734,'Team Data'!C:AB,7,FALSE),"")</f>
        <v/>
      </c>
      <c r="I1734" t="str">
        <f>IFERROR(VLOOKUP(D1734,'Team Data'!C:AB,14,FALSE),"")</f>
        <v/>
      </c>
      <c r="J1734" t="str">
        <f>IFERROR(VLOOKUP(D1734,'Team Data'!C:AB,8,FALSE),"")</f>
        <v/>
      </c>
      <c r="K1734" t="str">
        <f>IFERROR(VLOOKUP(D1734,'Team Data'!C:AB,9,FALSE),"")</f>
        <v/>
      </c>
      <c r="L1734" t="str">
        <f>IFERROR(VLOOKUP(D1734,'Team Data'!C:AB,10,FALSE),"")</f>
        <v/>
      </c>
      <c r="M1734" t="str">
        <f t="shared" si="54"/>
        <v/>
      </c>
      <c r="N1734" t="str">
        <f>IFERROR(VLOOKUP(D1734,'Team Data'!C:AB,23,FALSE),"")</f>
        <v/>
      </c>
      <c r="O1734" t="str">
        <f>IFERROR(VLOOKUP(D1734,'Team Data'!C:AB,22,FALSE),"")</f>
        <v/>
      </c>
      <c r="P1734" t="str">
        <f t="shared" si="55"/>
        <v/>
      </c>
      <c r="Q1734" t="str">
        <f>IFERROR(VLOOKUP(D1734,'Team Data'!C:AB,15,FALSE),"")</f>
        <v/>
      </c>
      <c r="R1734" t="str">
        <f>IFERROR(VLOOKUP('OB Format'!D1734,'Team Data'!C:AB,24,FALSE),"")</f>
        <v/>
      </c>
      <c r="S1734" t="str">
        <f>IFERROR(VLOOKUP('OB Format'!D1734,'Team Data'!C:AC,25,FALSE),"")</f>
        <v/>
      </c>
    </row>
    <row r="1735" spans="5:19" x14ac:dyDescent="0.25">
      <c r="E1735" t="str">
        <f>IFERROR(VLOOKUP(D1735,'Team Data'!C:AB,4,FALSE),"")</f>
        <v/>
      </c>
      <c r="F1735" t="str">
        <f>IFERROR(VLOOKUP(D1735,'Team Data'!C:AB,5,FALSE),"")</f>
        <v/>
      </c>
      <c r="G1735" t="str">
        <f>IFERROR(VLOOKUP('OB Format'!D1735,'Team Data'!C:AB,17,FALSE),"")</f>
        <v/>
      </c>
      <c r="H1735" t="str">
        <f>IFERROR(VLOOKUP(D1735,'Team Data'!C:AB,7,FALSE),"")</f>
        <v/>
      </c>
      <c r="I1735" t="str">
        <f>IFERROR(VLOOKUP(D1735,'Team Data'!C:AB,14,FALSE),"")</f>
        <v/>
      </c>
      <c r="J1735" t="str">
        <f>IFERROR(VLOOKUP(D1735,'Team Data'!C:AB,8,FALSE),"")</f>
        <v/>
      </c>
      <c r="K1735" t="str">
        <f>IFERROR(VLOOKUP(D1735,'Team Data'!C:AB,9,FALSE),"")</f>
        <v/>
      </c>
      <c r="L1735" t="str">
        <f>IFERROR(VLOOKUP(D1735,'Team Data'!C:AB,10,FALSE),"")</f>
        <v/>
      </c>
      <c r="M1735" t="str">
        <f t="shared" si="54"/>
        <v/>
      </c>
      <c r="N1735" t="str">
        <f>IFERROR(VLOOKUP(D1735,'Team Data'!C:AB,23,FALSE),"")</f>
        <v/>
      </c>
      <c r="O1735" t="str">
        <f>IFERROR(VLOOKUP(D1735,'Team Data'!C:AB,22,FALSE),"")</f>
        <v/>
      </c>
      <c r="P1735" t="str">
        <f t="shared" si="55"/>
        <v/>
      </c>
      <c r="Q1735" t="str">
        <f>IFERROR(VLOOKUP(D1735,'Team Data'!C:AB,15,FALSE),"")</f>
        <v/>
      </c>
      <c r="R1735" t="str">
        <f>IFERROR(VLOOKUP('OB Format'!D1735,'Team Data'!C:AB,24,FALSE),"")</f>
        <v/>
      </c>
      <c r="S1735" t="str">
        <f>IFERROR(VLOOKUP('OB Format'!D1735,'Team Data'!C:AC,25,FALSE),"")</f>
        <v/>
      </c>
    </row>
    <row r="1736" spans="5:19" x14ac:dyDescent="0.25">
      <c r="E1736" t="str">
        <f>IFERROR(VLOOKUP(D1736,'Team Data'!C:AB,4,FALSE),"")</f>
        <v/>
      </c>
      <c r="F1736" t="str">
        <f>IFERROR(VLOOKUP(D1736,'Team Data'!C:AB,5,FALSE),"")</f>
        <v/>
      </c>
      <c r="G1736" t="str">
        <f>IFERROR(VLOOKUP('OB Format'!D1736,'Team Data'!C:AB,17,FALSE),"")</f>
        <v/>
      </c>
      <c r="H1736" t="str">
        <f>IFERROR(VLOOKUP(D1736,'Team Data'!C:AB,7,FALSE),"")</f>
        <v/>
      </c>
      <c r="I1736" t="str">
        <f>IFERROR(VLOOKUP(D1736,'Team Data'!C:AB,14,FALSE),"")</f>
        <v/>
      </c>
      <c r="J1736" t="str">
        <f>IFERROR(VLOOKUP(D1736,'Team Data'!C:AB,8,FALSE),"")</f>
        <v/>
      </c>
      <c r="K1736" t="str">
        <f>IFERROR(VLOOKUP(D1736,'Team Data'!C:AB,9,FALSE),"")</f>
        <v/>
      </c>
      <c r="L1736" t="str">
        <f>IFERROR(VLOOKUP(D1736,'Team Data'!C:AB,10,FALSE),"")</f>
        <v/>
      </c>
      <c r="M1736" t="str">
        <f t="shared" si="54"/>
        <v/>
      </c>
      <c r="N1736" t="str">
        <f>IFERROR(VLOOKUP(D1736,'Team Data'!C:AB,23,FALSE),"")</f>
        <v/>
      </c>
      <c r="O1736" t="str">
        <f>IFERROR(VLOOKUP(D1736,'Team Data'!C:AB,22,FALSE),"")</f>
        <v/>
      </c>
      <c r="P1736" t="str">
        <f t="shared" si="55"/>
        <v/>
      </c>
      <c r="Q1736" t="str">
        <f>IFERROR(VLOOKUP(D1736,'Team Data'!C:AB,15,FALSE),"")</f>
        <v/>
      </c>
      <c r="R1736" t="str">
        <f>IFERROR(VLOOKUP('OB Format'!D1736,'Team Data'!C:AB,24,FALSE),"")</f>
        <v/>
      </c>
      <c r="S1736" t="str">
        <f>IFERROR(VLOOKUP('OB Format'!D1736,'Team Data'!C:AC,25,FALSE),"")</f>
        <v/>
      </c>
    </row>
    <row r="1737" spans="5:19" x14ac:dyDescent="0.25">
      <c r="E1737" t="str">
        <f>IFERROR(VLOOKUP(D1737,'Team Data'!C:AB,4,FALSE),"")</f>
        <v/>
      </c>
      <c r="F1737" t="str">
        <f>IFERROR(VLOOKUP(D1737,'Team Data'!C:AB,5,FALSE),"")</f>
        <v/>
      </c>
      <c r="G1737" t="str">
        <f>IFERROR(VLOOKUP('OB Format'!D1737,'Team Data'!C:AB,17,FALSE),"")</f>
        <v/>
      </c>
      <c r="H1737" t="str">
        <f>IFERROR(VLOOKUP(D1737,'Team Data'!C:AB,7,FALSE),"")</f>
        <v/>
      </c>
      <c r="I1737" t="str">
        <f>IFERROR(VLOOKUP(D1737,'Team Data'!C:AB,14,FALSE),"")</f>
        <v/>
      </c>
      <c r="J1737" t="str">
        <f>IFERROR(VLOOKUP(D1737,'Team Data'!C:AB,8,FALSE),"")</f>
        <v/>
      </c>
      <c r="K1737" t="str">
        <f>IFERROR(VLOOKUP(D1737,'Team Data'!C:AB,9,FALSE),"")</f>
        <v/>
      </c>
      <c r="L1737" t="str">
        <f>IFERROR(VLOOKUP(D1737,'Team Data'!C:AB,10,FALSE),"")</f>
        <v/>
      </c>
      <c r="M1737" t="str">
        <f t="shared" si="54"/>
        <v/>
      </c>
      <c r="N1737" t="str">
        <f>IFERROR(VLOOKUP(D1737,'Team Data'!C:AB,23,FALSE),"")</f>
        <v/>
      </c>
      <c r="O1737" t="str">
        <f>IFERROR(VLOOKUP(D1737,'Team Data'!C:AB,22,FALSE),"")</f>
        <v/>
      </c>
      <c r="P1737" t="str">
        <f t="shared" si="55"/>
        <v/>
      </c>
      <c r="Q1737" t="str">
        <f>IFERROR(VLOOKUP(D1737,'Team Data'!C:AB,15,FALSE),"")</f>
        <v/>
      </c>
      <c r="R1737" t="str">
        <f>IFERROR(VLOOKUP('OB Format'!D1737,'Team Data'!C:AB,24,FALSE),"")</f>
        <v/>
      </c>
      <c r="S1737" t="str">
        <f>IFERROR(VLOOKUP('OB Format'!D1737,'Team Data'!C:AC,25,FALSE),"")</f>
        <v/>
      </c>
    </row>
    <row r="1738" spans="5:19" x14ac:dyDescent="0.25">
      <c r="E1738" t="str">
        <f>IFERROR(VLOOKUP(D1738,'Team Data'!C:AB,4,FALSE),"")</f>
        <v/>
      </c>
      <c r="F1738" t="str">
        <f>IFERROR(VLOOKUP(D1738,'Team Data'!C:AB,5,FALSE),"")</f>
        <v/>
      </c>
      <c r="G1738" t="str">
        <f>IFERROR(VLOOKUP('OB Format'!D1738,'Team Data'!C:AB,17,FALSE),"")</f>
        <v/>
      </c>
      <c r="H1738" t="str">
        <f>IFERROR(VLOOKUP(D1738,'Team Data'!C:AB,7,FALSE),"")</f>
        <v/>
      </c>
      <c r="I1738" t="str">
        <f>IFERROR(VLOOKUP(D1738,'Team Data'!C:AB,14,FALSE),"")</f>
        <v/>
      </c>
      <c r="J1738" t="str">
        <f>IFERROR(VLOOKUP(D1738,'Team Data'!C:AB,8,FALSE),"")</f>
        <v/>
      </c>
      <c r="K1738" t="str">
        <f>IFERROR(VLOOKUP(D1738,'Team Data'!C:AB,9,FALSE),"")</f>
        <v/>
      </c>
      <c r="L1738" t="str">
        <f>IFERROR(VLOOKUP(D1738,'Team Data'!C:AB,10,FALSE),"")</f>
        <v/>
      </c>
      <c r="M1738" t="str">
        <f t="shared" si="54"/>
        <v/>
      </c>
      <c r="N1738" t="str">
        <f>IFERROR(VLOOKUP(D1738,'Team Data'!C:AB,23,FALSE),"")</f>
        <v/>
      </c>
      <c r="O1738" t="str">
        <f>IFERROR(VLOOKUP(D1738,'Team Data'!C:AB,22,FALSE),"")</f>
        <v/>
      </c>
      <c r="P1738" t="str">
        <f t="shared" si="55"/>
        <v/>
      </c>
      <c r="Q1738" t="str">
        <f>IFERROR(VLOOKUP(D1738,'Team Data'!C:AB,15,FALSE),"")</f>
        <v/>
      </c>
      <c r="R1738" t="str">
        <f>IFERROR(VLOOKUP('OB Format'!D1738,'Team Data'!C:AB,24,FALSE),"")</f>
        <v/>
      </c>
      <c r="S1738" t="str">
        <f>IFERROR(VLOOKUP('OB Format'!D1738,'Team Data'!C:AC,25,FALSE),"")</f>
        <v/>
      </c>
    </row>
    <row r="1739" spans="5:19" x14ac:dyDescent="0.25">
      <c r="E1739" t="str">
        <f>IFERROR(VLOOKUP(D1739,'Team Data'!C:AB,4,FALSE),"")</f>
        <v/>
      </c>
      <c r="F1739" t="str">
        <f>IFERROR(VLOOKUP(D1739,'Team Data'!C:AB,5,FALSE),"")</f>
        <v/>
      </c>
      <c r="G1739" t="str">
        <f>IFERROR(VLOOKUP('OB Format'!D1739,'Team Data'!C:AB,17,FALSE),"")</f>
        <v/>
      </c>
      <c r="H1739" t="str">
        <f>IFERROR(VLOOKUP(D1739,'Team Data'!C:AB,7,FALSE),"")</f>
        <v/>
      </c>
      <c r="I1739" t="str">
        <f>IFERROR(VLOOKUP(D1739,'Team Data'!C:AB,14,FALSE),"")</f>
        <v/>
      </c>
      <c r="J1739" t="str">
        <f>IFERROR(VLOOKUP(D1739,'Team Data'!C:AB,8,FALSE),"")</f>
        <v/>
      </c>
      <c r="K1739" t="str">
        <f>IFERROR(VLOOKUP(D1739,'Team Data'!C:AB,9,FALSE),"")</f>
        <v/>
      </c>
      <c r="L1739" t="str">
        <f>IFERROR(VLOOKUP(D1739,'Team Data'!C:AB,10,FALSE),"")</f>
        <v/>
      </c>
      <c r="M1739" t="str">
        <f t="shared" si="54"/>
        <v/>
      </c>
      <c r="N1739" t="str">
        <f>IFERROR(VLOOKUP(D1739,'Team Data'!C:AB,23,FALSE),"")</f>
        <v/>
      </c>
      <c r="O1739" t="str">
        <f>IFERROR(VLOOKUP(D1739,'Team Data'!C:AB,22,FALSE),"")</f>
        <v/>
      </c>
      <c r="P1739" t="str">
        <f t="shared" si="55"/>
        <v/>
      </c>
      <c r="Q1739" t="str">
        <f>IFERROR(VLOOKUP(D1739,'Team Data'!C:AB,15,FALSE),"")</f>
        <v/>
      </c>
      <c r="R1739" t="str">
        <f>IFERROR(VLOOKUP('OB Format'!D1739,'Team Data'!C:AB,24,FALSE),"")</f>
        <v/>
      </c>
      <c r="S1739" t="str">
        <f>IFERROR(VLOOKUP('OB Format'!D1739,'Team Data'!C:AC,25,FALSE),"")</f>
        <v/>
      </c>
    </row>
    <row r="1740" spans="5:19" x14ac:dyDescent="0.25">
      <c r="E1740" t="str">
        <f>IFERROR(VLOOKUP(D1740,'Team Data'!C:AB,4,FALSE),"")</f>
        <v/>
      </c>
      <c r="F1740" t="str">
        <f>IFERROR(VLOOKUP(D1740,'Team Data'!C:AB,5,FALSE),"")</f>
        <v/>
      </c>
      <c r="G1740" t="str">
        <f>IFERROR(VLOOKUP('OB Format'!D1740,'Team Data'!C:AB,17,FALSE),"")</f>
        <v/>
      </c>
      <c r="H1740" t="str">
        <f>IFERROR(VLOOKUP(D1740,'Team Data'!C:AB,7,FALSE),"")</f>
        <v/>
      </c>
      <c r="I1740" t="str">
        <f>IFERROR(VLOOKUP(D1740,'Team Data'!C:AB,14,FALSE),"")</f>
        <v/>
      </c>
      <c r="J1740" t="str">
        <f>IFERROR(VLOOKUP(D1740,'Team Data'!C:AB,8,FALSE),"")</f>
        <v/>
      </c>
      <c r="K1740" t="str">
        <f>IFERROR(VLOOKUP(D1740,'Team Data'!C:AB,9,FALSE),"")</f>
        <v/>
      </c>
      <c r="L1740" t="str">
        <f>IFERROR(VLOOKUP(D1740,'Team Data'!C:AB,10,FALSE),"")</f>
        <v/>
      </c>
      <c r="M1740" t="str">
        <f t="shared" si="54"/>
        <v/>
      </c>
      <c r="N1740" t="str">
        <f>IFERROR(VLOOKUP(D1740,'Team Data'!C:AB,23,FALSE),"")</f>
        <v/>
      </c>
      <c r="O1740" t="str">
        <f>IFERROR(VLOOKUP(D1740,'Team Data'!C:AB,22,FALSE),"")</f>
        <v/>
      </c>
      <c r="P1740" t="str">
        <f t="shared" si="55"/>
        <v/>
      </c>
      <c r="Q1740" t="str">
        <f>IFERROR(VLOOKUP(D1740,'Team Data'!C:AB,15,FALSE),"")</f>
        <v/>
      </c>
      <c r="R1740" t="str">
        <f>IFERROR(VLOOKUP('OB Format'!D1740,'Team Data'!C:AB,24,FALSE),"")</f>
        <v/>
      </c>
      <c r="S1740" t="str">
        <f>IFERROR(VLOOKUP('OB Format'!D1740,'Team Data'!C:AC,25,FALSE),"")</f>
        <v/>
      </c>
    </row>
    <row r="1741" spans="5:19" x14ac:dyDescent="0.25">
      <c r="E1741" t="str">
        <f>IFERROR(VLOOKUP(D1741,'Team Data'!C:AB,4,FALSE),"")</f>
        <v/>
      </c>
      <c r="F1741" t="str">
        <f>IFERROR(VLOOKUP(D1741,'Team Data'!C:AB,5,FALSE),"")</f>
        <v/>
      </c>
      <c r="G1741" t="str">
        <f>IFERROR(VLOOKUP('OB Format'!D1741,'Team Data'!C:AB,17,FALSE),"")</f>
        <v/>
      </c>
      <c r="H1741" t="str">
        <f>IFERROR(VLOOKUP(D1741,'Team Data'!C:AB,7,FALSE),"")</f>
        <v/>
      </c>
      <c r="I1741" t="str">
        <f>IFERROR(VLOOKUP(D1741,'Team Data'!C:AB,14,FALSE),"")</f>
        <v/>
      </c>
      <c r="J1741" t="str">
        <f>IFERROR(VLOOKUP(D1741,'Team Data'!C:AB,8,FALSE),"")</f>
        <v/>
      </c>
      <c r="K1741" t="str">
        <f>IFERROR(VLOOKUP(D1741,'Team Data'!C:AB,9,FALSE),"")</f>
        <v/>
      </c>
      <c r="L1741" t="str">
        <f>IFERROR(VLOOKUP(D1741,'Team Data'!C:AB,10,FALSE),"")</f>
        <v/>
      </c>
      <c r="M1741" t="str">
        <f t="shared" ref="M1741:M1804" si="56">IFERROR(H1741-(J1741+L1741+K1741),"")</f>
        <v/>
      </c>
      <c r="N1741" t="str">
        <f>IFERROR(VLOOKUP(D1741,'Team Data'!C:AB,23,FALSE),"")</f>
        <v/>
      </c>
      <c r="O1741" t="str">
        <f>IFERROR(VLOOKUP(D1741,'Team Data'!C:AB,22,FALSE),"")</f>
        <v/>
      </c>
      <c r="P1741" t="str">
        <f t="shared" ref="P1741:P1804" si="57">IFERROR(E1741-(H1741+N1741+Q1741+I1741+O1741),"")</f>
        <v/>
      </c>
      <c r="Q1741" t="str">
        <f>IFERROR(VLOOKUP(D1741,'Team Data'!C:AB,15,FALSE),"")</f>
        <v/>
      </c>
      <c r="R1741" t="str">
        <f>IFERROR(VLOOKUP('OB Format'!D1741,'Team Data'!C:AB,24,FALSE),"")</f>
        <v/>
      </c>
      <c r="S1741" t="str">
        <f>IFERROR(VLOOKUP('OB Format'!D1741,'Team Data'!C:AC,25,FALSE),"")</f>
        <v/>
      </c>
    </row>
    <row r="1742" spans="5:19" x14ac:dyDescent="0.25">
      <c r="E1742" t="str">
        <f>IFERROR(VLOOKUP(D1742,'Team Data'!C:AB,4,FALSE),"")</f>
        <v/>
      </c>
      <c r="F1742" t="str">
        <f>IFERROR(VLOOKUP(D1742,'Team Data'!C:AB,5,FALSE),"")</f>
        <v/>
      </c>
      <c r="G1742" t="str">
        <f>IFERROR(VLOOKUP('OB Format'!D1742,'Team Data'!C:AB,17,FALSE),"")</f>
        <v/>
      </c>
      <c r="H1742" t="str">
        <f>IFERROR(VLOOKUP(D1742,'Team Data'!C:AB,7,FALSE),"")</f>
        <v/>
      </c>
      <c r="I1742" t="str">
        <f>IFERROR(VLOOKUP(D1742,'Team Data'!C:AB,14,FALSE),"")</f>
        <v/>
      </c>
      <c r="J1742" t="str">
        <f>IFERROR(VLOOKUP(D1742,'Team Data'!C:AB,8,FALSE),"")</f>
        <v/>
      </c>
      <c r="K1742" t="str">
        <f>IFERROR(VLOOKUP(D1742,'Team Data'!C:AB,9,FALSE),"")</f>
        <v/>
      </c>
      <c r="L1742" t="str">
        <f>IFERROR(VLOOKUP(D1742,'Team Data'!C:AB,10,FALSE),"")</f>
        <v/>
      </c>
      <c r="M1742" t="str">
        <f t="shared" si="56"/>
        <v/>
      </c>
      <c r="N1742" t="str">
        <f>IFERROR(VLOOKUP(D1742,'Team Data'!C:AB,23,FALSE),"")</f>
        <v/>
      </c>
      <c r="O1742" t="str">
        <f>IFERROR(VLOOKUP(D1742,'Team Data'!C:AB,22,FALSE),"")</f>
        <v/>
      </c>
      <c r="P1742" t="str">
        <f t="shared" si="57"/>
        <v/>
      </c>
      <c r="Q1742" t="str">
        <f>IFERROR(VLOOKUP(D1742,'Team Data'!C:AB,15,FALSE),"")</f>
        <v/>
      </c>
      <c r="R1742" t="str">
        <f>IFERROR(VLOOKUP('OB Format'!D1742,'Team Data'!C:AB,24,FALSE),"")</f>
        <v/>
      </c>
      <c r="S1742" t="str">
        <f>IFERROR(VLOOKUP('OB Format'!D1742,'Team Data'!C:AC,25,FALSE),"")</f>
        <v/>
      </c>
    </row>
    <row r="1743" spans="5:19" x14ac:dyDescent="0.25">
      <c r="E1743" t="str">
        <f>IFERROR(VLOOKUP(D1743,'Team Data'!C:AB,4,FALSE),"")</f>
        <v/>
      </c>
      <c r="F1743" t="str">
        <f>IFERROR(VLOOKUP(D1743,'Team Data'!C:AB,5,FALSE),"")</f>
        <v/>
      </c>
      <c r="G1743" t="str">
        <f>IFERROR(VLOOKUP('OB Format'!D1743,'Team Data'!C:AB,17,FALSE),"")</f>
        <v/>
      </c>
      <c r="H1743" t="str">
        <f>IFERROR(VLOOKUP(D1743,'Team Data'!C:AB,7,FALSE),"")</f>
        <v/>
      </c>
      <c r="I1743" t="str">
        <f>IFERROR(VLOOKUP(D1743,'Team Data'!C:AB,14,FALSE),"")</f>
        <v/>
      </c>
      <c r="J1743" t="str">
        <f>IFERROR(VLOOKUP(D1743,'Team Data'!C:AB,8,FALSE),"")</f>
        <v/>
      </c>
      <c r="K1743" t="str">
        <f>IFERROR(VLOOKUP(D1743,'Team Data'!C:AB,9,FALSE),"")</f>
        <v/>
      </c>
      <c r="L1743" t="str">
        <f>IFERROR(VLOOKUP(D1743,'Team Data'!C:AB,10,FALSE),"")</f>
        <v/>
      </c>
      <c r="M1743" t="str">
        <f t="shared" si="56"/>
        <v/>
      </c>
      <c r="N1743" t="str">
        <f>IFERROR(VLOOKUP(D1743,'Team Data'!C:AB,23,FALSE),"")</f>
        <v/>
      </c>
      <c r="O1743" t="str">
        <f>IFERROR(VLOOKUP(D1743,'Team Data'!C:AB,22,FALSE),"")</f>
        <v/>
      </c>
      <c r="P1743" t="str">
        <f t="shared" si="57"/>
        <v/>
      </c>
      <c r="Q1743" t="str">
        <f>IFERROR(VLOOKUP(D1743,'Team Data'!C:AB,15,FALSE),"")</f>
        <v/>
      </c>
      <c r="R1743" t="str">
        <f>IFERROR(VLOOKUP('OB Format'!D1743,'Team Data'!C:AB,24,FALSE),"")</f>
        <v/>
      </c>
      <c r="S1743" t="str">
        <f>IFERROR(VLOOKUP('OB Format'!D1743,'Team Data'!C:AC,25,FALSE),"")</f>
        <v/>
      </c>
    </row>
    <row r="1744" spans="5:19" x14ac:dyDescent="0.25">
      <c r="E1744" t="str">
        <f>IFERROR(VLOOKUP(D1744,'Team Data'!C:AB,4,FALSE),"")</f>
        <v/>
      </c>
      <c r="F1744" t="str">
        <f>IFERROR(VLOOKUP(D1744,'Team Data'!C:AB,5,FALSE),"")</f>
        <v/>
      </c>
      <c r="G1744" t="str">
        <f>IFERROR(VLOOKUP('OB Format'!D1744,'Team Data'!C:AB,17,FALSE),"")</f>
        <v/>
      </c>
      <c r="H1744" t="str">
        <f>IFERROR(VLOOKUP(D1744,'Team Data'!C:AB,7,FALSE),"")</f>
        <v/>
      </c>
      <c r="I1744" t="str">
        <f>IFERROR(VLOOKUP(D1744,'Team Data'!C:AB,14,FALSE),"")</f>
        <v/>
      </c>
      <c r="J1744" t="str">
        <f>IFERROR(VLOOKUP(D1744,'Team Data'!C:AB,8,FALSE),"")</f>
        <v/>
      </c>
      <c r="K1744" t="str">
        <f>IFERROR(VLOOKUP(D1744,'Team Data'!C:AB,9,FALSE),"")</f>
        <v/>
      </c>
      <c r="L1744" t="str">
        <f>IFERROR(VLOOKUP(D1744,'Team Data'!C:AB,10,FALSE),"")</f>
        <v/>
      </c>
      <c r="M1744" t="str">
        <f t="shared" si="56"/>
        <v/>
      </c>
      <c r="N1744" t="str">
        <f>IFERROR(VLOOKUP(D1744,'Team Data'!C:AB,23,FALSE),"")</f>
        <v/>
      </c>
      <c r="O1744" t="str">
        <f>IFERROR(VLOOKUP(D1744,'Team Data'!C:AB,22,FALSE),"")</f>
        <v/>
      </c>
      <c r="P1744" t="str">
        <f t="shared" si="57"/>
        <v/>
      </c>
      <c r="Q1744" t="str">
        <f>IFERROR(VLOOKUP(D1744,'Team Data'!C:AB,15,FALSE),"")</f>
        <v/>
      </c>
      <c r="R1744" t="str">
        <f>IFERROR(VLOOKUP('OB Format'!D1744,'Team Data'!C:AB,24,FALSE),"")</f>
        <v/>
      </c>
      <c r="S1744" t="str">
        <f>IFERROR(VLOOKUP('OB Format'!D1744,'Team Data'!C:AC,25,FALSE),"")</f>
        <v/>
      </c>
    </row>
    <row r="1745" spans="5:19" x14ac:dyDescent="0.25">
      <c r="E1745" t="str">
        <f>IFERROR(VLOOKUP(D1745,'Team Data'!C:AB,4,FALSE),"")</f>
        <v/>
      </c>
      <c r="F1745" t="str">
        <f>IFERROR(VLOOKUP(D1745,'Team Data'!C:AB,5,FALSE),"")</f>
        <v/>
      </c>
      <c r="G1745" t="str">
        <f>IFERROR(VLOOKUP('OB Format'!D1745,'Team Data'!C:AB,17,FALSE),"")</f>
        <v/>
      </c>
      <c r="H1745" t="str">
        <f>IFERROR(VLOOKUP(D1745,'Team Data'!C:AB,7,FALSE),"")</f>
        <v/>
      </c>
      <c r="I1745" t="str">
        <f>IFERROR(VLOOKUP(D1745,'Team Data'!C:AB,14,FALSE),"")</f>
        <v/>
      </c>
      <c r="J1745" t="str">
        <f>IFERROR(VLOOKUP(D1745,'Team Data'!C:AB,8,FALSE),"")</f>
        <v/>
      </c>
      <c r="K1745" t="str">
        <f>IFERROR(VLOOKUP(D1745,'Team Data'!C:AB,9,FALSE),"")</f>
        <v/>
      </c>
      <c r="L1745" t="str">
        <f>IFERROR(VLOOKUP(D1745,'Team Data'!C:AB,10,FALSE),"")</f>
        <v/>
      </c>
      <c r="M1745" t="str">
        <f t="shared" si="56"/>
        <v/>
      </c>
      <c r="N1745" t="str">
        <f>IFERROR(VLOOKUP(D1745,'Team Data'!C:AB,23,FALSE),"")</f>
        <v/>
      </c>
      <c r="O1745" t="str">
        <f>IFERROR(VLOOKUP(D1745,'Team Data'!C:AB,22,FALSE),"")</f>
        <v/>
      </c>
      <c r="P1745" t="str">
        <f t="shared" si="57"/>
        <v/>
      </c>
      <c r="Q1745" t="str">
        <f>IFERROR(VLOOKUP(D1745,'Team Data'!C:AB,15,FALSE),"")</f>
        <v/>
      </c>
      <c r="R1745" t="str">
        <f>IFERROR(VLOOKUP('OB Format'!D1745,'Team Data'!C:AB,24,FALSE),"")</f>
        <v/>
      </c>
      <c r="S1745" t="str">
        <f>IFERROR(VLOOKUP('OB Format'!D1745,'Team Data'!C:AC,25,FALSE),"")</f>
        <v/>
      </c>
    </row>
    <row r="1746" spans="5:19" x14ac:dyDescent="0.25">
      <c r="E1746" t="str">
        <f>IFERROR(VLOOKUP(D1746,'Team Data'!C:AB,4,FALSE),"")</f>
        <v/>
      </c>
      <c r="F1746" t="str">
        <f>IFERROR(VLOOKUP(D1746,'Team Data'!C:AB,5,FALSE),"")</f>
        <v/>
      </c>
      <c r="G1746" t="str">
        <f>IFERROR(VLOOKUP('OB Format'!D1746,'Team Data'!C:AB,17,FALSE),"")</f>
        <v/>
      </c>
      <c r="H1746" t="str">
        <f>IFERROR(VLOOKUP(D1746,'Team Data'!C:AB,7,FALSE),"")</f>
        <v/>
      </c>
      <c r="I1746" t="str">
        <f>IFERROR(VLOOKUP(D1746,'Team Data'!C:AB,14,FALSE),"")</f>
        <v/>
      </c>
      <c r="J1746" t="str">
        <f>IFERROR(VLOOKUP(D1746,'Team Data'!C:AB,8,FALSE),"")</f>
        <v/>
      </c>
      <c r="K1746" t="str">
        <f>IFERROR(VLOOKUP(D1746,'Team Data'!C:AB,9,FALSE),"")</f>
        <v/>
      </c>
      <c r="L1746" t="str">
        <f>IFERROR(VLOOKUP(D1746,'Team Data'!C:AB,10,FALSE),"")</f>
        <v/>
      </c>
      <c r="M1746" t="str">
        <f t="shared" si="56"/>
        <v/>
      </c>
      <c r="N1746" t="str">
        <f>IFERROR(VLOOKUP(D1746,'Team Data'!C:AB,23,FALSE),"")</f>
        <v/>
      </c>
      <c r="O1746" t="str">
        <f>IFERROR(VLOOKUP(D1746,'Team Data'!C:AB,22,FALSE),"")</f>
        <v/>
      </c>
      <c r="P1746" t="str">
        <f t="shared" si="57"/>
        <v/>
      </c>
      <c r="Q1746" t="str">
        <f>IFERROR(VLOOKUP(D1746,'Team Data'!C:AB,15,FALSE),"")</f>
        <v/>
      </c>
      <c r="R1746" t="str">
        <f>IFERROR(VLOOKUP('OB Format'!D1746,'Team Data'!C:AB,24,FALSE),"")</f>
        <v/>
      </c>
      <c r="S1746" t="str">
        <f>IFERROR(VLOOKUP('OB Format'!D1746,'Team Data'!C:AC,25,FALSE),"")</f>
        <v/>
      </c>
    </row>
    <row r="1747" spans="5:19" x14ac:dyDescent="0.25">
      <c r="E1747" t="str">
        <f>IFERROR(VLOOKUP(D1747,'Team Data'!C:AB,4,FALSE),"")</f>
        <v/>
      </c>
      <c r="F1747" t="str">
        <f>IFERROR(VLOOKUP(D1747,'Team Data'!C:AB,5,FALSE),"")</f>
        <v/>
      </c>
      <c r="G1747" t="str">
        <f>IFERROR(VLOOKUP('OB Format'!D1747,'Team Data'!C:AB,17,FALSE),"")</f>
        <v/>
      </c>
      <c r="H1747" t="str">
        <f>IFERROR(VLOOKUP(D1747,'Team Data'!C:AB,7,FALSE),"")</f>
        <v/>
      </c>
      <c r="I1747" t="str">
        <f>IFERROR(VLOOKUP(D1747,'Team Data'!C:AB,14,FALSE),"")</f>
        <v/>
      </c>
      <c r="J1747" t="str">
        <f>IFERROR(VLOOKUP(D1747,'Team Data'!C:AB,8,FALSE),"")</f>
        <v/>
      </c>
      <c r="K1747" t="str">
        <f>IFERROR(VLOOKUP(D1747,'Team Data'!C:AB,9,FALSE),"")</f>
        <v/>
      </c>
      <c r="L1747" t="str">
        <f>IFERROR(VLOOKUP(D1747,'Team Data'!C:AB,10,FALSE),"")</f>
        <v/>
      </c>
      <c r="M1747" t="str">
        <f t="shared" si="56"/>
        <v/>
      </c>
      <c r="N1747" t="str">
        <f>IFERROR(VLOOKUP(D1747,'Team Data'!C:AB,23,FALSE),"")</f>
        <v/>
      </c>
      <c r="O1747" t="str">
        <f>IFERROR(VLOOKUP(D1747,'Team Data'!C:AB,22,FALSE),"")</f>
        <v/>
      </c>
      <c r="P1747" t="str">
        <f t="shared" si="57"/>
        <v/>
      </c>
      <c r="Q1747" t="str">
        <f>IFERROR(VLOOKUP(D1747,'Team Data'!C:AB,15,FALSE),"")</f>
        <v/>
      </c>
      <c r="R1747" t="str">
        <f>IFERROR(VLOOKUP('OB Format'!D1747,'Team Data'!C:AB,24,FALSE),"")</f>
        <v/>
      </c>
      <c r="S1747" t="str">
        <f>IFERROR(VLOOKUP('OB Format'!D1747,'Team Data'!C:AC,25,FALSE),"")</f>
        <v/>
      </c>
    </row>
    <row r="1748" spans="5:19" x14ac:dyDescent="0.25">
      <c r="E1748" t="str">
        <f>IFERROR(VLOOKUP(D1748,'Team Data'!C:AB,4,FALSE),"")</f>
        <v/>
      </c>
      <c r="F1748" t="str">
        <f>IFERROR(VLOOKUP(D1748,'Team Data'!C:AB,5,FALSE),"")</f>
        <v/>
      </c>
      <c r="G1748" t="str">
        <f>IFERROR(VLOOKUP('OB Format'!D1748,'Team Data'!C:AB,17,FALSE),"")</f>
        <v/>
      </c>
      <c r="H1748" t="str">
        <f>IFERROR(VLOOKUP(D1748,'Team Data'!C:AB,7,FALSE),"")</f>
        <v/>
      </c>
      <c r="I1748" t="str">
        <f>IFERROR(VLOOKUP(D1748,'Team Data'!C:AB,14,FALSE),"")</f>
        <v/>
      </c>
      <c r="J1748" t="str">
        <f>IFERROR(VLOOKUP(D1748,'Team Data'!C:AB,8,FALSE),"")</f>
        <v/>
      </c>
      <c r="K1748" t="str">
        <f>IFERROR(VLOOKUP(D1748,'Team Data'!C:AB,9,FALSE),"")</f>
        <v/>
      </c>
      <c r="L1748" t="str">
        <f>IFERROR(VLOOKUP(D1748,'Team Data'!C:AB,10,FALSE),"")</f>
        <v/>
      </c>
      <c r="M1748" t="str">
        <f t="shared" si="56"/>
        <v/>
      </c>
      <c r="N1748" t="str">
        <f>IFERROR(VLOOKUP(D1748,'Team Data'!C:AB,23,FALSE),"")</f>
        <v/>
      </c>
      <c r="O1748" t="str">
        <f>IFERROR(VLOOKUP(D1748,'Team Data'!C:AB,22,FALSE),"")</f>
        <v/>
      </c>
      <c r="P1748" t="str">
        <f t="shared" si="57"/>
        <v/>
      </c>
      <c r="Q1748" t="str">
        <f>IFERROR(VLOOKUP(D1748,'Team Data'!C:AB,15,FALSE),"")</f>
        <v/>
      </c>
      <c r="R1748" t="str">
        <f>IFERROR(VLOOKUP('OB Format'!D1748,'Team Data'!C:AB,24,FALSE),"")</f>
        <v/>
      </c>
      <c r="S1748" t="str">
        <f>IFERROR(VLOOKUP('OB Format'!D1748,'Team Data'!C:AC,25,FALSE),"")</f>
        <v/>
      </c>
    </row>
    <row r="1749" spans="5:19" x14ac:dyDescent="0.25">
      <c r="E1749" t="str">
        <f>IFERROR(VLOOKUP(D1749,'Team Data'!C:AB,4,FALSE),"")</f>
        <v/>
      </c>
      <c r="F1749" t="str">
        <f>IFERROR(VLOOKUP(D1749,'Team Data'!C:AB,5,FALSE),"")</f>
        <v/>
      </c>
      <c r="G1749" t="str">
        <f>IFERROR(VLOOKUP('OB Format'!D1749,'Team Data'!C:AB,17,FALSE),"")</f>
        <v/>
      </c>
      <c r="H1749" t="str">
        <f>IFERROR(VLOOKUP(D1749,'Team Data'!C:AB,7,FALSE),"")</f>
        <v/>
      </c>
      <c r="I1749" t="str">
        <f>IFERROR(VLOOKUP(D1749,'Team Data'!C:AB,14,FALSE),"")</f>
        <v/>
      </c>
      <c r="J1749" t="str">
        <f>IFERROR(VLOOKUP(D1749,'Team Data'!C:AB,8,FALSE),"")</f>
        <v/>
      </c>
      <c r="K1749" t="str">
        <f>IFERROR(VLOOKUP(D1749,'Team Data'!C:AB,9,FALSE),"")</f>
        <v/>
      </c>
      <c r="L1749" t="str">
        <f>IFERROR(VLOOKUP(D1749,'Team Data'!C:AB,10,FALSE),"")</f>
        <v/>
      </c>
      <c r="M1749" t="str">
        <f t="shared" si="56"/>
        <v/>
      </c>
      <c r="N1749" t="str">
        <f>IFERROR(VLOOKUP(D1749,'Team Data'!C:AB,23,FALSE),"")</f>
        <v/>
      </c>
      <c r="O1749" t="str">
        <f>IFERROR(VLOOKUP(D1749,'Team Data'!C:AB,22,FALSE),"")</f>
        <v/>
      </c>
      <c r="P1749" t="str">
        <f t="shared" si="57"/>
        <v/>
      </c>
      <c r="Q1749" t="str">
        <f>IFERROR(VLOOKUP(D1749,'Team Data'!C:AB,15,FALSE),"")</f>
        <v/>
      </c>
      <c r="R1749" t="str">
        <f>IFERROR(VLOOKUP('OB Format'!D1749,'Team Data'!C:AB,24,FALSE),"")</f>
        <v/>
      </c>
      <c r="S1749" t="str">
        <f>IFERROR(VLOOKUP('OB Format'!D1749,'Team Data'!C:AC,25,FALSE),"")</f>
        <v/>
      </c>
    </row>
    <row r="1750" spans="5:19" x14ac:dyDescent="0.25">
      <c r="E1750" t="str">
        <f>IFERROR(VLOOKUP(D1750,'Team Data'!C:AB,4,FALSE),"")</f>
        <v/>
      </c>
      <c r="F1750" t="str">
        <f>IFERROR(VLOOKUP(D1750,'Team Data'!C:AB,5,FALSE),"")</f>
        <v/>
      </c>
      <c r="G1750" t="str">
        <f>IFERROR(VLOOKUP('OB Format'!D1750,'Team Data'!C:AB,17,FALSE),"")</f>
        <v/>
      </c>
      <c r="H1750" t="str">
        <f>IFERROR(VLOOKUP(D1750,'Team Data'!C:AB,7,FALSE),"")</f>
        <v/>
      </c>
      <c r="I1750" t="str">
        <f>IFERROR(VLOOKUP(D1750,'Team Data'!C:AB,14,FALSE),"")</f>
        <v/>
      </c>
      <c r="J1750" t="str">
        <f>IFERROR(VLOOKUP(D1750,'Team Data'!C:AB,8,FALSE),"")</f>
        <v/>
      </c>
      <c r="K1750" t="str">
        <f>IFERROR(VLOOKUP(D1750,'Team Data'!C:AB,9,FALSE),"")</f>
        <v/>
      </c>
      <c r="L1750" t="str">
        <f>IFERROR(VLOOKUP(D1750,'Team Data'!C:AB,10,FALSE),"")</f>
        <v/>
      </c>
      <c r="M1750" t="str">
        <f t="shared" si="56"/>
        <v/>
      </c>
      <c r="N1750" t="str">
        <f>IFERROR(VLOOKUP(D1750,'Team Data'!C:AB,23,FALSE),"")</f>
        <v/>
      </c>
      <c r="O1750" t="str">
        <f>IFERROR(VLOOKUP(D1750,'Team Data'!C:AB,22,FALSE),"")</f>
        <v/>
      </c>
      <c r="P1750" t="str">
        <f t="shared" si="57"/>
        <v/>
      </c>
      <c r="Q1750" t="str">
        <f>IFERROR(VLOOKUP(D1750,'Team Data'!C:AB,15,FALSE),"")</f>
        <v/>
      </c>
      <c r="R1750" t="str">
        <f>IFERROR(VLOOKUP('OB Format'!D1750,'Team Data'!C:AB,24,FALSE),"")</f>
        <v/>
      </c>
      <c r="S1750" t="str">
        <f>IFERROR(VLOOKUP('OB Format'!D1750,'Team Data'!C:AC,25,FALSE),"")</f>
        <v/>
      </c>
    </row>
    <row r="1751" spans="5:19" x14ac:dyDescent="0.25">
      <c r="E1751" t="str">
        <f>IFERROR(VLOOKUP(D1751,'Team Data'!C:AB,4,FALSE),"")</f>
        <v/>
      </c>
      <c r="F1751" t="str">
        <f>IFERROR(VLOOKUP(D1751,'Team Data'!C:AB,5,FALSE),"")</f>
        <v/>
      </c>
      <c r="G1751" t="str">
        <f>IFERROR(VLOOKUP('OB Format'!D1751,'Team Data'!C:AB,17,FALSE),"")</f>
        <v/>
      </c>
      <c r="H1751" t="str">
        <f>IFERROR(VLOOKUP(D1751,'Team Data'!C:AB,7,FALSE),"")</f>
        <v/>
      </c>
      <c r="I1751" t="str">
        <f>IFERROR(VLOOKUP(D1751,'Team Data'!C:AB,14,FALSE),"")</f>
        <v/>
      </c>
      <c r="J1751" t="str">
        <f>IFERROR(VLOOKUP(D1751,'Team Data'!C:AB,8,FALSE),"")</f>
        <v/>
      </c>
      <c r="K1751" t="str">
        <f>IFERROR(VLOOKUP(D1751,'Team Data'!C:AB,9,FALSE),"")</f>
        <v/>
      </c>
      <c r="L1751" t="str">
        <f>IFERROR(VLOOKUP(D1751,'Team Data'!C:AB,10,FALSE),"")</f>
        <v/>
      </c>
      <c r="M1751" t="str">
        <f t="shared" si="56"/>
        <v/>
      </c>
      <c r="N1751" t="str">
        <f>IFERROR(VLOOKUP(D1751,'Team Data'!C:AB,23,FALSE),"")</f>
        <v/>
      </c>
      <c r="O1751" t="str">
        <f>IFERROR(VLOOKUP(D1751,'Team Data'!C:AB,22,FALSE),"")</f>
        <v/>
      </c>
      <c r="P1751" t="str">
        <f t="shared" si="57"/>
        <v/>
      </c>
      <c r="Q1751" t="str">
        <f>IFERROR(VLOOKUP(D1751,'Team Data'!C:AB,15,FALSE),"")</f>
        <v/>
      </c>
      <c r="R1751" t="str">
        <f>IFERROR(VLOOKUP('OB Format'!D1751,'Team Data'!C:AB,24,FALSE),"")</f>
        <v/>
      </c>
      <c r="S1751" t="str">
        <f>IFERROR(VLOOKUP('OB Format'!D1751,'Team Data'!C:AC,25,FALSE),"")</f>
        <v/>
      </c>
    </row>
    <row r="1752" spans="5:19" x14ac:dyDescent="0.25">
      <c r="E1752" t="str">
        <f>IFERROR(VLOOKUP(D1752,'Team Data'!C:AB,4,FALSE),"")</f>
        <v/>
      </c>
      <c r="F1752" t="str">
        <f>IFERROR(VLOOKUP(D1752,'Team Data'!C:AB,5,FALSE),"")</f>
        <v/>
      </c>
      <c r="G1752" t="str">
        <f>IFERROR(VLOOKUP('OB Format'!D1752,'Team Data'!C:AB,17,FALSE),"")</f>
        <v/>
      </c>
      <c r="H1752" t="str">
        <f>IFERROR(VLOOKUP(D1752,'Team Data'!C:AB,7,FALSE),"")</f>
        <v/>
      </c>
      <c r="I1752" t="str">
        <f>IFERROR(VLOOKUP(D1752,'Team Data'!C:AB,14,FALSE),"")</f>
        <v/>
      </c>
      <c r="J1752" t="str">
        <f>IFERROR(VLOOKUP(D1752,'Team Data'!C:AB,8,FALSE),"")</f>
        <v/>
      </c>
      <c r="K1752" t="str">
        <f>IFERROR(VLOOKUP(D1752,'Team Data'!C:AB,9,FALSE),"")</f>
        <v/>
      </c>
      <c r="L1752" t="str">
        <f>IFERROR(VLOOKUP(D1752,'Team Data'!C:AB,10,FALSE),"")</f>
        <v/>
      </c>
      <c r="M1752" t="str">
        <f t="shared" si="56"/>
        <v/>
      </c>
      <c r="N1752" t="str">
        <f>IFERROR(VLOOKUP(D1752,'Team Data'!C:AB,23,FALSE),"")</f>
        <v/>
      </c>
      <c r="O1752" t="str">
        <f>IFERROR(VLOOKUP(D1752,'Team Data'!C:AB,22,FALSE),"")</f>
        <v/>
      </c>
      <c r="P1752" t="str">
        <f t="shared" si="57"/>
        <v/>
      </c>
      <c r="Q1752" t="str">
        <f>IFERROR(VLOOKUP(D1752,'Team Data'!C:AB,15,FALSE),"")</f>
        <v/>
      </c>
      <c r="R1752" t="str">
        <f>IFERROR(VLOOKUP('OB Format'!D1752,'Team Data'!C:AB,24,FALSE),"")</f>
        <v/>
      </c>
      <c r="S1752" t="str">
        <f>IFERROR(VLOOKUP('OB Format'!D1752,'Team Data'!C:AC,25,FALSE),"")</f>
        <v/>
      </c>
    </row>
    <row r="1753" spans="5:19" x14ac:dyDescent="0.25">
      <c r="E1753" t="str">
        <f>IFERROR(VLOOKUP(D1753,'Team Data'!C:AB,4,FALSE),"")</f>
        <v/>
      </c>
      <c r="F1753" t="str">
        <f>IFERROR(VLOOKUP(D1753,'Team Data'!C:AB,5,FALSE),"")</f>
        <v/>
      </c>
      <c r="G1753" t="str">
        <f>IFERROR(VLOOKUP('OB Format'!D1753,'Team Data'!C:AB,17,FALSE),"")</f>
        <v/>
      </c>
      <c r="H1753" t="str">
        <f>IFERROR(VLOOKUP(D1753,'Team Data'!C:AB,7,FALSE),"")</f>
        <v/>
      </c>
      <c r="I1753" t="str">
        <f>IFERROR(VLOOKUP(D1753,'Team Data'!C:AB,14,FALSE),"")</f>
        <v/>
      </c>
      <c r="J1753" t="str">
        <f>IFERROR(VLOOKUP(D1753,'Team Data'!C:AB,8,FALSE),"")</f>
        <v/>
      </c>
      <c r="K1753" t="str">
        <f>IFERROR(VLOOKUP(D1753,'Team Data'!C:AB,9,FALSE),"")</f>
        <v/>
      </c>
      <c r="L1753" t="str">
        <f>IFERROR(VLOOKUP(D1753,'Team Data'!C:AB,10,FALSE),"")</f>
        <v/>
      </c>
      <c r="M1753" t="str">
        <f t="shared" si="56"/>
        <v/>
      </c>
      <c r="N1753" t="str">
        <f>IFERROR(VLOOKUP(D1753,'Team Data'!C:AB,23,FALSE),"")</f>
        <v/>
      </c>
      <c r="O1753" t="str">
        <f>IFERROR(VLOOKUP(D1753,'Team Data'!C:AB,22,FALSE),"")</f>
        <v/>
      </c>
      <c r="P1753" t="str">
        <f t="shared" si="57"/>
        <v/>
      </c>
      <c r="Q1753" t="str">
        <f>IFERROR(VLOOKUP(D1753,'Team Data'!C:AB,15,FALSE),"")</f>
        <v/>
      </c>
      <c r="R1753" t="str">
        <f>IFERROR(VLOOKUP('OB Format'!D1753,'Team Data'!C:AB,24,FALSE),"")</f>
        <v/>
      </c>
      <c r="S1753" t="str">
        <f>IFERROR(VLOOKUP('OB Format'!D1753,'Team Data'!C:AC,25,FALSE),"")</f>
        <v/>
      </c>
    </row>
    <row r="1754" spans="5:19" x14ac:dyDescent="0.25">
      <c r="E1754" t="str">
        <f>IFERROR(VLOOKUP(D1754,'Team Data'!C:AB,4,FALSE),"")</f>
        <v/>
      </c>
      <c r="F1754" t="str">
        <f>IFERROR(VLOOKUP(D1754,'Team Data'!C:AB,5,FALSE),"")</f>
        <v/>
      </c>
      <c r="G1754" t="str">
        <f>IFERROR(VLOOKUP('OB Format'!D1754,'Team Data'!C:AB,17,FALSE),"")</f>
        <v/>
      </c>
      <c r="H1754" t="str">
        <f>IFERROR(VLOOKUP(D1754,'Team Data'!C:AB,7,FALSE),"")</f>
        <v/>
      </c>
      <c r="I1754" t="str">
        <f>IFERROR(VLOOKUP(D1754,'Team Data'!C:AB,14,FALSE),"")</f>
        <v/>
      </c>
      <c r="J1754" t="str">
        <f>IFERROR(VLOOKUP(D1754,'Team Data'!C:AB,8,FALSE),"")</f>
        <v/>
      </c>
      <c r="K1754" t="str">
        <f>IFERROR(VLOOKUP(D1754,'Team Data'!C:AB,9,FALSE),"")</f>
        <v/>
      </c>
      <c r="L1754" t="str">
        <f>IFERROR(VLOOKUP(D1754,'Team Data'!C:AB,10,FALSE),"")</f>
        <v/>
      </c>
      <c r="M1754" t="str">
        <f t="shared" si="56"/>
        <v/>
      </c>
      <c r="N1754" t="str">
        <f>IFERROR(VLOOKUP(D1754,'Team Data'!C:AB,23,FALSE),"")</f>
        <v/>
      </c>
      <c r="O1754" t="str">
        <f>IFERROR(VLOOKUP(D1754,'Team Data'!C:AB,22,FALSE),"")</f>
        <v/>
      </c>
      <c r="P1754" t="str">
        <f t="shared" si="57"/>
        <v/>
      </c>
      <c r="Q1754" t="str">
        <f>IFERROR(VLOOKUP(D1754,'Team Data'!C:AB,15,FALSE),"")</f>
        <v/>
      </c>
      <c r="R1754" t="str">
        <f>IFERROR(VLOOKUP('OB Format'!D1754,'Team Data'!C:AB,24,FALSE),"")</f>
        <v/>
      </c>
      <c r="S1754" t="str">
        <f>IFERROR(VLOOKUP('OB Format'!D1754,'Team Data'!C:AC,25,FALSE),"")</f>
        <v/>
      </c>
    </row>
    <row r="1755" spans="5:19" x14ac:dyDescent="0.25">
      <c r="E1755" t="str">
        <f>IFERROR(VLOOKUP(D1755,'Team Data'!C:AB,4,FALSE),"")</f>
        <v/>
      </c>
      <c r="F1755" t="str">
        <f>IFERROR(VLOOKUP(D1755,'Team Data'!C:AB,5,FALSE),"")</f>
        <v/>
      </c>
      <c r="G1755" t="str">
        <f>IFERROR(VLOOKUP('OB Format'!D1755,'Team Data'!C:AB,17,FALSE),"")</f>
        <v/>
      </c>
      <c r="H1755" t="str">
        <f>IFERROR(VLOOKUP(D1755,'Team Data'!C:AB,7,FALSE),"")</f>
        <v/>
      </c>
      <c r="I1755" t="str">
        <f>IFERROR(VLOOKUP(D1755,'Team Data'!C:AB,14,FALSE),"")</f>
        <v/>
      </c>
      <c r="J1755" t="str">
        <f>IFERROR(VLOOKUP(D1755,'Team Data'!C:AB,8,FALSE),"")</f>
        <v/>
      </c>
      <c r="K1755" t="str">
        <f>IFERROR(VLOOKUP(D1755,'Team Data'!C:AB,9,FALSE),"")</f>
        <v/>
      </c>
      <c r="L1755" t="str">
        <f>IFERROR(VLOOKUP(D1755,'Team Data'!C:AB,10,FALSE),"")</f>
        <v/>
      </c>
      <c r="M1755" t="str">
        <f t="shared" si="56"/>
        <v/>
      </c>
      <c r="N1755" t="str">
        <f>IFERROR(VLOOKUP(D1755,'Team Data'!C:AB,23,FALSE),"")</f>
        <v/>
      </c>
      <c r="O1755" t="str">
        <f>IFERROR(VLOOKUP(D1755,'Team Data'!C:AB,22,FALSE),"")</f>
        <v/>
      </c>
      <c r="P1755" t="str">
        <f t="shared" si="57"/>
        <v/>
      </c>
      <c r="Q1755" t="str">
        <f>IFERROR(VLOOKUP(D1755,'Team Data'!C:AB,15,FALSE),"")</f>
        <v/>
      </c>
      <c r="R1755" t="str">
        <f>IFERROR(VLOOKUP('OB Format'!D1755,'Team Data'!C:AB,24,FALSE),"")</f>
        <v/>
      </c>
      <c r="S1755" t="str">
        <f>IFERROR(VLOOKUP('OB Format'!D1755,'Team Data'!C:AC,25,FALSE),"")</f>
        <v/>
      </c>
    </row>
    <row r="1756" spans="5:19" x14ac:dyDescent="0.25">
      <c r="E1756" t="str">
        <f>IFERROR(VLOOKUP(D1756,'Team Data'!C:AB,4,FALSE),"")</f>
        <v/>
      </c>
      <c r="F1756" t="str">
        <f>IFERROR(VLOOKUP(D1756,'Team Data'!C:AB,5,FALSE),"")</f>
        <v/>
      </c>
      <c r="G1756" t="str">
        <f>IFERROR(VLOOKUP('OB Format'!D1756,'Team Data'!C:AB,17,FALSE),"")</f>
        <v/>
      </c>
      <c r="H1756" t="str">
        <f>IFERROR(VLOOKUP(D1756,'Team Data'!C:AB,7,FALSE),"")</f>
        <v/>
      </c>
      <c r="I1756" t="str">
        <f>IFERROR(VLOOKUP(D1756,'Team Data'!C:AB,14,FALSE),"")</f>
        <v/>
      </c>
      <c r="J1756" t="str">
        <f>IFERROR(VLOOKUP(D1756,'Team Data'!C:AB,8,FALSE),"")</f>
        <v/>
      </c>
      <c r="K1756" t="str">
        <f>IFERROR(VLOOKUP(D1756,'Team Data'!C:AB,9,FALSE),"")</f>
        <v/>
      </c>
      <c r="L1756" t="str">
        <f>IFERROR(VLOOKUP(D1756,'Team Data'!C:AB,10,FALSE),"")</f>
        <v/>
      </c>
      <c r="M1756" t="str">
        <f t="shared" si="56"/>
        <v/>
      </c>
      <c r="N1756" t="str">
        <f>IFERROR(VLOOKUP(D1756,'Team Data'!C:AB,23,FALSE),"")</f>
        <v/>
      </c>
      <c r="O1756" t="str">
        <f>IFERROR(VLOOKUP(D1756,'Team Data'!C:AB,22,FALSE),"")</f>
        <v/>
      </c>
      <c r="P1756" t="str">
        <f t="shared" si="57"/>
        <v/>
      </c>
      <c r="Q1756" t="str">
        <f>IFERROR(VLOOKUP(D1756,'Team Data'!C:AB,15,FALSE),"")</f>
        <v/>
      </c>
      <c r="R1756" t="str">
        <f>IFERROR(VLOOKUP('OB Format'!D1756,'Team Data'!C:AB,24,FALSE),"")</f>
        <v/>
      </c>
      <c r="S1756" t="str">
        <f>IFERROR(VLOOKUP('OB Format'!D1756,'Team Data'!C:AC,25,FALSE),"")</f>
        <v/>
      </c>
    </row>
    <row r="1757" spans="5:19" x14ac:dyDescent="0.25">
      <c r="E1757" t="str">
        <f>IFERROR(VLOOKUP(D1757,'Team Data'!C:AB,4,FALSE),"")</f>
        <v/>
      </c>
      <c r="F1757" t="str">
        <f>IFERROR(VLOOKUP(D1757,'Team Data'!C:AB,5,FALSE),"")</f>
        <v/>
      </c>
      <c r="G1757" t="str">
        <f>IFERROR(VLOOKUP('OB Format'!D1757,'Team Data'!C:AB,17,FALSE),"")</f>
        <v/>
      </c>
      <c r="H1757" t="str">
        <f>IFERROR(VLOOKUP(D1757,'Team Data'!C:AB,7,FALSE),"")</f>
        <v/>
      </c>
      <c r="I1757" t="str">
        <f>IFERROR(VLOOKUP(D1757,'Team Data'!C:AB,14,FALSE),"")</f>
        <v/>
      </c>
      <c r="J1757" t="str">
        <f>IFERROR(VLOOKUP(D1757,'Team Data'!C:AB,8,FALSE),"")</f>
        <v/>
      </c>
      <c r="K1757" t="str">
        <f>IFERROR(VLOOKUP(D1757,'Team Data'!C:AB,9,FALSE),"")</f>
        <v/>
      </c>
      <c r="L1757" t="str">
        <f>IFERROR(VLOOKUP(D1757,'Team Data'!C:AB,10,FALSE),"")</f>
        <v/>
      </c>
      <c r="M1757" t="str">
        <f t="shared" si="56"/>
        <v/>
      </c>
      <c r="N1757" t="str">
        <f>IFERROR(VLOOKUP(D1757,'Team Data'!C:AB,23,FALSE),"")</f>
        <v/>
      </c>
      <c r="O1757" t="str">
        <f>IFERROR(VLOOKUP(D1757,'Team Data'!C:AB,22,FALSE),"")</f>
        <v/>
      </c>
      <c r="P1757" t="str">
        <f t="shared" si="57"/>
        <v/>
      </c>
      <c r="Q1757" t="str">
        <f>IFERROR(VLOOKUP(D1757,'Team Data'!C:AB,15,FALSE),"")</f>
        <v/>
      </c>
      <c r="R1757" t="str">
        <f>IFERROR(VLOOKUP('OB Format'!D1757,'Team Data'!C:AB,24,FALSE),"")</f>
        <v/>
      </c>
      <c r="S1757" t="str">
        <f>IFERROR(VLOOKUP('OB Format'!D1757,'Team Data'!C:AC,25,FALSE),"")</f>
        <v/>
      </c>
    </row>
    <row r="1758" spans="5:19" x14ac:dyDescent="0.25">
      <c r="E1758" t="str">
        <f>IFERROR(VLOOKUP(D1758,'Team Data'!C:AB,4,FALSE),"")</f>
        <v/>
      </c>
      <c r="F1758" t="str">
        <f>IFERROR(VLOOKUP(D1758,'Team Data'!C:AB,5,FALSE),"")</f>
        <v/>
      </c>
      <c r="G1758" t="str">
        <f>IFERROR(VLOOKUP('OB Format'!D1758,'Team Data'!C:AB,17,FALSE),"")</f>
        <v/>
      </c>
      <c r="H1758" t="str">
        <f>IFERROR(VLOOKUP(D1758,'Team Data'!C:AB,7,FALSE),"")</f>
        <v/>
      </c>
      <c r="I1758" t="str">
        <f>IFERROR(VLOOKUP(D1758,'Team Data'!C:AB,14,FALSE),"")</f>
        <v/>
      </c>
      <c r="J1758" t="str">
        <f>IFERROR(VLOOKUP(D1758,'Team Data'!C:AB,8,FALSE),"")</f>
        <v/>
      </c>
      <c r="K1758" t="str">
        <f>IFERROR(VLOOKUP(D1758,'Team Data'!C:AB,9,FALSE),"")</f>
        <v/>
      </c>
      <c r="L1758" t="str">
        <f>IFERROR(VLOOKUP(D1758,'Team Data'!C:AB,10,FALSE),"")</f>
        <v/>
      </c>
      <c r="M1758" t="str">
        <f t="shared" si="56"/>
        <v/>
      </c>
      <c r="N1758" t="str">
        <f>IFERROR(VLOOKUP(D1758,'Team Data'!C:AB,23,FALSE),"")</f>
        <v/>
      </c>
      <c r="O1758" t="str">
        <f>IFERROR(VLOOKUP(D1758,'Team Data'!C:AB,22,FALSE),"")</f>
        <v/>
      </c>
      <c r="P1758" t="str">
        <f t="shared" si="57"/>
        <v/>
      </c>
      <c r="Q1758" t="str">
        <f>IFERROR(VLOOKUP(D1758,'Team Data'!C:AB,15,FALSE),"")</f>
        <v/>
      </c>
      <c r="R1758" t="str">
        <f>IFERROR(VLOOKUP('OB Format'!D1758,'Team Data'!C:AB,24,FALSE),"")</f>
        <v/>
      </c>
      <c r="S1758" t="str">
        <f>IFERROR(VLOOKUP('OB Format'!D1758,'Team Data'!C:AC,25,FALSE),"")</f>
        <v/>
      </c>
    </row>
    <row r="1759" spans="5:19" x14ac:dyDescent="0.25">
      <c r="E1759" t="str">
        <f>IFERROR(VLOOKUP(D1759,'Team Data'!C:AB,4,FALSE),"")</f>
        <v/>
      </c>
      <c r="F1759" t="str">
        <f>IFERROR(VLOOKUP(D1759,'Team Data'!C:AB,5,FALSE),"")</f>
        <v/>
      </c>
      <c r="G1759" t="str">
        <f>IFERROR(VLOOKUP('OB Format'!D1759,'Team Data'!C:AB,17,FALSE),"")</f>
        <v/>
      </c>
      <c r="H1759" t="str">
        <f>IFERROR(VLOOKUP(D1759,'Team Data'!C:AB,7,FALSE),"")</f>
        <v/>
      </c>
      <c r="I1759" t="str">
        <f>IFERROR(VLOOKUP(D1759,'Team Data'!C:AB,14,FALSE),"")</f>
        <v/>
      </c>
      <c r="J1759" t="str">
        <f>IFERROR(VLOOKUP(D1759,'Team Data'!C:AB,8,FALSE),"")</f>
        <v/>
      </c>
      <c r="K1759" t="str">
        <f>IFERROR(VLOOKUP(D1759,'Team Data'!C:AB,9,FALSE),"")</f>
        <v/>
      </c>
      <c r="L1759" t="str">
        <f>IFERROR(VLOOKUP(D1759,'Team Data'!C:AB,10,FALSE),"")</f>
        <v/>
      </c>
      <c r="M1759" t="str">
        <f t="shared" si="56"/>
        <v/>
      </c>
      <c r="N1759" t="str">
        <f>IFERROR(VLOOKUP(D1759,'Team Data'!C:AB,23,FALSE),"")</f>
        <v/>
      </c>
      <c r="O1759" t="str">
        <f>IFERROR(VLOOKUP(D1759,'Team Data'!C:AB,22,FALSE),"")</f>
        <v/>
      </c>
      <c r="P1759" t="str">
        <f t="shared" si="57"/>
        <v/>
      </c>
      <c r="Q1759" t="str">
        <f>IFERROR(VLOOKUP(D1759,'Team Data'!C:AB,15,FALSE),"")</f>
        <v/>
      </c>
      <c r="R1759" t="str">
        <f>IFERROR(VLOOKUP('OB Format'!D1759,'Team Data'!C:AB,24,FALSE),"")</f>
        <v/>
      </c>
      <c r="S1759" t="str">
        <f>IFERROR(VLOOKUP('OB Format'!D1759,'Team Data'!C:AC,25,FALSE),"")</f>
        <v/>
      </c>
    </row>
    <row r="1760" spans="5:19" x14ac:dyDescent="0.25">
      <c r="E1760" t="str">
        <f>IFERROR(VLOOKUP(D1760,'Team Data'!C:AB,4,FALSE),"")</f>
        <v/>
      </c>
      <c r="F1760" t="str">
        <f>IFERROR(VLOOKUP(D1760,'Team Data'!C:AB,5,FALSE),"")</f>
        <v/>
      </c>
      <c r="G1760" t="str">
        <f>IFERROR(VLOOKUP('OB Format'!D1760,'Team Data'!C:AB,17,FALSE),"")</f>
        <v/>
      </c>
      <c r="H1760" t="str">
        <f>IFERROR(VLOOKUP(D1760,'Team Data'!C:AB,7,FALSE),"")</f>
        <v/>
      </c>
      <c r="I1760" t="str">
        <f>IFERROR(VLOOKUP(D1760,'Team Data'!C:AB,14,FALSE),"")</f>
        <v/>
      </c>
      <c r="J1760" t="str">
        <f>IFERROR(VLOOKUP(D1760,'Team Data'!C:AB,8,FALSE),"")</f>
        <v/>
      </c>
      <c r="K1760" t="str">
        <f>IFERROR(VLOOKUP(D1760,'Team Data'!C:AB,9,FALSE),"")</f>
        <v/>
      </c>
      <c r="L1760" t="str">
        <f>IFERROR(VLOOKUP(D1760,'Team Data'!C:AB,10,FALSE),"")</f>
        <v/>
      </c>
      <c r="M1760" t="str">
        <f t="shared" si="56"/>
        <v/>
      </c>
      <c r="N1760" t="str">
        <f>IFERROR(VLOOKUP(D1760,'Team Data'!C:AB,23,FALSE),"")</f>
        <v/>
      </c>
      <c r="O1760" t="str">
        <f>IFERROR(VLOOKUP(D1760,'Team Data'!C:AB,22,FALSE),"")</f>
        <v/>
      </c>
      <c r="P1760" t="str">
        <f t="shared" si="57"/>
        <v/>
      </c>
      <c r="Q1760" t="str">
        <f>IFERROR(VLOOKUP(D1760,'Team Data'!C:AB,15,FALSE),"")</f>
        <v/>
      </c>
      <c r="R1760" t="str">
        <f>IFERROR(VLOOKUP('OB Format'!D1760,'Team Data'!C:AB,24,FALSE),"")</f>
        <v/>
      </c>
      <c r="S1760" t="str">
        <f>IFERROR(VLOOKUP('OB Format'!D1760,'Team Data'!C:AC,25,FALSE),"")</f>
        <v/>
      </c>
    </row>
    <row r="1761" spans="5:19" x14ac:dyDescent="0.25">
      <c r="E1761" t="str">
        <f>IFERROR(VLOOKUP(D1761,'Team Data'!C:AB,4,FALSE),"")</f>
        <v/>
      </c>
      <c r="F1761" t="str">
        <f>IFERROR(VLOOKUP(D1761,'Team Data'!C:AB,5,FALSE),"")</f>
        <v/>
      </c>
      <c r="G1761" t="str">
        <f>IFERROR(VLOOKUP('OB Format'!D1761,'Team Data'!C:AB,17,FALSE),"")</f>
        <v/>
      </c>
      <c r="H1761" t="str">
        <f>IFERROR(VLOOKUP(D1761,'Team Data'!C:AB,7,FALSE),"")</f>
        <v/>
      </c>
      <c r="I1761" t="str">
        <f>IFERROR(VLOOKUP(D1761,'Team Data'!C:AB,14,FALSE),"")</f>
        <v/>
      </c>
      <c r="J1761" t="str">
        <f>IFERROR(VLOOKUP(D1761,'Team Data'!C:AB,8,FALSE),"")</f>
        <v/>
      </c>
      <c r="K1761" t="str">
        <f>IFERROR(VLOOKUP(D1761,'Team Data'!C:AB,9,FALSE),"")</f>
        <v/>
      </c>
      <c r="L1761" t="str">
        <f>IFERROR(VLOOKUP(D1761,'Team Data'!C:AB,10,FALSE),"")</f>
        <v/>
      </c>
      <c r="M1761" t="str">
        <f t="shared" si="56"/>
        <v/>
      </c>
      <c r="N1761" t="str">
        <f>IFERROR(VLOOKUP(D1761,'Team Data'!C:AB,23,FALSE),"")</f>
        <v/>
      </c>
      <c r="O1761" t="str">
        <f>IFERROR(VLOOKUP(D1761,'Team Data'!C:AB,22,FALSE),"")</f>
        <v/>
      </c>
      <c r="P1761" t="str">
        <f t="shared" si="57"/>
        <v/>
      </c>
      <c r="Q1761" t="str">
        <f>IFERROR(VLOOKUP(D1761,'Team Data'!C:AB,15,FALSE),"")</f>
        <v/>
      </c>
      <c r="R1761" t="str">
        <f>IFERROR(VLOOKUP('OB Format'!D1761,'Team Data'!C:AB,24,FALSE),"")</f>
        <v/>
      </c>
      <c r="S1761" t="str">
        <f>IFERROR(VLOOKUP('OB Format'!D1761,'Team Data'!C:AC,25,FALSE),"")</f>
        <v/>
      </c>
    </row>
    <row r="1762" spans="5:19" x14ac:dyDescent="0.25">
      <c r="E1762" t="str">
        <f>IFERROR(VLOOKUP(D1762,'Team Data'!C:AB,4,FALSE),"")</f>
        <v/>
      </c>
      <c r="F1762" t="str">
        <f>IFERROR(VLOOKUP(D1762,'Team Data'!C:AB,5,FALSE),"")</f>
        <v/>
      </c>
      <c r="G1762" t="str">
        <f>IFERROR(VLOOKUP('OB Format'!D1762,'Team Data'!C:AB,17,FALSE),"")</f>
        <v/>
      </c>
      <c r="H1762" t="str">
        <f>IFERROR(VLOOKUP(D1762,'Team Data'!C:AB,7,FALSE),"")</f>
        <v/>
      </c>
      <c r="I1762" t="str">
        <f>IFERROR(VLOOKUP(D1762,'Team Data'!C:AB,14,FALSE),"")</f>
        <v/>
      </c>
      <c r="J1762" t="str">
        <f>IFERROR(VLOOKUP(D1762,'Team Data'!C:AB,8,FALSE),"")</f>
        <v/>
      </c>
      <c r="K1762" t="str">
        <f>IFERROR(VLOOKUP(D1762,'Team Data'!C:AB,9,FALSE),"")</f>
        <v/>
      </c>
      <c r="L1762" t="str">
        <f>IFERROR(VLOOKUP(D1762,'Team Data'!C:AB,10,FALSE),"")</f>
        <v/>
      </c>
      <c r="M1762" t="str">
        <f t="shared" si="56"/>
        <v/>
      </c>
      <c r="N1762" t="str">
        <f>IFERROR(VLOOKUP(D1762,'Team Data'!C:AB,23,FALSE),"")</f>
        <v/>
      </c>
      <c r="O1762" t="str">
        <f>IFERROR(VLOOKUP(D1762,'Team Data'!C:AB,22,FALSE),"")</f>
        <v/>
      </c>
      <c r="P1762" t="str">
        <f t="shared" si="57"/>
        <v/>
      </c>
      <c r="Q1762" t="str">
        <f>IFERROR(VLOOKUP(D1762,'Team Data'!C:AB,15,FALSE),"")</f>
        <v/>
      </c>
      <c r="R1762" t="str">
        <f>IFERROR(VLOOKUP('OB Format'!D1762,'Team Data'!C:AB,24,FALSE),"")</f>
        <v/>
      </c>
      <c r="S1762" t="str">
        <f>IFERROR(VLOOKUP('OB Format'!D1762,'Team Data'!C:AC,25,FALSE),"")</f>
        <v/>
      </c>
    </row>
    <row r="1763" spans="5:19" x14ac:dyDescent="0.25">
      <c r="E1763" t="str">
        <f>IFERROR(VLOOKUP(D1763,'Team Data'!C:AB,4,FALSE),"")</f>
        <v/>
      </c>
      <c r="F1763" t="str">
        <f>IFERROR(VLOOKUP(D1763,'Team Data'!C:AB,5,FALSE),"")</f>
        <v/>
      </c>
      <c r="G1763" t="str">
        <f>IFERROR(VLOOKUP('OB Format'!D1763,'Team Data'!C:AB,17,FALSE),"")</f>
        <v/>
      </c>
      <c r="H1763" t="str">
        <f>IFERROR(VLOOKUP(D1763,'Team Data'!C:AB,7,FALSE),"")</f>
        <v/>
      </c>
      <c r="I1763" t="str">
        <f>IFERROR(VLOOKUP(D1763,'Team Data'!C:AB,14,FALSE),"")</f>
        <v/>
      </c>
      <c r="J1763" t="str">
        <f>IFERROR(VLOOKUP(D1763,'Team Data'!C:AB,8,FALSE),"")</f>
        <v/>
      </c>
      <c r="K1763" t="str">
        <f>IFERROR(VLOOKUP(D1763,'Team Data'!C:AB,9,FALSE),"")</f>
        <v/>
      </c>
      <c r="L1763" t="str">
        <f>IFERROR(VLOOKUP(D1763,'Team Data'!C:AB,10,FALSE),"")</f>
        <v/>
      </c>
      <c r="M1763" t="str">
        <f t="shared" si="56"/>
        <v/>
      </c>
      <c r="N1763" t="str">
        <f>IFERROR(VLOOKUP(D1763,'Team Data'!C:AB,23,FALSE),"")</f>
        <v/>
      </c>
      <c r="O1763" t="str">
        <f>IFERROR(VLOOKUP(D1763,'Team Data'!C:AB,22,FALSE),"")</f>
        <v/>
      </c>
      <c r="P1763" t="str">
        <f t="shared" si="57"/>
        <v/>
      </c>
      <c r="Q1763" t="str">
        <f>IFERROR(VLOOKUP(D1763,'Team Data'!C:AB,15,FALSE),"")</f>
        <v/>
      </c>
      <c r="R1763" t="str">
        <f>IFERROR(VLOOKUP('OB Format'!D1763,'Team Data'!C:AB,24,FALSE),"")</f>
        <v/>
      </c>
      <c r="S1763" t="str">
        <f>IFERROR(VLOOKUP('OB Format'!D1763,'Team Data'!C:AC,25,FALSE),"")</f>
        <v/>
      </c>
    </row>
    <row r="1764" spans="5:19" x14ac:dyDescent="0.25">
      <c r="E1764" t="str">
        <f>IFERROR(VLOOKUP(D1764,'Team Data'!C:AB,4,FALSE),"")</f>
        <v/>
      </c>
      <c r="F1764" t="str">
        <f>IFERROR(VLOOKUP(D1764,'Team Data'!C:AB,5,FALSE),"")</f>
        <v/>
      </c>
      <c r="G1764" t="str">
        <f>IFERROR(VLOOKUP('OB Format'!D1764,'Team Data'!C:AB,17,FALSE),"")</f>
        <v/>
      </c>
      <c r="H1764" t="str">
        <f>IFERROR(VLOOKUP(D1764,'Team Data'!C:AB,7,FALSE),"")</f>
        <v/>
      </c>
      <c r="I1764" t="str">
        <f>IFERROR(VLOOKUP(D1764,'Team Data'!C:AB,14,FALSE),"")</f>
        <v/>
      </c>
      <c r="J1764" t="str">
        <f>IFERROR(VLOOKUP(D1764,'Team Data'!C:AB,8,FALSE),"")</f>
        <v/>
      </c>
      <c r="K1764" t="str">
        <f>IFERROR(VLOOKUP(D1764,'Team Data'!C:AB,9,FALSE),"")</f>
        <v/>
      </c>
      <c r="L1764" t="str">
        <f>IFERROR(VLOOKUP(D1764,'Team Data'!C:AB,10,FALSE),"")</f>
        <v/>
      </c>
      <c r="M1764" t="str">
        <f t="shared" si="56"/>
        <v/>
      </c>
      <c r="N1764" t="str">
        <f>IFERROR(VLOOKUP(D1764,'Team Data'!C:AB,23,FALSE),"")</f>
        <v/>
      </c>
      <c r="O1764" t="str">
        <f>IFERROR(VLOOKUP(D1764,'Team Data'!C:AB,22,FALSE),"")</f>
        <v/>
      </c>
      <c r="P1764" t="str">
        <f t="shared" si="57"/>
        <v/>
      </c>
      <c r="Q1764" t="str">
        <f>IFERROR(VLOOKUP(D1764,'Team Data'!C:AB,15,FALSE),"")</f>
        <v/>
      </c>
      <c r="R1764" t="str">
        <f>IFERROR(VLOOKUP('OB Format'!D1764,'Team Data'!C:AB,24,FALSE),"")</f>
        <v/>
      </c>
      <c r="S1764" t="str">
        <f>IFERROR(VLOOKUP('OB Format'!D1764,'Team Data'!C:AC,25,FALSE),"")</f>
        <v/>
      </c>
    </row>
    <row r="1765" spans="5:19" x14ac:dyDescent="0.25">
      <c r="E1765" t="str">
        <f>IFERROR(VLOOKUP(D1765,'Team Data'!C:AB,4,FALSE),"")</f>
        <v/>
      </c>
      <c r="F1765" t="str">
        <f>IFERROR(VLOOKUP(D1765,'Team Data'!C:AB,5,FALSE),"")</f>
        <v/>
      </c>
      <c r="G1765" t="str">
        <f>IFERROR(VLOOKUP('OB Format'!D1765,'Team Data'!C:AB,17,FALSE),"")</f>
        <v/>
      </c>
      <c r="H1765" t="str">
        <f>IFERROR(VLOOKUP(D1765,'Team Data'!C:AB,7,FALSE),"")</f>
        <v/>
      </c>
      <c r="I1765" t="str">
        <f>IFERROR(VLOOKUP(D1765,'Team Data'!C:AB,14,FALSE),"")</f>
        <v/>
      </c>
      <c r="J1765" t="str">
        <f>IFERROR(VLOOKUP(D1765,'Team Data'!C:AB,8,FALSE),"")</f>
        <v/>
      </c>
      <c r="K1765" t="str">
        <f>IFERROR(VLOOKUP(D1765,'Team Data'!C:AB,9,FALSE),"")</f>
        <v/>
      </c>
      <c r="L1765" t="str">
        <f>IFERROR(VLOOKUP(D1765,'Team Data'!C:AB,10,FALSE),"")</f>
        <v/>
      </c>
      <c r="M1765" t="str">
        <f t="shared" si="56"/>
        <v/>
      </c>
      <c r="N1765" t="str">
        <f>IFERROR(VLOOKUP(D1765,'Team Data'!C:AB,23,FALSE),"")</f>
        <v/>
      </c>
      <c r="O1765" t="str">
        <f>IFERROR(VLOOKUP(D1765,'Team Data'!C:AB,22,FALSE),"")</f>
        <v/>
      </c>
      <c r="P1765" t="str">
        <f t="shared" si="57"/>
        <v/>
      </c>
      <c r="Q1765" t="str">
        <f>IFERROR(VLOOKUP(D1765,'Team Data'!C:AB,15,FALSE),"")</f>
        <v/>
      </c>
      <c r="R1765" t="str">
        <f>IFERROR(VLOOKUP('OB Format'!D1765,'Team Data'!C:AB,24,FALSE),"")</f>
        <v/>
      </c>
      <c r="S1765" t="str">
        <f>IFERROR(VLOOKUP('OB Format'!D1765,'Team Data'!C:AC,25,FALSE),"")</f>
        <v/>
      </c>
    </row>
    <row r="1766" spans="5:19" x14ac:dyDescent="0.25">
      <c r="E1766" t="str">
        <f>IFERROR(VLOOKUP(D1766,'Team Data'!C:AB,4,FALSE),"")</f>
        <v/>
      </c>
      <c r="F1766" t="str">
        <f>IFERROR(VLOOKUP(D1766,'Team Data'!C:AB,5,FALSE),"")</f>
        <v/>
      </c>
      <c r="G1766" t="str">
        <f>IFERROR(VLOOKUP('OB Format'!D1766,'Team Data'!C:AB,17,FALSE),"")</f>
        <v/>
      </c>
      <c r="H1766" t="str">
        <f>IFERROR(VLOOKUP(D1766,'Team Data'!C:AB,7,FALSE),"")</f>
        <v/>
      </c>
      <c r="I1766" t="str">
        <f>IFERROR(VLOOKUP(D1766,'Team Data'!C:AB,14,FALSE),"")</f>
        <v/>
      </c>
      <c r="J1766" t="str">
        <f>IFERROR(VLOOKUP(D1766,'Team Data'!C:AB,8,FALSE),"")</f>
        <v/>
      </c>
      <c r="K1766" t="str">
        <f>IFERROR(VLOOKUP(D1766,'Team Data'!C:AB,9,FALSE),"")</f>
        <v/>
      </c>
      <c r="L1766" t="str">
        <f>IFERROR(VLOOKUP(D1766,'Team Data'!C:AB,10,FALSE),"")</f>
        <v/>
      </c>
      <c r="M1766" t="str">
        <f t="shared" si="56"/>
        <v/>
      </c>
      <c r="N1766" t="str">
        <f>IFERROR(VLOOKUP(D1766,'Team Data'!C:AB,23,FALSE),"")</f>
        <v/>
      </c>
      <c r="O1766" t="str">
        <f>IFERROR(VLOOKUP(D1766,'Team Data'!C:AB,22,FALSE),"")</f>
        <v/>
      </c>
      <c r="P1766" t="str">
        <f t="shared" si="57"/>
        <v/>
      </c>
      <c r="Q1766" t="str">
        <f>IFERROR(VLOOKUP(D1766,'Team Data'!C:AB,15,FALSE),"")</f>
        <v/>
      </c>
      <c r="R1766" t="str">
        <f>IFERROR(VLOOKUP('OB Format'!D1766,'Team Data'!C:AB,24,FALSE),"")</f>
        <v/>
      </c>
      <c r="S1766" t="str">
        <f>IFERROR(VLOOKUP('OB Format'!D1766,'Team Data'!C:AC,25,FALSE),"")</f>
        <v/>
      </c>
    </row>
    <row r="1767" spans="5:19" x14ac:dyDescent="0.25">
      <c r="E1767" t="str">
        <f>IFERROR(VLOOKUP(D1767,'Team Data'!C:AB,4,FALSE),"")</f>
        <v/>
      </c>
      <c r="F1767" t="str">
        <f>IFERROR(VLOOKUP(D1767,'Team Data'!C:AB,5,FALSE),"")</f>
        <v/>
      </c>
      <c r="G1767" t="str">
        <f>IFERROR(VLOOKUP('OB Format'!D1767,'Team Data'!C:AB,17,FALSE),"")</f>
        <v/>
      </c>
      <c r="H1767" t="str">
        <f>IFERROR(VLOOKUP(D1767,'Team Data'!C:AB,7,FALSE),"")</f>
        <v/>
      </c>
      <c r="I1767" t="str">
        <f>IFERROR(VLOOKUP(D1767,'Team Data'!C:AB,14,FALSE),"")</f>
        <v/>
      </c>
      <c r="J1767" t="str">
        <f>IFERROR(VLOOKUP(D1767,'Team Data'!C:AB,8,FALSE),"")</f>
        <v/>
      </c>
      <c r="K1767" t="str">
        <f>IFERROR(VLOOKUP(D1767,'Team Data'!C:AB,9,FALSE),"")</f>
        <v/>
      </c>
      <c r="L1767" t="str">
        <f>IFERROR(VLOOKUP(D1767,'Team Data'!C:AB,10,FALSE),"")</f>
        <v/>
      </c>
      <c r="M1767" t="str">
        <f t="shared" si="56"/>
        <v/>
      </c>
      <c r="N1767" t="str">
        <f>IFERROR(VLOOKUP(D1767,'Team Data'!C:AB,23,FALSE),"")</f>
        <v/>
      </c>
      <c r="O1767" t="str">
        <f>IFERROR(VLOOKUP(D1767,'Team Data'!C:AB,22,FALSE),"")</f>
        <v/>
      </c>
      <c r="P1767" t="str">
        <f t="shared" si="57"/>
        <v/>
      </c>
      <c r="Q1767" t="str">
        <f>IFERROR(VLOOKUP(D1767,'Team Data'!C:AB,15,FALSE),"")</f>
        <v/>
      </c>
      <c r="R1767" t="str">
        <f>IFERROR(VLOOKUP('OB Format'!D1767,'Team Data'!C:AB,24,FALSE),"")</f>
        <v/>
      </c>
      <c r="S1767" t="str">
        <f>IFERROR(VLOOKUP('OB Format'!D1767,'Team Data'!C:AC,25,FALSE),"")</f>
        <v/>
      </c>
    </row>
    <row r="1768" spans="5:19" x14ac:dyDescent="0.25">
      <c r="E1768" t="str">
        <f>IFERROR(VLOOKUP(D1768,'Team Data'!C:AB,4,FALSE),"")</f>
        <v/>
      </c>
      <c r="F1768" t="str">
        <f>IFERROR(VLOOKUP(D1768,'Team Data'!C:AB,5,FALSE),"")</f>
        <v/>
      </c>
      <c r="G1768" t="str">
        <f>IFERROR(VLOOKUP('OB Format'!D1768,'Team Data'!C:AB,17,FALSE),"")</f>
        <v/>
      </c>
      <c r="H1768" t="str">
        <f>IFERROR(VLOOKUP(D1768,'Team Data'!C:AB,7,FALSE),"")</f>
        <v/>
      </c>
      <c r="I1768" t="str">
        <f>IFERROR(VLOOKUP(D1768,'Team Data'!C:AB,14,FALSE),"")</f>
        <v/>
      </c>
      <c r="J1768" t="str">
        <f>IFERROR(VLOOKUP(D1768,'Team Data'!C:AB,8,FALSE),"")</f>
        <v/>
      </c>
      <c r="K1768" t="str">
        <f>IFERROR(VLOOKUP(D1768,'Team Data'!C:AB,9,FALSE),"")</f>
        <v/>
      </c>
      <c r="L1768" t="str">
        <f>IFERROR(VLOOKUP(D1768,'Team Data'!C:AB,10,FALSE),"")</f>
        <v/>
      </c>
      <c r="M1768" t="str">
        <f t="shared" si="56"/>
        <v/>
      </c>
      <c r="N1768" t="str">
        <f>IFERROR(VLOOKUP(D1768,'Team Data'!C:AB,23,FALSE),"")</f>
        <v/>
      </c>
      <c r="O1768" t="str">
        <f>IFERROR(VLOOKUP(D1768,'Team Data'!C:AB,22,FALSE),"")</f>
        <v/>
      </c>
      <c r="P1768" t="str">
        <f t="shared" si="57"/>
        <v/>
      </c>
      <c r="Q1768" t="str">
        <f>IFERROR(VLOOKUP(D1768,'Team Data'!C:AB,15,FALSE),"")</f>
        <v/>
      </c>
      <c r="R1768" t="str">
        <f>IFERROR(VLOOKUP('OB Format'!D1768,'Team Data'!C:AB,24,FALSE),"")</f>
        <v/>
      </c>
      <c r="S1768" t="str">
        <f>IFERROR(VLOOKUP('OB Format'!D1768,'Team Data'!C:AC,25,FALSE),"")</f>
        <v/>
      </c>
    </row>
    <row r="1769" spans="5:19" x14ac:dyDescent="0.25">
      <c r="E1769" t="str">
        <f>IFERROR(VLOOKUP(D1769,'Team Data'!C:AB,4,FALSE),"")</f>
        <v/>
      </c>
      <c r="F1769" t="str">
        <f>IFERROR(VLOOKUP(D1769,'Team Data'!C:AB,5,FALSE),"")</f>
        <v/>
      </c>
      <c r="G1769" t="str">
        <f>IFERROR(VLOOKUP('OB Format'!D1769,'Team Data'!C:AB,17,FALSE),"")</f>
        <v/>
      </c>
      <c r="H1769" t="str">
        <f>IFERROR(VLOOKUP(D1769,'Team Data'!C:AB,7,FALSE),"")</f>
        <v/>
      </c>
      <c r="I1769" t="str">
        <f>IFERROR(VLOOKUP(D1769,'Team Data'!C:AB,14,FALSE),"")</f>
        <v/>
      </c>
      <c r="J1769" t="str">
        <f>IFERROR(VLOOKUP(D1769,'Team Data'!C:AB,8,FALSE),"")</f>
        <v/>
      </c>
      <c r="K1769" t="str">
        <f>IFERROR(VLOOKUP(D1769,'Team Data'!C:AB,9,FALSE),"")</f>
        <v/>
      </c>
      <c r="L1769" t="str">
        <f>IFERROR(VLOOKUP(D1769,'Team Data'!C:AB,10,FALSE),"")</f>
        <v/>
      </c>
      <c r="M1769" t="str">
        <f t="shared" si="56"/>
        <v/>
      </c>
      <c r="N1769" t="str">
        <f>IFERROR(VLOOKUP(D1769,'Team Data'!C:AB,23,FALSE),"")</f>
        <v/>
      </c>
      <c r="O1769" t="str">
        <f>IFERROR(VLOOKUP(D1769,'Team Data'!C:AB,22,FALSE),"")</f>
        <v/>
      </c>
      <c r="P1769" t="str">
        <f t="shared" si="57"/>
        <v/>
      </c>
      <c r="Q1769" t="str">
        <f>IFERROR(VLOOKUP(D1769,'Team Data'!C:AB,15,FALSE),"")</f>
        <v/>
      </c>
      <c r="R1769" t="str">
        <f>IFERROR(VLOOKUP('OB Format'!D1769,'Team Data'!C:AB,24,FALSE),"")</f>
        <v/>
      </c>
      <c r="S1769" t="str">
        <f>IFERROR(VLOOKUP('OB Format'!D1769,'Team Data'!C:AC,25,FALSE),"")</f>
        <v/>
      </c>
    </row>
    <row r="1770" spans="5:19" x14ac:dyDescent="0.25">
      <c r="E1770" t="str">
        <f>IFERROR(VLOOKUP(D1770,'Team Data'!C:AB,4,FALSE),"")</f>
        <v/>
      </c>
      <c r="F1770" t="str">
        <f>IFERROR(VLOOKUP(D1770,'Team Data'!C:AB,5,FALSE),"")</f>
        <v/>
      </c>
      <c r="G1770" t="str">
        <f>IFERROR(VLOOKUP('OB Format'!D1770,'Team Data'!C:AB,17,FALSE),"")</f>
        <v/>
      </c>
      <c r="H1770" t="str">
        <f>IFERROR(VLOOKUP(D1770,'Team Data'!C:AB,7,FALSE),"")</f>
        <v/>
      </c>
      <c r="I1770" t="str">
        <f>IFERROR(VLOOKUP(D1770,'Team Data'!C:AB,14,FALSE),"")</f>
        <v/>
      </c>
      <c r="J1770" t="str">
        <f>IFERROR(VLOOKUP(D1770,'Team Data'!C:AB,8,FALSE),"")</f>
        <v/>
      </c>
      <c r="K1770" t="str">
        <f>IFERROR(VLOOKUP(D1770,'Team Data'!C:AB,9,FALSE),"")</f>
        <v/>
      </c>
      <c r="L1770" t="str">
        <f>IFERROR(VLOOKUP(D1770,'Team Data'!C:AB,10,FALSE),"")</f>
        <v/>
      </c>
      <c r="M1770" t="str">
        <f t="shared" si="56"/>
        <v/>
      </c>
      <c r="N1770" t="str">
        <f>IFERROR(VLOOKUP(D1770,'Team Data'!C:AB,23,FALSE),"")</f>
        <v/>
      </c>
      <c r="O1770" t="str">
        <f>IFERROR(VLOOKUP(D1770,'Team Data'!C:AB,22,FALSE),"")</f>
        <v/>
      </c>
      <c r="P1770" t="str">
        <f t="shared" si="57"/>
        <v/>
      </c>
      <c r="Q1770" t="str">
        <f>IFERROR(VLOOKUP(D1770,'Team Data'!C:AB,15,FALSE),"")</f>
        <v/>
      </c>
      <c r="R1770" t="str">
        <f>IFERROR(VLOOKUP('OB Format'!D1770,'Team Data'!C:AB,24,FALSE),"")</f>
        <v/>
      </c>
      <c r="S1770" t="str">
        <f>IFERROR(VLOOKUP('OB Format'!D1770,'Team Data'!C:AC,25,FALSE),"")</f>
        <v/>
      </c>
    </row>
    <row r="1771" spans="5:19" x14ac:dyDescent="0.25">
      <c r="E1771" t="str">
        <f>IFERROR(VLOOKUP(D1771,'Team Data'!C:AB,4,FALSE),"")</f>
        <v/>
      </c>
      <c r="F1771" t="str">
        <f>IFERROR(VLOOKUP(D1771,'Team Data'!C:AB,5,FALSE),"")</f>
        <v/>
      </c>
      <c r="G1771" t="str">
        <f>IFERROR(VLOOKUP('OB Format'!D1771,'Team Data'!C:AB,17,FALSE),"")</f>
        <v/>
      </c>
      <c r="H1771" t="str">
        <f>IFERROR(VLOOKUP(D1771,'Team Data'!C:AB,7,FALSE),"")</f>
        <v/>
      </c>
      <c r="I1771" t="str">
        <f>IFERROR(VLOOKUP(D1771,'Team Data'!C:AB,14,FALSE),"")</f>
        <v/>
      </c>
      <c r="J1771" t="str">
        <f>IFERROR(VLOOKUP(D1771,'Team Data'!C:AB,8,FALSE),"")</f>
        <v/>
      </c>
      <c r="K1771" t="str">
        <f>IFERROR(VLOOKUP(D1771,'Team Data'!C:AB,9,FALSE),"")</f>
        <v/>
      </c>
      <c r="L1771" t="str">
        <f>IFERROR(VLOOKUP(D1771,'Team Data'!C:AB,10,FALSE),"")</f>
        <v/>
      </c>
      <c r="M1771" t="str">
        <f t="shared" si="56"/>
        <v/>
      </c>
      <c r="N1771" t="str">
        <f>IFERROR(VLOOKUP(D1771,'Team Data'!C:AB,23,FALSE),"")</f>
        <v/>
      </c>
      <c r="O1771" t="str">
        <f>IFERROR(VLOOKUP(D1771,'Team Data'!C:AB,22,FALSE),"")</f>
        <v/>
      </c>
      <c r="P1771" t="str">
        <f t="shared" si="57"/>
        <v/>
      </c>
      <c r="Q1771" t="str">
        <f>IFERROR(VLOOKUP(D1771,'Team Data'!C:AB,15,FALSE),"")</f>
        <v/>
      </c>
      <c r="R1771" t="str">
        <f>IFERROR(VLOOKUP('OB Format'!D1771,'Team Data'!C:AB,24,FALSE),"")</f>
        <v/>
      </c>
      <c r="S1771" t="str">
        <f>IFERROR(VLOOKUP('OB Format'!D1771,'Team Data'!C:AC,25,FALSE),"")</f>
        <v/>
      </c>
    </row>
    <row r="1772" spans="5:19" x14ac:dyDescent="0.25">
      <c r="E1772" t="str">
        <f>IFERROR(VLOOKUP(D1772,'Team Data'!C:AB,4,FALSE),"")</f>
        <v/>
      </c>
      <c r="F1772" t="str">
        <f>IFERROR(VLOOKUP(D1772,'Team Data'!C:AB,5,FALSE),"")</f>
        <v/>
      </c>
      <c r="G1772" t="str">
        <f>IFERROR(VLOOKUP('OB Format'!D1772,'Team Data'!C:AB,17,FALSE),"")</f>
        <v/>
      </c>
      <c r="H1772" t="str">
        <f>IFERROR(VLOOKUP(D1772,'Team Data'!C:AB,7,FALSE),"")</f>
        <v/>
      </c>
      <c r="I1772" t="str">
        <f>IFERROR(VLOOKUP(D1772,'Team Data'!C:AB,14,FALSE),"")</f>
        <v/>
      </c>
      <c r="J1772" t="str">
        <f>IFERROR(VLOOKUP(D1772,'Team Data'!C:AB,8,FALSE),"")</f>
        <v/>
      </c>
      <c r="K1772" t="str">
        <f>IFERROR(VLOOKUP(D1772,'Team Data'!C:AB,9,FALSE),"")</f>
        <v/>
      </c>
      <c r="L1772" t="str">
        <f>IFERROR(VLOOKUP(D1772,'Team Data'!C:AB,10,FALSE),"")</f>
        <v/>
      </c>
      <c r="M1772" t="str">
        <f t="shared" si="56"/>
        <v/>
      </c>
      <c r="N1772" t="str">
        <f>IFERROR(VLOOKUP(D1772,'Team Data'!C:AB,23,FALSE),"")</f>
        <v/>
      </c>
      <c r="O1772" t="str">
        <f>IFERROR(VLOOKUP(D1772,'Team Data'!C:AB,22,FALSE),"")</f>
        <v/>
      </c>
      <c r="P1772" t="str">
        <f t="shared" si="57"/>
        <v/>
      </c>
      <c r="Q1772" t="str">
        <f>IFERROR(VLOOKUP(D1772,'Team Data'!C:AB,15,FALSE),"")</f>
        <v/>
      </c>
      <c r="R1772" t="str">
        <f>IFERROR(VLOOKUP('OB Format'!D1772,'Team Data'!C:AB,24,FALSE),"")</f>
        <v/>
      </c>
      <c r="S1772" t="str">
        <f>IFERROR(VLOOKUP('OB Format'!D1772,'Team Data'!C:AC,25,FALSE),"")</f>
        <v/>
      </c>
    </row>
    <row r="1773" spans="5:19" x14ac:dyDescent="0.25">
      <c r="E1773" t="str">
        <f>IFERROR(VLOOKUP(D1773,'Team Data'!C:AB,4,FALSE),"")</f>
        <v/>
      </c>
      <c r="F1773" t="str">
        <f>IFERROR(VLOOKUP(D1773,'Team Data'!C:AB,5,FALSE),"")</f>
        <v/>
      </c>
      <c r="G1773" t="str">
        <f>IFERROR(VLOOKUP('OB Format'!D1773,'Team Data'!C:AB,17,FALSE),"")</f>
        <v/>
      </c>
      <c r="H1773" t="str">
        <f>IFERROR(VLOOKUP(D1773,'Team Data'!C:AB,7,FALSE),"")</f>
        <v/>
      </c>
      <c r="I1773" t="str">
        <f>IFERROR(VLOOKUP(D1773,'Team Data'!C:AB,14,FALSE),"")</f>
        <v/>
      </c>
      <c r="J1773" t="str">
        <f>IFERROR(VLOOKUP(D1773,'Team Data'!C:AB,8,FALSE),"")</f>
        <v/>
      </c>
      <c r="K1773" t="str">
        <f>IFERROR(VLOOKUP(D1773,'Team Data'!C:AB,9,FALSE),"")</f>
        <v/>
      </c>
      <c r="L1773" t="str">
        <f>IFERROR(VLOOKUP(D1773,'Team Data'!C:AB,10,FALSE),"")</f>
        <v/>
      </c>
      <c r="M1773" t="str">
        <f t="shared" si="56"/>
        <v/>
      </c>
      <c r="N1773" t="str">
        <f>IFERROR(VLOOKUP(D1773,'Team Data'!C:AB,23,FALSE),"")</f>
        <v/>
      </c>
      <c r="O1773" t="str">
        <f>IFERROR(VLOOKUP(D1773,'Team Data'!C:AB,22,FALSE),"")</f>
        <v/>
      </c>
      <c r="P1773" t="str">
        <f t="shared" si="57"/>
        <v/>
      </c>
      <c r="Q1773" t="str">
        <f>IFERROR(VLOOKUP(D1773,'Team Data'!C:AB,15,FALSE),"")</f>
        <v/>
      </c>
      <c r="R1773" t="str">
        <f>IFERROR(VLOOKUP('OB Format'!D1773,'Team Data'!C:AB,24,FALSE),"")</f>
        <v/>
      </c>
      <c r="S1773" t="str">
        <f>IFERROR(VLOOKUP('OB Format'!D1773,'Team Data'!C:AC,25,FALSE),"")</f>
        <v/>
      </c>
    </row>
    <row r="1774" spans="5:19" x14ac:dyDescent="0.25">
      <c r="E1774" t="str">
        <f>IFERROR(VLOOKUP(D1774,'Team Data'!C:AB,4,FALSE),"")</f>
        <v/>
      </c>
      <c r="F1774" t="str">
        <f>IFERROR(VLOOKUP(D1774,'Team Data'!C:AB,5,FALSE),"")</f>
        <v/>
      </c>
      <c r="G1774" t="str">
        <f>IFERROR(VLOOKUP('OB Format'!D1774,'Team Data'!C:AB,17,FALSE),"")</f>
        <v/>
      </c>
      <c r="H1774" t="str">
        <f>IFERROR(VLOOKUP(D1774,'Team Data'!C:AB,7,FALSE),"")</f>
        <v/>
      </c>
      <c r="I1774" t="str">
        <f>IFERROR(VLOOKUP(D1774,'Team Data'!C:AB,14,FALSE),"")</f>
        <v/>
      </c>
      <c r="J1774" t="str">
        <f>IFERROR(VLOOKUP(D1774,'Team Data'!C:AB,8,FALSE),"")</f>
        <v/>
      </c>
      <c r="K1774" t="str">
        <f>IFERROR(VLOOKUP(D1774,'Team Data'!C:AB,9,FALSE),"")</f>
        <v/>
      </c>
      <c r="L1774" t="str">
        <f>IFERROR(VLOOKUP(D1774,'Team Data'!C:AB,10,FALSE),"")</f>
        <v/>
      </c>
      <c r="M1774" t="str">
        <f t="shared" si="56"/>
        <v/>
      </c>
      <c r="N1774" t="str">
        <f>IFERROR(VLOOKUP(D1774,'Team Data'!C:AB,23,FALSE),"")</f>
        <v/>
      </c>
      <c r="O1774" t="str">
        <f>IFERROR(VLOOKUP(D1774,'Team Data'!C:AB,22,FALSE),"")</f>
        <v/>
      </c>
      <c r="P1774" t="str">
        <f t="shared" si="57"/>
        <v/>
      </c>
      <c r="Q1774" t="str">
        <f>IFERROR(VLOOKUP(D1774,'Team Data'!C:AB,15,FALSE),"")</f>
        <v/>
      </c>
      <c r="R1774" t="str">
        <f>IFERROR(VLOOKUP('OB Format'!D1774,'Team Data'!C:AB,24,FALSE),"")</f>
        <v/>
      </c>
      <c r="S1774" t="str">
        <f>IFERROR(VLOOKUP('OB Format'!D1774,'Team Data'!C:AC,25,FALSE),"")</f>
        <v/>
      </c>
    </row>
    <row r="1775" spans="5:19" x14ac:dyDescent="0.25">
      <c r="E1775" t="str">
        <f>IFERROR(VLOOKUP(D1775,'Team Data'!C:AB,4,FALSE),"")</f>
        <v/>
      </c>
      <c r="F1775" t="str">
        <f>IFERROR(VLOOKUP(D1775,'Team Data'!C:AB,5,FALSE),"")</f>
        <v/>
      </c>
      <c r="G1775" t="str">
        <f>IFERROR(VLOOKUP('OB Format'!D1775,'Team Data'!C:AB,17,FALSE),"")</f>
        <v/>
      </c>
      <c r="H1775" t="str">
        <f>IFERROR(VLOOKUP(D1775,'Team Data'!C:AB,7,FALSE),"")</f>
        <v/>
      </c>
      <c r="I1775" t="str">
        <f>IFERROR(VLOOKUP(D1775,'Team Data'!C:AB,14,FALSE),"")</f>
        <v/>
      </c>
      <c r="J1775" t="str">
        <f>IFERROR(VLOOKUP(D1775,'Team Data'!C:AB,8,FALSE),"")</f>
        <v/>
      </c>
      <c r="K1775" t="str">
        <f>IFERROR(VLOOKUP(D1775,'Team Data'!C:AB,9,FALSE),"")</f>
        <v/>
      </c>
      <c r="L1775" t="str">
        <f>IFERROR(VLOOKUP(D1775,'Team Data'!C:AB,10,FALSE),"")</f>
        <v/>
      </c>
      <c r="M1775" t="str">
        <f t="shared" si="56"/>
        <v/>
      </c>
      <c r="N1775" t="str">
        <f>IFERROR(VLOOKUP(D1775,'Team Data'!C:AB,23,FALSE),"")</f>
        <v/>
      </c>
      <c r="O1775" t="str">
        <f>IFERROR(VLOOKUP(D1775,'Team Data'!C:AB,22,FALSE),"")</f>
        <v/>
      </c>
      <c r="P1775" t="str">
        <f t="shared" si="57"/>
        <v/>
      </c>
      <c r="Q1775" t="str">
        <f>IFERROR(VLOOKUP(D1775,'Team Data'!C:AB,15,FALSE),"")</f>
        <v/>
      </c>
      <c r="R1775" t="str">
        <f>IFERROR(VLOOKUP('OB Format'!D1775,'Team Data'!C:AB,24,FALSE),"")</f>
        <v/>
      </c>
      <c r="S1775" t="str">
        <f>IFERROR(VLOOKUP('OB Format'!D1775,'Team Data'!C:AC,25,FALSE),"")</f>
        <v/>
      </c>
    </row>
    <row r="1776" spans="5:19" x14ac:dyDescent="0.25">
      <c r="E1776" t="str">
        <f>IFERROR(VLOOKUP(D1776,'Team Data'!C:AB,4,FALSE),"")</f>
        <v/>
      </c>
      <c r="F1776" t="str">
        <f>IFERROR(VLOOKUP(D1776,'Team Data'!C:AB,5,FALSE),"")</f>
        <v/>
      </c>
      <c r="G1776" t="str">
        <f>IFERROR(VLOOKUP('OB Format'!D1776,'Team Data'!C:AB,17,FALSE),"")</f>
        <v/>
      </c>
      <c r="H1776" t="str">
        <f>IFERROR(VLOOKUP(D1776,'Team Data'!C:AB,7,FALSE),"")</f>
        <v/>
      </c>
      <c r="I1776" t="str">
        <f>IFERROR(VLOOKUP(D1776,'Team Data'!C:AB,14,FALSE),"")</f>
        <v/>
      </c>
      <c r="J1776" t="str">
        <f>IFERROR(VLOOKUP(D1776,'Team Data'!C:AB,8,FALSE),"")</f>
        <v/>
      </c>
      <c r="K1776" t="str">
        <f>IFERROR(VLOOKUP(D1776,'Team Data'!C:AB,9,FALSE),"")</f>
        <v/>
      </c>
      <c r="L1776" t="str">
        <f>IFERROR(VLOOKUP(D1776,'Team Data'!C:AB,10,FALSE),"")</f>
        <v/>
      </c>
      <c r="M1776" t="str">
        <f t="shared" si="56"/>
        <v/>
      </c>
      <c r="N1776" t="str">
        <f>IFERROR(VLOOKUP(D1776,'Team Data'!C:AB,23,FALSE),"")</f>
        <v/>
      </c>
      <c r="O1776" t="str">
        <f>IFERROR(VLOOKUP(D1776,'Team Data'!C:AB,22,FALSE),"")</f>
        <v/>
      </c>
      <c r="P1776" t="str">
        <f t="shared" si="57"/>
        <v/>
      </c>
      <c r="Q1776" t="str">
        <f>IFERROR(VLOOKUP(D1776,'Team Data'!C:AB,15,FALSE),"")</f>
        <v/>
      </c>
      <c r="R1776" t="str">
        <f>IFERROR(VLOOKUP('OB Format'!D1776,'Team Data'!C:AB,24,FALSE),"")</f>
        <v/>
      </c>
      <c r="S1776" t="str">
        <f>IFERROR(VLOOKUP('OB Format'!D1776,'Team Data'!C:AC,25,FALSE),"")</f>
        <v/>
      </c>
    </row>
    <row r="1777" spans="5:19" x14ac:dyDescent="0.25">
      <c r="E1777" t="str">
        <f>IFERROR(VLOOKUP(D1777,'Team Data'!C:AB,4,FALSE),"")</f>
        <v/>
      </c>
      <c r="F1777" t="str">
        <f>IFERROR(VLOOKUP(D1777,'Team Data'!C:AB,5,FALSE),"")</f>
        <v/>
      </c>
      <c r="G1777" t="str">
        <f>IFERROR(VLOOKUP('OB Format'!D1777,'Team Data'!C:AB,17,FALSE),"")</f>
        <v/>
      </c>
      <c r="H1777" t="str">
        <f>IFERROR(VLOOKUP(D1777,'Team Data'!C:AB,7,FALSE),"")</f>
        <v/>
      </c>
      <c r="I1777" t="str">
        <f>IFERROR(VLOOKUP(D1777,'Team Data'!C:AB,14,FALSE),"")</f>
        <v/>
      </c>
      <c r="J1777" t="str">
        <f>IFERROR(VLOOKUP(D1777,'Team Data'!C:AB,8,FALSE),"")</f>
        <v/>
      </c>
      <c r="K1777" t="str">
        <f>IFERROR(VLOOKUP(D1777,'Team Data'!C:AB,9,FALSE),"")</f>
        <v/>
      </c>
      <c r="L1777" t="str">
        <f>IFERROR(VLOOKUP(D1777,'Team Data'!C:AB,10,FALSE),"")</f>
        <v/>
      </c>
      <c r="M1777" t="str">
        <f t="shared" si="56"/>
        <v/>
      </c>
      <c r="N1777" t="str">
        <f>IFERROR(VLOOKUP(D1777,'Team Data'!C:AB,23,FALSE),"")</f>
        <v/>
      </c>
      <c r="O1777" t="str">
        <f>IFERROR(VLOOKUP(D1777,'Team Data'!C:AB,22,FALSE),"")</f>
        <v/>
      </c>
      <c r="P1777" t="str">
        <f t="shared" si="57"/>
        <v/>
      </c>
      <c r="Q1777" t="str">
        <f>IFERROR(VLOOKUP(D1777,'Team Data'!C:AB,15,FALSE),"")</f>
        <v/>
      </c>
      <c r="R1777" t="str">
        <f>IFERROR(VLOOKUP('OB Format'!D1777,'Team Data'!C:AB,24,FALSE),"")</f>
        <v/>
      </c>
      <c r="S1777" t="str">
        <f>IFERROR(VLOOKUP('OB Format'!D1777,'Team Data'!C:AC,25,FALSE),"")</f>
        <v/>
      </c>
    </row>
    <row r="1778" spans="5:19" x14ac:dyDescent="0.25">
      <c r="E1778" t="str">
        <f>IFERROR(VLOOKUP(D1778,'Team Data'!C:AB,4,FALSE),"")</f>
        <v/>
      </c>
      <c r="F1778" t="str">
        <f>IFERROR(VLOOKUP(D1778,'Team Data'!C:AB,5,FALSE),"")</f>
        <v/>
      </c>
      <c r="G1778" t="str">
        <f>IFERROR(VLOOKUP('OB Format'!D1778,'Team Data'!C:AB,17,FALSE),"")</f>
        <v/>
      </c>
      <c r="H1778" t="str">
        <f>IFERROR(VLOOKUP(D1778,'Team Data'!C:AB,7,FALSE),"")</f>
        <v/>
      </c>
      <c r="I1778" t="str">
        <f>IFERROR(VLOOKUP(D1778,'Team Data'!C:AB,14,FALSE),"")</f>
        <v/>
      </c>
      <c r="J1778" t="str">
        <f>IFERROR(VLOOKUP(D1778,'Team Data'!C:AB,8,FALSE),"")</f>
        <v/>
      </c>
      <c r="K1778" t="str">
        <f>IFERROR(VLOOKUP(D1778,'Team Data'!C:AB,9,FALSE),"")</f>
        <v/>
      </c>
      <c r="L1778" t="str">
        <f>IFERROR(VLOOKUP(D1778,'Team Data'!C:AB,10,FALSE),"")</f>
        <v/>
      </c>
      <c r="M1778" t="str">
        <f t="shared" si="56"/>
        <v/>
      </c>
      <c r="N1778" t="str">
        <f>IFERROR(VLOOKUP(D1778,'Team Data'!C:AB,23,FALSE),"")</f>
        <v/>
      </c>
      <c r="O1778" t="str">
        <f>IFERROR(VLOOKUP(D1778,'Team Data'!C:AB,22,FALSE),"")</f>
        <v/>
      </c>
      <c r="P1778" t="str">
        <f t="shared" si="57"/>
        <v/>
      </c>
      <c r="Q1778" t="str">
        <f>IFERROR(VLOOKUP(D1778,'Team Data'!C:AB,15,FALSE),"")</f>
        <v/>
      </c>
      <c r="R1778" t="str">
        <f>IFERROR(VLOOKUP('OB Format'!D1778,'Team Data'!C:AB,24,FALSE),"")</f>
        <v/>
      </c>
      <c r="S1778" t="str">
        <f>IFERROR(VLOOKUP('OB Format'!D1778,'Team Data'!C:AC,25,FALSE),"")</f>
        <v/>
      </c>
    </row>
    <row r="1779" spans="5:19" x14ac:dyDescent="0.25">
      <c r="E1779" t="str">
        <f>IFERROR(VLOOKUP(D1779,'Team Data'!C:AB,4,FALSE),"")</f>
        <v/>
      </c>
      <c r="F1779" t="str">
        <f>IFERROR(VLOOKUP(D1779,'Team Data'!C:AB,5,FALSE),"")</f>
        <v/>
      </c>
      <c r="G1779" t="str">
        <f>IFERROR(VLOOKUP('OB Format'!D1779,'Team Data'!C:AB,17,FALSE),"")</f>
        <v/>
      </c>
      <c r="H1779" t="str">
        <f>IFERROR(VLOOKUP(D1779,'Team Data'!C:AB,7,FALSE),"")</f>
        <v/>
      </c>
      <c r="I1779" t="str">
        <f>IFERROR(VLOOKUP(D1779,'Team Data'!C:AB,14,FALSE),"")</f>
        <v/>
      </c>
      <c r="J1779" t="str">
        <f>IFERROR(VLOOKUP(D1779,'Team Data'!C:AB,8,FALSE),"")</f>
        <v/>
      </c>
      <c r="K1779" t="str">
        <f>IFERROR(VLOOKUP(D1779,'Team Data'!C:AB,9,FALSE),"")</f>
        <v/>
      </c>
      <c r="L1779" t="str">
        <f>IFERROR(VLOOKUP(D1779,'Team Data'!C:AB,10,FALSE),"")</f>
        <v/>
      </c>
      <c r="M1779" t="str">
        <f t="shared" si="56"/>
        <v/>
      </c>
      <c r="N1779" t="str">
        <f>IFERROR(VLOOKUP(D1779,'Team Data'!C:AB,23,FALSE),"")</f>
        <v/>
      </c>
      <c r="O1779" t="str">
        <f>IFERROR(VLOOKUP(D1779,'Team Data'!C:AB,22,FALSE),"")</f>
        <v/>
      </c>
      <c r="P1779" t="str">
        <f t="shared" si="57"/>
        <v/>
      </c>
      <c r="Q1779" t="str">
        <f>IFERROR(VLOOKUP(D1779,'Team Data'!C:AB,15,FALSE),"")</f>
        <v/>
      </c>
      <c r="R1779" t="str">
        <f>IFERROR(VLOOKUP('OB Format'!D1779,'Team Data'!C:AB,24,FALSE),"")</f>
        <v/>
      </c>
      <c r="S1779" t="str">
        <f>IFERROR(VLOOKUP('OB Format'!D1779,'Team Data'!C:AC,25,FALSE),"")</f>
        <v/>
      </c>
    </row>
    <row r="1780" spans="5:19" x14ac:dyDescent="0.25">
      <c r="E1780" t="str">
        <f>IFERROR(VLOOKUP(D1780,'Team Data'!C:AB,4,FALSE),"")</f>
        <v/>
      </c>
      <c r="F1780" t="str">
        <f>IFERROR(VLOOKUP(D1780,'Team Data'!C:AB,5,FALSE),"")</f>
        <v/>
      </c>
      <c r="G1780" t="str">
        <f>IFERROR(VLOOKUP('OB Format'!D1780,'Team Data'!C:AB,17,FALSE),"")</f>
        <v/>
      </c>
      <c r="H1780" t="str">
        <f>IFERROR(VLOOKUP(D1780,'Team Data'!C:AB,7,FALSE),"")</f>
        <v/>
      </c>
      <c r="I1780" t="str">
        <f>IFERROR(VLOOKUP(D1780,'Team Data'!C:AB,14,FALSE),"")</f>
        <v/>
      </c>
      <c r="J1780" t="str">
        <f>IFERROR(VLOOKUP(D1780,'Team Data'!C:AB,8,FALSE),"")</f>
        <v/>
      </c>
      <c r="K1780" t="str">
        <f>IFERROR(VLOOKUP(D1780,'Team Data'!C:AB,9,FALSE),"")</f>
        <v/>
      </c>
      <c r="L1780" t="str">
        <f>IFERROR(VLOOKUP(D1780,'Team Data'!C:AB,10,FALSE),"")</f>
        <v/>
      </c>
      <c r="M1780" t="str">
        <f t="shared" si="56"/>
        <v/>
      </c>
      <c r="N1780" t="str">
        <f>IFERROR(VLOOKUP(D1780,'Team Data'!C:AB,23,FALSE),"")</f>
        <v/>
      </c>
      <c r="O1780" t="str">
        <f>IFERROR(VLOOKUP(D1780,'Team Data'!C:AB,22,FALSE),"")</f>
        <v/>
      </c>
      <c r="P1780" t="str">
        <f t="shared" si="57"/>
        <v/>
      </c>
      <c r="Q1780" t="str">
        <f>IFERROR(VLOOKUP(D1780,'Team Data'!C:AB,15,FALSE),"")</f>
        <v/>
      </c>
      <c r="R1780" t="str">
        <f>IFERROR(VLOOKUP('OB Format'!D1780,'Team Data'!C:AB,24,FALSE),"")</f>
        <v/>
      </c>
      <c r="S1780" t="str">
        <f>IFERROR(VLOOKUP('OB Format'!D1780,'Team Data'!C:AC,25,FALSE),"")</f>
        <v/>
      </c>
    </row>
    <row r="1781" spans="5:19" x14ac:dyDescent="0.25">
      <c r="E1781" t="str">
        <f>IFERROR(VLOOKUP(D1781,'Team Data'!C:AB,4,FALSE),"")</f>
        <v/>
      </c>
      <c r="F1781" t="str">
        <f>IFERROR(VLOOKUP(D1781,'Team Data'!C:AB,5,FALSE),"")</f>
        <v/>
      </c>
      <c r="G1781" t="str">
        <f>IFERROR(VLOOKUP('OB Format'!D1781,'Team Data'!C:AB,17,FALSE),"")</f>
        <v/>
      </c>
      <c r="H1781" t="str">
        <f>IFERROR(VLOOKUP(D1781,'Team Data'!C:AB,7,FALSE),"")</f>
        <v/>
      </c>
      <c r="I1781" t="str">
        <f>IFERROR(VLOOKUP(D1781,'Team Data'!C:AB,14,FALSE),"")</f>
        <v/>
      </c>
      <c r="J1781" t="str">
        <f>IFERROR(VLOOKUP(D1781,'Team Data'!C:AB,8,FALSE),"")</f>
        <v/>
      </c>
      <c r="K1781" t="str">
        <f>IFERROR(VLOOKUP(D1781,'Team Data'!C:AB,9,FALSE),"")</f>
        <v/>
      </c>
      <c r="L1781" t="str">
        <f>IFERROR(VLOOKUP(D1781,'Team Data'!C:AB,10,FALSE),"")</f>
        <v/>
      </c>
      <c r="M1781" t="str">
        <f t="shared" si="56"/>
        <v/>
      </c>
      <c r="N1781" t="str">
        <f>IFERROR(VLOOKUP(D1781,'Team Data'!C:AB,23,FALSE),"")</f>
        <v/>
      </c>
      <c r="O1781" t="str">
        <f>IFERROR(VLOOKUP(D1781,'Team Data'!C:AB,22,FALSE),"")</f>
        <v/>
      </c>
      <c r="P1781" t="str">
        <f t="shared" si="57"/>
        <v/>
      </c>
      <c r="Q1781" t="str">
        <f>IFERROR(VLOOKUP(D1781,'Team Data'!C:AB,15,FALSE),"")</f>
        <v/>
      </c>
      <c r="R1781" t="str">
        <f>IFERROR(VLOOKUP('OB Format'!D1781,'Team Data'!C:AB,24,FALSE),"")</f>
        <v/>
      </c>
      <c r="S1781" t="str">
        <f>IFERROR(VLOOKUP('OB Format'!D1781,'Team Data'!C:AC,25,FALSE),"")</f>
        <v/>
      </c>
    </row>
    <row r="1782" spans="5:19" x14ac:dyDescent="0.25">
      <c r="E1782" t="str">
        <f>IFERROR(VLOOKUP(D1782,'Team Data'!C:AB,4,FALSE),"")</f>
        <v/>
      </c>
      <c r="F1782" t="str">
        <f>IFERROR(VLOOKUP(D1782,'Team Data'!C:AB,5,FALSE),"")</f>
        <v/>
      </c>
      <c r="G1782" t="str">
        <f>IFERROR(VLOOKUP('OB Format'!D1782,'Team Data'!C:AB,17,FALSE),"")</f>
        <v/>
      </c>
      <c r="H1782" t="str">
        <f>IFERROR(VLOOKUP(D1782,'Team Data'!C:AB,7,FALSE),"")</f>
        <v/>
      </c>
      <c r="I1782" t="str">
        <f>IFERROR(VLOOKUP(D1782,'Team Data'!C:AB,14,FALSE),"")</f>
        <v/>
      </c>
      <c r="J1782" t="str">
        <f>IFERROR(VLOOKUP(D1782,'Team Data'!C:AB,8,FALSE),"")</f>
        <v/>
      </c>
      <c r="K1782" t="str">
        <f>IFERROR(VLOOKUP(D1782,'Team Data'!C:AB,9,FALSE),"")</f>
        <v/>
      </c>
      <c r="L1782" t="str">
        <f>IFERROR(VLOOKUP(D1782,'Team Data'!C:AB,10,FALSE),"")</f>
        <v/>
      </c>
      <c r="M1782" t="str">
        <f t="shared" si="56"/>
        <v/>
      </c>
      <c r="N1782" t="str">
        <f>IFERROR(VLOOKUP(D1782,'Team Data'!C:AB,23,FALSE),"")</f>
        <v/>
      </c>
      <c r="O1782" t="str">
        <f>IFERROR(VLOOKUP(D1782,'Team Data'!C:AB,22,FALSE),"")</f>
        <v/>
      </c>
      <c r="P1782" t="str">
        <f t="shared" si="57"/>
        <v/>
      </c>
      <c r="Q1782" t="str">
        <f>IFERROR(VLOOKUP(D1782,'Team Data'!C:AB,15,FALSE),"")</f>
        <v/>
      </c>
      <c r="R1782" t="str">
        <f>IFERROR(VLOOKUP('OB Format'!D1782,'Team Data'!C:AB,24,FALSE),"")</f>
        <v/>
      </c>
      <c r="S1782" t="str">
        <f>IFERROR(VLOOKUP('OB Format'!D1782,'Team Data'!C:AC,25,FALSE),"")</f>
        <v/>
      </c>
    </row>
    <row r="1783" spans="5:19" x14ac:dyDescent="0.25">
      <c r="E1783" t="str">
        <f>IFERROR(VLOOKUP(D1783,'Team Data'!C:AB,4,FALSE),"")</f>
        <v/>
      </c>
      <c r="F1783" t="str">
        <f>IFERROR(VLOOKUP(D1783,'Team Data'!C:AB,5,FALSE),"")</f>
        <v/>
      </c>
      <c r="G1783" t="str">
        <f>IFERROR(VLOOKUP('OB Format'!D1783,'Team Data'!C:AB,17,FALSE),"")</f>
        <v/>
      </c>
      <c r="H1783" t="str">
        <f>IFERROR(VLOOKUP(D1783,'Team Data'!C:AB,7,FALSE),"")</f>
        <v/>
      </c>
      <c r="I1783" t="str">
        <f>IFERROR(VLOOKUP(D1783,'Team Data'!C:AB,14,FALSE),"")</f>
        <v/>
      </c>
      <c r="J1783" t="str">
        <f>IFERROR(VLOOKUP(D1783,'Team Data'!C:AB,8,FALSE),"")</f>
        <v/>
      </c>
      <c r="K1783" t="str">
        <f>IFERROR(VLOOKUP(D1783,'Team Data'!C:AB,9,FALSE),"")</f>
        <v/>
      </c>
      <c r="L1783" t="str">
        <f>IFERROR(VLOOKUP(D1783,'Team Data'!C:AB,10,FALSE),"")</f>
        <v/>
      </c>
      <c r="M1783" t="str">
        <f t="shared" si="56"/>
        <v/>
      </c>
      <c r="N1783" t="str">
        <f>IFERROR(VLOOKUP(D1783,'Team Data'!C:AB,23,FALSE),"")</f>
        <v/>
      </c>
      <c r="O1783" t="str">
        <f>IFERROR(VLOOKUP(D1783,'Team Data'!C:AB,22,FALSE),"")</f>
        <v/>
      </c>
      <c r="P1783" t="str">
        <f t="shared" si="57"/>
        <v/>
      </c>
      <c r="Q1783" t="str">
        <f>IFERROR(VLOOKUP(D1783,'Team Data'!C:AB,15,FALSE),"")</f>
        <v/>
      </c>
      <c r="R1783" t="str">
        <f>IFERROR(VLOOKUP('OB Format'!D1783,'Team Data'!C:AB,24,FALSE),"")</f>
        <v/>
      </c>
      <c r="S1783" t="str">
        <f>IFERROR(VLOOKUP('OB Format'!D1783,'Team Data'!C:AC,25,FALSE),"")</f>
        <v/>
      </c>
    </row>
    <row r="1784" spans="5:19" x14ac:dyDescent="0.25">
      <c r="E1784" t="str">
        <f>IFERROR(VLOOKUP(D1784,'Team Data'!C:AB,4,FALSE),"")</f>
        <v/>
      </c>
      <c r="F1784" t="str">
        <f>IFERROR(VLOOKUP(D1784,'Team Data'!C:AB,5,FALSE),"")</f>
        <v/>
      </c>
      <c r="G1784" t="str">
        <f>IFERROR(VLOOKUP('OB Format'!D1784,'Team Data'!C:AB,17,FALSE),"")</f>
        <v/>
      </c>
      <c r="H1784" t="str">
        <f>IFERROR(VLOOKUP(D1784,'Team Data'!C:AB,7,FALSE),"")</f>
        <v/>
      </c>
      <c r="I1784" t="str">
        <f>IFERROR(VLOOKUP(D1784,'Team Data'!C:AB,14,FALSE),"")</f>
        <v/>
      </c>
      <c r="J1784" t="str">
        <f>IFERROR(VLOOKUP(D1784,'Team Data'!C:AB,8,FALSE),"")</f>
        <v/>
      </c>
      <c r="K1784" t="str">
        <f>IFERROR(VLOOKUP(D1784,'Team Data'!C:AB,9,FALSE),"")</f>
        <v/>
      </c>
      <c r="L1784" t="str">
        <f>IFERROR(VLOOKUP(D1784,'Team Data'!C:AB,10,FALSE),"")</f>
        <v/>
      </c>
      <c r="M1784" t="str">
        <f t="shared" si="56"/>
        <v/>
      </c>
      <c r="N1784" t="str">
        <f>IFERROR(VLOOKUP(D1784,'Team Data'!C:AB,23,FALSE),"")</f>
        <v/>
      </c>
      <c r="O1784" t="str">
        <f>IFERROR(VLOOKUP(D1784,'Team Data'!C:AB,22,FALSE),"")</f>
        <v/>
      </c>
      <c r="P1784" t="str">
        <f t="shared" si="57"/>
        <v/>
      </c>
      <c r="Q1784" t="str">
        <f>IFERROR(VLOOKUP(D1784,'Team Data'!C:AB,15,FALSE),"")</f>
        <v/>
      </c>
      <c r="R1784" t="str">
        <f>IFERROR(VLOOKUP('OB Format'!D1784,'Team Data'!C:AB,24,FALSE),"")</f>
        <v/>
      </c>
      <c r="S1784" t="str">
        <f>IFERROR(VLOOKUP('OB Format'!D1784,'Team Data'!C:AC,25,FALSE),"")</f>
        <v/>
      </c>
    </row>
    <row r="1785" spans="5:19" x14ac:dyDescent="0.25">
      <c r="E1785" t="str">
        <f>IFERROR(VLOOKUP(D1785,'Team Data'!C:AB,4,FALSE),"")</f>
        <v/>
      </c>
      <c r="F1785" t="str">
        <f>IFERROR(VLOOKUP(D1785,'Team Data'!C:AB,5,FALSE),"")</f>
        <v/>
      </c>
      <c r="G1785" t="str">
        <f>IFERROR(VLOOKUP('OB Format'!D1785,'Team Data'!C:AB,17,FALSE),"")</f>
        <v/>
      </c>
      <c r="H1785" t="str">
        <f>IFERROR(VLOOKUP(D1785,'Team Data'!C:AB,7,FALSE),"")</f>
        <v/>
      </c>
      <c r="I1785" t="str">
        <f>IFERROR(VLOOKUP(D1785,'Team Data'!C:AB,14,FALSE),"")</f>
        <v/>
      </c>
      <c r="J1785" t="str">
        <f>IFERROR(VLOOKUP(D1785,'Team Data'!C:AB,8,FALSE),"")</f>
        <v/>
      </c>
      <c r="K1785" t="str">
        <f>IFERROR(VLOOKUP(D1785,'Team Data'!C:AB,9,FALSE),"")</f>
        <v/>
      </c>
      <c r="L1785" t="str">
        <f>IFERROR(VLOOKUP(D1785,'Team Data'!C:AB,10,FALSE),"")</f>
        <v/>
      </c>
      <c r="M1785" t="str">
        <f t="shared" si="56"/>
        <v/>
      </c>
      <c r="N1785" t="str">
        <f>IFERROR(VLOOKUP(D1785,'Team Data'!C:AB,23,FALSE),"")</f>
        <v/>
      </c>
      <c r="O1785" t="str">
        <f>IFERROR(VLOOKUP(D1785,'Team Data'!C:AB,22,FALSE),"")</f>
        <v/>
      </c>
      <c r="P1785" t="str">
        <f t="shared" si="57"/>
        <v/>
      </c>
      <c r="Q1785" t="str">
        <f>IFERROR(VLOOKUP(D1785,'Team Data'!C:AB,15,FALSE),"")</f>
        <v/>
      </c>
      <c r="R1785" t="str">
        <f>IFERROR(VLOOKUP('OB Format'!D1785,'Team Data'!C:AB,24,FALSE),"")</f>
        <v/>
      </c>
      <c r="S1785" t="str">
        <f>IFERROR(VLOOKUP('OB Format'!D1785,'Team Data'!C:AC,25,FALSE),"")</f>
        <v/>
      </c>
    </row>
    <row r="1786" spans="5:19" x14ac:dyDescent="0.25">
      <c r="E1786" t="str">
        <f>IFERROR(VLOOKUP(D1786,'Team Data'!C:AB,4,FALSE),"")</f>
        <v/>
      </c>
      <c r="F1786" t="str">
        <f>IFERROR(VLOOKUP(D1786,'Team Data'!C:AB,5,FALSE),"")</f>
        <v/>
      </c>
      <c r="G1786" t="str">
        <f>IFERROR(VLOOKUP('OB Format'!D1786,'Team Data'!C:AB,17,FALSE),"")</f>
        <v/>
      </c>
      <c r="H1786" t="str">
        <f>IFERROR(VLOOKUP(D1786,'Team Data'!C:AB,7,FALSE),"")</f>
        <v/>
      </c>
      <c r="I1786" t="str">
        <f>IFERROR(VLOOKUP(D1786,'Team Data'!C:AB,14,FALSE),"")</f>
        <v/>
      </c>
      <c r="J1786" t="str">
        <f>IFERROR(VLOOKUP(D1786,'Team Data'!C:AB,8,FALSE),"")</f>
        <v/>
      </c>
      <c r="K1786" t="str">
        <f>IFERROR(VLOOKUP(D1786,'Team Data'!C:AB,9,FALSE),"")</f>
        <v/>
      </c>
      <c r="L1786" t="str">
        <f>IFERROR(VLOOKUP(D1786,'Team Data'!C:AB,10,FALSE),"")</f>
        <v/>
      </c>
      <c r="M1786" t="str">
        <f t="shared" si="56"/>
        <v/>
      </c>
      <c r="N1786" t="str">
        <f>IFERROR(VLOOKUP(D1786,'Team Data'!C:AB,23,FALSE),"")</f>
        <v/>
      </c>
      <c r="O1786" t="str">
        <f>IFERROR(VLOOKUP(D1786,'Team Data'!C:AB,22,FALSE),"")</f>
        <v/>
      </c>
      <c r="P1786" t="str">
        <f t="shared" si="57"/>
        <v/>
      </c>
      <c r="Q1786" t="str">
        <f>IFERROR(VLOOKUP(D1786,'Team Data'!C:AB,15,FALSE),"")</f>
        <v/>
      </c>
      <c r="R1786" t="str">
        <f>IFERROR(VLOOKUP('OB Format'!D1786,'Team Data'!C:AB,24,FALSE),"")</f>
        <v/>
      </c>
      <c r="S1786" t="str">
        <f>IFERROR(VLOOKUP('OB Format'!D1786,'Team Data'!C:AC,25,FALSE),"")</f>
        <v/>
      </c>
    </row>
    <row r="1787" spans="5:19" x14ac:dyDescent="0.25">
      <c r="E1787" t="str">
        <f>IFERROR(VLOOKUP(D1787,'Team Data'!C:AB,4,FALSE),"")</f>
        <v/>
      </c>
      <c r="F1787" t="str">
        <f>IFERROR(VLOOKUP(D1787,'Team Data'!C:AB,5,FALSE),"")</f>
        <v/>
      </c>
      <c r="G1787" t="str">
        <f>IFERROR(VLOOKUP('OB Format'!D1787,'Team Data'!C:AB,17,FALSE),"")</f>
        <v/>
      </c>
      <c r="H1787" t="str">
        <f>IFERROR(VLOOKUP(D1787,'Team Data'!C:AB,7,FALSE),"")</f>
        <v/>
      </c>
      <c r="I1787" t="str">
        <f>IFERROR(VLOOKUP(D1787,'Team Data'!C:AB,14,FALSE),"")</f>
        <v/>
      </c>
      <c r="J1787" t="str">
        <f>IFERROR(VLOOKUP(D1787,'Team Data'!C:AB,8,FALSE),"")</f>
        <v/>
      </c>
      <c r="K1787" t="str">
        <f>IFERROR(VLOOKUP(D1787,'Team Data'!C:AB,9,FALSE),"")</f>
        <v/>
      </c>
      <c r="L1787" t="str">
        <f>IFERROR(VLOOKUP(D1787,'Team Data'!C:AB,10,FALSE),"")</f>
        <v/>
      </c>
      <c r="M1787" t="str">
        <f t="shared" si="56"/>
        <v/>
      </c>
      <c r="N1787" t="str">
        <f>IFERROR(VLOOKUP(D1787,'Team Data'!C:AB,23,FALSE),"")</f>
        <v/>
      </c>
      <c r="O1787" t="str">
        <f>IFERROR(VLOOKUP(D1787,'Team Data'!C:AB,22,FALSE),"")</f>
        <v/>
      </c>
      <c r="P1787" t="str">
        <f t="shared" si="57"/>
        <v/>
      </c>
      <c r="Q1787" t="str">
        <f>IFERROR(VLOOKUP(D1787,'Team Data'!C:AB,15,FALSE),"")</f>
        <v/>
      </c>
      <c r="R1787" t="str">
        <f>IFERROR(VLOOKUP('OB Format'!D1787,'Team Data'!C:AB,24,FALSE),"")</f>
        <v/>
      </c>
      <c r="S1787" t="str">
        <f>IFERROR(VLOOKUP('OB Format'!D1787,'Team Data'!C:AC,25,FALSE),"")</f>
        <v/>
      </c>
    </row>
    <row r="1788" spans="5:19" x14ac:dyDescent="0.25">
      <c r="E1788" t="str">
        <f>IFERROR(VLOOKUP(D1788,'Team Data'!C:AB,4,FALSE),"")</f>
        <v/>
      </c>
      <c r="F1788" t="str">
        <f>IFERROR(VLOOKUP(D1788,'Team Data'!C:AB,5,FALSE),"")</f>
        <v/>
      </c>
      <c r="G1788" t="str">
        <f>IFERROR(VLOOKUP('OB Format'!D1788,'Team Data'!C:AB,17,FALSE),"")</f>
        <v/>
      </c>
      <c r="H1788" t="str">
        <f>IFERROR(VLOOKUP(D1788,'Team Data'!C:AB,7,FALSE),"")</f>
        <v/>
      </c>
      <c r="I1788" t="str">
        <f>IFERROR(VLOOKUP(D1788,'Team Data'!C:AB,14,FALSE),"")</f>
        <v/>
      </c>
      <c r="J1788" t="str">
        <f>IFERROR(VLOOKUP(D1788,'Team Data'!C:AB,8,FALSE),"")</f>
        <v/>
      </c>
      <c r="K1788" t="str">
        <f>IFERROR(VLOOKUP(D1788,'Team Data'!C:AB,9,FALSE),"")</f>
        <v/>
      </c>
      <c r="L1788" t="str">
        <f>IFERROR(VLOOKUP(D1788,'Team Data'!C:AB,10,FALSE),"")</f>
        <v/>
      </c>
      <c r="M1788" t="str">
        <f t="shared" si="56"/>
        <v/>
      </c>
      <c r="N1788" t="str">
        <f>IFERROR(VLOOKUP(D1788,'Team Data'!C:AB,23,FALSE),"")</f>
        <v/>
      </c>
      <c r="O1788" t="str">
        <f>IFERROR(VLOOKUP(D1788,'Team Data'!C:AB,22,FALSE),"")</f>
        <v/>
      </c>
      <c r="P1788" t="str">
        <f t="shared" si="57"/>
        <v/>
      </c>
      <c r="Q1788" t="str">
        <f>IFERROR(VLOOKUP(D1788,'Team Data'!C:AB,15,FALSE),"")</f>
        <v/>
      </c>
      <c r="R1788" t="str">
        <f>IFERROR(VLOOKUP('OB Format'!D1788,'Team Data'!C:AB,24,FALSE),"")</f>
        <v/>
      </c>
      <c r="S1788" t="str">
        <f>IFERROR(VLOOKUP('OB Format'!D1788,'Team Data'!C:AC,25,FALSE),"")</f>
        <v/>
      </c>
    </row>
    <row r="1789" spans="5:19" x14ac:dyDescent="0.25">
      <c r="E1789" t="str">
        <f>IFERROR(VLOOKUP(D1789,'Team Data'!C:AB,4,FALSE),"")</f>
        <v/>
      </c>
      <c r="F1789" t="str">
        <f>IFERROR(VLOOKUP(D1789,'Team Data'!C:AB,5,FALSE),"")</f>
        <v/>
      </c>
      <c r="G1789" t="str">
        <f>IFERROR(VLOOKUP('OB Format'!D1789,'Team Data'!C:AB,17,FALSE),"")</f>
        <v/>
      </c>
      <c r="H1789" t="str">
        <f>IFERROR(VLOOKUP(D1789,'Team Data'!C:AB,7,FALSE),"")</f>
        <v/>
      </c>
      <c r="I1789" t="str">
        <f>IFERROR(VLOOKUP(D1789,'Team Data'!C:AB,14,FALSE),"")</f>
        <v/>
      </c>
      <c r="J1789" t="str">
        <f>IFERROR(VLOOKUP(D1789,'Team Data'!C:AB,8,FALSE),"")</f>
        <v/>
      </c>
      <c r="K1789" t="str">
        <f>IFERROR(VLOOKUP(D1789,'Team Data'!C:AB,9,FALSE),"")</f>
        <v/>
      </c>
      <c r="L1789" t="str">
        <f>IFERROR(VLOOKUP(D1789,'Team Data'!C:AB,10,FALSE),"")</f>
        <v/>
      </c>
      <c r="M1789" t="str">
        <f t="shared" si="56"/>
        <v/>
      </c>
      <c r="N1789" t="str">
        <f>IFERROR(VLOOKUP(D1789,'Team Data'!C:AB,23,FALSE),"")</f>
        <v/>
      </c>
      <c r="O1789" t="str">
        <f>IFERROR(VLOOKUP(D1789,'Team Data'!C:AB,22,FALSE),"")</f>
        <v/>
      </c>
      <c r="P1789" t="str">
        <f t="shared" si="57"/>
        <v/>
      </c>
      <c r="Q1789" t="str">
        <f>IFERROR(VLOOKUP(D1789,'Team Data'!C:AB,15,FALSE),"")</f>
        <v/>
      </c>
      <c r="R1789" t="str">
        <f>IFERROR(VLOOKUP('OB Format'!D1789,'Team Data'!C:AB,24,FALSE),"")</f>
        <v/>
      </c>
      <c r="S1789" t="str">
        <f>IFERROR(VLOOKUP('OB Format'!D1789,'Team Data'!C:AC,25,FALSE),"")</f>
        <v/>
      </c>
    </row>
    <row r="1790" spans="5:19" x14ac:dyDescent="0.25">
      <c r="E1790" t="str">
        <f>IFERROR(VLOOKUP(D1790,'Team Data'!C:AB,4,FALSE),"")</f>
        <v/>
      </c>
      <c r="F1790" t="str">
        <f>IFERROR(VLOOKUP(D1790,'Team Data'!C:AB,5,FALSE),"")</f>
        <v/>
      </c>
      <c r="G1790" t="str">
        <f>IFERROR(VLOOKUP('OB Format'!D1790,'Team Data'!C:AB,17,FALSE),"")</f>
        <v/>
      </c>
      <c r="H1790" t="str">
        <f>IFERROR(VLOOKUP(D1790,'Team Data'!C:AB,7,FALSE),"")</f>
        <v/>
      </c>
      <c r="I1790" t="str">
        <f>IFERROR(VLOOKUP(D1790,'Team Data'!C:AB,14,FALSE),"")</f>
        <v/>
      </c>
      <c r="J1790" t="str">
        <f>IFERROR(VLOOKUP(D1790,'Team Data'!C:AB,8,FALSE),"")</f>
        <v/>
      </c>
      <c r="K1790" t="str">
        <f>IFERROR(VLOOKUP(D1790,'Team Data'!C:AB,9,FALSE),"")</f>
        <v/>
      </c>
      <c r="L1790" t="str">
        <f>IFERROR(VLOOKUP(D1790,'Team Data'!C:AB,10,FALSE),"")</f>
        <v/>
      </c>
      <c r="M1790" t="str">
        <f t="shared" si="56"/>
        <v/>
      </c>
      <c r="N1790" t="str">
        <f>IFERROR(VLOOKUP(D1790,'Team Data'!C:AB,23,FALSE),"")</f>
        <v/>
      </c>
      <c r="O1790" t="str">
        <f>IFERROR(VLOOKUP(D1790,'Team Data'!C:AB,22,FALSE),"")</f>
        <v/>
      </c>
      <c r="P1790" t="str">
        <f t="shared" si="57"/>
        <v/>
      </c>
      <c r="Q1790" t="str">
        <f>IFERROR(VLOOKUP(D1790,'Team Data'!C:AB,15,FALSE),"")</f>
        <v/>
      </c>
      <c r="R1790" t="str">
        <f>IFERROR(VLOOKUP('OB Format'!D1790,'Team Data'!C:AB,24,FALSE),"")</f>
        <v/>
      </c>
      <c r="S1790" t="str">
        <f>IFERROR(VLOOKUP('OB Format'!D1790,'Team Data'!C:AC,25,FALSE),"")</f>
        <v/>
      </c>
    </row>
    <row r="1791" spans="5:19" x14ac:dyDescent="0.25">
      <c r="E1791" t="str">
        <f>IFERROR(VLOOKUP(D1791,'Team Data'!C:AB,4,FALSE),"")</f>
        <v/>
      </c>
      <c r="F1791" t="str">
        <f>IFERROR(VLOOKUP(D1791,'Team Data'!C:AB,5,FALSE),"")</f>
        <v/>
      </c>
      <c r="G1791" t="str">
        <f>IFERROR(VLOOKUP('OB Format'!D1791,'Team Data'!C:AB,17,FALSE),"")</f>
        <v/>
      </c>
      <c r="H1791" t="str">
        <f>IFERROR(VLOOKUP(D1791,'Team Data'!C:AB,7,FALSE),"")</f>
        <v/>
      </c>
      <c r="I1791" t="str">
        <f>IFERROR(VLOOKUP(D1791,'Team Data'!C:AB,14,FALSE),"")</f>
        <v/>
      </c>
      <c r="J1791" t="str">
        <f>IFERROR(VLOOKUP(D1791,'Team Data'!C:AB,8,FALSE),"")</f>
        <v/>
      </c>
      <c r="K1791" t="str">
        <f>IFERROR(VLOOKUP(D1791,'Team Data'!C:AB,9,FALSE),"")</f>
        <v/>
      </c>
      <c r="L1791" t="str">
        <f>IFERROR(VLOOKUP(D1791,'Team Data'!C:AB,10,FALSE),"")</f>
        <v/>
      </c>
      <c r="M1791" t="str">
        <f t="shared" si="56"/>
        <v/>
      </c>
      <c r="N1791" t="str">
        <f>IFERROR(VLOOKUP(D1791,'Team Data'!C:AB,23,FALSE),"")</f>
        <v/>
      </c>
      <c r="O1791" t="str">
        <f>IFERROR(VLOOKUP(D1791,'Team Data'!C:AB,22,FALSE),"")</f>
        <v/>
      </c>
      <c r="P1791" t="str">
        <f t="shared" si="57"/>
        <v/>
      </c>
      <c r="Q1791" t="str">
        <f>IFERROR(VLOOKUP(D1791,'Team Data'!C:AB,15,FALSE),"")</f>
        <v/>
      </c>
      <c r="R1791" t="str">
        <f>IFERROR(VLOOKUP('OB Format'!D1791,'Team Data'!C:AB,24,FALSE),"")</f>
        <v/>
      </c>
      <c r="S1791" t="str">
        <f>IFERROR(VLOOKUP('OB Format'!D1791,'Team Data'!C:AC,25,FALSE),"")</f>
        <v/>
      </c>
    </row>
    <row r="1792" spans="5:19" x14ac:dyDescent="0.25">
      <c r="E1792" t="str">
        <f>IFERROR(VLOOKUP(D1792,'Team Data'!C:AB,4,FALSE),"")</f>
        <v/>
      </c>
      <c r="F1792" t="str">
        <f>IFERROR(VLOOKUP(D1792,'Team Data'!C:AB,5,FALSE),"")</f>
        <v/>
      </c>
      <c r="G1792" t="str">
        <f>IFERROR(VLOOKUP('OB Format'!D1792,'Team Data'!C:AB,17,FALSE),"")</f>
        <v/>
      </c>
      <c r="H1792" t="str">
        <f>IFERROR(VLOOKUP(D1792,'Team Data'!C:AB,7,FALSE),"")</f>
        <v/>
      </c>
      <c r="I1792" t="str">
        <f>IFERROR(VLOOKUP(D1792,'Team Data'!C:AB,14,FALSE),"")</f>
        <v/>
      </c>
      <c r="J1792" t="str">
        <f>IFERROR(VLOOKUP(D1792,'Team Data'!C:AB,8,FALSE),"")</f>
        <v/>
      </c>
      <c r="K1792" t="str">
        <f>IFERROR(VLOOKUP(D1792,'Team Data'!C:AB,9,FALSE),"")</f>
        <v/>
      </c>
      <c r="L1792" t="str">
        <f>IFERROR(VLOOKUP(D1792,'Team Data'!C:AB,10,FALSE),"")</f>
        <v/>
      </c>
      <c r="M1792" t="str">
        <f t="shared" si="56"/>
        <v/>
      </c>
      <c r="N1792" t="str">
        <f>IFERROR(VLOOKUP(D1792,'Team Data'!C:AB,23,FALSE),"")</f>
        <v/>
      </c>
      <c r="O1792" t="str">
        <f>IFERROR(VLOOKUP(D1792,'Team Data'!C:AB,22,FALSE),"")</f>
        <v/>
      </c>
      <c r="P1792" t="str">
        <f t="shared" si="57"/>
        <v/>
      </c>
      <c r="Q1792" t="str">
        <f>IFERROR(VLOOKUP(D1792,'Team Data'!C:AB,15,FALSE),"")</f>
        <v/>
      </c>
      <c r="R1792" t="str">
        <f>IFERROR(VLOOKUP('OB Format'!D1792,'Team Data'!C:AB,24,FALSE),"")</f>
        <v/>
      </c>
      <c r="S1792" t="str">
        <f>IFERROR(VLOOKUP('OB Format'!D1792,'Team Data'!C:AC,25,FALSE),"")</f>
        <v/>
      </c>
    </row>
    <row r="1793" spans="5:19" x14ac:dyDescent="0.25">
      <c r="E1793" t="str">
        <f>IFERROR(VLOOKUP(D1793,'Team Data'!C:AB,4,FALSE),"")</f>
        <v/>
      </c>
      <c r="F1793" t="str">
        <f>IFERROR(VLOOKUP(D1793,'Team Data'!C:AB,5,FALSE),"")</f>
        <v/>
      </c>
      <c r="G1793" t="str">
        <f>IFERROR(VLOOKUP('OB Format'!D1793,'Team Data'!C:AB,17,FALSE),"")</f>
        <v/>
      </c>
      <c r="H1793" t="str">
        <f>IFERROR(VLOOKUP(D1793,'Team Data'!C:AB,7,FALSE),"")</f>
        <v/>
      </c>
      <c r="I1793" t="str">
        <f>IFERROR(VLOOKUP(D1793,'Team Data'!C:AB,14,FALSE),"")</f>
        <v/>
      </c>
      <c r="J1793" t="str">
        <f>IFERROR(VLOOKUP(D1793,'Team Data'!C:AB,8,FALSE),"")</f>
        <v/>
      </c>
      <c r="K1793" t="str">
        <f>IFERROR(VLOOKUP(D1793,'Team Data'!C:AB,9,FALSE),"")</f>
        <v/>
      </c>
      <c r="L1793" t="str">
        <f>IFERROR(VLOOKUP(D1793,'Team Data'!C:AB,10,FALSE),"")</f>
        <v/>
      </c>
      <c r="M1793" t="str">
        <f t="shared" si="56"/>
        <v/>
      </c>
      <c r="N1793" t="str">
        <f>IFERROR(VLOOKUP(D1793,'Team Data'!C:AB,23,FALSE),"")</f>
        <v/>
      </c>
      <c r="O1793" t="str">
        <f>IFERROR(VLOOKUP(D1793,'Team Data'!C:AB,22,FALSE),"")</f>
        <v/>
      </c>
      <c r="P1793" t="str">
        <f t="shared" si="57"/>
        <v/>
      </c>
      <c r="Q1793" t="str">
        <f>IFERROR(VLOOKUP(D1793,'Team Data'!C:AB,15,FALSE),"")</f>
        <v/>
      </c>
      <c r="R1793" t="str">
        <f>IFERROR(VLOOKUP('OB Format'!D1793,'Team Data'!C:AB,24,FALSE),"")</f>
        <v/>
      </c>
      <c r="S1793" t="str">
        <f>IFERROR(VLOOKUP('OB Format'!D1793,'Team Data'!C:AC,25,FALSE),"")</f>
        <v/>
      </c>
    </row>
    <row r="1794" spans="5:19" x14ac:dyDescent="0.25">
      <c r="E1794" t="str">
        <f>IFERROR(VLOOKUP(D1794,'Team Data'!C:AB,4,FALSE),"")</f>
        <v/>
      </c>
      <c r="F1794" t="str">
        <f>IFERROR(VLOOKUP(D1794,'Team Data'!C:AB,5,FALSE),"")</f>
        <v/>
      </c>
      <c r="G1794" t="str">
        <f>IFERROR(VLOOKUP('OB Format'!D1794,'Team Data'!C:AB,17,FALSE),"")</f>
        <v/>
      </c>
      <c r="H1794" t="str">
        <f>IFERROR(VLOOKUP(D1794,'Team Data'!C:AB,7,FALSE),"")</f>
        <v/>
      </c>
      <c r="I1794" t="str">
        <f>IFERROR(VLOOKUP(D1794,'Team Data'!C:AB,14,FALSE),"")</f>
        <v/>
      </c>
      <c r="J1794" t="str">
        <f>IFERROR(VLOOKUP(D1794,'Team Data'!C:AB,8,FALSE),"")</f>
        <v/>
      </c>
      <c r="K1794" t="str">
        <f>IFERROR(VLOOKUP(D1794,'Team Data'!C:AB,9,FALSE),"")</f>
        <v/>
      </c>
      <c r="L1794" t="str">
        <f>IFERROR(VLOOKUP(D1794,'Team Data'!C:AB,10,FALSE),"")</f>
        <v/>
      </c>
      <c r="M1794" t="str">
        <f t="shared" si="56"/>
        <v/>
      </c>
      <c r="N1794" t="str">
        <f>IFERROR(VLOOKUP(D1794,'Team Data'!C:AB,23,FALSE),"")</f>
        <v/>
      </c>
      <c r="O1794" t="str">
        <f>IFERROR(VLOOKUP(D1794,'Team Data'!C:AB,22,FALSE),"")</f>
        <v/>
      </c>
      <c r="P1794" t="str">
        <f t="shared" si="57"/>
        <v/>
      </c>
      <c r="Q1794" t="str">
        <f>IFERROR(VLOOKUP(D1794,'Team Data'!C:AB,15,FALSE),"")</f>
        <v/>
      </c>
      <c r="R1794" t="str">
        <f>IFERROR(VLOOKUP('OB Format'!D1794,'Team Data'!C:AB,24,FALSE),"")</f>
        <v/>
      </c>
      <c r="S1794" t="str">
        <f>IFERROR(VLOOKUP('OB Format'!D1794,'Team Data'!C:AC,25,FALSE),"")</f>
        <v/>
      </c>
    </row>
    <row r="1795" spans="5:19" x14ac:dyDescent="0.25">
      <c r="E1795" t="str">
        <f>IFERROR(VLOOKUP(D1795,'Team Data'!C:AB,4,FALSE),"")</f>
        <v/>
      </c>
      <c r="F1795" t="str">
        <f>IFERROR(VLOOKUP(D1795,'Team Data'!C:AB,5,FALSE),"")</f>
        <v/>
      </c>
      <c r="G1795" t="str">
        <f>IFERROR(VLOOKUP('OB Format'!D1795,'Team Data'!C:AB,17,FALSE),"")</f>
        <v/>
      </c>
      <c r="H1795" t="str">
        <f>IFERROR(VLOOKUP(D1795,'Team Data'!C:AB,7,FALSE),"")</f>
        <v/>
      </c>
      <c r="I1795" t="str">
        <f>IFERROR(VLOOKUP(D1795,'Team Data'!C:AB,14,FALSE),"")</f>
        <v/>
      </c>
      <c r="J1795" t="str">
        <f>IFERROR(VLOOKUP(D1795,'Team Data'!C:AB,8,FALSE),"")</f>
        <v/>
      </c>
      <c r="K1795" t="str">
        <f>IFERROR(VLOOKUP(D1795,'Team Data'!C:AB,9,FALSE),"")</f>
        <v/>
      </c>
      <c r="L1795" t="str">
        <f>IFERROR(VLOOKUP(D1795,'Team Data'!C:AB,10,FALSE),"")</f>
        <v/>
      </c>
      <c r="M1795" t="str">
        <f t="shared" si="56"/>
        <v/>
      </c>
      <c r="N1795" t="str">
        <f>IFERROR(VLOOKUP(D1795,'Team Data'!C:AB,23,FALSE),"")</f>
        <v/>
      </c>
      <c r="O1795" t="str">
        <f>IFERROR(VLOOKUP(D1795,'Team Data'!C:AB,22,FALSE),"")</f>
        <v/>
      </c>
      <c r="P1795" t="str">
        <f t="shared" si="57"/>
        <v/>
      </c>
      <c r="Q1795" t="str">
        <f>IFERROR(VLOOKUP(D1795,'Team Data'!C:AB,15,FALSE),"")</f>
        <v/>
      </c>
      <c r="R1795" t="str">
        <f>IFERROR(VLOOKUP('OB Format'!D1795,'Team Data'!C:AB,24,FALSE),"")</f>
        <v/>
      </c>
      <c r="S1795" t="str">
        <f>IFERROR(VLOOKUP('OB Format'!D1795,'Team Data'!C:AC,25,FALSE),"")</f>
        <v/>
      </c>
    </row>
    <row r="1796" spans="5:19" x14ac:dyDescent="0.25">
      <c r="E1796" t="str">
        <f>IFERROR(VLOOKUP(D1796,'Team Data'!C:AB,4,FALSE),"")</f>
        <v/>
      </c>
      <c r="F1796" t="str">
        <f>IFERROR(VLOOKUP(D1796,'Team Data'!C:AB,5,FALSE),"")</f>
        <v/>
      </c>
      <c r="G1796" t="str">
        <f>IFERROR(VLOOKUP('OB Format'!D1796,'Team Data'!C:AB,17,FALSE),"")</f>
        <v/>
      </c>
      <c r="H1796" t="str">
        <f>IFERROR(VLOOKUP(D1796,'Team Data'!C:AB,7,FALSE),"")</f>
        <v/>
      </c>
      <c r="I1796" t="str">
        <f>IFERROR(VLOOKUP(D1796,'Team Data'!C:AB,14,FALSE),"")</f>
        <v/>
      </c>
      <c r="J1796" t="str">
        <f>IFERROR(VLOOKUP(D1796,'Team Data'!C:AB,8,FALSE),"")</f>
        <v/>
      </c>
      <c r="K1796" t="str">
        <f>IFERROR(VLOOKUP(D1796,'Team Data'!C:AB,9,FALSE),"")</f>
        <v/>
      </c>
      <c r="L1796" t="str">
        <f>IFERROR(VLOOKUP(D1796,'Team Data'!C:AB,10,FALSE),"")</f>
        <v/>
      </c>
      <c r="M1796" t="str">
        <f t="shared" si="56"/>
        <v/>
      </c>
      <c r="N1796" t="str">
        <f>IFERROR(VLOOKUP(D1796,'Team Data'!C:AB,23,FALSE),"")</f>
        <v/>
      </c>
      <c r="O1796" t="str">
        <f>IFERROR(VLOOKUP(D1796,'Team Data'!C:AB,22,FALSE),"")</f>
        <v/>
      </c>
      <c r="P1796" t="str">
        <f t="shared" si="57"/>
        <v/>
      </c>
      <c r="Q1796" t="str">
        <f>IFERROR(VLOOKUP(D1796,'Team Data'!C:AB,15,FALSE),"")</f>
        <v/>
      </c>
      <c r="R1796" t="str">
        <f>IFERROR(VLOOKUP('OB Format'!D1796,'Team Data'!C:AB,24,FALSE),"")</f>
        <v/>
      </c>
      <c r="S1796" t="str">
        <f>IFERROR(VLOOKUP('OB Format'!D1796,'Team Data'!C:AC,25,FALSE),"")</f>
        <v/>
      </c>
    </row>
    <row r="1797" spans="5:19" x14ac:dyDescent="0.25">
      <c r="E1797" t="str">
        <f>IFERROR(VLOOKUP(D1797,'Team Data'!C:AB,4,FALSE),"")</f>
        <v/>
      </c>
      <c r="F1797" t="str">
        <f>IFERROR(VLOOKUP(D1797,'Team Data'!C:AB,5,FALSE),"")</f>
        <v/>
      </c>
      <c r="G1797" t="str">
        <f>IFERROR(VLOOKUP('OB Format'!D1797,'Team Data'!C:AB,17,FALSE),"")</f>
        <v/>
      </c>
      <c r="H1797" t="str">
        <f>IFERROR(VLOOKUP(D1797,'Team Data'!C:AB,7,FALSE),"")</f>
        <v/>
      </c>
      <c r="I1797" t="str">
        <f>IFERROR(VLOOKUP(D1797,'Team Data'!C:AB,14,FALSE),"")</f>
        <v/>
      </c>
      <c r="J1797" t="str">
        <f>IFERROR(VLOOKUP(D1797,'Team Data'!C:AB,8,FALSE),"")</f>
        <v/>
      </c>
      <c r="K1797" t="str">
        <f>IFERROR(VLOOKUP(D1797,'Team Data'!C:AB,9,FALSE),"")</f>
        <v/>
      </c>
      <c r="L1797" t="str">
        <f>IFERROR(VLOOKUP(D1797,'Team Data'!C:AB,10,FALSE),"")</f>
        <v/>
      </c>
      <c r="M1797" t="str">
        <f t="shared" si="56"/>
        <v/>
      </c>
      <c r="N1797" t="str">
        <f>IFERROR(VLOOKUP(D1797,'Team Data'!C:AB,23,FALSE),"")</f>
        <v/>
      </c>
      <c r="O1797" t="str">
        <f>IFERROR(VLOOKUP(D1797,'Team Data'!C:AB,22,FALSE),"")</f>
        <v/>
      </c>
      <c r="P1797" t="str">
        <f t="shared" si="57"/>
        <v/>
      </c>
      <c r="Q1797" t="str">
        <f>IFERROR(VLOOKUP(D1797,'Team Data'!C:AB,15,FALSE),"")</f>
        <v/>
      </c>
      <c r="R1797" t="str">
        <f>IFERROR(VLOOKUP('OB Format'!D1797,'Team Data'!C:AB,24,FALSE),"")</f>
        <v/>
      </c>
      <c r="S1797" t="str">
        <f>IFERROR(VLOOKUP('OB Format'!D1797,'Team Data'!C:AC,25,FALSE),"")</f>
        <v/>
      </c>
    </row>
    <row r="1798" spans="5:19" x14ac:dyDescent="0.25">
      <c r="E1798" t="str">
        <f>IFERROR(VLOOKUP(D1798,'Team Data'!C:AB,4,FALSE),"")</f>
        <v/>
      </c>
      <c r="F1798" t="str">
        <f>IFERROR(VLOOKUP(D1798,'Team Data'!C:AB,5,FALSE),"")</f>
        <v/>
      </c>
      <c r="G1798" t="str">
        <f>IFERROR(VLOOKUP('OB Format'!D1798,'Team Data'!C:AB,17,FALSE),"")</f>
        <v/>
      </c>
      <c r="H1798" t="str">
        <f>IFERROR(VLOOKUP(D1798,'Team Data'!C:AB,7,FALSE),"")</f>
        <v/>
      </c>
      <c r="I1798" t="str">
        <f>IFERROR(VLOOKUP(D1798,'Team Data'!C:AB,14,FALSE),"")</f>
        <v/>
      </c>
      <c r="J1798" t="str">
        <f>IFERROR(VLOOKUP(D1798,'Team Data'!C:AB,8,FALSE),"")</f>
        <v/>
      </c>
      <c r="K1798" t="str">
        <f>IFERROR(VLOOKUP(D1798,'Team Data'!C:AB,9,FALSE),"")</f>
        <v/>
      </c>
      <c r="L1798" t="str">
        <f>IFERROR(VLOOKUP(D1798,'Team Data'!C:AB,10,FALSE),"")</f>
        <v/>
      </c>
      <c r="M1798" t="str">
        <f t="shared" si="56"/>
        <v/>
      </c>
      <c r="N1798" t="str">
        <f>IFERROR(VLOOKUP(D1798,'Team Data'!C:AB,23,FALSE),"")</f>
        <v/>
      </c>
      <c r="O1798" t="str">
        <f>IFERROR(VLOOKUP(D1798,'Team Data'!C:AB,22,FALSE),"")</f>
        <v/>
      </c>
      <c r="P1798" t="str">
        <f t="shared" si="57"/>
        <v/>
      </c>
      <c r="Q1798" t="str">
        <f>IFERROR(VLOOKUP(D1798,'Team Data'!C:AB,15,FALSE),"")</f>
        <v/>
      </c>
      <c r="R1798" t="str">
        <f>IFERROR(VLOOKUP('OB Format'!D1798,'Team Data'!C:AB,24,FALSE),"")</f>
        <v/>
      </c>
      <c r="S1798" t="str">
        <f>IFERROR(VLOOKUP('OB Format'!D1798,'Team Data'!C:AC,25,FALSE),"")</f>
        <v/>
      </c>
    </row>
    <row r="1799" spans="5:19" x14ac:dyDescent="0.25">
      <c r="E1799" t="str">
        <f>IFERROR(VLOOKUP(D1799,'Team Data'!C:AB,4,FALSE),"")</f>
        <v/>
      </c>
      <c r="F1799" t="str">
        <f>IFERROR(VLOOKUP(D1799,'Team Data'!C:AB,5,FALSE),"")</f>
        <v/>
      </c>
      <c r="G1799" t="str">
        <f>IFERROR(VLOOKUP('OB Format'!D1799,'Team Data'!C:AB,17,FALSE),"")</f>
        <v/>
      </c>
      <c r="H1799" t="str">
        <f>IFERROR(VLOOKUP(D1799,'Team Data'!C:AB,7,FALSE),"")</f>
        <v/>
      </c>
      <c r="I1799" t="str">
        <f>IFERROR(VLOOKUP(D1799,'Team Data'!C:AB,14,FALSE),"")</f>
        <v/>
      </c>
      <c r="J1799" t="str">
        <f>IFERROR(VLOOKUP(D1799,'Team Data'!C:AB,8,FALSE),"")</f>
        <v/>
      </c>
      <c r="K1799" t="str">
        <f>IFERROR(VLOOKUP(D1799,'Team Data'!C:AB,9,FALSE),"")</f>
        <v/>
      </c>
      <c r="L1799" t="str">
        <f>IFERROR(VLOOKUP(D1799,'Team Data'!C:AB,10,FALSE),"")</f>
        <v/>
      </c>
      <c r="M1799" t="str">
        <f t="shared" si="56"/>
        <v/>
      </c>
      <c r="N1799" t="str">
        <f>IFERROR(VLOOKUP(D1799,'Team Data'!C:AB,23,FALSE),"")</f>
        <v/>
      </c>
      <c r="O1799" t="str">
        <f>IFERROR(VLOOKUP(D1799,'Team Data'!C:AB,22,FALSE),"")</f>
        <v/>
      </c>
      <c r="P1799" t="str">
        <f t="shared" si="57"/>
        <v/>
      </c>
      <c r="Q1799" t="str">
        <f>IFERROR(VLOOKUP(D1799,'Team Data'!C:AB,15,FALSE),"")</f>
        <v/>
      </c>
      <c r="R1799" t="str">
        <f>IFERROR(VLOOKUP('OB Format'!D1799,'Team Data'!C:AB,24,FALSE),"")</f>
        <v/>
      </c>
      <c r="S1799" t="str">
        <f>IFERROR(VLOOKUP('OB Format'!D1799,'Team Data'!C:AC,25,FALSE),"")</f>
        <v/>
      </c>
    </row>
    <row r="1800" spans="5:19" x14ac:dyDescent="0.25">
      <c r="E1800" t="str">
        <f>IFERROR(VLOOKUP(D1800,'Team Data'!C:AB,4,FALSE),"")</f>
        <v/>
      </c>
      <c r="F1800" t="str">
        <f>IFERROR(VLOOKUP(D1800,'Team Data'!C:AB,5,FALSE),"")</f>
        <v/>
      </c>
      <c r="G1800" t="str">
        <f>IFERROR(VLOOKUP('OB Format'!D1800,'Team Data'!C:AB,17,FALSE),"")</f>
        <v/>
      </c>
      <c r="H1800" t="str">
        <f>IFERROR(VLOOKUP(D1800,'Team Data'!C:AB,7,FALSE),"")</f>
        <v/>
      </c>
      <c r="I1800" t="str">
        <f>IFERROR(VLOOKUP(D1800,'Team Data'!C:AB,14,FALSE),"")</f>
        <v/>
      </c>
      <c r="J1800" t="str">
        <f>IFERROR(VLOOKUP(D1800,'Team Data'!C:AB,8,FALSE),"")</f>
        <v/>
      </c>
      <c r="K1800" t="str">
        <f>IFERROR(VLOOKUP(D1800,'Team Data'!C:AB,9,FALSE),"")</f>
        <v/>
      </c>
      <c r="L1800" t="str">
        <f>IFERROR(VLOOKUP(D1800,'Team Data'!C:AB,10,FALSE),"")</f>
        <v/>
      </c>
      <c r="M1800" t="str">
        <f t="shared" si="56"/>
        <v/>
      </c>
      <c r="N1800" t="str">
        <f>IFERROR(VLOOKUP(D1800,'Team Data'!C:AB,23,FALSE),"")</f>
        <v/>
      </c>
      <c r="O1800" t="str">
        <f>IFERROR(VLOOKUP(D1800,'Team Data'!C:AB,22,FALSE),"")</f>
        <v/>
      </c>
      <c r="P1800" t="str">
        <f t="shared" si="57"/>
        <v/>
      </c>
      <c r="Q1800" t="str">
        <f>IFERROR(VLOOKUP(D1800,'Team Data'!C:AB,15,FALSE),"")</f>
        <v/>
      </c>
      <c r="R1800" t="str">
        <f>IFERROR(VLOOKUP('OB Format'!D1800,'Team Data'!C:AB,24,FALSE),"")</f>
        <v/>
      </c>
      <c r="S1800" t="str">
        <f>IFERROR(VLOOKUP('OB Format'!D1800,'Team Data'!C:AC,25,FALSE),"")</f>
        <v/>
      </c>
    </row>
    <row r="1801" spans="5:19" x14ac:dyDescent="0.25">
      <c r="E1801" t="str">
        <f>IFERROR(VLOOKUP(D1801,'Team Data'!C:AB,4,FALSE),"")</f>
        <v/>
      </c>
      <c r="F1801" t="str">
        <f>IFERROR(VLOOKUP(D1801,'Team Data'!C:AB,5,FALSE),"")</f>
        <v/>
      </c>
      <c r="G1801" t="str">
        <f>IFERROR(VLOOKUP('OB Format'!D1801,'Team Data'!C:AB,17,FALSE),"")</f>
        <v/>
      </c>
      <c r="H1801" t="str">
        <f>IFERROR(VLOOKUP(D1801,'Team Data'!C:AB,7,FALSE),"")</f>
        <v/>
      </c>
      <c r="I1801" t="str">
        <f>IFERROR(VLOOKUP(D1801,'Team Data'!C:AB,14,FALSE),"")</f>
        <v/>
      </c>
      <c r="J1801" t="str">
        <f>IFERROR(VLOOKUP(D1801,'Team Data'!C:AB,8,FALSE),"")</f>
        <v/>
      </c>
      <c r="K1801" t="str">
        <f>IFERROR(VLOOKUP(D1801,'Team Data'!C:AB,9,FALSE),"")</f>
        <v/>
      </c>
      <c r="L1801" t="str">
        <f>IFERROR(VLOOKUP(D1801,'Team Data'!C:AB,10,FALSE),"")</f>
        <v/>
      </c>
      <c r="M1801" t="str">
        <f t="shared" si="56"/>
        <v/>
      </c>
      <c r="N1801" t="str">
        <f>IFERROR(VLOOKUP(D1801,'Team Data'!C:AB,23,FALSE),"")</f>
        <v/>
      </c>
      <c r="O1801" t="str">
        <f>IFERROR(VLOOKUP(D1801,'Team Data'!C:AB,22,FALSE),"")</f>
        <v/>
      </c>
      <c r="P1801" t="str">
        <f t="shared" si="57"/>
        <v/>
      </c>
      <c r="Q1801" t="str">
        <f>IFERROR(VLOOKUP(D1801,'Team Data'!C:AB,15,FALSE),"")</f>
        <v/>
      </c>
      <c r="R1801" t="str">
        <f>IFERROR(VLOOKUP('OB Format'!D1801,'Team Data'!C:AB,24,FALSE),"")</f>
        <v/>
      </c>
      <c r="S1801" t="str">
        <f>IFERROR(VLOOKUP('OB Format'!D1801,'Team Data'!C:AC,25,FALSE),"")</f>
        <v/>
      </c>
    </row>
    <row r="1802" spans="5:19" x14ac:dyDescent="0.25">
      <c r="E1802" t="str">
        <f>IFERROR(VLOOKUP(D1802,'Team Data'!C:AB,4,FALSE),"")</f>
        <v/>
      </c>
      <c r="F1802" t="str">
        <f>IFERROR(VLOOKUP(D1802,'Team Data'!C:AB,5,FALSE),"")</f>
        <v/>
      </c>
      <c r="G1802" t="str">
        <f>IFERROR(VLOOKUP('OB Format'!D1802,'Team Data'!C:AB,17,FALSE),"")</f>
        <v/>
      </c>
      <c r="H1802" t="str">
        <f>IFERROR(VLOOKUP(D1802,'Team Data'!C:AB,7,FALSE),"")</f>
        <v/>
      </c>
      <c r="I1802" t="str">
        <f>IFERROR(VLOOKUP(D1802,'Team Data'!C:AB,14,FALSE),"")</f>
        <v/>
      </c>
      <c r="J1802" t="str">
        <f>IFERROR(VLOOKUP(D1802,'Team Data'!C:AB,8,FALSE),"")</f>
        <v/>
      </c>
      <c r="K1802" t="str">
        <f>IFERROR(VLOOKUP(D1802,'Team Data'!C:AB,9,FALSE),"")</f>
        <v/>
      </c>
      <c r="L1802" t="str">
        <f>IFERROR(VLOOKUP(D1802,'Team Data'!C:AB,10,FALSE),"")</f>
        <v/>
      </c>
      <c r="M1802" t="str">
        <f t="shared" si="56"/>
        <v/>
      </c>
      <c r="N1802" t="str">
        <f>IFERROR(VLOOKUP(D1802,'Team Data'!C:AB,23,FALSE),"")</f>
        <v/>
      </c>
      <c r="O1802" t="str">
        <f>IFERROR(VLOOKUP(D1802,'Team Data'!C:AB,22,FALSE),"")</f>
        <v/>
      </c>
      <c r="P1802" t="str">
        <f t="shared" si="57"/>
        <v/>
      </c>
      <c r="Q1802" t="str">
        <f>IFERROR(VLOOKUP(D1802,'Team Data'!C:AB,15,FALSE),"")</f>
        <v/>
      </c>
      <c r="R1802" t="str">
        <f>IFERROR(VLOOKUP('OB Format'!D1802,'Team Data'!C:AB,24,FALSE),"")</f>
        <v/>
      </c>
      <c r="S1802" t="str">
        <f>IFERROR(VLOOKUP('OB Format'!D1802,'Team Data'!C:AC,25,FALSE),"")</f>
        <v/>
      </c>
    </row>
    <row r="1803" spans="5:19" x14ac:dyDescent="0.25">
      <c r="E1803" t="str">
        <f>IFERROR(VLOOKUP(D1803,'Team Data'!C:AB,4,FALSE),"")</f>
        <v/>
      </c>
      <c r="F1803" t="str">
        <f>IFERROR(VLOOKUP(D1803,'Team Data'!C:AB,5,FALSE),"")</f>
        <v/>
      </c>
      <c r="G1803" t="str">
        <f>IFERROR(VLOOKUP('OB Format'!D1803,'Team Data'!C:AB,17,FALSE),"")</f>
        <v/>
      </c>
      <c r="H1803" t="str">
        <f>IFERROR(VLOOKUP(D1803,'Team Data'!C:AB,7,FALSE),"")</f>
        <v/>
      </c>
      <c r="I1803" t="str">
        <f>IFERROR(VLOOKUP(D1803,'Team Data'!C:AB,14,FALSE),"")</f>
        <v/>
      </c>
      <c r="J1803" t="str">
        <f>IFERROR(VLOOKUP(D1803,'Team Data'!C:AB,8,FALSE),"")</f>
        <v/>
      </c>
      <c r="K1803" t="str">
        <f>IFERROR(VLOOKUP(D1803,'Team Data'!C:AB,9,FALSE),"")</f>
        <v/>
      </c>
      <c r="L1803" t="str">
        <f>IFERROR(VLOOKUP(D1803,'Team Data'!C:AB,10,FALSE),"")</f>
        <v/>
      </c>
      <c r="M1803" t="str">
        <f t="shared" si="56"/>
        <v/>
      </c>
      <c r="N1803" t="str">
        <f>IFERROR(VLOOKUP(D1803,'Team Data'!C:AB,23,FALSE),"")</f>
        <v/>
      </c>
      <c r="O1803" t="str">
        <f>IFERROR(VLOOKUP(D1803,'Team Data'!C:AB,22,FALSE),"")</f>
        <v/>
      </c>
      <c r="P1803" t="str">
        <f t="shared" si="57"/>
        <v/>
      </c>
      <c r="Q1803" t="str">
        <f>IFERROR(VLOOKUP(D1803,'Team Data'!C:AB,15,FALSE),"")</f>
        <v/>
      </c>
      <c r="R1803" t="str">
        <f>IFERROR(VLOOKUP('OB Format'!D1803,'Team Data'!C:AB,24,FALSE),"")</f>
        <v/>
      </c>
      <c r="S1803" t="str">
        <f>IFERROR(VLOOKUP('OB Format'!D1803,'Team Data'!C:AC,25,FALSE),"")</f>
        <v/>
      </c>
    </row>
    <row r="1804" spans="5:19" x14ac:dyDescent="0.25">
      <c r="E1804" t="str">
        <f>IFERROR(VLOOKUP(D1804,'Team Data'!C:AB,4,FALSE),"")</f>
        <v/>
      </c>
      <c r="F1804" t="str">
        <f>IFERROR(VLOOKUP(D1804,'Team Data'!C:AB,5,FALSE),"")</f>
        <v/>
      </c>
      <c r="G1804" t="str">
        <f>IFERROR(VLOOKUP('OB Format'!D1804,'Team Data'!C:AB,17,FALSE),"")</f>
        <v/>
      </c>
      <c r="H1804" t="str">
        <f>IFERROR(VLOOKUP(D1804,'Team Data'!C:AB,7,FALSE),"")</f>
        <v/>
      </c>
      <c r="I1804" t="str">
        <f>IFERROR(VLOOKUP(D1804,'Team Data'!C:AB,14,FALSE),"")</f>
        <v/>
      </c>
      <c r="J1804" t="str">
        <f>IFERROR(VLOOKUP(D1804,'Team Data'!C:AB,8,FALSE),"")</f>
        <v/>
      </c>
      <c r="K1804" t="str">
        <f>IFERROR(VLOOKUP(D1804,'Team Data'!C:AB,9,FALSE),"")</f>
        <v/>
      </c>
      <c r="L1804" t="str">
        <f>IFERROR(VLOOKUP(D1804,'Team Data'!C:AB,10,FALSE),"")</f>
        <v/>
      </c>
      <c r="M1804" t="str">
        <f t="shared" si="56"/>
        <v/>
      </c>
      <c r="N1804" t="str">
        <f>IFERROR(VLOOKUP(D1804,'Team Data'!C:AB,23,FALSE),"")</f>
        <v/>
      </c>
      <c r="O1804" t="str">
        <f>IFERROR(VLOOKUP(D1804,'Team Data'!C:AB,22,FALSE),"")</f>
        <v/>
      </c>
      <c r="P1804" t="str">
        <f t="shared" si="57"/>
        <v/>
      </c>
      <c r="Q1804" t="str">
        <f>IFERROR(VLOOKUP(D1804,'Team Data'!C:AB,15,FALSE),"")</f>
        <v/>
      </c>
      <c r="R1804" t="str">
        <f>IFERROR(VLOOKUP('OB Format'!D1804,'Team Data'!C:AB,24,FALSE),"")</f>
        <v/>
      </c>
      <c r="S1804" t="str">
        <f>IFERROR(VLOOKUP('OB Format'!D1804,'Team Data'!C:AC,25,FALSE),"")</f>
        <v/>
      </c>
    </row>
    <row r="1805" spans="5:19" x14ac:dyDescent="0.25">
      <c r="E1805" t="str">
        <f>IFERROR(VLOOKUP(D1805,'Team Data'!C:AB,4,FALSE),"")</f>
        <v/>
      </c>
      <c r="F1805" t="str">
        <f>IFERROR(VLOOKUP(D1805,'Team Data'!C:AB,5,FALSE),"")</f>
        <v/>
      </c>
      <c r="G1805" t="str">
        <f>IFERROR(VLOOKUP('OB Format'!D1805,'Team Data'!C:AB,17,FALSE),"")</f>
        <v/>
      </c>
      <c r="H1805" t="str">
        <f>IFERROR(VLOOKUP(D1805,'Team Data'!C:AB,7,FALSE),"")</f>
        <v/>
      </c>
      <c r="I1805" t="str">
        <f>IFERROR(VLOOKUP(D1805,'Team Data'!C:AB,14,FALSE),"")</f>
        <v/>
      </c>
      <c r="J1805" t="str">
        <f>IFERROR(VLOOKUP(D1805,'Team Data'!C:AB,8,FALSE),"")</f>
        <v/>
      </c>
      <c r="K1805" t="str">
        <f>IFERROR(VLOOKUP(D1805,'Team Data'!C:AB,9,FALSE),"")</f>
        <v/>
      </c>
      <c r="L1805" t="str">
        <f>IFERROR(VLOOKUP(D1805,'Team Data'!C:AB,10,FALSE),"")</f>
        <v/>
      </c>
      <c r="M1805" t="str">
        <f t="shared" ref="M1805:M1868" si="58">IFERROR(H1805-(J1805+L1805+K1805),"")</f>
        <v/>
      </c>
      <c r="N1805" t="str">
        <f>IFERROR(VLOOKUP(D1805,'Team Data'!C:AB,23,FALSE),"")</f>
        <v/>
      </c>
      <c r="O1805" t="str">
        <f>IFERROR(VLOOKUP(D1805,'Team Data'!C:AB,22,FALSE),"")</f>
        <v/>
      </c>
      <c r="P1805" t="str">
        <f t="shared" ref="P1805:P1868" si="59">IFERROR(E1805-(H1805+N1805+Q1805+I1805+O1805),"")</f>
        <v/>
      </c>
      <c r="Q1805" t="str">
        <f>IFERROR(VLOOKUP(D1805,'Team Data'!C:AB,15,FALSE),"")</f>
        <v/>
      </c>
      <c r="R1805" t="str">
        <f>IFERROR(VLOOKUP('OB Format'!D1805,'Team Data'!C:AB,24,FALSE),"")</f>
        <v/>
      </c>
      <c r="S1805" t="str">
        <f>IFERROR(VLOOKUP('OB Format'!D1805,'Team Data'!C:AC,25,FALSE),"")</f>
        <v/>
      </c>
    </row>
    <row r="1806" spans="5:19" x14ac:dyDescent="0.25">
      <c r="E1806" t="str">
        <f>IFERROR(VLOOKUP(D1806,'Team Data'!C:AB,4,FALSE),"")</f>
        <v/>
      </c>
      <c r="F1806" t="str">
        <f>IFERROR(VLOOKUP(D1806,'Team Data'!C:AB,5,FALSE),"")</f>
        <v/>
      </c>
      <c r="G1806" t="str">
        <f>IFERROR(VLOOKUP('OB Format'!D1806,'Team Data'!C:AB,17,FALSE),"")</f>
        <v/>
      </c>
      <c r="H1806" t="str">
        <f>IFERROR(VLOOKUP(D1806,'Team Data'!C:AB,7,FALSE),"")</f>
        <v/>
      </c>
      <c r="I1806" t="str">
        <f>IFERROR(VLOOKUP(D1806,'Team Data'!C:AB,14,FALSE),"")</f>
        <v/>
      </c>
      <c r="J1806" t="str">
        <f>IFERROR(VLOOKUP(D1806,'Team Data'!C:AB,8,FALSE),"")</f>
        <v/>
      </c>
      <c r="K1806" t="str">
        <f>IFERROR(VLOOKUP(D1806,'Team Data'!C:AB,9,FALSE),"")</f>
        <v/>
      </c>
      <c r="L1806" t="str">
        <f>IFERROR(VLOOKUP(D1806,'Team Data'!C:AB,10,FALSE),"")</f>
        <v/>
      </c>
      <c r="M1806" t="str">
        <f t="shared" si="58"/>
        <v/>
      </c>
      <c r="N1806" t="str">
        <f>IFERROR(VLOOKUP(D1806,'Team Data'!C:AB,23,FALSE),"")</f>
        <v/>
      </c>
      <c r="O1806" t="str">
        <f>IFERROR(VLOOKUP(D1806,'Team Data'!C:AB,22,FALSE),"")</f>
        <v/>
      </c>
      <c r="P1806" t="str">
        <f t="shared" si="59"/>
        <v/>
      </c>
      <c r="Q1806" t="str">
        <f>IFERROR(VLOOKUP(D1806,'Team Data'!C:AB,15,FALSE),"")</f>
        <v/>
      </c>
      <c r="R1806" t="str">
        <f>IFERROR(VLOOKUP('OB Format'!D1806,'Team Data'!C:AB,24,FALSE),"")</f>
        <v/>
      </c>
      <c r="S1806" t="str">
        <f>IFERROR(VLOOKUP('OB Format'!D1806,'Team Data'!C:AC,25,FALSE),"")</f>
        <v/>
      </c>
    </row>
    <row r="1807" spans="5:19" x14ac:dyDescent="0.25">
      <c r="E1807" t="str">
        <f>IFERROR(VLOOKUP(D1807,'Team Data'!C:AB,4,FALSE),"")</f>
        <v/>
      </c>
      <c r="F1807" t="str">
        <f>IFERROR(VLOOKUP(D1807,'Team Data'!C:AB,5,FALSE),"")</f>
        <v/>
      </c>
      <c r="G1807" t="str">
        <f>IFERROR(VLOOKUP('OB Format'!D1807,'Team Data'!C:AB,17,FALSE),"")</f>
        <v/>
      </c>
      <c r="H1807" t="str">
        <f>IFERROR(VLOOKUP(D1807,'Team Data'!C:AB,7,FALSE),"")</f>
        <v/>
      </c>
      <c r="I1807" t="str">
        <f>IFERROR(VLOOKUP(D1807,'Team Data'!C:AB,14,FALSE),"")</f>
        <v/>
      </c>
      <c r="J1807" t="str">
        <f>IFERROR(VLOOKUP(D1807,'Team Data'!C:AB,8,FALSE),"")</f>
        <v/>
      </c>
      <c r="K1807" t="str">
        <f>IFERROR(VLOOKUP(D1807,'Team Data'!C:AB,9,FALSE),"")</f>
        <v/>
      </c>
      <c r="L1807" t="str">
        <f>IFERROR(VLOOKUP(D1807,'Team Data'!C:AB,10,FALSE),"")</f>
        <v/>
      </c>
      <c r="M1807" t="str">
        <f t="shared" si="58"/>
        <v/>
      </c>
      <c r="N1807" t="str">
        <f>IFERROR(VLOOKUP(D1807,'Team Data'!C:AB,23,FALSE),"")</f>
        <v/>
      </c>
      <c r="O1807" t="str">
        <f>IFERROR(VLOOKUP(D1807,'Team Data'!C:AB,22,FALSE),"")</f>
        <v/>
      </c>
      <c r="P1807" t="str">
        <f t="shared" si="59"/>
        <v/>
      </c>
      <c r="Q1807" t="str">
        <f>IFERROR(VLOOKUP(D1807,'Team Data'!C:AB,15,FALSE),"")</f>
        <v/>
      </c>
      <c r="R1807" t="str">
        <f>IFERROR(VLOOKUP('OB Format'!D1807,'Team Data'!C:AB,24,FALSE),"")</f>
        <v/>
      </c>
      <c r="S1807" t="str">
        <f>IFERROR(VLOOKUP('OB Format'!D1807,'Team Data'!C:AC,25,FALSE),"")</f>
        <v/>
      </c>
    </row>
    <row r="1808" spans="5:19" x14ac:dyDescent="0.25">
      <c r="E1808" t="str">
        <f>IFERROR(VLOOKUP(D1808,'Team Data'!C:AB,4,FALSE),"")</f>
        <v/>
      </c>
      <c r="F1808" t="str">
        <f>IFERROR(VLOOKUP(D1808,'Team Data'!C:AB,5,FALSE),"")</f>
        <v/>
      </c>
      <c r="G1808" t="str">
        <f>IFERROR(VLOOKUP('OB Format'!D1808,'Team Data'!C:AB,17,FALSE),"")</f>
        <v/>
      </c>
      <c r="H1808" t="str">
        <f>IFERROR(VLOOKUP(D1808,'Team Data'!C:AB,7,FALSE),"")</f>
        <v/>
      </c>
      <c r="I1808" t="str">
        <f>IFERROR(VLOOKUP(D1808,'Team Data'!C:AB,14,FALSE),"")</f>
        <v/>
      </c>
      <c r="J1808" t="str">
        <f>IFERROR(VLOOKUP(D1808,'Team Data'!C:AB,8,FALSE),"")</f>
        <v/>
      </c>
      <c r="K1808" t="str">
        <f>IFERROR(VLOOKUP(D1808,'Team Data'!C:AB,9,FALSE),"")</f>
        <v/>
      </c>
      <c r="L1808" t="str">
        <f>IFERROR(VLOOKUP(D1808,'Team Data'!C:AB,10,FALSE),"")</f>
        <v/>
      </c>
      <c r="M1808" t="str">
        <f t="shared" si="58"/>
        <v/>
      </c>
      <c r="N1808" t="str">
        <f>IFERROR(VLOOKUP(D1808,'Team Data'!C:AB,23,FALSE),"")</f>
        <v/>
      </c>
      <c r="O1808" t="str">
        <f>IFERROR(VLOOKUP(D1808,'Team Data'!C:AB,22,FALSE),"")</f>
        <v/>
      </c>
      <c r="P1808" t="str">
        <f t="shared" si="59"/>
        <v/>
      </c>
      <c r="Q1808" t="str">
        <f>IFERROR(VLOOKUP(D1808,'Team Data'!C:AB,15,FALSE),"")</f>
        <v/>
      </c>
      <c r="R1808" t="str">
        <f>IFERROR(VLOOKUP('OB Format'!D1808,'Team Data'!C:AB,24,FALSE),"")</f>
        <v/>
      </c>
      <c r="S1808" t="str">
        <f>IFERROR(VLOOKUP('OB Format'!D1808,'Team Data'!C:AC,25,FALSE),"")</f>
        <v/>
      </c>
    </row>
    <row r="1809" spans="5:19" x14ac:dyDescent="0.25">
      <c r="E1809" t="str">
        <f>IFERROR(VLOOKUP(D1809,'Team Data'!C:AB,4,FALSE),"")</f>
        <v/>
      </c>
      <c r="F1809" t="str">
        <f>IFERROR(VLOOKUP(D1809,'Team Data'!C:AB,5,FALSE),"")</f>
        <v/>
      </c>
      <c r="G1809" t="str">
        <f>IFERROR(VLOOKUP('OB Format'!D1809,'Team Data'!C:AB,17,FALSE),"")</f>
        <v/>
      </c>
      <c r="H1809" t="str">
        <f>IFERROR(VLOOKUP(D1809,'Team Data'!C:AB,7,FALSE),"")</f>
        <v/>
      </c>
      <c r="I1809" t="str">
        <f>IFERROR(VLOOKUP(D1809,'Team Data'!C:AB,14,FALSE),"")</f>
        <v/>
      </c>
      <c r="J1809" t="str">
        <f>IFERROR(VLOOKUP(D1809,'Team Data'!C:AB,8,FALSE),"")</f>
        <v/>
      </c>
      <c r="K1809" t="str">
        <f>IFERROR(VLOOKUP(D1809,'Team Data'!C:AB,9,FALSE),"")</f>
        <v/>
      </c>
      <c r="L1809" t="str">
        <f>IFERROR(VLOOKUP(D1809,'Team Data'!C:AB,10,FALSE),"")</f>
        <v/>
      </c>
      <c r="M1809" t="str">
        <f t="shared" si="58"/>
        <v/>
      </c>
      <c r="N1809" t="str">
        <f>IFERROR(VLOOKUP(D1809,'Team Data'!C:AB,23,FALSE),"")</f>
        <v/>
      </c>
      <c r="O1809" t="str">
        <f>IFERROR(VLOOKUP(D1809,'Team Data'!C:AB,22,FALSE),"")</f>
        <v/>
      </c>
      <c r="P1809" t="str">
        <f t="shared" si="59"/>
        <v/>
      </c>
      <c r="Q1809" t="str">
        <f>IFERROR(VLOOKUP(D1809,'Team Data'!C:AB,15,FALSE),"")</f>
        <v/>
      </c>
      <c r="R1809" t="str">
        <f>IFERROR(VLOOKUP('OB Format'!D1809,'Team Data'!C:AB,24,FALSE),"")</f>
        <v/>
      </c>
      <c r="S1809" t="str">
        <f>IFERROR(VLOOKUP('OB Format'!D1809,'Team Data'!C:AC,25,FALSE),"")</f>
        <v/>
      </c>
    </row>
    <row r="1810" spans="5:19" x14ac:dyDescent="0.25">
      <c r="E1810" t="str">
        <f>IFERROR(VLOOKUP(D1810,'Team Data'!C:AB,4,FALSE),"")</f>
        <v/>
      </c>
      <c r="F1810" t="str">
        <f>IFERROR(VLOOKUP(D1810,'Team Data'!C:AB,5,FALSE),"")</f>
        <v/>
      </c>
      <c r="G1810" t="str">
        <f>IFERROR(VLOOKUP('OB Format'!D1810,'Team Data'!C:AB,17,FALSE),"")</f>
        <v/>
      </c>
      <c r="H1810" t="str">
        <f>IFERROR(VLOOKUP(D1810,'Team Data'!C:AB,7,FALSE),"")</f>
        <v/>
      </c>
      <c r="I1810" t="str">
        <f>IFERROR(VLOOKUP(D1810,'Team Data'!C:AB,14,FALSE),"")</f>
        <v/>
      </c>
      <c r="J1810" t="str">
        <f>IFERROR(VLOOKUP(D1810,'Team Data'!C:AB,8,FALSE),"")</f>
        <v/>
      </c>
      <c r="K1810" t="str">
        <f>IFERROR(VLOOKUP(D1810,'Team Data'!C:AB,9,FALSE),"")</f>
        <v/>
      </c>
      <c r="L1810" t="str">
        <f>IFERROR(VLOOKUP(D1810,'Team Data'!C:AB,10,FALSE),"")</f>
        <v/>
      </c>
      <c r="M1810" t="str">
        <f t="shared" si="58"/>
        <v/>
      </c>
      <c r="N1810" t="str">
        <f>IFERROR(VLOOKUP(D1810,'Team Data'!C:AB,23,FALSE),"")</f>
        <v/>
      </c>
      <c r="O1810" t="str">
        <f>IFERROR(VLOOKUP(D1810,'Team Data'!C:AB,22,FALSE),"")</f>
        <v/>
      </c>
      <c r="P1810" t="str">
        <f t="shared" si="59"/>
        <v/>
      </c>
      <c r="Q1810" t="str">
        <f>IFERROR(VLOOKUP(D1810,'Team Data'!C:AB,15,FALSE),"")</f>
        <v/>
      </c>
      <c r="R1810" t="str">
        <f>IFERROR(VLOOKUP('OB Format'!D1810,'Team Data'!C:AB,24,FALSE),"")</f>
        <v/>
      </c>
      <c r="S1810" t="str">
        <f>IFERROR(VLOOKUP('OB Format'!D1810,'Team Data'!C:AC,25,FALSE),"")</f>
        <v/>
      </c>
    </row>
    <row r="1811" spans="5:19" x14ac:dyDescent="0.25">
      <c r="E1811" t="str">
        <f>IFERROR(VLOOKUP(D1811,'Team Data'!C:AB,4,FALSE),"")</f>
        <v/>
      </c>
      <c r="F1811" t="str">
        <f>IFERROR(VLOOKUP(D1811,'Team Data'!C:AB,5,FALSE),"")</f>
        <v/>
      </c>
      <c r="G1811" t="str">
        <f>IFERROR(VLOOKUP('OB Format'!D1811,'Team Data'!C:AB,17,FALSE),"")</f>
        <v/>
      </c>
      <c r="H1811" t="str">
        <f>IFERROR(VLOOKUP(D1811,'Team Data'!C:AB,7,FALSE),"")</f>
        <v/>
      </c>
      <c r="I1811" t="str">
        <f>IFERROR(VLOOKUP(D1811,'Team Data'!C:AB,14,FALSE),"")</f>
        <v/>
      </c>
      <c r="J1811" t="str">
        <f>IFERROR(VLOOKUP(D1811,'Team Data'!C:AB,8,FALSE),"")</f>
        <v/>
      </c>
      <c r="K1811" t="str">
        <f>IFERROR(VLOOKUP(D1811,'Team Data'!C:AB,9,FALSE),"")</f>
        <v/>
      </c>
      <c r="L1811" t="str">
        <f>IFERROR(VLOOKUP(D1811,'Team Data'!C:AB,10,FALSE),"")</f>
        <v/>
      </c>
      <c r="M1811" t="str">
        <f t="shared" si="58"/>
        <v/>
      </c>
      <c r="N1811" t="str">
        <f>IFERROR(VLOOKUP(D1811,'Team Data'!C:AB,23,FALSE),"")</f>
        <v/>
      </c>
      <c r="O1811" t="str">
        <f>IFERROR(VLOOKUP(D1811,'Team Data'!C:AB,22,FALSE),"")</f>
        <v/>
      </c>
      <c r="P1811" t="str">
        <f t="shared" si="59"/>
        <v/>
      </c>
      <c r="Q1811" t="str">
        <f>IFERROR(VLOOKUP(D1811,'Team Data'!C:AB,15,FALSE),"")</f>
        <v/>
      </c>
      <c r="R1811" t="str">
        <f>IFERROR(VLOOKUP('OB Format'!D1811,'Team Data'!C:AB,24,FALSE),"")</f>
        <v/>
      </c>
      <c r="S1811" t="str">
        <f>IFERROR(VLOOKUP('OB Format'!D1811,'Team Data'!C:AC,25,FALSE),"")</f>
        <v/>
      </c>
    </row>
    <row r="1812" spans="5:19" x14ac:dyDescent="0.25">
      <c r="E1812" t="str">
        <f>IFERROR(VLOOKUP(D1812,'Team Data'!C:AB,4,FALSE),"")</f>
        <v/>
      </c>
      <c r="F1812" t="str">
        <f>IFERROR(VLOOKUP(D1812,'Team Data'!C:AB,5,FALSE),"")</f>
        <v/>
      </c>
      <c r="G1812" t="str">
        <f>IFERROR(VLOOKUP('OB Format'!D1812,'Team Data'!C:AB,17,FALSE),"")</f>
        <v/>
      </c>
      <c r="H1812" t="str">
        <f>IFERROR(VLOOKUP(D1812,'Team Data'!C:AB,7,FALSE),"")</f>
        <v/>
      </c>
      <c r="I1812" t="str">
        <f>IFERROR(VLOOKUP(D1812,'Team Data'!C:AB,14,FALSE),"")</f>
        <v/>
      </c>
      <c r="J1812" t="str">
        <f>IFERROR(VLOOKUP(D1812,'Team Data'!C:AB,8,FALSE),"")</f>
        <v/>
      </c>
      <c r="K1812" t="str">
        <f>IFERROR(VLOOKUP(D1812,'Team Data'!C:AB,9,FALSE),"")</f>
        <v/>
      </c>
      <c r="L1812" t="str">
        <f>IFERROR(VLOOKUP(D1812,'Team Data'!C:AB,10,FALSE),"")</f>
        <v/>
      </c>
      <c r="M1812" t="str">
        <f t="shared" si="58"/>
        <v/>
      </c>
      <c r="N1812" t="str">
        <f>IFERROR(VLOOKUP(D1812,'Team Data'!C:AB,23,FALSE),"")</f>
        <v/>
      </c>
      <c r="O1812" t="str">
        <f>IFERROR(VLOOKUP(D1812,'Team Data'!C:AB,22,FALSE),"")</f>
        <v/>
      </c>
      <c r="P1812" t="str">
        <f t="shared" si="59"/>
        <v/>
      </c>
      <c r="Q1812" t="str">
        <f>IFERROR(VLOOKUP(D1812,'Team Data'!C:AB,15,FALSE),"")</f>
        <v/>
      </c>
      <c r="R1812" t="str">
        <f>IFERROR(VLOOKUP('OB Format'!D1812,'Team Data'!C:AB,24,FALSE),"")</f>
        <v/>
      </c>
      <c r="S1812" t="str">
        <f>IFERROR(VLOOKUP('OB Format'!D1812,'Team Data'!C:AC,25,FALSE),"")</f>
        <v/>
      </c>
    </row>
    <row r="1813" spans="5:19" x14ac:dyDescent="0.25">
      <c r="E1813" t="str">
        <f>IFERROR(VLOOKUP(D1813,'Team Data'!C:AB,4,FALSE),"")</f>
        <v/>
      </c>
      <c r="F1813" t="str">
        <f>IFERROR(VLOOKUP(D1813,'Team Data'!C:AB,5,FALSE),"")</f>
        <v/>
      </c>
      <c r="G1813" t="str">
        <f>IFERROR(VLOOKUP('OB Format'!D1813,'Team Data'!C:AB,17,FALSE),"")</f>
        <v/>
      </c>
      <c r="H1813" t="str">
        <f>IFERROR(VLOOKUP(D1813,'Team Data'!C:AB,7,FALSE),"")</f>
        <v/>
      </c>
      <c r="I1813" t="str">
        <f>IFERROR(VLOOKUP(D1813,'Team Data'!C:AB,14,FALSE),"")</f>
        <v/>
      </c>
      <c r="J1813" t="str">
        <f>IFERROR(VLOOKUP(D1813,'Team Data'!C:AB,8,FALSE),"")</f>
        <v/>
      </c>
      <c r="K1813" t="str">
        <f>IFERROR(VLOOKUP(D1813,'Team Data'!C:AB,9,FALSE),"")</f>
        <v/>
      </c>
      <c r="L1813" t="str">
        <f>IFERROR(VLOOKUP(D1813,'Team Data'!C:AB,10,FALSE),"")</f>
        <v/>
      </c>
      <c r="M1813" t="str">
        <f t="shared" si="58"/>
        <v/>
      </c>
      <c r="N1813" t="str">
        <f>IFERROR(VLOOKUP(D1813,'Team Data'!C:AB,23,FALSE),"")</f>
        <v/>
      </c>
      <c r="O1813" t="str">
        <f>IFERROR(VLOOKUP(D1813,'Team Data'!C:AB,22,FALSE),"")</f>
        <v/>
      </c>
      <c r="P1813" t="str">
        <f t="shared" si="59"/>
        <v/>
      </c>
      <c r="Q1813" t="str">
        <f>IFERROR(VLOOKUP(D1813,'Team Data'!C:AB,15,FALSE),"")</f>
        <v/>
      </c>
      <c r="R1813" t="str">
        <f>IFERROR(VLOOKUP('OB Format'!D1813,'Team Data'!C:AB,24,FALSE),"")</f>
        <v/>
      </c>
      <c r="S1813" t="str">
        <f>IFERROR(VLOOKUP('OB Format'!D1813,'Team Data'!C:AC,25,FALSE),"")</f>
        <v/>
      </c>
    </row>
    <row r="1814" spans="5:19" x14ac:dyDescent="0.25">
      <c r="E1814" t="str">
        <f>IFERROR(VLOOKUP(D1814,'Team Data'!C:AB,4,FALSE),"")</f>
        <v/>
      </c>
      <c r="F1814" t="str">
        <f>IFERROR(VLOOKUP(D1814,'Team Data'!C:AB,5,FALSE),"")</f>
        <v/>
      </c>
      <c r="G1814" t="str">
        <f>IFERROR(VLOOKUP('OB Format'!D1814,'Team Data'!C:AB,17,FALSE),"")</f>
        <v/>
      </c>
      <c r="H1814" t="str">
        <f>IFERROR(VLOOKUP(D1814,'Team Data'!C:AB,7,FALSE),"")</f>
        <v/>
      </c>
      <c r="I1814" t="str">
        <f>IFERROR(VLOOKUP(D1814,'Team Data'!C:AB,14,FALSE),"")</f>
        <v/>
      </c>
      <c r="J1814" t="str">
        <f>IFERROR(VLOOKUP(D1814,'Team Data'!C:AB,8,FALSE),"")</f>
        <v/>
      </c>
      <c r="K1814" t="str">
        <f>IFERROR(VLOOKUP(D1814,'Team Data'!C:AB,9,FALSE),"")</f>
        <v/>
      </c>
      <c r="L1814" t="str">
        <f>IFERROR(VLOOKUP(D1814,'Team Data'!C:AB,10,FALSE),"")</f>
        <v/>
      </c>
      <c r="M1814" t="str">
        <f t="shared" si="58"/>
        <v/>
      </c>
      <c r="N1814" t="str">
        <f>IFERROR(VLOOKUP(D1814,'Team Data'!C:AB,23,FALSE),"")</f>
        <v/>
      </c>
      <c r="O1814" t="str">
        <f>IFERROR(VLOOKUP(D1814,'Team Data'!C:AB,22,FALSE),"")</f>
        <v/>
      </c>
      <c r="P1814" t="str">
        <f t="shared" si="59"/>
        <v/>
      </c>
      <c r="Q1814" t="str">
        <f>IFERROR(VLOOKUP(D1814,'Team Data'!C:AB,15,FALSE),"")</f>
        <v/>
      </c>
      <c r="R1814" t="str">
        <f>IFERROR(VLOOKUP('OB Format'!D1814,'Team Data'!C:AB,24,FALSE),"")</f>
        <v/>
      </c>
      <c r="S1814" t="str">
        <f>IFERROR(VLOOKUP('OB Format'!D1814,'Team Data'!C:AC,25,FALSE),"")</f>
        <v/>
      </c>
    </row>
    <row r="1815" spans="5:19" x14ac:dyDescent="0.25">
      <c r="E1815" t="str">
        <f>IFERROR(VLOOKUP(D1815,'Team Data'!C:AB,4,FALSE),"")</f>
        <v/>
      </c>
      <c r="F1815" t="str">
        <f>IFERROR(VLOOKUP(D1815,'Team Data'!C:AB,5,FALSE),"")</f>
        <v/>
      </c>
      <c r="G1815" t="str">
        <f>IFERROR(VLOOKUP('OB Format'!D1815,'Team Data'!C:AB,17,FALSE),"")</f>
        <v/>
      </c>
      <c r="H1815" t="str">
        <f>IFERROR(VLOOKUP(D1815,'Team Data'!C:AB,7,FALSE),"")</f>
        <v/>
      </c>
      <c r="I1815" t="str">
        <f>IFERROR(VLOOKUP(D1815,'Team Data'!C:AB,14,FALSE),"")</f>
        <v/>
      </c>
      <c r="J1815" t="str">
        <f>IFERROR(VLOOKUP(D1815,'Team Data'!C:AB,8,FALSE),"")</f>
        <v/>
      </c>
      <c r="K1815" t="str">
        <f>IFERROR(VLOOKUP(D1815,'Team Data'!C:AB,9,FALSE),"")</f>
        <v/>
      </c>
      <c r="L1815" t="str">
        <f>IFERROR(VLOOKUP(D1815,'Team Data'!C:AB,10,FALSE),"")</f>
        <v/>
      </c>
      <c r="M1815" t="str">
        <f t="shared" si="58"/>
        <v/>
      </c>
      <c r="N1815" t="str">
        <f>IFERROR(VLOOKUP(D1815,'Team Data'!C:AB,23,FALSE),"")</f>
        <v/>
      </c>
      <c r="O1815" t="str">
        <f>IFERROR(VLOOKUP(D1815,'Team Data'!C:AB,22,FALSE),"")</f>
        <v/>
      </c>
      <c r="P1815" t="str">
        <f t="shared" si="59"/>
        <v/>
      </c>
      <c r="Q1815" t="str">
        <f>IFERROR(VLOOKUP(D1815,'Team Data'!C:AB,15,FALSE),"")</f>
        <v/>
      </c>
      <c r="R1815" t="str">
        <f>IFERROR(VLOOKUP('OB Format'!D1815,'Team Data'!C:AB,24,FALSE),"")</f>
        <v/>
      </c>
      <c r="S1815" t="str">
        <f>IFERROR(VLOOKUP('OB Format'!D1815,'Team Data'!C:AC,25,FALSE),"")</f>
        <v/>
      </c>
    </row>
    <row r="1816" spans="5:19" x14ac:dyDescent="0.25">
      <c r="E1816" t="str">
        <f>IFERROR(VLOOKUP(D1816,'Team Data'!C:AB,4,FALSE),"")</f>
        <v/>
      </c>
      <c r="F1816" t="str">
        <f>IFERROR(VLOOKUP(D1816,'Team Data'!C:AB,5,FALSE),"")</f>
        <v/>
      </c>
      <c r="G1816" t="str">
        <f>IFERROR(VLOOKUP('OB Format'!D1816,'Team Data'!C:AB,17,FALSE),"")</f>
        <v/>
      </c>
      <c r="H1816" t="str">
        <f>IFERROR(VLOOKUP(D1816,'Team Data'!C:AB,7,FALSE),"")</f>
        <v/>
      </c>
      <c r="I1816" t="str">
        <f>IFERROR(VLOOKUP(D1816,'Team Data'!C:AB,14,FALSE),"")</f>
        <v/>
      </c>
      <c r="J1816" t="str">
        <f>IFERROR(VLOOKUP(D1816,'Team Data'!C:AB,8,FALSE),"")</f>
        <v/>
      </c>
      <c r="K1816" t="str">
        <f>IFERROR(VLOOKUP(D1816,'Team Data'!C:AB,9,FALSE),"")</f>
        <v/>
      </c>
      <c r="L1816" t="str">
        <f>IFERROR(VLOOKUP(D1816,'Team Data'!C:AB,10,FALSE),"")</f>
        <v/>
      </c>
      <c r="M1816" t="str">
        <f t="shared" si="58"/>
        <v/>
      </c>
      <c r="N1816" t="str">
        <f>IFERROR(VLOOKUP(D1816,'Team Data'!C:AB,23,FALSE),"")</f>
        <v/>
      </c>
      <c r="O1816" t="str">
        <f>IFERROR(VLOOKUP(D1816,'Team Data'!C:AB,22,FALSE),"")</f>
        <v/>
      </c>
      <c r="P1816" t="str">
        <f t="shared" si="59"/>
        <v/>
      </c>
      <c r="Q1816" t="str">
        <f>IFERROR(VLOOKUP(D1816,'Team Data'!C:AB,15,FALSE),"")</f>
        <v/>
      </c>
      <c r="R1816" t="str">
        <f>IFERROR(VLOOKUP('OB Format'!D1816,'Team Data'!C:AB,24,FALSE),"")</f>
        <v/>
      </c>
      <c r="S1816" t="str">
        <f>IFERROR(VLOOKUP('OB Format'!D1816,'Team Data'!C:AC,25,FALSE),"")</f>
        <v/>
      </c>
    </row>
    <row r="1817" spans="5:19" x14ac:dyDescent="0.25">
      <c r="E1817" t="str">
        <f>IFERROR(VLOOKUP(D1817,'Team Data'!C:AB,4,FALSE),"")</f>
        <v/>
      </c>
      <c r="F1817" t="str">
        <f>IFERROR(VLOOKUP(D1817,'Team Data'!C:AB,5,FALSE),"")</f>
        <v/>
      </c>
      <c r="G1817" t="str">
        <f>IFERROR(VLOOKUP('OB Format'!D1817,'Team Data'!C:AB,17,FALSE),"")</f>
        <v/>
      </c>
      <c r="H1817" t="str">
        <f>IFERROR(VLOOKUP(D1817,'Team Data'!C:AB,7,FALSE),"")</f>
        <v/>
      </c>
      <c r="I1817" t="str">
        <f>IFERROR(VLOOKUP(D1817,'Team Data'!C:AB,14,FALSE),"")</f>
        <v/>
      </c>
      <c r="J1817" t="str">
        <f>IFERROR(VLOOKUP(D1817,'Team Data'!C:AB,8,FALSE),"")</f>
        <v/>
      </c>
      <c r="K1817" t="str">
        <f>IFERROR(VLOOKUP(D1817,'Team Data'!C:AB,9,FALSE),"")</f>
        <v/>
      </c>
      <c r="L1817" t="str">
        <f>IFERROR(VLOOKUP(D1817,'Team Data'!C:AB,10,FALSE),"")</f>
        <v/>
      </c>
      <c r="M1817" t="str">
        <f t="shared" si="58"/>
        <v/>
      </c>
      <c r="N1817" t="str">
        <f>IFERROR(VLOOKUP(D1817,'Team Data'!C:AB,23,FALSE),"")</f>
        <v/>
      </c>
      <c r="O1817" t="str">
        <f>IFERROR(VLOOKUP(D1817,'Team Data'!C:AB,22,FALSE),"")</f>
        <v/>
      </c>
      <c r="P1817" t="str">
        <f t="shared" si="59"/>
        <v/>
      </c>
      <c r="Q1817" t="str">
        <f>IFERROR(VLOOKUP(D1817,'Team Data'!C:AB,15,FALSE),"")</f>
        <v/>
      </c>
      <c r="R1817" t="str">
        <f>IFERROR(VLOOKUP('OB Format'!D1817,'Team Data'!C:AB,24,FALSE),"")</f>
        <v/>
      </c>
      <c r="S1817" t="str">
        <f>IFERROR(VLOOKUP('OB Format'!D1817,'Team Data'!C:AC,25,FALSE),"")</f>
        <v/>
      </c>
    </row>
    <row r="1818" spans="5:19" x14ac:dyDescent="0.25">
      <c r="E1818" t="str">
        <f>IFERROR(VLOOKUP(D1818,'Team Data'!C:AB,4,FALSE),"")</f>
        <v/>
      </c>
      <c r="F1818" t="str">
        <f>IFERROR(VLOOKUP(D1818,'Team Data'!C:AB,5,FALSE),"")</f>
        <v/>
      </c>
      <c r="G1818" t="str">
        <f>IFERROR(VLOOKUP('OB Format'!D1818,'Team Data'!C:AB,17,FALSE),"")</f>
        <v/>
      </c>
      <c r="H1818" t="str">
        <f>IFERROR(VLOOKUP(D1818,'Team Data'!C:AB,7,FALSE),"")</f>
        <v/>
      </c>
      <c r="I1818" t="str">
        <f>IFERROR(VLOOKUP(D1818,'Team Data'!C:AB,14,FALSE),"")</f>
        <v/>
      </c>
      <c r="J1818" t="str">
        <f>IFERROR(VLOOKUP(D1818,'Team Data'!C:AB,8,FALSE),"")</f>
        <v/>
      </c>
      <c r="K1818" t="str">
        <f>IFERROR(VLOOKUP(D1818,'Team Data'!C:AB,9,FALSE),"")</f>
        <v/>
      </c>
      <c r="L1818" t="str">
        <f>IFERROR(VLOOKUP(D1818,'Team Data'!C:AB,10,FALSE),"")</f>
        <v/>
      </c>
      <c r="M1818" t="str">
        <f t="shared" si="58"/>
        <v/>
      </c>
      <c r="N1818" t="str">
        <f>IFERROR(VLOOKUP(D1818,'Team Data'!C:AB,23,FALSE),"")</f>
        <v/>
      </c>
      <c r="O1818" t="str">
        <f>IFERROR(VLOOKUP(D1818,'Team Data'!C:AB,22,FALSE),"")</f>
        <v/>
      </c>
      <c r="P1818" t="str">
        <f t="shared" si="59"/>
        <v/>
      </c>
      <c r="Q1818" t="str">
        <f>IFERROR(VLOOKUP(D1818,'Team Data'!C:AB,15,FALSE),"")</f>
        <v/>
      </c>
      <c r="R1818" t="str">
        <f>IFERROR(VLOOKUP('OB Format'!D1818,'Team Data'!C:AB,24,FALSE),"")</f>
        <v/>
      </c>
      <c r="S1818" t="str">
        <f>IFERROR(VLOOKUP('OB Format'!D1818,'Team Data'!C:AC,25,FALSE),"")</f>
        <v/>
      </c>
    </row>
    <row r="1819" spans="5:19" x14ac:dyDescent="0.25">
      <c r="E1819" t="str">
        <f>IFERROR(VLOOKUP(D1819,'Team Data'!C:AB,4,FALSE),"")</f>
        <v/>
      </c>
      <c r="F1819" t="str">
        <f>IFERROR(VLOOKUP(D1819,'Team Data'!C:AB,5,FALSE),"")</f>
        <v/>
      </c>
      <c r="G1819" t="str">
        <f>IFERROR(VLOOKUP('OB Format'!D1819,'Team Data'!C:AB,17,FALSE),"")</f>
        <v/>
      </c>
      <c r="H1819" t="str">
        <f>IFERROR(VLOOKUP(D1819,'Team Data'!C:AB,7,FALSE),"")</f>
        <v/>
      </c>
      <c r="I1819" t="str">
        <f>IFERROR(VLOOKUP(D1819,'Team Data'!C:AB,14,FALSE),"")</f>
        <v/>
      </c>
      <c r="J1819" t="str">
        <f>IFERROR(VLOOKUP(D1819,'Team Data'!C:AB,8,FALSE),"")</f>
        <v/>
      </c>
      <c r="K1819" t="str">
        <f>IFERROR(VLOOKUP(D1819,'Team Data'!C:AB,9,FALSE),"")</f>
        <v/>
      </c>
      <c r="L1819" t="str">
        <f>IFERROR(VLOOKUP(D1819,'Team Data'!C:AB,10,FALSE),"")</f>
        <v/>
      </c>
      <c r="M1819" t="str">
        <f t="shared" si="58"/>
        <v/>
      </c>
      <c r="N1819" t="str">
        <f>IFERROR(VLOOKUP(D1819,'Team Data'!C:AB,23,FALSE),"")</f>
        <v/>
      </c>
      <c r="O1819" t="str">
        <f>IFERROR(VLOOKUP(D1819,'Team Data'!C:AB,22,FALSE),"")</f>
        <v/>
      </c>
      <c r="P1819" t="str">
        <f t="shared" si="59"/>
        <v/>
      </c>
      <c r="Q1819" t="str">
        <f>IFERROR(VLOOKUP(D1819,'Team Data'!C:AB,15,FALSE),"")</f>
        <v/>
      </c>
      <c r="R1819" t="str">
        <f>IFERROR(VLOOKUP('OB Format'!D1819,'Team Data'!C:AB,24,FALSE),"")</f>
        <v/>
      </c>
      <c r="S1819" t="str">
        <f>IFERROR(VLOOKUP('OB Format'!D1819,'Team Data'!C:AC,25,FALSE),"")</f>
        <v/>
      </c>
    </row>
    <row r="1820" spans="5:19" x14ac:dyDescent="0.25">
      <c r="E1820" t="str">
        <f>IFERROR(VLOOKUP(D1820,'Team Data'!C:AB,4,FALSE),"")</f>
        <v/>
      </c>
      <c r="F1820" t="str">
        <f>IFERROR(VLOOKUP(D1820,'Team Data'!C:AB,5,FALSE),"")</f>
        <v/>
      </c>
      <c r="G1820" t="str">
        <f>IFERROR(VLOOKUP('OB Format'!D1820,'Team Data'!C:AB,17,FALSE),"")</f>
        <v/>
      </c>
      <c r="H1820" t="str">
        <f>IFERROR(VLOOKUP(D1820,'Team Data'!C:AB,7,FALSE),"")</f>
        <v/>
      </c>
      <c r="I1820" t="str">
        <f>IFERROR(VLOOKUP(D1820,'Team Data'!C:AB,14,FALSE),"")</f>
        <v/>
      </c>
      <c r="J1820" t="str">
        <f>IFERROR(VLOOKUP(D1820,'Team Data'!C:AB,8,FALSE),"")</f>
        <v/>
      </c>
      <c r="K1820" t="str">
        <f>IFERROR(VLOOKUP(D1820,'Team Data'!C:AB,9,FALSE),"")</f>
        <v/>
      </c>
      <c r="L1820" t="str">
        <f>IFERROR(VLOOKUP(D1820,'Team Data'!C:AB,10,FALSE),"")</f>
        <v/>
      </c>
      <c r="M1820" t="str">
        <f t="shared" si="58"/>
        <v/>
      </c>
      <c r="N1820" t="str">
        <f>IFERROR(VLOOKUP(D1820,'Team Data'!C:AB,23,FALSE),"")</f>
        <v/>
      </c>
      <c r="O1820" t="str">
        <f>IFERROR(VLOOKUP(D1820,'Team Data'!C:AB,22,FALSE),"")</f>
        <v/>
      </c>
      <c r="P1820" t="str">
        <f t="shared" si="59"/>
        <v/>
      </c>
      <c r="Q1820" t="str">
        <f>IFERROR(VLOOKUP(D1820,'Team Data'!C:AB,15,FALSE),"")</f>
        <v/>
      </c>
      <c r="R1820" t="str">
        <f>IFERROR(VLOOKUP('OB Format'!D1820,'Team Data'!C:AB,24,FALSE),"")</f>
        <v/>
      </c>
      <c r="S1820" t="str">
        <f>IFERROR(VLOOKUP('OB Format'!D1820,'Team Data'!C:AC,25,FALSE),"")</f>
        <v/>
      </c>
    </row>
    <row r="1821" spans="5:19" x14ac:dyDescent="0.25">
      <c r="E1821" t="str">
        <f>IFERROR(VLOOKUP(D1821,'Team Data'!C:AB,4,FALSE),"")</f>
        <v/>
      </c>
      <c r="F1821" t="str">
        <f>IFERROR(VLOOKUP(D1821,'Team Data'!C:AB,5,FALSE),"")</f>
        <v/>
      </c>
      <c r="G1821" t="str">
        <f>IFERROR(VLOOKUP('OB Format'!D1821,'Team Data'!C:AB,17,FALSE),"")</f>
        <v/>
      </c>
      <c r="H1821" t="str">
        <f>IFERROR(VLOOKUP(D1821,'Team Data'!C:AB,7,FALSE),"")</f>
        <v/>
      </c>
      <c r="I1821" t="str">
        <f>IFERROR(VLOOKUP(D1821,'Team Data'!C:AB,14,FALSE),"")</f>
        <v/>
      </c>
      <c r="J1821" t="str">
        <f>IFERROR(VLOOKUP(D1821,'Team Data'!C:AB,8,FALSE),"")</f>
        <v/>
      </c>
      <c r="K1821" t="str">
        <f>IFERROR(VLOOKUP(D1821,'Team Data'!C:AB,9,FALSE),"")</f>
        <v/>
      </c>
      <c r="L1821" t="str">
        <f>IFERROR(VLOOKUP(D1821,'Team Data'!C:AB,10,FALSE),"")</f>
        <v/>
      </c>
      <c r="M1821" t="str">
        <f t="shared" si="58"/>
        <v/>
      </c>
      <c r="N1821" t="str">
        <f>IFERROR(VLOOKUP(D1821,'Team Data'!C:AB,23,FALSE),"")</f>
        <v/>
      </c>
      <c r="O1821" t="str">
        <f>IFERROR(VLOOKUP(D1821,'Team Data'!C:AB,22,FALSE),"")</f>
        <v/>
      </c>
      <c r="P1821" t="str">
        <f t="shared" si="59"/>
        <v/>
      </c>
      <c r="Q1821" t="str">
        <f>IFERROR(VLOOKUP(D1821,'Team Data'!C:AB,15,FALSE),"")</f>
        <v/>
      </c>
      <c r="R1821" t="str">
        <f>IFERROR(VLOOKUP('OB Format'!D1821,'Team Data'!C:AB,24,FALSE),"")</f>
        <v/>
      </c>
      <c r="S1821" t="str">
        <f>IFERROR(VLOOKUP('OB Format'!D1821,'Team Data'!C:AC,25,FALSE),"")</f>
        <v/>
      </c>
    </row>
    <row r="1822" spans="5:19" x14ac:dyDescent="0.25">
      <c r="E1822" t="str">
        <f>IFERROR(VLOOKUP(D1822,'Team Data'!C:AB,4,FALSE),"")</f>
        <v/>
      </c>
      <c r="F1822" t="str">
        <f>IFERROR(VLOOKUP(D1822,'Team Data'!C:AB,5,FALSE),"")</f>
        <v/>
      </c>
      <c r="G1822" t="str">
        <f>IFERROR(VLOOKUP('OB Format'!D1822,'Team Data'!C:AB,17,FALSE),"")</f>
        <v/>
      </c>
      <c r="H1822" t="str">
        <f>IFERROR(VLOOKUP(D1822,'Team Data'!C:AB,7,FALSE),"")</f>
        <v/>
      </c>
      <c r="I1822" t="str">
        <f>IFERROR(VLOOKUP(D1822,'Team Data'!C:AB,14,FALSE),"")</f>
        <v/>
      </c>
      <c r="J1822" t="str">
        <f>IFERROR(VLOOKUP(D1822,'Team Data'!C:AB,8,FALSE),"")</f>
        <v/>
      </c>
      <c r="K1822" t="str">
        <f>IFERROR(VLOOKUP(D1822,'Team Data'!C:AB,9,FALSE),"")</f>
        <v/>
      </c>
      <c r="L1822" t="str">
        <f>IFERROR(VLOOKUP(D1822,'Team Data'!C:AB,10,FALSE),"")</f>
        <v/>
      </c>
      <c r="M1822" t="str">
        <f t="shared" si="58"/>
        <v/>
      </c>
      <c r="N1822" t="str">
        <f>IFERROR(VLOOKUP(D1822,'Team Data'!C:AB,23,FALSE),"")</f>
        <v/>
      </c>
      <c r="O1822" t="str">
        <f>IFERROR(VLOOKUP(D1822,'Team Data'!C:AB,22,FALSE),"")</f>
        <v/>
      </c>
      <c r="P1822" t="str">
        <f t="shared" si="59"/>
        <v/>
      </c>
      <c r="Q1822" t="str">
        <f>IFERROR(VLOOKUP(D1822,'Team Data'!C:AB,15,FALSE),"")</f>
        <v/>
      </c>
      <c r="R1822" t="str">
        <f>IFERROR(VLOOKUP('OB Format'!D1822,'Team Data'!C:AB,24,FALSE),"")</f>
        <v/>
      </c>
      <c r="S1822" t="str">
        <f>IFERROR(VLOOKUP('OB Format'!D1822,'Team Data'!C:AC,25,FALSE),"")</f>
        <v/>
      </c>
    </row>
    <row r="1823" spans="5:19" x14ac:dyDescent="0.25">
      <c r="E1823" t="str">
        <f>IFERROR(VLOOKUP(D1823,'Team Data'!C:AB,4,FALSE),"")</f>
        <v/>
      </c>
      <c r="F1823" t="str">
        <f>IFERROR(VLOOKUP(D1823,'Team Data'!C:AB,5,FALSE),"")</f>
        <v/>
      </c>
      <c r="G1823" t="str">
        <f>IFERROR(VLOOKUP('OB Format'!D1823,'Team Data'!C:AB,17,FALSE),"")</f>
        <v/>
      </c>
      <c r="H1823" t="str">
        <f>IFERROR(VLOOKUP(D1823,'Team Data'!C:AB,7,FALSE),"")</f>
        <v/>
      </c>
      <c r="I1823" t="str">
        <f>IFERROR(VLOOKUP(D1823,'Team Data'!C:AB,14,FALSE),"")</f>
        <v/>
      </c>
      <c r="J1823" t="str">
        <f>IFERROR(VLOOKUP(D1823,'Team Data'!C:AB,8,FALSE),"")</f>
        <v/>
      </c>
      <c r="K1823" t="str">
        <f>IFERROR(VLOOKUP(D1823,'Team Data'!C:AB,9,FALSE),"")</f>
        <v/>
      </c>
      <c r="L1823" t="str">
        <f>IFERROR(VLOOKUP(D1823,'Team Data'!C:AB,10,FALSE),"")</f>
        <v/>
      </c>
      <c r="M1823" t="str">
        <f t="shared" si="58"/>
        <v/>
      </c>
      <c r="N1823" t="str">
        <f>IFERROR(VLOOKUP(D1823,'Team Data'!C:AB,23,FALSE),"")</f>
        <v/>
      </c>
      <c r="O1823" t="str">
        <f>IFERROR(VLOOKUP(D1823,'Team Data'!C:AB,22,FALSE),"")</f>
        <v/>
      </c>
      <c r="P1823" t="str">
        <f t="shared" si="59"/>
        <v/>
      </c>
      <c r="Q1823" t="str">
        <f>IFERROR(VLOOKUP(D1823,'Team Data'!C:AB,15,FALSE),"")</f>
        <v/>
      </c>
      <c r="R1823" t="str">
        <f>IFERROR(VLOOKUP('OB Format'!D1823,'Team Data'!C:AB,24,FALSE),"")</f>
        <v/>
      </c>
      <c r="S1823" t="str">
        <f>IFERROR(VLOOKUP('OB Format'!D1823,'Team Data'!C:AC,25,FALSE),"")</f>
        <v/>
      </c>
    </row>
    <row r="1824" spans="5:19" x14ac:dyDescent="0.25">
      <c r="E1824" t="str">
        <f>IFERROR(VLOOKUP(D1824,'Team Data'!C:AB,4,FALSE),"")</f>
        <v/>
      </c>
      <c r="F1824" t="str">
        <f>IFERROR(VLOOKUP(D1824,'Team Data'!C:AB,5,FALSE),"")</f>
        <v/>
      </c>
      <c r="G1824" t="str">
        <f>IFERROR(VLOOKUP('OB Format'!D1824,'Team Data'!C:AB,17,FALSE),"")</f>
        <v/>
      </c>
      <c r="H1824" t="str">
        <f>IFERROR(VLOOKUP(D1824,'Team Data'!C:AB,7,FALSE),"")</f>
        <v/>
      </c>
      <c r="I1824" t="str">
        <f>IFERROR(VLOOKUP(D1824,'Team Data'!C:AB,14,FALSE),"")</f>
        <v/>
      </c>
      <c r="J1824" t="str">
        <f>IFERROR(VLOOKUP(D1824,'Team Data'!C:AB,8,FALSE),"")</f>
        <v/>
      </c>
      <c r="K1824" t="str">
        <f>IFERROR(VLOOKUP(D1824,'Team Data'!C:AB,9,FALSE),"")</f>
        <v/>
      </c>
      <c r="L1824" t="str">
        <f>IFERROR(VLOOKUP(D1824,'Team Data'!C:AB,10,FALSE),"")</f>
        <v/>
      </c>
      <c r="M1824" t="str">
        <f t="shared" si="58"/>
        <v/>
      </c>
      <c r="N1824" t="str">
        <f>IFERROR(VLOOKUP(D1824,'Team Data'!C:AB,23,FALSE),"")</f>
        <v/>
      </c>
      <c r="O1824" t="str">
        <f>IFERROR(VLOOKUP(D1824,'Team Data'!C:AB,22,FALSE),"")</f>
        <v/>
      </c>
      <c r="P1824" t="str">
        <f t="shared" si="59"/>
        <v/>
      </c>
      <c r="Q1824" t="str">
        <f>IFERROR(VLOOKUP(D1824,'Team Data'!C:AB,15,FALSE),"")</f>
        <v/>
      </c>
      <c r="R1824" t="str">
        <f>IFERROR(VLOOKUP('OB Format'!D1824,'Team Data'!C:AB,24,FALSE),"")</f>
        <v/>
      </c>
      <c r="S1824" t="str">
        <f>IFERROR(VLOOKUP('OB Format'!D1824,'Team Data'!C:AC,25,FALSE),"")</f>
        <v/>
      </c>
    </row>
    <row r="1825" spans="5:19" x14ac:dyDescent="0.25">
      <c r="E1825" t="str">
        <f>IFERROR(VLOOKUP(D1825,'Team Data'!C:AB,4,FALSE),"")</f>
        <v/>
      </c>
      <c r="F1825" t="str">
        <f>IFERROR(VLOOKUP(D1825,'Team Data'!C:AB,5,FALSE),"")</f>
        <v/>
      </c>
      <c r="G1825" t="str">
        <f>IFERROR(VLOOKUP('OB Format'!D1825,'Team Data'!C:AB,17,FALSE),"")</f>
        <v/>
      </c>
      <c r="H1825" t="str">
        <f>IFERROR(VLOOKUP(D1825,'Team Data'!C:AB,7,FALSE),"")</f>
        <v/>
      </c>
      <c r="I1825" t="str">
        <f>IFERROR(VLOOKUP(D1825,'Team Data'!C:AB,14,FALSE),"")</f>
        <v/>
      </c>
      <c r="J1825" t="str">
        <f>IFERROR(VLOOKUP(D1825,'Team Data'!C:AB,8,FALSE),"")</f>
        <v/>
      </c>
      <c r="K1825" t="str">
        <f>IFERROR(VLOOKUP(D1825,'Team Data'!C:AB,9,FALSE),"")</f>
        <v/>
      </c>
      <c r="L1825" t="str">
        <f>IFERROR(VLOOKUP(D1825,'Team Data'!C:AB,10,FALSE),"")</f>
        <v/>
      </c>
      <c r="M1825" t="str">
        <f t="shared" si="58"/>
        <v/>
      </c>
      <c r="N1825" t="str">
        <f>IFERROR(VLOOKUP(D1825,'Team Data'!C:AB,23,FALSE),"")</f>
        <v/>
      </c>
      <c r="O1825" t="str">
        <f>IFERROR(VLOOKUP(D1825,'Team Data'!C:AB,22,FALSE),"")</f>
        <v/>
      </c>
      <c r="P1825" t="str">
        <f t="shared" si="59"/>
        <v/>
      </c>
      <c r="Q1825" t="str">
        <f>IFERROR(VLOOKUP(D1825,'Team Data'!C:AB,15,FALSE),"")</f>
        <v/>
      </c>
      <c r="R1825" t="str">
        <f>IFERROR(VLOOKUP('OB Format'!D1825,'Team Data'!C:AB,24,FALSE),"")</f>
        <v/>
      </c>
      <c r="S1825" t="str">
        <f>IFERROR(VLOOKUP('OB Format'!D1825,'Team Data'!C:AC,25,FALSE),"")</f>
        <v/>
      </c>
    </row>
    <row r="1826" spans="5:19" x14ac:dyDescent="0.25">
      <c r="E1826" t="str">
        <f>IFERROR(VLOOKUP(D1826,'Team Data'!C:AB,4,FALSE),"")</f>
        <v/>
      </c>
      <c r="F1826" t="str">
        <f>IFERROR(VLOOKUP(D1826,'Team Data'!C:AB,5,FALSE),"")</f>
        <v/>
      </c>
      <c r="G1826" t="str">
        <f>IFERROR(VLOOKUP('OB Format'!D1826,'Team Data'!C:AB,17,FALSE),"")</f>
        <v/>
      </c>
      <c r="H1826" t="str">
        <f>IFERROR(VLOOKUP(D1826,'Team Data'!C:AB,7,FALSE),"")</f>
        <v/>
      </c>
      <c r="I1826" t="str">
        <f>IFERROR(VLOOKUP(D1826,'Team Data'!C:AB,14,FALSE),"")</f>
        <v/>
      </c>
      <c r="J1826" t="str">
        <f>IFERROR(VLOOKUP(D1826,'Team Data'!C:AB,8,FALSE),"")</f>
        <v/>
      </c>
      <c r="K1826" t="str">
        <f>IFERROR(VLOOKUP(D1826,'Team Data'!C:AB,9,FALSE),"")</f>
        <v/>
      </c>
      <c r="L1826" t="str">
        <f>IFERROR(VLOOKUP(D1826,'Team Data'!C:AB,10,FALSE),"")</f>
        <v/>
      </c>
      <c r="M1826" t="str">
        <f t="shared" si="58"/>
        <v/>
      </c>
      <c r="N1826" t="str">
        <f>IFERROR(VLOOKUP(D1826,'Team Data'!C:AB,23,FALSE),"")</f>
        <v/>
      </c>
      <c r="O1826" t="str">
        <f>IFERROR(VLOOKUP(D1826,'Team Data'!C:AB,22,FALSE),"")</f>
        <v/>
      </c>
      <c r="P1826" t="str">
        <f t="shared" si="59"/>
        <v/>
      </c>
      <c r="Q1826" t="str">
        <f>IFERROR(VLOOKUP(D1826,'Team Data'!C:AB,15,FALSE),"")</f>
        <v/>
      </c>
      <c r="R1826" t="str">
        <f>IFERROR(VLOOKUP('OB Format'!D1826,'Team Data'!C:AB,24,FALSE),"")</f>
        <v/>
      </c>
      <c r="S1826" t="str">
        <f>IFERROR(VLOOKUP('OB Format'!D1826,'Team Data'!C:AC,25,FALSE),"")</f>
        <v/>
      </c>
    </row>
    <row r="1827" spans="5:19" x14ac:dyDescent="0.25">
      <c r="E1827" t="str">
        <f>IFERROR(VLOOKUP(D1827,'Team Data'!C:AB,4,FALSE),"")</f>
        <v/>
      </c>
      <c r="F1827" t="str">
        <f>IFERROR(VLOOKUP(D1827,'Team Data'!C:AB,5,FALSE),"")</f>
        <v/>
      </c>
      <c r="G1827" t="str">
        <f>IFERROR(VLOOKUP('OB Format'!D1827,'Team Data'!C:AB,17,FALSE),"")</f>
        <v/>
      </c>
      <c r="H1827" t="str">
        <f>IFERROR(VLOOKUP(D1827,'Team Data'!C:AB,7,FALSE),"")</f>
        <v/>
      </c>
      <c r="I1827" t="str">
        <f>IFERROR(VLOOKUP(D1827,'Team Data'!C:AB,14,FALSE),"")</f>
        <v/>
      </c>
      <c r="J1827" t="str">
        <f>IFERROR(VLOOKUP(D1827,'Team Data'!C:AB,8,FALSE),"")</f>
        <v/>
      </c>
      <c r="K1827" t="str">
        <f>IFERROR(VLOOKUP(D1827,'Team Data'!C:AB,9,FALSE),"")</f>
        <v/>
      </c>
      <c r="L1827" t="str">
        <f>IFERROR(VLOOKUP(D1827,'Team Data'!C:AB,10,FALSE),"")</f>
        <v/>
      </c>
      <c r="M1827" t="str">
        <f t="shared" si="58"/>
        <v/>
      </c>
      <c r="N1827" t="str">
        <f>IFERROR(VLOOKUP(D1827,'Team Data'!C:AB,23,FALSE),"")</f>
        <v/>
      </c>
      <c r="O1827" t="str">
        <f>IFERROR(VLOOKUP(D1827,'Team Data'!C:AB,22,FALSE),"")</f>
        <v/>
      </c>
      <c r="P1827" t="str">
        <f t="shared" si="59"/>
        <v/>
      </c>
      <c r="Q1827" t="str">
        <f>IFERROR(VLOOKUP(D1827,'Team Data'!C:AB,15,FALSE),"")</f>
        <v/>
      </c>
      <c r="R1827" t="str">
        <f>IFERROR(VLOOKUP('OB Format'!D1827,'Team Data'!C:AB,24,FALSE),"")</f>
        <v/>
      </c>
      <c r="S1827" t="str">
        <f>IFERROR(VLOOKUP('OB Format'!D1827,'Team Data'!C:AC,25,FALSE),"")</f>
        <v/>
      </c>
    </row>
    <row r="1828" spans="5:19" x14ac:dyDescent="0.25">
      <c r="E1828" t="str">
        <f>IFERROR(VLOOKUP(D1828,'Team Data'!C:AB,4,FALSE),"")</f>
        <v/>
      </c>
      <c r="F1828" t="str">
        <f>IFERROR(VLOOKUP(D1828,'Team Data'!C:AB,5,FALSE),"")</f>
        <v/>
      </c>
      <c r="G1828" t="str">
        <f>IFERROR(VLOOKUP('OB Format'!D1828,'Team Data'!C:AB,17,FALSE),"")</f>
        <v/>
      </c>
      <c r="H1828" t="str">
        <f>IFERROR(VLOOKUP(D1828,'Team Data'!C:AB,7,FALSE),"")</f>
        <v/>
      </c>
      <c r="I1828" t="str">
        <f>IFERROR(VLOOKUP(D1828,'Team Data'!C:AB,14,FALSE),"")</f>
        <v/>
      </c>
      <c r="J1828" t="str">
        <f>IFERROR(VLOOKUP(D1828,'Team Data'!C:AB,8,FALSE),"")</f>
        <v/>
      </c>
      <c r="K1828" t="str">
        <f>IFERROR(VLOOKUP(D1828,'Team Data'!C:AB,9,FALSE),"")</f>
        <v/>
      </c>
      <c r="L1828" t="str">
        <f>IFERROR(VLOOKUP(D1828,'Team Data'!C:AB,10,FALSE),"")</f>
        <v/>
      </c>
      <c r="M1828" t="str">
        <f t="shared" si="58"/>
        <v/>
      </c>
      <c r="N1828" t="str">
        <f>IFERROR(VLOOKUP(D1828,'Team Data'!C:AB,23,FALSE),"")</f>
        <v/>
      </c>
      <c r="O1828" t="str">
        <f>IFERROR(VLOOKUP(D1828,'Team Data'!C:AB,22,FALSE),"")</f>
        <v/>
      </c>
      <c r="P1828" t="str">
        <f t="shared" si="59"/>
        <v/>
      </c>
      <c r="Q1828" t="str">
        <f>IFERROR(VLOOKUP(D1828,'Team Data'!C:AB,15,FALSE),"")</f>
        <v/>
      </c>
      <c r="R1828" t="str">
        <f>IFERROR(VLOOKUP('OB Format'!D1828,'Team Data'!C:AB,24,FALSE),"")</f>
        <v/>
      </c>
      <c r="S1828" t="str">
        <f>IFERROR(VLOOKUP('OB Format'!D1828,'Team Data'!C:AC,25,FALSE),"")</f>
        <v/>
      </c>
    </row>
    <row r="1829" spans="5:19" x14ac:dyDescent="0.25">
      <c r="E1829" t="str">
        <f>IFERROR(VLOOKUP(D1829,'Team Data'!C:AB,4,FALSE),"")</f>
        <v/>
      </c>
      <c r="F1829" t="str">
        <f>IFERROR(VLOOKUP(D1829,'Team Data'!C:AB,5,FALSE),"")</f>
        <v/>
      </c>
      <c r="G1829" t="str">
        <f>IFERROR(VLOOKUP('OB Format'!D1829,'Team Data'!C:AB,17,FALSE),"")</f>
        <v/>
      </c>
      <c r="H1829" t="str">
        <f>IFERROR(VLOOKUP(D1829,'Team Data'!C:AB,7,FALSE),"")</f>
        <v/>
      </c>
      <c r="I1829" t="str">
        <f>IFERROR(VLOOKUP(D1829,'Team Data'!C:AB,14,FALSE),"")</f>
        <v/>
      </c>
      <c r="J1829" t="str">
        <f>IFERROR(VLOOKUP(D1829,'Team Data'!C:AB,8,FALSE),"")</f>
        <v/>
      </c>
      <c r="K1829" t="str">
        <f>IFERROR(VLOOKUP(D1829,'Team Data'!C:AB,9,FALSE),"")</f>
        <v/>
      </c>
      <c r="L1829" t="str">
        <f>IFERROR(VLOOKUP(D1829,'Team Data'!C:AB,10,FALSE),"")</f>
        <v/>
      </c>
      <c r="M1829" t="str">
        <f t="shared" si="58"/>
        <v/>
      </c>
      <c r="N1829" t="str">
        <f>IFERROR(VLOOKUP(D1829,'Team Data'!C:AB,23,FALSE),"")</f>
        <v/>
      </c>
      <c r="O1829" t="str">
        <f>IFERROR(VLOOKUP(D1829,'Team Data'!C:AB,22,FALSE),"")</f>
        <v/>
      </c>
      <c r="P1829" t="str">
        <f t="shared" si="59"/>
        <v/>
      </c>
      <c r="Q1829" t="str">
        <f>IFERROR(VLOOKUP(D1829,'Team Data'!C:AB,15,FALSE),"")</f>
        <v/>
      </c>
      <c r="R1829" t="str">
        <f>IFERROR(VLOOKUP('OB Format'!D1829,'Team Data'!C:AB,24,FALSE),"")</f>
        <v/>
      </c>
      <c r="S1829" t="str">
        <f>IFERROR(VLOOKUP('OB Format'!D1829,'Team Data'!C:AC,25,FALSE),"")</f>
        <v/>
      </c>
    </row>
    <row r="1830" spans="5:19" x14ac:dyDescent="0.25">
      <c r="E1830" t="str">
        <f>IFERROR(VLOOKUP(D1830,'Team Data'!C:AB,4,FALSE),"")</f>
        <v/>
      </c>
      <c r="F1830" t="str">
        <f>IFERROR(VLOOKUP(D1830,'Team Data'!C:AB,5,FALSE),"")</f>
        <v/>
      </c>
      <c r="G1830" t="str">
        <f>IFERROR(VLOOKUP('OB Format'!D1830,'Team Data'!C:AB,17,FALSE),"")</f>
        <v/>
      </c>
      <c r="H1830" t="str">
        <f>IFERROR(VLOOKUP(D1830,'Team Data'!C:AB,7,FALSE),"")</f>
        <v/>
      </c>
      <c r="I1830" t="str">
        <f>IFERROR(VLOOKUP(D1830,'Team Data'!C:AB,14,FALSE),"")</f>
        <v/>
      </c>
      <c r="J1830" t="str">
        <f>IFERROR(VLOOKUP(D1830,'Team Data'!C:AB,8,FALSE),"")</f>
        <v/>
      </c>
      <c r="K1830" t="str">
        <f>IFERROR(VLOOKUP(D1830,'Team Data'!C:AB,9,FALSE),"")</f>
        <v/>
      </c>
      <c r="L1830" t="str">
        <f>IFERROR(VLOOKUP(D1830,'Team Data'!C:AB,10,FALSE),"")</f>
        <v/>
      </c>
      <c r="M1830" t="str">
        <f t="shared" si="58"/>
        <v/>
      </c>
      <c r="N1830" t="str">
        <f>IFERROR(VLOOKUP(D1830,'Team Data'!C:AB,23,FALSE),"")</f>
        <v/>
      </c>
      <c r="O1830" t="str">
        <f>IFERROR(VLOOKUP(D1830,'Team Data'!C:AB,22,FALSE),"")</f>
        <v/>
      </c>
      <c r="P1830" t="str">
        <f t="shared" si="59"/>
        <v/>
      </c>
      <c r="Q1830" t="str">
        <f>IFERROR(VLOOKUP(D1830,'Team Data'!C:AB,15,FALSE),"")</f>
        <v/>
      </c>
      <c r="R1830" t="str">
        <f>IFERROR(VLOOKUP('OB Format'!D1830,'Team Data'!C:AB,24,FALSE),"")</f>
        <v/>
      </c>
      <c r="S1830" t="str">
        <f>IFERROR(VLOOKUP('OB Format'!D1830,'Team Data'!C:AC,25,FALSE),"")</f>
        <v/>
      </c>
    </row>
    <row r="1831" spans="5:19" x14ac:dyDescent="0.25">
      <c r="E1831" t="str">
        <f>IFERROR(VLOOKUP(D1831,'Team Data'!C:AB,4,FALSE),"")</f>
        <v/>
      </c>
      <c r="F1831" t="str">
        <f>IFERROR(VLOOKUP(D1831,'Team Data'!C:AB,5,FALSE),"")</f>
        <v/>
      </c>
      <c r="G1831" t="str">
        <f>IFERROR(VLOOKUP('OB Format'!D1831,'Team Data'!C:AB,17,FALSE),"")</f>
        <v/>
      </c>
      <c r="H1831" t="str">
        <f>IFERROR(VLOOKUP(D1831,'Team Data'!C:AB,7,FALSE),"")</f>
        <v/>
      </c>
      <c r="I1831" t="str">
        <f>IFERROR(VLOOKUP(D1831,'Team Data'!C:AB,14,FALSE),"")</f>
        <v/>
      </c>
      <c r="J1831" t="str">
        <f>IFERROR(VLOOKUP(D1831,'Team Data'!C:AB,8,FALSE),"")</f>
        <v/>
      </c>
      <c r="K1831" t="str">
        <f>IFERROR(VLOOKUP(D1831,'Team Data'!C:AB,9,FALSE),"")</f>
        <v/>
      </c>
      <c r="L1831" t="str">
        <f>IFERROR(VLOOKUP(D1831,'Team Data'!C:AB,10,FALSE),"")</f>
        <v/>
      </c>
      <c r="M1831" t="str">
        <f t="shared" si="58"/>
        <v/>
      </c>
      <c r="N1831" t="str">
        <f>IFERROR(VLOOKUP(D1831,'Team Data'!C:AB,23,FALSE),"")</f>
        <v/>
      </c>
      <c r="O1831" t="str">
        <f>IFERROR(VLOOKUP(D1831,'Team Data'!C:AB,22,FALSE),"")</f>
        <v/>
      </c>
      <c r="P1831" t="str">
        <f t="shared" si="59"/>
        <v/>
      </c>
      <c r="Q1831" t="str">
        <f>IFERROR(VLOOKUP(D1831,'Team Data'!C:AB,15,FALSE),"")</f>
        <v/>
      </c>
      <c r="R1831" t="str">
        <f>IFERROR(VLOOKUP('OB Format'!D1831,'Team Data'!C:AB,24,FALSE),"")</f>
        <v/>
      </c>
      <c r="S1831" t="str">
        <f>IFERROR(VLOOKUP('OB Format'!D1831,'Team Data'!C:AC,25,FALSE),"")</f>
        <v/>
      </c>
    </row>
    <row r="1832" spans="5:19" x14ac:dyDescent="0.25">
      <c r="E1832" t="str">
        <f>IFERROR(VLOOKUP(D1832,'Team Data'!C:AB,4,FALSE),"")</f>
        <v/>
      </c>
      <c r="F1832" t="str">
        <f>IFERROR(VLOOKUP(D1832,'Team Data'!C:AB,5,FALSE),"")</f>
        <v/>
      </c>
      <c r="G1832" t="str">
        <f>IFERROR(VLOOKUP('OB Format'!D1832,'Team Data'!C:AB,17,FALSE),"")</f>
        <v/>
      </c>
      <c r="H1832" t="str">
        <f>IFERROR(VLOOKUP(D1832,'Team Data'!C:AB,7,FALSE),"")</f>
        <v/>
      </c>
      <c r="I1832" t="str">
        <f>IFERROR(VLOOKUP(D1832,'Team Data'!C:AB,14,FALSE),"")</f>
        <v/>
      </c>
      <c r="J1832" t="str">
        <f>IFERROR(VLOOKUP(D1832,'Team Data'!C:AB,8,FALSE),"")</f>
        <v/>
      </c>
      <c r="K1832" t="str">
        <f>IFERROR(VLOOKUP(D1832,'Team Data'!C:AB,9,FALSE),"")</f>
        <v/>
      </c>
      <c r="L1832" t="str">
        <f>IFERROR(VLOOKUP(D1832,'Team Data'!C:AB,10,FALSE),"")</f>
        <v/>
      </c>
      <c r="M1832" t="str">
        <f t="shared" si="58"/>
        <v/>
      </c>
      <c r="N1832" t="str">
        <f>IFERROR(VLOOKUP(D1832,'Team Data'!C:AB,23,FALSE),"")</f>
        <v/>
      </c>
      <c r="O1832" t="str">
        <f>IFERROR(VLOOKUP(D1832,'Team Data'!C:AB,22,FALSE),"")</f>
        <v/>
      </c>
      <c r="P1832" t="str">
        <f t="shared" si="59"/>
        <v/>
      </c>
      <c r="Q1832" t="str">
        <f>IFERROR(VLOOKUP(D1832,'Team Data'!C:AB,15,FALSE),"")</f>
        <v/>
      </c>
      <c r="R1832" t="str">
        <f>IFERROR(VLOOKUP('OB Format'!D1832,'Team Data'!C:AB,24,FALSE),"")</f>
        <v/>
      </c>
      <c r="S1832" t="str">
        <f>IFERROR(VLOOKUP('OB Format'!D1832,'Team Data'!C:AC,25,FALSE),"")</f>
        <v/>
      </c>
    </row>
    <row r="1833" spans="5:19" x14ac:dyDescent="0.25">
      <c r="E1833" t="str">
        <f>IFERROR(VLOOKUP(D1833,'Team Data'!C:AB,4,FALSE),"")</f>
        <v/>
      </c>
      <c r="F1833" t="str">
        <f>IFERROR(VLOOKUP(D1833,'Team Data'!C:AB,5,FALSE),"")</f>
        <v/>
      </c>
      <c r="G1833" t="str">
        <f>IFERROR(VLOOKUP('OB Format'!D1833,'Team Data'!C:AB,17,FALSE),"")</f>
        <v/>
      </c>
      <c r="H1833" t="str">
        <f>IFERROR(VLOOKUP(D1833,'Team Data'!C:AB,7,FALSE),"")</f>
        <v/>
      </c>
      <c r="I1833" t="str">
        <f>IFERROR(VLOOKUP(D1833,'Team Data'!C:AB,14,FALSE),"")</f>
        <v/>
      </c>
      <c r="J1833" t="str">
        <f>IFERROR(VLOOKUP(D1833,'Team Data'!C:AB,8,FALSE),"")</f>
        <v/>
      </c>
      <c r="K1833" t="str">
        <f>IFERROR(VLOOKUP(D1833,'Team Data'!C:AB,9,FALSE),"")</f>
        <v/>
      </c>
      <c r="L1833" t="str">
        <f>IFERROR(VLOOKUP(D1833,'Team Data'!C:AB,10,FALSE),"")</f>
        <v/>
      </c>
      <c r="M1833" t="str">
        <f t="shared" si="58"/>
        <v/>
      </c>
      <c r="N1833" t="str">
        <f>IFERROR(VLOOKUP(D1833,'Team Data'!C:AB,23,FALSE),"")</f>
        <v/>
      </c>
      <c r="O1833" t="str">
        <f>IFERROR(VLOOKUP(D1833,'Team Data'!C:AB,22,FALSE),"")</f>
        <v/>
      </c>
      <c r="P1833" t="str">
        <f t="shared" si="59"/>
        <v/>
      </c>
      <c r="Q1833" t="str">
        <f>IFERROR(VLOOKUP(D1833,'Team Data'!C:AB,15,FALSE),"")</f>
        <v/>
      </c>
      <c r="R1833" t="str">
        <f>IFERROR(VLOOKUP('OB Format'!D1833,'Team Data'!C:AB,24,FALSE),"")</f>
        <v/>
      </c>
      <c r="S1833" t="str">
        <f>IFERROR(VLOOKUP('OB Format'!D1833,'Team Data'!C:AC,25,FALSE),"")</f>
        <v/>
      </c>
    </row>
    <row r="1834" spans="5:19" x14ac:dyDescent="0.25">
      <c r="E1834" t="str">
        <f>IFERROR(VLOOKUP(D1834,'Team Data'!C:AB,4,FALSE),"")</f>
        <v/>
      </c>
      <c r="F1834" t="str">
        <f>IFERROR(VLOOKUP(D1834,'Team Data'!C:AB,5,FALSE),"")</f>
        <v/>
      </c>
      <c r="G1834" t="str">
        <f>IFERROR(VLOOKUP('OB Format'!D1834,'Team Data'!C:AB,17,FALSE),"")</f>
        <v/>
      </c>
      <c r="H1834" t="str">
        <f>IFERROR(VLOOKUP(D1834,'Team Data'!C:AB,7,FALSE),"")</f>
        <v/>
      </c>
      <c r="I1834" t="str">
        <f>IFERROR(VLOOKUP(D1834,'Team Data'!C:AB,14,FALSE),"")</f>
        <v/>
      </c>
      <c r="J1834" t="str">
        <f>IFERROR(VLOOKUP(D1834,'Team Data'!C:AB,8,FALSE),"")</f>
        <v/>
      </c>
      <c r="K1834" t="str">
        <f>IFERROR(VLOOKUP(D1834,'Team Data'!C:AB,9,FALSE),"")</f>
        <v/>
      </c>
      <c r="L1834" t="str">
        <f>IFERROR(VLOOKUP(D1834,'Team Data'!C:AB,10,FALSE),"")</f>
        <v/>
      </c>
      <c r="M1834" t="str">
        <f t="shared" si="58"/>
        <v/>
      </c>
      <c r="N1834" t="str">
        <f>IFERROR(VLOOKUP(D1834,'Team Data'!C:AB,23,FALSE),"")</f>
        <v/>
      </c>
      <c r="O1834" t="str">
        <f>IFERROR(VLOOKUP(D1834,'Team Data'!C:AB,22,FALSE),"")</f>
        <v/>
      </c>
      <c r="P1834" t="str">
        <f t="shared" si="59"/>
        <v/>
      </c>
      <c r="Q1834" t="str">
        <f>IFERROR(VLOOKUP(D1834,'Team Data'!C:AB,15,FALSE),"")</f>
        <v/>
      </c>
      <c r="R1834" t="str">
        <f>IFERROR(VLOOKUP('OB Format'!D1834,'Team Data'!C:AB,24,FALSE),"")</f>
        <v/>
      </c>
      <c r="S1834" t="str">
        <f>IFERROR(VLOOKUP('OB Format'!D1834,'Team Data'!C:AC,25,FALSE),"")</f>
        <v/>
      </c>
    </row>
    <row r="1835" spans="5:19" x14ac:dyDescent="0.25">
      <c r="E1835" t="str">
        <f>IFERROR(VLOOKUP(D1835,'Team Data'!C:AB,4,FALSE),"")</f>
        <v/>
      </c>
      <c r="F1835" t="str">
        <f>IFERROR(VLOOKUP(D1835,'Team Data'!C:AB,5,FALSE),"")</f>
        <v/>
      </c>
      <c r="G1835" t="str">
        <f>IFERROR(VLOOKUP('OB Format'!D1835,'Team Data'!C:AB,17,FALSE),"")</f>
        <v/>
      </c>
      <c r="H1835" t="str">
        <f>IFERROR(VLOOKUP(D1835,'Team Data'!C:AB,7,FALSE),"")</f>
        <v/>
      </c>
      <c r="I1835" t="str">
        <f>IFERROR(VLOOKUP(D1835,'Team Data'!C:AB,14,FALSE),"")</f>
        <v/>
      </c>
      <c r="J1835" t="str">
        <f>IFERROR(VLOOKUP(D1835,'Team Data'!C:AB,8,FALSE),"")</f>
        <v/>
      </c>
      <c r="K1835" t="str">
        <f>IFERROR(VLOOKUP(D1835,'Team Data'!C:AB,9,FALSE),"")</f>
        <v/>
      </c>
      <c r="L1835" t="str">
        <f>IFERROR(VLOOKUP(D1835,'Team Data'!C:AB,10,FALSE),"")</f>
        <v/>
      </c>
      <c r="M1835" t="str">
        <f t="shared" si="58"/>
        <v/>
      </c>
      <c r="N1835" t="str">
        <f>IFERROR(VLOOKUP(D1835,'Team Data'!C:AB,23,FALSE),"")</f>
        <v/>
      </c>
      <c r="O1835" t="str">
        <f>IFERROR(VLOOKUP(D1835,'Team Data'!C:AB,22,FALSE),"")</f>
        <v/>
      </c>
      <c r="P1835" t="str">
        <f t="shared" si="59"/>
        <v/>
      </c>
      <c r="Q1835" t="str">
        <f>IFERROR(VLOOKUP(D1835,'Team Data'!C:AB,15,FALSE),"")</f>
        <v/>
      </c>
      <c r="R1835" t="str">
        <f>IFERROR(VLOOKUP('OB Format'!D1835,'Team Data'!C:AB,24,FALSE),"")</f>
        <v/>
      </c>
      <c r="S1835" t="str">
        <f>IFERROR(VLOOKUP('OB Format'!D1835,'Team Data'!C:AC,25,FALSE),"")</f>
        <v/>
      </c>
    </row>
    <row r="1836" spans="5:19" x14ac:dyDescent="0.25">
      <c r="E1836" t="str">
        <f>IFERROR(VLOOKUP(D1836,'Team Data'!C:AB,4,FALSE),"")</f>
        <v/>
      </c>
      <c r="F1836" t="str">
        <f>IFERROR(VLOOKUP(D1836,'Team Data'!C:AB,5,FALSE),"")</f>
        <v/>
      </c>
      <c r="G1836" t="str">
        <f>IFERROR(VLOOKUP('OB Format'!D1836,'Team Data'!C:AB,17,FALSE),"")</f>
        <v/>
      </c>
      <c r="H1836" t="str">
        <f>IFERROR(VLOOKUP(D1836,'Team Data'!C:AB,7,FALSE),"")</f>
        <v/>
      </c>
      <c r="I1836" t="str">
        <f>IFERROR(VLOOKUP(D1836,'Team Data'!C:AB,14,FALSE),"")</f>
        <v/>
      </c>
      <c r="J1836" t="str">
        <f>IFERROR(VLOOKUP(D1836,'Team Data'!C:AB,8,FALSE),"")</f>
        <v/>
      </c>
      <c r="K1836" t="str">
        <f>IFERROR(VLOOKUP(D1836,'Team Data'!C:AB,9,FALSE),"")</f>
        <v/>
      </c>
      <c r="L1836" t="str">
        <f>IFERROR(VLOOKUP(D1836,'Team Data'!C:AB,10,FALSE),"")</f>
        <v/>
      </c>
      <c r="M1836" t="str">
        <f t="shared" si="58"/>
        <v/>
      </c>
      <c r="N1836" t="str">
        <f>IFERROR(VLOOKUP(D1836,'Team Data'!C:AB,23,FALSE),"")</f>
        <v/>
      </c>
      <c r="O1836" t="str">
        <f>IFERROR(VLOOKUP(D1836,'Team Data'!C:AB,22,FALSE),"")</f>
        <v/>
      </c>
      <c r="P1836" t="str">
        <f t="shared" si="59"/>
        <v/>
      </c>
      <c r="Q1836" t="str">
        <f>IFERROR(VLOOKUP(D1836,'Team Data'!C:AB,15,FALSE),"")</f>
        <v/>
      </c>
      <c r="R1836" t="str">
        <f>IFERROR(VLOOKUP('OB Format'!D1836,'Team Data'!C:AB,24,FALSE),"")</f>
        <v/>
      </c>
      <c r="S1836" t="str">
        <f>IFERROR(VLOOKUP('OB Format'!D1836,'Team Data'!C:AC,25,FALSE),"")</f>
        <v/>
      </c>
    </row>
    <row r="1837" spans="5:19" x14ac:dyDescent="0.25">
      <c r="E1837" t="str">
        <f>IFERROR(VLOOKUP(D1837,'Team Data'!C:AB,4,FALSE),"")</f>
        <v/>
      </c>
      <c r="F1837" t="str">
        <f>IFERROR(VLOOKUP(D1837,'Team Data'!C:AB,5,FALSE),"")</f>
        <v/>
      </c>
      <c r="G1837" t="str">
        <f>IFERROR(VLOOKUP('OB Format'!D1837,'Team Data'!C:AB,17,FALSE),"")</f>
        <v/>
      </c>
      <c r="H1837" t="str">
        <f>IFERROR(VLOOKUP(D1837,'Team Data'!C:AB,7,FALSE),"")</f>
        <v/>
      </c>
      <c r="I1837" t="str">
        <f>IFERROR(VLOOKUP(D1837,'Team Data'!C:AB,14,FALSE),"")</f>
        <v/>
      </c>
      <c r="J1837" t="str">
        <f>IFERROR(VLOOKUP(D1837,'Team Data'!C:AB,8,FALSE),"")</f>
        <v/>
      </c>
      <c r="K1837" t="str">
        <f>IFERROR(VLOOKUP(D1837,'Team Data'!C:AB,9,FALSE),"")</f>
        <v/>
      </c>
      <c r="L1837" t="str">
        <f>IFERROR(VLOOKUP(D1837,'Team Data'!C:AB,10,FALSE),"")</f>
        <v/>
      </c>
      <c r="M1837" t="str">
        <f t="shared" si="58"/>
        <v/>
      </c>
      <c r="N1837" t="str">
        <f>IFERROR(VLOOKUP(D1837,'Team Data'!C:AB,23,FALSE),"")</f>
        <v/>
      </c>
      <c r="O1837" t="str">
        <f>IFERROR(VLOOKUP(D1837,'Team Data'!C:AB,22,FALSE),"")</f>
        <v/>
      </c>
      <c r="P1837" t="str">
        <f t="shared" si="59"/>
        <v/>
      </c>
      <c r="Q1837" t="str">
        <f>IFERROR(VLOOKUP(D1837,'Team Data'!C:AB,15,FALSE),"")</f>
        <v/>
      </c>
      <c r="R1837" t="str">
        <f>IFERROR(VLOOKUP('OB Format'!D1837,'Team Data'!C:AB,24,FALSE),"")</f>
        <v/>
      </c>
      <c r="S1837" t="str">
        <f>IFERROR(VLOOKUP('OB Format'!D1837,'Team Data'!C:AC,25,FALSE),"")</f>
        <v/>
      </c>
    </row>
    <row r="1838" spans="5:19" x14ac:dyDescent="0.25">
      <c r="E1838" t="str">
        <f>IFERROR(VLOOKUP(D1838,'Team Data'!C:AB,4,FALSE),"")</f>
        <v/>
      </c>
      <c r="F1838" t="str">
        <f>IFERROR(VLOOKUP(D1838,'Team Data'!C:AB,5,FALSE),"")</f>
        <v/>
      </c>
      <c r="G1838" t="str">
        <f>IFERROR(VLOOKUP('OB Format'!D1838,'Team Data'!C:AB,17,FALSE),"")</f>
        <v/>
      </c>
      <c r="H1838" t="str">
        <f>IFERROR(VLOOKUP(D1838,'Team Data'!C:AB,7,FALSE),"")</f>
        <v/>
      </c>
      <c r="I1838" t="str">
        <f>IFERROR(VLOOKUP(D1838,'Team Data'!C:AB,14,FALSE),"")</f>
        <v/>
      </c>
      <c r="J1838" t="str">
        <f>IFERROR(VLOOKUP(D1838,'Team Data'!C:AB,8,FALSE),"")</f>
        <v/>
      </c>
      <c r="K1838" t="str">
        <f>IFERROR(VLOOKUP(D1838,'Team Data'!C:AB,9,FALSE),"")</f>
        <v/>
      </c>
      <c r="L1838" t="str">
        <f>IFERROR(VLOOKUP(D1838,'Team Data'!C:AB,10,FALSE),"")</f>
        <v/>
      </c>
      <c r="M1838" t="str">
        <f t="shared" si="58"/>
        <v/>
      </c>
      <c r="N1838" t="str">
        <f>IFERROR(VLOOKUP(D1838,'Team Data'!C:AB,23,FALSE),"")</f>
        <v/>
      </c>
      <c r="O1838" t="str">
        <f>IFERROR(VLOOKUP(D1838,'Team Data'!C:AB,22,FALSE),"")</f>
        <v/>
      </c>
      <c r="P1838" t="str">
        <f t="shared" si="59"/>
        <v/>
      </c>
      <c r="Q1838" t="str">
        <f>IFERROR(VLOOKUP(D1838,'Team Data'!C:AB,15,FALSE),"")</f>
        <v/>
      </c>
      <c r="R1838" t="str">
        <f>IFERROR(VLOOKUP('OB Format'!D1838,'Team Data'!C:AB,24,FALSE),"")</f>
        <v/>
      </c>
      <c r="S1838" t="str">
        <f>IFERROR(VLOOKUP('OB Format'!D1838,'Team Data'!C:AC,25,FALSE),"")</f>
        <v/>
      </c>
    </row>
    <row r="1839" spans="5:19" x14ac:dyDescent="0.25">
      <c r="E1839" t="str">
        <f>IFERROR(VLOOKUP(D1839,'Team Data'!C:AB,4,FALSE),"")</f>
        <v/>
      </c>
      <c r="F1839" t="str">
        <f>IFERROR(VLOOKUP(D1839,'Team Data'!C:AB,5,FALSE),"")</f>
        <v/>
      </c>
      <c r="G1839" t="str">
        <f>IFERROR(VLOOKUP('OB Format'!D1839,'Team Data'!C:AB,17,FALSE),"")</f>
        <v/>
      </c>
      <c r="H1839" t="str">
        <f>IFERROR(VLOOKUP(D1839,'Team Data'!C:AB,7,FALSE),"")</f>
        <v/>
      </c>
      <c r="I1839" t="str">
        <f>IFERROR(VLOOKUP(D1839,'Team Data'!C:AB,14,FALSE),"")</f>
        <v/>
      </c>
      <c r="J1839" t="str">
        <f>IFERROR(VLOOKUP(D1839,'Team Data'!C:AB,8,FALSE),"")</f>
        <v/>
      </c>
      <c r="K1839" t="str">
        <f>IFERROR(VLOOKUP(D1839,'Team Data'!C:AB,9,FALSE),"")</f>
        <v/>
      </c>
      <c r="L1839" t="str">
        <f>IFERROR(VLOOKUP(D1839,'Team Data'!C:AB,10,FALSE),"")</f>
        <v/>
      </c>
      <c r="M1839" t="str">
        <f t="shared" si="58"/>
        <v/>
      </c>
      <c r="N1839" t="str">
        <f>IFERROR(VLOOKUP(D1839,'Team Data'!C:AB,23,FALSE),"")</f>
        <v/>
      </c>
      <c r="O1839" t="str">
        <f>IFERROR(VLOOKUP(D1839,'Team Data'!C:AB,22,FALSE),"")</f>
        <v/>
      </c>
      <c r="P1839" t="str">
        <f t="shared" si="59"/>
        <v/>
      </c>
      <c r="Q1839" t="str">
        <f>IFERROR(VLOOKUP(D1839,'Team Data'!C:AB,15,FALSE),"")</f>
        <v/>
      </c>
      <c r="R1839" t="str">
        <f>IFERROR(VLOOKUP('OB Format'!D1839,'Team Data'!C:AB,24,FALSE),"")</f>
        <v/>
      </c>
      <c r="S1839" t="str">
        <f>IFERROR(VLOOKUP('OB Format'!D1839,'Team Data'!C:AC,25,FALSE),"")</f>
        <v/>
      </c>
    </row>
    <row r="1840" spans="5:19" x14ac:dyDescent="0.25">
      <c r="E1840" t="str">
        <f>IFERROR(VLOOKUP(D1840,'Team Data'!C:AB,4,FALSE),"")</f>
        <v/>
      </c>
      <c r="F1840" t="str">
        <f>IFERROR(VLOOKUP(D1840,'Team Data'!C:AB,5,FALSE),"")</f>
        <v/>
      </c>
      <c r="G1840" t="str">
        <f>IFERROR(VLOOKUP('OB Format'!D1840,'Team Data'!C:AB,17,FALSE),"")</f>
        <v/>
      </c>
      <c r="H1840" t="str">
        <f>IFERROR(VLOOKUP(D1840,'Team Data'!C:AB,7,FALSE),"")</f>
        <v/>
      </c>
      <c r="I1840" t="str">
        <f>IFERROR(VLOOKUP(D1840,'Team Data'!C:AB,14,FALSE),"")</f>
        <v/>
      </c>
      <c r="J1840" t="str">
        <f>IFERROR(VLOOKUP(D1840,'Team Data'!C:AB,8,FALSE),"")</f>
        <v/>
      </c>
      <c r="K1840" t="str">
        <f>IFERROR(VLOOKUP(D1840,'Team Data'!C:AB,9,FALSE),"")</f>
        <v/>
      </c>
      <c r="L1840" t="str">
        <f>IFERROR(VLOOKUP(D1840,'Team Data'!C:AB,10,FALSE),"")</f>
        <v/>
      </c>
      <c r="M1840" t="str">
        <f t="shared" si="58"/>
        <v/>
      </c>
      <c r="N1840" t="str">
        <f>IFERROR(VLOOKUP(D1840,'Team Data'!C:AB,23,FALSE),"")</f>
        <v/>
      </c>
      <c r="O1840" t="str">
        <f>IFERROR(VLOOKUP(D1840,'Team Data'!C:AB,22,FALSE),"")</f>
        <v/>
      </c>
      <c r="P1840" t="str">
        <f t="shared" si="59"/>
        <v/>
      </c>
      <c r="Q1840" t="str">
        <f>IFERROR(VLOOKUP(D1840,'Team Data'!C:AB,15,FALSE),"")</f>
        <v/>
      </c>
      <c r="R1840" t="str">
        <f>IFERROR(VLOOKUP('OB Format'!D1840,'Team Data'!C:AB,24,FALSE),"")</f>
        <v/>
      </c>
      <c r="S1840" t="str">
        <f>IFERROR(VLOOKUP('OB Format'!D1840,'Team Data'!C:AC,25,FALSE),"")</f>
        <v/>
      </c>
    </row>
    <row r="1841" spans="5:19" x14ac:dyDescent="0.25">
      <c r="E1841" t="str">
        <f>IFERROR(VLOOKUP(D1841,'Team Data'!C:AB,4,FALSE),"")</f>
        <v/>
      </c>
      <c r="F1841" t="str">
        <f>IFERROR(VLOOKUP(D1841,'Team Data'!C:AB,5,FALSE),"")</f>
        <v/>
      </c>
      <c r="G1841" t="str">
        <f>IFERROR(VLOOKUP('OB Format'!D1841,'Team Data'!C:AB,17,FALSE),"")</f>
        <v/>
      </c>
      <c r="H1841" t="str">
        <f>IFERROR(VLOOKUP(D1841,'Team Data'!C:AB,7,FALSE),"")</f>
        <v/>
      </c>
      <c r="I1841" t="str">
        <f>IFERROR(VLOOKUP(D1841,'Team Data'!C:AB,14,FALSE),"")</f>
        <v/>
      </c>
      <c r="J1841" t="str">
        <f>IFERROR(VLOOKUP(D1841,'Team Data'!C:AB,8,FALSE),"")</f>
        <v/>
      </c>
      <c r="K1841" t="str">
        <f>IFERROR(VLOOKUP(D1841,'Team Data'!C:AB,9,FALSE),"")</f>
        <v/>
      </c>
      <c r="L1841" t="str">
        <f>IFERROR(VLOOKUP(D1841,'Team Data'!C:AB,10,FALSE),"")</f>
        <v/>
      </c>
      <c r="M1841" t="str">
        <f t="shared" si="58"/>
        <v/>
      </c>
      <c r="N1841" t="str">
        <f>IFERROR(VLOOKUP(D1841,'Team Data'!C:AB,23,FALSE),"")</f>
        <v/>
      </c>
      <c r="O1841" t="str">
        <f>IFERROR(VLOOKUP(D1841,'Team Data'!C:AB,22,FALSE),"")</f>
        <v/>
      </c>
      <c r="P1841" t="str">
        <f t="shared" si="59"/>
        <v/>
      </c>
      <c r="Q1841" t="str">
        <f>IFERROR(VLOOKUP(D1841,'Team Data'!C:AB,15,FALSE),"")</f>
        <v/>
      </c>
      <c r="R1841" t="str">
        <f>IFERROR(VLOOKUP('OB Format'!D1841,'Team Data'!C:AB,24,FALSE),"")</f>
        <v/>
      </c>
      <c r="S1841" t="str">
        <f>IFERROR(VLOOKUP('OB Format'!D1841,'Team Data'!C:AC,25,FALSE),"")</f>
        <v/>
      </c>
    </row>
    <row r="1842" spans="5:19" x14ac:dyDescent="0.25">
      <c r="E1842" t="str">
        <f>IFERROR(VLOOKUP(D1842,'Team Data'!C:AB,4,FALSE),"")</f>
        <v/>
      </c>
      <c r="F1842" t="str">
        <f>IFERROR(VLOOKUP(D1842,'Team Data'!C:AB,5,FALSE),"")</f>
        <v/>
      </c>
      <c r="G1842" t="str">
        <f>IFERROR(VLOOKUP('OB Format'!D1842,'Team Data'!C:AB,17,FALSE),"")</f>
        <v/>
      </c>
      <c r="H1842" t="str">
        <f>IFERROR(VLOOKUP(D1842,'Team Data'!C:AB,7,FALSE),"")</f>
        <v/>
      </c>
      <c r="I1842" t="str">
        <f>IFERROR(VLOOKUP(D1842,'Team Data'!C:AB,14,FALSE),"")</f>
        <v/>
      </c>
      <c r="J1842" t="str">
        <f>IFERROR(VLOOKUP(D1842,'Team Data'!C:AB,8,FALSE),"")</f>
        <v/>
      </c>
      <c r="K1842" t="str">
        <f>IFERROR(VLOOKUP(D1842,'Team Data'!C:AB,9,FALSE),"")</f>
        <v/>
      </c>
      <c r="L1842" t="str">
        <f>IFERROR(VLOOKUP(D1842,'Team Data'!C:AB,10,FALSE),"")</f>
        <v/>
      </c>
      <c r="M1842" t="str">
        <f t="shared" si="58"/>
        <v/>
      </c>
      <c r="N1842" t="str">
        <f>IFERROR(VLOOKUP(D1842,'Team Data'!C:AB,23,FALSE),"")</f>
        <v/>
      </c>
      <c r="O1842" t="str">
        <f>IFERROR(VLOOKUP(D1842,'Team Data'!C:AB,22,FALSE),"")</f>
        <v/>
      </c>
      <c r="P1842" t="str">
        <f t="shared" si="59"/>
        <v/>
      </c>
      <c r="Q1842" t="str">
        <f>IFERROR(VLOOKUP(D1842,'Team Data'!C:AB,15,FALSE),"")</f>
        <v/>
      </c>
      <c r="R1842" t="str">
        <f>IFERROR(VLOOKUP('OB Format'!D1842,'Team Data'!C:AB,24,FALSE),"")</f>
        <v/>
      </c>
      <c r="S1842" t="str">
        <f>IFERROR(VLOOKUP('OB Format'!D1842,'Team Data'!C:AC,25,FALSE),"")</f>
        <v/>
      </c>
    </row>
    <row r="1843" spans="5:19" x14ac:dyDescent="0.25">
      <c r="E1843" t="str">
        <f>IFERROR(VLOOKUP(D1843,'Team Data'!C:AB,4,FALSE),"")</f>
        <v/>
      </c>
      <c r="F1843" t="str">
        <f>IFERROR(VLOOKUP(D1843,'Team Data'!C:AB,5,FALSE),"")</f>
        <v/>
      </c>
      <c r="G1843" t="str">
        <f>IFERROR(VLOOKUP('OB Format'!D1843,'Team Data'!C:AB,17,FALSE),"")</f>
        <v/>
      </c>
      <c r="H1843" t="str">
        <f>IFERROR(VLOOKUP(D1843,'Team Data'!C:AB,7,FALSE),"")</f>
        <v/>
      </c>
      <c r="I1843" t="str">
        <f>IFERROR(VLOOKUP(D1843,'Team Data'!C:AB,14,FALSE),"")</f>
        <v/>
      </c>
      <c r="J1843" t="str">
        <f>IFERROR(VLOOKUP(D1843,'Team Data'!C:AB,8,FALSE),"")</f>
        <v/>
      </c>
      <c r="K1843" t="str">
        <f>IFERROR(VLOOKUP(D1843,'Team Data'!C:AB,9,FALSE),"")</f>
        <v/>
      </c>
      <c r="L1843" t="str">
        <f>IFERROR(VLOOKUP(D1843,'Team Data'!C:AB,10,FALSE),"")</f>
        <v/>
      </c>
      <c r="M1843" t="str">
        <f t="shared" si="58"/>
        <v/>
      </c>
      <c r="N1843" t="str">
        <f>IFERROR(VLOOKUP(D1843,'Team Data'!C:AB,23,FALSE),"")</f>
        <v/>
      </c>
      <c r="O1843" t="str">
        <f>IFERROR(VLOOKUP(D1843,'Team Data'!C:AB,22,FALSE),"")</f>
        <v/>
      </c>
      <c r="P1843" t="str">
        <f t="shared" si="59"/>
        <v/>
      </c>
      <c r="Q1843" t="str">
        <f>IFERROR(VLOOKUP(D1843,'Team Data'!C:AB,15,FALSE),"")</f>
        <v/>
      </c>
      <c r="R1843" t="str">
        <f>IFERROR(VLOOKUP('OB Format'!D1843,'Team Data'!C:AB,24,FALSE),"")</f>
        <v/>
      </c>
      <c r="S1843" t="str">
        <f>IFERROR(VLOOKUP('OB Format'!D1843,'Team Data'!C:AC,25,FALSE),"")</f>
        <v/>
      </c>
    </row>
    <row r="1844" spans="5:19" x14ac:dyDescent="0.25">
      <c r="E1844" t="str">
        <f>IFERROR(VLOOKUP(D1844,'Team Data'!C:AB,4,FALSE),"")</f>
        <v/>
      </c>
      <c r="F1844" t="str">
        <f>IFERROR(VLOOKUP(D1844,'Team Data'!C:AB,5,FALSE),"")</f>
        <v/>
      </c>
      <c r="G1844" t="str">
        <f>IFERROR(VLOOKUP('OB Format'!D1844,'Team Data'!C:AB,17,FALSE),"")</f>
        <v/>
      </c>
      <c r="H1844" t="str">
        <f>IFERROR(VLOOKUP(D1844,'Team Data'!C:AB,7,FALSE),"")</f>
        <v/>
      </c>
      <c r="I1844" t="str">
        <f>IFERROR(VLOOKUP(D1844,'Team Data'!C:AB,14,FALSE),"")</f>
        <v/>
      </c>
      <c r="J1844" t="str">
        <f>IFERROR(VLOOKUP(D1844,'Team Data'!C:AB,8,FALSE),"")</f>
        <v/>
      </c>
      <c r="K1844" t="str">
        <f>IFERROR(VLOOKUP(D1844,'Team Data'!C:AB,9,FALSE),"")</f>
        <v/>
      </c>
      <c r="L1844" t="str">
        <f>IFERROR(VLOOKUP(D1844,'Team Data'!C:AB,10,FALSE),"")</f>
        <v/>
      </c>
      <c r="M1844" t="str">
        <f t="shared" si="58"/>
        <v/>
      </c>
      <c r="N1844" t="str">
        <f>IFERROR(VLOOKUP(D1844,'Team Data'!C:AB,23,FALSE),"")</f>
        <v/>
      </c>
      <c r="O1844" t="str">
        <f>IFERROR(VLOOKUP(D1844,'Team Data'!C:AB,22,FALSE),"")</f>
        <v/>
      </c>
      <c r="P1844" t="str">
        <f t="shared" si="59"/>
        <v/>
      </c>
      <c r="Q1844" t="str">
        <f>IFERROR(VLOOKUP(D1844,'Team Data'!C:AB,15,FALSE),"")</f>
        <v/>
      </c>
      <c r="R1844" t="str">
        <f>IFERROR(VLOOKUP('OB Format'!D1844,'Team Data'!C:AB,24,FALSE),"")</f>
        <v/>
      </c>
      <c r="S1844" t="str">
        <f>IFERROR(VLOOKUP('OB Format'!D1844,'Team Data'!C:AC,25,FALSE),"")</f>
        <v/>
      </c>
    </row>
    <row r="1845" spans="5:19" x14ac:dyDescent="0.25">
      <c r="E1845" t="str">
        <f>IFERROR(VLOOKUP(D1845,'Team Data'!C:AB,4,FALSE),"")</f>
        <v/>
      </c>
      <c r="F1845" t="str">
        <f>IFERROR(VLOOKUP(D1845,'Team Data'!C:AB,5,FALSE),"")</f>
        <v/>
      </c>
      <c r="G1845" t="str">
        <f>IFERROR(VLOOKUP('OB Format'!D1845,'Team Data'!C:AB,17,FALSE),"")</f>
        <v/>
      </c>
      <c r="H1845" t="str">
        <f>IFERROR(VLOOKUP(D1845,'Team Data'!C:AB,7,FALSE),"")</f>
        <v/>
      </c>
      <c r="I1845" t="str">
        <f>IFERROR(VLOOKUP(D1845,'Team Data'!C:AB,14,FALSE),"")</f>
        <v/>
      </c>
      <c r="J1845" t="str">
        <f>IFERROR(VLOOKUP(D1845,'Team Data'!C:AB,8,FALSE),"")</f>
        <v/>
      </c>
      <c r="K1845" t="str">
        <f>IFERROR(VLOOKUP(D1845,'Team Data'!C:AB,9,FALSE),"")</f>
        <v/>
      </c>
      <c r="L1845" t="str">
        <f>IFERROR(VLOOKUP(D1845,'Team Data'!C:AB,10,FALSE),"")</f>
        <v/>
      </c>
      <c r="M1845" t="str">
        <f t="shared" si="58"/>
        <v/>
      </c>
      <c r="N1845" t="str">
        <f>IFERROR(VLOOKUP(D1845,'Team Data'!C:AB,23,FALSE),"")</f>
        <v/>
      </c>
      <c r="O1845" t="str">
        <f>IFERROR(VLOOKUP(D1845,'Team Data'!C:AB,22,FALSE),"")</f>
        <v/>
      </c>
      <c r="P1845" t="str">
        <f t="shared" si="59"/>
        <v/>
      </c>
      <c r="Q1845" t="str">
        <f>IFERROR(VLOOKUP(D1845,'Team Data'!C:AB,15,FALSE),"")</f>
        <v/>
      </c>
      <c r="R1845" t="str">
        <f>IFERROR(VLOOKUP('OB Format'!D1845,'Team Data'!C:AB,24,FALSE),"")</f>
        <v/>
      </c>
      <c r="S1845" t="str">
        <f>IFERROR(VLOOKUP('OB Format'!D1845,'Team Data'!C:AC,25,FALSE),"")</f>
        <v/>
      </c>
    </row>
    <row r="1846" spans="5:19" x14ac:dyDescent="0.25">
      <c r="E1846" t="str">
        <f>IFERROR(VLOOKUP(D1846,'Team Data'!C:AB,4,FALSE),"")</f>
        <v/>
      </c>
      <c r="F1846" t="str">
        <f>IFERROR(VLOOKUP(D1846,'Team Data'!C:AB,5,FALSE),"")</f>
        <v/>
      </c>
      <c r="G1846" t="str">
        <f>IFERROR(VLOOKUP('OB Format'!D1846,'Team Data'!C:AB,17,FALSE),"")</f>
        <v/>
      </c>
      <c r="H1846" t="str">
        <f>IFERROR(VLOOKUP(D1846,'Team Data'!C:AB,7,FALSE),"")</f>
        <v/>
      </c>
      <c r="I1846" t="str">
        <f>IFERROR(VLOOKUP(D1846,'Team Data'!C:AB,14,FALSE),"")</f>
        <v/>
      </c>
      <c r="J1846" t="str">
        <f>IFERROR(VLOOKUP(D1846,'Team Data'!C:AB,8,FALSE),"")</f>
        <v/>
      </c>
      <c r="K1846" t="str">
        <f>IFERROR(VLOOKUP(D1846,'Team Data'!C:AB,9,FALSE),"")</f>
        <v/>
      </c>
      <c r="L1846" t="str">
        <f>IFERROR(VLOOKUP(D1846,'Team Data'!C:AB,10,FALSE),"")</f>
        <v/>
      </c>
      <c r="M1846" t="str">
        <f t="shared" si="58"/>
        <v/>
      </c>
      <c r="N1846" t="str">
        <f>IFERROR(VLOOKUP(D1846,'Team Data'!C:AB,23,FALSE),"")</f>
        <v/>
      </c>
      <c r="O1846" t="str">
        <f>IFERROR(VLOOKUP(D1846,'Team Data'!C:AB,22,FALSE),"")</f>
        <v/>
      </c>
      <c r="P1846" t="str">
        <f t="shared" si="59"/>
        <v/>
      </c>
      <c r="Q1846" t="str">
        <f>IFERROR(VLOOKUP(D1846,'Team Data'!C:AB,15,FALSE),"")</f>
        <v/>
      </c>
      <c r="R1846" t="str">
        <f>IFERROR(VLOOKUP('OB Format'!D1846,'Team Data'!C:AB,24,FALSE),"")</f>
        <v/>
      </c>
      <c r="S1846" t="str">
        <f>IFERROR(VLOOKUP('OB Format'!D1846,'Team Data'!C:AC,25,FALSE),"")</f>
        <v/>
      </c>
    </row>
    <row r="1847" spans="5:19" x14ac:dyDescent="0.25">
      <c r="E1847" t="str">
        <f>IFERROR(VLOOKUP(D1847,'Team Data'!C:AB,4,FALSE),"")</f>
        <v/>
      </c>
      <c r="F1847" t="str">
        <f>IFERROR(VLOOKUP(D1847,'Team Data'!C:AB,5,FALSE),"")</f>
        <v/>
      </c>
      <c r="G1847" t="str">
        <f>IFERROR(VLOOKUP('OB Format'!D1847,'Team Data'!C:AB,17,FALSE),"")</f>
        <v/>
      </c>
      <c r="H1847" t="str">
        <f>IFERROR(VLOOKUP(D1847,'Team Data'!C:AB,7,FALSE),"")</f>
        <v/>
      </c>
      <c r="I1847" t="str">
        <f>IFERROR(VLOOKUP(D1847,'Team Data'!C:AB,14,FALSE),"")</f>
        <v/>
      </c>
      <c r="J1847" t="str">
        <f>IFERROR(VLOOKUP(D1847,'Team Data'!C:AB,8,FALSE),"")</f>
        <v/>
      </c>
      <c r="K1847" t="str">
        <f>IFERROR(VLOOKUP(D1847,'Team Data'!C:AB,9,FALSE),"")</f>
        <v/>
      </c>
      <c r="L1847" t="str">
        <f>IFERROR(VLOOKUP(D1847,'Team Data'!C:AB,10,FALSE),"")</f>
        <v/>
      </c>
      <c r="M1847" t="str">
        <f t="shared" si="58"/>
        <v/>
      </c>
      <c r="N1847" t="str">
        <f>IFERROR(VLOOKUP(D1847,'Team Data'!C:AB,23,FALSE),"")</f>
        <v/>
      </c>
      <c r="O1847" t="str">
        <f>IFERROR(VLOOKUP(D1847,'Team Data'!C:AB,22,FALSE),"")</f>
        <v/>
      </c>
      <c r="P1847" t="str">
        <f t="shared" si="59"/>
        <v/>
      </c>
      <c r="Q1847" t="str">
        <f>IFERROR(VLOOKUP(D1847,'Team Data'!C:AB,15,FALSE),"")</f>
        <v/>
      </c>
      <c r="R1847" t="str">
        <f>IFERROR(VLOOKUP('OB Format'!D1847,'Team Data'!C:AB,24,FALSE),"")</f>
        <v/>
      </c>
      <c r="S1847" t="str">
        <f>IFERROR(VLOOKUP('OB Format'!D1847,'Team Data'!C:AC,25,FALSE),"")</f>
        <v/>
      </c>
    </row>
    <row r="1848" spans="5:19" x14ac:dyDescent="0.25">
      <c r="E1848" t="str">
        <f>IFERROR(VLOOKUP(D1848,'Team Data'!C:AB,4,FALSE),"")</f>
        <v/>
      </c>
      <c r="F1848" t="str">
        <f>IFERROR(VLOOKUP(D1848,'Team Data'!C:AB,5,FALSE),"")</f>
        <v/>
      </c>
      <c r="G1848" t="str">
        <f>IFERROR(VLOOKUP('OB Format'!D1848,'Team Data'!C:AB,17,FALSE),"")</f>
        <v/>
      </c>
      <c r="H1848" t="str">
        <f>IFERROR(VLOOKUP(D1848,'Team Data'!C:AB,7,FALSE),"")</f>
        <v/>
      </c>
      <c r="I1848" t="str">
        <f>IFERROR(VLOOKUP(D1848,'Team Data'!C:AB,14,FALSE),"")</f>
        <v/>
      </c>
      <c r="J1848" t="str">
        <f>IFERROR(VLOOKUP(D1848,'Team Data'!C:AB,8,FALSE),"")</f>
        <v/>
      </c>
      <c r="K1848" t="str">
        <f>IFERROR(VLOOKUP(D1848,'Team Data'!C:AB,9,FALSE),"")</f>
        <v/>
      </c>
      <c r="L1848" t="str">
        <f>IFERROR(VLOOKUP(D1848,'Team Data'!C:AB,10,FALSE),"")</f>
        <v/>
      </c>
      <c r="M1848" t="str">
        <f t="shared" si="58"/>
        <v/>
      </c>
      <c r="N1848" t="str">
        <f>IFERROR(VLOOKUP(D1848,'Team Data'!C:AB,23,FALSE),"")</f>
        <v/>
      </c>
      <c r="O1848" t="str">
        <f>IFERROR(VLOOKUP(D1848,'Team Data'!C:AB,22,FALSE),"")</f>
        <v/>
      </c>
      <c r="P1848" t="str">
        <f t="shared" si="59"/>
        <v/>
      </c>
      <c r="Q1848" t="str">
        <f>IFERROR(VLOOKUP(D1848,'Team Data'!C:AB,15,FALSE),"")</f>
        <v/>
      </c>
      <c r="R1848" t="str">
        <f>IFERROR(VLOOKUP('OB Format'!D1848,'Team Data'!C:AB,24,FALSE),"")</f>
        <v/>
      </c>
      <c r="S1848" t="str">
        <f>IFERROR(VLOOKUP('OB Format'!D1848,'Team Data'!C:AC,25,FALSE),"")</f>
        <v/>
      </c>
    </row>
    <row r="1849" spans="5:19" x14ac:dyDescent="0.25">
      <c r="E1849" t="str">
        <f>IFERROR(VLOOKUP(D1849,'Team Data'!C:AB,4,FALSE),"")</f>
        <v/>
      </c>
      <c r="F1849" t="str">
        <f>IFERROR(VLOOKUP(D1849,'Team Data'!C:AB,5,FALSE),"")</f>
        <v/>
      </c>
      <c r="G1849" t="str">
        <f>IFERROR(VLOOKUP('OB Format'!D1849,'Team Data'!C:AB,17,FALSE),"")</f>
        <v/>
      </c>
      <c r="H1849" t="str">
        <f>IFERROR(VLOOKUP(D1849,'Team Data'!C:AB,7,FALSE),"")</f>
        <v/>
      </c>
      <c r="I1849" t="str">
        <f>IFERROR(VLOOKUP(D1849,'Team Data'!C:AB,14,FALSE),"")</f>
        <v/>
      </c>
      <c r="J1849" t="str">
        <f>IFERROR(VLOOKUP(D1849,'Team Data'!C:AB,8,FALSE),"")</f>
        <v/>
      </c>
      <c r="K1849" t="str">
        <f>IFERROR(VLOOKUP(D1849,'Team Data'!C:AB,9,FALSE),"")</f>
        <v/>
      </c>
      <c r="L1849" t="str">
        <f>IFERROR(VLOOKUP(D1849,'Team Data'!C:AB,10,FALSE),"")</f>
        <v/>
      </c>
      <c r="M1849" t="str">
        <f t="shared" si="58"/>
        <v/>
      </c>
      <c r="N1849" t="str">
        <f>IFERROR(VLOOKUP(D1849,'Team Data'!C:AB,23,FALSE),"")</f>
        <v/>
      </c>
      <c r="O1849" t="str">
        <f>IFERROR(VLOOKUP(D1849,'Team Data'!C:AB,22,FALSE),"")</f>
        <v/>
      </c>
      <c r="P1849" t="str">
        <f t="shared" si="59"/>
        <v/>
      </c>
      <c r="Q1849" t="str">
        <f>IFERROR(VLOOKUP(D1849,'Team Data'!C:AB,15,FALSE),"")</f>
        <v/>
      </c>
      <c r="R1849" t="str">
        <f>IFERROR(VLOOKUP('OB Format'!D1849,'Team Data'!C:AB,24,FALSE),"")</f>
        <v/>
      </c>
      <c r="S1849" t="str">
        <f>IFERROR(VLOOKUP('OB Format'!D1849,'Team Data'!C:AC,25,FALSE),"")</f>
        <v/>
      </c>
    </row>
    <row r="1850" spans="5:19" x14ac:dyDescent="0.25">
      <c r="E1850" t="str">
        <f>IFERROR(VLOOKUP(D1850,'Team Data'!C:AB,4,FALSE),"")</f>
        <v/>
      </c>
      <c r="F1850" t="str">
        <f>IFERROR(VLOOKUP(D1850,'Team Data'!C:AB,5,FALSE),"")</f>
        <v/>
      </c>
      <c r="G1850" t="str">
        <f>IFERROR(VLOOKUP('OB Format'!D1850,'Team Data'!C:AB,17,FALSE),"")</f>
        <v/>
      </c>
      <c r="H1850" t="str">
        <f>IFERROR(VLOOKUP(D1850,'Team Data'!C:AB,7,FALSE),"")</f>
        <v/>
      </c>
      <c r="I1850" t="str">
        <f>IFERROR(VLOOKUP(D1850,'Team Data'!C:AB,14,FALSE),"")</f>
        <v/>
      </c>
      <c r="J1850" t="str">
        <f>IFERROR(VLOOKUP(D1850,'Team Data'!C:AB,8,FALSE),"")</f>
        <v/>
      </c>
      <c r="K1850" t="str">
        <f>IFERROR(VLOOKUP(D1850,'Team Data'!C:AB,9,FALSE),"")</f>
        <v/>
      </c>
      <c r="L1850" t="str">
        <f>IFERROR(VLOOKUP(D1850,'Team Data'!C:AB,10,FALSE),"")</f>
        <v/>
      </c>
      <c r="M1850" t="str">
        <f t="shared" si="58"/>
        <v/>
      </c>
      <c r="N1850" t="str">
        <f>IFERROR(VLOOKUP(D1850,'Team Data'!C:AB,23,FALSE),"")</f>
        <v/>
      </c>
      <c r="O1850" t="str">
        <f>IFERROR(VLOOKUP(D1850,'Team Data'!C:AB,22,FALSE),"")</f>
        <v/>
      </c>
      <c r="P1850" t="str">
        <f t="shared" si="59"/>
        <v/>
      </c>
      <c r="Q1850" t="str">
        <f>IFERROR(VLOOKUP(D1850,'Team Data'!C:AB,15,FALSE),"")</f>
        <v/>
      </c>
      <c r="R1850" t="str">
        <f>IFERROR(VLOOKUP('OB Format'!D1850,'Team Data'!C:AB,24,FALSE),"")</f>
        <v/>
      </c>
      <c r="S1850" t="str">
        <f>IFERROR(VLOOKUP('OB Format'!D1850,'Team Data'!C:AC,25,FALSE),"")</f>
        <v/>
      </c>
    </row>
    <row r="1851" spans="5:19" x14ac:dyDescent="0.25">
      <c r="E1851" t="str">
        <f>IFERROR(VLOOKUP(D1851,'Team Data'!C:AB,4,FALSE),"")</f>
        <v/>
      </c>
      <c r="F1851" t="str">
        <f>IFERROR(VLOOKUP(D1851,'Team Data'!C:AB,5,FALSE),"")</f>
        <v/>
      </c>
      <c r="G1851" t="str">
        <f>IFERROR(VLOOKUP('OB Format'!D1851,'Team Data'!C:AB,17,FALSE),"")</f>
        <v/>
      </c>
      <c r="H1851" t="str">
        <f>IFERROR(VLOOKUP(D1851,'Team Data'!C:AB,7,FALSE),"")</f>
        <v/>
      </c>
      <c r="I1851" t="str">
        <f>IFERROR(VLOOKUP(D1851,'Team Data'!C:AB,14,FALSE),"")</f>
        <v/>
      </c>
      <c r="J1851" t="str">
        <f>IFERROR(VLOOKUP(D1851,'Team Data'!C:AB,8,FALSE),"")</f>
        <v/>
      </c>
      <c r="K1851" t="str">
        <f>IFERROR(VLOOKUP(D1851,'Team Data'!C:AB,9,FALSE),"")</f>
        <v/>
      </c>
      <c r="L1851" t="str">
        <f>IFERROR(VLOOKUP(D1851,'Team Data'!C:AB,10,FALSE),"")</f>
        <v/>
      </c>
      <c r="M1851" t="str">
        <f t="shared" si="58"/>
        <v/>
      </c>
      <c r="N1851" t="str">
        <f>IFERROR(VLOOKUP(D1851,'Team Data'!C:AB,23,FALSE),"")</f>
        <v/>
      </c>
      <c r="O1851" t="str">
        <f>IFERROR(VLOOKUP(D1851,'Team Data'!C:AB,22,FALSE),"")</f>
        <v/>
      </c>
      <c r="P1851" t="str">
        <f t="shared" si="59"/>
        <v/>
      </c>
      <c r="Q1851" t="str">
        <f>IFERROR(VLOOKUP(D1851,'Team Data'!C:AB,15,FALSE),"")</f>
        <v/>
      </c>
      <c r="R1851" t="str">
        <f>IFERROR(VLOOKUP('OB Format'!D1851,'Team Data'!C:AB,24,FALSE),"")</f>
        <v/>
      </c>
      <c r="S1851" t="str">
        <f>IFERROR(VLOOKUP('OB Format'!D1851,'Team Data'!C:AC,25,FALSE),"")</f>
        <v/>
      </c>
    </row>
    <row r="1852" spans="5:19" x14ac:dyDescent="0.25">
      <c r="E1852" t="str">
        <f>IFERROR(VLOOKUP(D1852,'Team Data'!C:AB,4,FALSE),"")</f>
        <v/>
      </c>
      <c r="F1852" t="str">
        <f>IFERROR(VLOOKUP(D1852,'Team Data'!C:AB,5,FALSE),"")</f>
        <v/>
      </c>
      <c r="G1852" t="str">
        <f>IFERROR(VLOOKUP('OB Format'!D1852,'Team Data'!C:AB,17,FALSE),"")</f>
        <v/>
      </c>
      <c r="H1852" t="str">
        <f>IFERROR(VLOOKUP(D1852,'Team Data'!C:AB,7,FALSE),"")</f>
        <v/>
      </c>
      <c r="I1852" t="str">
        <f>IFERROR(VLOOKUP(D1852,'Team Data'!C:AB,14,FALSE),"")</f>
        <v/>
      </c>
      <c r="J1852" t="str">
        <f>IFERROR(VLOOKUP(D1852,'Team Data'!C:AB,8,FALSE),"")</f>
        <v/>
      </c>
      <c r="K1852" t="str">
        <f>IFERROR(VLOOKUP(D1852,'Team Data'!C:AB,9,FALSE),"")</f>
        <v/>
      </c>
      <c r="L1852" t="str">
        <f>IFERROR(VLOOKUP(D1852,'Team Data'!C:AB,10,FALSE),"")</f>
        <v/>
      </c>
      <c r="M1852" t="str">
        <f t="shared" si="58"/>
        <v/>
      </c>
      <c r="N1852" t="str">
        <f>IFERROR(VLOOKUP(D1852,'Team Data'!C:AB,23,FALSE),"")</f>
        <v/>
      </c>
      <c r="O1852" t="str">
        <f>IFERROR(VLOOKUP(D1852,'Team Data'!C:AB,22,FALSE),"")</f>
        <v/>
      </c>
      <c r="P1852" t="str">
        <f t="shared" si="59"/>
        <v/>
      </c>
      <c r="Q1852" t="str">
        <f>IFERROR(VLOOKUP(D1852,'Team Data'!C:AB,15,FALSE),"")</f>
        <v/>
      </c>
      <c r="R1852" t="str">
        <f>IFERROR(VLOOKUP('OB Format'!D1852,'Team Data'!C:AB,24,FALSE),"")</f>
        <v/>
      </c>
      <c r="S1852" t="str">
        <f>IFERROR(VLOOKUP('OB Format'!D1852,'Team Data'!C:AC,25,FALSE),"")</f>
        <v/>
      </c>
    </row>
    <row r="1853" spans="5:19" x14ac:dyDescent="0.25">
      <c r="E1853" t="str">
        <f>IFERROR(VLOOKUP(D1853,'Team Data'!C:AB,4,FALSE),"")</f>
        <v/>
      </c>
      <c r="F1853" t="str">
        <f>IFERROR(VLOOKUP(D1853,'Team Data'!C:AB,5,FALSE),"")</f>
        <v/>
      </c>
      <c r="G1853" t="str">
        <f>IFERROR(VLOOKUP('OB Format'!D1853,'Team Data'!C:AB,17,FALSE),"")</f>
        <v/>
      </c>
      <c r="H1853" t="str">
        <f>IFERROR(VLOOKUP(D1853,'Team Data'!C:AB,7,FALSE),"")</f>
        <v/>
      </c>
      <c r="I1853" t="str">
        <f>IFERROR(VLOOKUP(D1853,'Team Data'!C:AB,14,FALSE),"")</f>
        <v/>
      </c>
      <c r="J1853" t="str">
        <f>IFERROR(VLOOKUP(D1853,'Team Data'!C:AB,8,FALSE),"")</f>
        <v/>
      </c>
      <c r="K1853" t="str">
        <f>IFERROR(VLOOKUP(D1853,'Team Data'!C:AB,9,FALSE),"")</f>
        <v/>
      </c>
      <c r="L1853" t="str">
        <f>IFERROR(VLOOKUP(D1853,'Team Data'!C:AB,10,FALSE),"")</f>
        <v/>
      </c>
      <c r="M1853" t="str">
        <f t="shared" si="58"/>
        <v/>
      </c>
      <c r="N1853" t="str">
        <f>IFERROR(VLOOKUP(D1853,'Team Data'!C:AB,23,FALSE),"")</f>
        <v/>
      </c>
      <c r="O1853" t="str">
        <f>IFERROR(VLOOKUP(D1853,'Team Data'!C:AB,22,FALSE),"")</f>
        <v/>
      </c>
      <c r="P1853" t="str">
        <f t="shared" si="59"/>
        <v/>
      </c>
      <c r="Q1853" t="str">
        <f>IFERROR(VLOOKUP(D1853,'Team Data'!C:AB,15,FALSE),"")</f>
        <v/>
      </c>
      <c r="R1853" t="str">
        <f>IFERROR(VLOOKUP('OB Format'!D1853,'Team Data'!C:AB,24,FALSE),"")</f>
        <v/>
      </c>
      <c r="S1853" t="str">
        <f>IFERROR(VLOOKUP('OB Format'!D1853,'Team Data'!C:AC,25,FALSE),"")</f>
        <v/>
      </c>
    </row>
    <row r="1854" spans="5:19" x14ac:dyDescent="0.25">
      <c r="E1854" t="str">
        <f>IFERROR(VLOOKUP(D1854,'Team Data'!C:AB,4,FALSE),"")</f>
        <v/>
      </c>
      <c r="F1854" t="str">
        <f>IFERROR(VLOOKUP(D1854,'Team Data'!C:AB,5,FALSE),"")</f>
        <v/>
      </c>
      <c r="G1854" t="str">
        <f>IFERROR(VLOOKUP('OB Format'!D1854,'Team Data'!C:AB,17,FALSE),"")</f>
        <v/>
      </c>
      <c r="H1854" t="str">
        <f>IFERROR(VLOOKUP(D1854,'Team Data'!C:AB,7,FALSE),"")</f>
        <v/>
      </c>
      <c r="I1854" t="str">
        <f>IFERROR(VLOOKUP(D1854,'Team Data'!C:AB,14,FALSE),"")</f>
        <v/>
      </c>
      <c r="J1854" t="str">
        <f>IFERROR(VLOOKUP(D1854,'Team Data'!C:AB,8,FALSE),"")</f>
        <v/>
      </c>
      <c r="K1854" t="str">
        <f>IFERROR(VLOOKUP(D1854,'Team Data'!C:AB,9,FALSE),"")</f>
        <v/>
      </c>
      <c r="L1854" t="str">
        <f>IFERROR(VLOOKUP(D1854,'Team Data'!C:AB,10,FALSE),"")</f>
        <v/>
      </c>
      <c r="M1854" t="str">
        <f t="shared" si="58"/>
        <v/>
      </c>
      <c r="N1854" t="str">
        <f>IFERROR(VLOOKUP(D1854,'Team Data'!C:AB,23,FALSE),"")</f>
        <v/>
      </c>
      <c r="O1854" t="str">
        <f>IFERROR(VLOOKUP(D1854,'Team Data'!C:AB,22,FALSE),"")</f>
        <v/>
      </c>
      <c r="P1854" t="str">
        <f t="shared" si="59"/>
        <v/>
      </c>
      <c r="Q1854" t="str">
        <f>IFERROR(VLOOKUP(D1854,'Team Data'!C:AB,15,FALSE),"")</f>
        <v/>
      </c>
      <c r="R1854" t="str">
        <f>IFERROR(VLOOKUP('OB Format'!D1854,'Team Data'!C:AB,24,FALSE),"")</f>
        <v/>
      </c>
      <c r="S1854" t="str">
        <f>IFERROR(VLOOKUP('OB Format'!D1854,'Team Data'!C:AC,25,FALSE),"")</f>
        <v/>
      </c>
    </row>
    <row r="1855" spans="5:19" x14ac:dyDescent="0.25">
      <c r="E1855" t="str">
        <f>IFERROR(VLOOKUP(D1855,'Team Data'!C:AB,4,FALSE),"")</f>
        <v/>
      </c>
      <c r="F1855" t="str">
        <f>IFERROR(VLOOKUP(D1855,'Team Data'!C:AB,5,FALSE),"")</f>
        <v/>
      </c>
      <c r="G1855" t="str">
        <f>IFERROR(VLOOKUP('OB Format'!D1855,'Team Data'!C:AB,17,FALSE),"")</f>
        <v/>
      </c>
      <c r="H1855" t="str">
        <f>IFERROR(VLOOKUP(D1855,'Team Data'!C:AB,7,FALSE),"")</f>
        <v/>
      </c>
      <c r="I1855" t="str">
        <f>IFERROR(VLOOKUP(D1855,'Team Data'!C:AB,14,FALSE),"")</f>
        <v/>
      </c>
      <c r="J1855" t="str">
        <f>IFERROR(VLOOKUP(D1855,'Team Data'!C:AB,8,FALSE),"")</f>
        <v/>
      </c>
      <c r="K1855" t="str">
        <f>IFERROR(VLOOKUP(D1855,'Team Data'!C:AB,9,FALSE),"")</f>
        <v/>
      </c>
      <c r="L1855" t="str">
        <f>IFERROR(VLOOKUP(D1855,'Team Data'!C:AB,10,FALSE),"")</f>
        <v/>
      </c>
      <c r="M1855" t="str">
        <f t="shared" si="58"/>
        <v/>
      </c>
      <c r="N1855" t="str">
        <f>IFERROR(VLOOKUP(D1855,'Team Data'!C:AB,23,FALSE),"")</f>
        <v/>
      </c>
      <c r="O1855" t="str">
        <f>IFERROR(VLOOKUP(D1855,'Team Data'!C:AB,22,FALSE),"")</f>
        <v/>
      </c>
      <c r="P1855" t="str">
        <f t="shared" si="59"/>
        <v/>
      </c>
      <c r="Q1855" t="str">
        <f>IFERROR(VLOOKUP(D1855,'Team Data'!C:AB,15,FALSE),"")</f>
        <v/>
      </c>
      <c r="R1855" t="str">
        <f>IFERROR(VLOOKUP('OB Format'!D1855,'Team Data'!C:AB,24,FALSE),"")</f>
        <v/>
      </c>
      <c r="S1855" t="str">
        <f>IFERROR(VLOOKUP('OB Format'!D1855,'Team Data'!C:AC,25,FALSE),"")</f>
        <v/>
      </c>
    </row>
    <row r="1856" spans="5:19" x14ac:dyDescent="0.25">
      <c r="E1856" t="str">
        <f>IFERROR(VLOOKUP(D1856,'Team Data'!C:AB,4,FALSE),"")</f>
        <v/>
      </c>
      <c r="F1856" t="str">
        <f>IFERROR(VLOOKUP(D1856,'Team Data'!C:AB,5,FALSE),"")</f>
        <v/>
      </c>
      <c r="G1856" t="str">
        <f>IFERROR(VLOOKUP('OB Format'!D1856,'Team Data'!C:AB,17,FALSE),"")</f>
        <v/>
      </c>
      <c r="H1856" t="str">
        <f>IFERROR(VLOOKUP(D1856,'Team Data'!C:AB,7,FALSE),"")</f>
        <v/>
      </c>
      <c r="I1856" t="str">
        <f>IFERROR(VLOOKUP(D1856,'Team Data'!C:AB,14,FALSE),"")</f>
        <v/>
      </c>
      <c r="J1856" t="str">
        <f>IFERROR(VLOOKUP(D1856,'Team Data'!C:AB,8,FALSE),"")</f>
        <v/>
      </c>
      <c r="K1856" t="str">
        <f>IFERROR(VLOOKUP(D1856,'Team Data'!C:AB,9,FALSE),"")</f>
        <v/>
      </c>
      <c r="L1856" t="str">
        <f>IFERROR(VLOOKUP(D1856,'Team Data'!C:AB,10,FALSE),"")</f>
        <v/>
      </c>
      <c r="M1856" t="str">
        <f t="shared" si="58"/>
        <v/>
      </c>
      <c r="N1856" t="str">
        <f>IFERROR(VLOOKUP(D1856,'Team Data'!C:AB,23,FALSE),"")</f>
        <v/>
      </c>
      <c r="O1856" t="str">
        <f>IFERROR(VLOOKUP(D1856,'Team Data'!C:AB,22,FALSE),"")</f>
        <v/>
      </c>
      <c r="P1856" t="str">
        <f t="shared" si="59"/>
        <v/>
      </c>
      <c r="Q1856" t="str">
        <f>IFERROR(VLOOKUP(D1856,'Team Data'!C:AB,15,FALSE),"")</f>
        <v/>
      </c>
      <c r="R1856" t="str">
        <f>IFERROR(VLOOKUP('OB Format'!D1856,'Team Data'!C:AB,24,FALSE),"")</f>
        <v/>
      </c>
      <c r="S1856" t="str">
        <f>IFERROR(VLOOKUP('OB Format'!D1856,'Team Data'!C:AC,25,FALSE),"")</f>
        <v/>
      </c>
    </row>
    <row r="1857" spans="5:19" x14ac:dyDescent="0.25">
      <c r="E1857" t="str">
        <f>IFERROR(VLOOKUP(D1857,'Team Data'!C:AB,4,FALSE),"")</f>
        <v/>
      </c>
      <c r="F1857" t="str">
        <f>IFERROR(VLOOKUP(D1857,'Team Data'!C:AB,5,FALSE),"")</f>
        <v/>
      </c>
      <c r="G1857" t="str">
        <f>IFERROR(VLOOKUP('OB Format'!D1857,'Team Data'!C:AB,17,FALSE),"")</f>
        <v/>
      </c>
      <c r="H1857" t="str">
        <f>IFERROR(VLOOKUP(D1857,'Team Data'!C:AB,7,FALSE),"")</f>
        <v/>
      </c>
      <c r="I1857" t="str">
        <f>IFERROR(VLOOKUP(D1857,'Team Data'!C:AB,14,FALSE),"")</f>
        <v/>
      </c>
      <c r="J1857" t="str">
        <f>IFERROR(VLOOKUP(D1857,'Team Data'!C:AB,8,FALSE),"")</f>
        <v/>
      </c>
      <c r="K1857" t="str">
        <f>IFERROR(VLOOKUP(D1857,'Team Data'!C:AB,9,FALSE),"")</f>
        <v/>
      </c>
      <c r="L1857" t="str">
        <f>IFERROR(VLOOKUP(D1857,'Team Data'!C:AB,10,FALSE),"")</f>
        <v/>
      </c>
      <c r="M1857" t="str">
        <f t="shared" si="58"/>
        <v/>
      </c>
      <c r="N1857" t="str">
        <f>IFERROR(VLOOKUP(D1857,'Team Data'!C:AB,23,FALSE),"")</f>
        <v/>
      </c>
      <c r="O1857" t="str">
        <f>IFERROR(VLOOKUP(D1857,'Team Data'!C:AB,22,FALSE),"")</f>
        <v/>
      </c>
      <c r="P1857" t="str">
        <f t="shared" si="59"/>
        <v/>
      </c>
      <c r="Q1857" t="str">
        <f>IFERROR(VLOOKUP(D1857,'Team Data'!C:AB,15,FALSE),"")</f>
        <v/>
      </c>
      <c r="R1857" t="str">
        <f>IFERROR(VLOOKUP('OB Format'!D1857,'Team Data'!C:AB,24,FALSE),"")</f>
        <v/>
      </c>
      <c r="S1857" t="str">
        <f>IFERROR(VLOOKUP('OB Format'!D1857,'Team Data'!C:AC,25,FALSE),"")</f>
        <v/>
      </c>
    </row>
    <row r="1858" spans="5:19" x14ac:dyDescent="0.25">
      <c r="E1858" t="str">
        <f>IFERROR(VLOOKUP(D1858,'Team Data'!C:AB,4,FALSE),"")</f>
        <v/>
      </c>
      <c r="F1858" t="str">
        <f>IFERROR(VLOOKUP(D1858,'Team Data'!C:AB,5,FALSE),"")</f>
        <v/>
      </c>
      <c r="G1858" t="str">
        <f>IFERROR(VLOOKUP('OB Format'!D1858,'Team Data'!C:AB,17,FALSE),"")</f>
        <v/>
      </c>
      <c r="H1858" t="str">
        <f>IFERROR(VLOOKUP(D1858,'Team Data'!C:AB,7,FALSE),"")</f>
        <v/>
      </c>
      <c r="I1858" t="str">
        <f>IFERROR(VLOOKUP(D1858,'Team Data'!C:AB,14,FALSE),"")</f>
        <v/>
      </c>
      <c r="J1858" t="str">
        <f>IFERROR(VLOOKUP(D1858,'Team Data'!C:AB,8,FALSE),"")</f>
        <v/>
      </c>
      <c r="K1858" t="str">
        <f>IFERROR(VLOOKUP(D1858,'Team Data'!C:AB,9,FALSE),"")</f>
        <v/>
      </c>
      <c r="L1858" t="str">
        <f>IFERROR(VLOOKUP(D1858,'Team Data'!C:AB,10,FALSE),"")</f>
        <v/>
      </c>
      <c r="M1858" t="str">
        <f t="shared" si="58"/>
        <v/>
      </c>
      <c r="N1858" t="str">
        <f>IFERROR(VLOOKUP(D1858,'Team Data'!C:AB,23,FALSE),"")</f>
        <v/>
      </c>
      <c r="O1858" t="str">
        <f>IFERROR(VLOOKUP(D1858,'Team Data'!C:AB,22,FALSE),"")</f>
        <v/>
      </c>
      <c r="P1858" t="str">
        <f t="shared" si="59"/>
        <v/>
      </c>
      <c r="Q1858" t="str">
        <f>IFERROR(VLOOKUP(D1858,'Team Data'!C:AB,15,FALSE),"")</f>
        <v/>
      </c>
      <c r="R1858" t="str">
        <f>IFERROR(VLOOKUP('OB Format'!D1858,'Team Data'!C:AB,24,FALSE),"")</f>
        <v/>
      </c>
      <c r="S1858" t="str">
        <f>IFERROR(VLOOKUP('OB Format'!D1858,'Team Data'!C:AC,25,FALSE),"")</f>
        <v/>
      </c>
    </row>
    <row r="1859" spans="5:19" x14ac:dyDescent="0.25">
      <c r="E1859" t="str">
        <f>IFERROR(VLOOKUP(D1859,'Team Data'!C:AB,4,FALSE),"")</f>
        <v/>
      </c>
      <c r="F1859" t="str">
        <f>IFERROR(VLOOKUP(D1859,'Team Data'!C:AB,5,FALSE),"")</f>
        <v/>
      </c>
      <c r="G1859" t="str">
        <f>IFERROR(VLOOKUP('OB Format'!D1859,'Team Data'!C:AB,17,FALSE),"")</f>
        <v/>
      </c>
      <c r="H1859" t="str">
        <f>IFERROR(VLOOKUP(D1859,'Team Data'!C:AB,7,FALSE),"")</f>
        <v/>
      </c>
      <c r="I1859" t="str">
        <f>IFERROR(VLOOKUP(D1859,'Team Data'!C:AB,14,FALSE),"")</f>
        <v/>
      </c>
      <c r="J1859" t="str">
        <f>IFERROR(VLOOKUP(D1859,'Team Data'!C:AB,8,FALSE),"")</f>
        <v/>
      </c>
      <c r="K1859" t="str">
        <f>IFERROR(VLOOKUP(D1859,'Team Data'!C:AB,9,FALSE),"")</f>
        <v/>
      </c>
      <c r="L1859" t="str">
        <f>IFERROR(VLOOKUP(D1859,'Team Data'!C:AB,10,FALSE),"")</f>
        <v/>
      </c>
      <c r="M1859" t="str">
        <f t="shared" si="58"/>
        <v/>
      </c>
      <c r="N1859" t="str">
        <f>IFERROR(VLOOKUP(D1859,'Team Data'!C:AB,23,FALSE),"")</f>
        <v/>
      </c>
      <c r="O1859" t="str">
        <f>IFERROR(VLOOKUP(D1859,'Team Data'!C:AB,22,FALSE),"")</f>
        <v/>
      </c>
      <c r="P1859" t="str">
        <f t="shared" si="59"/>
        <v/>
      </c>
      <c r="Q1859" t="str">
        <f>IFERROR(VLOOKUP(D1859,'Team Data'!C:AB,15,FALSE),"")</f>
        <v/>
      </c>
      <c r="R1859" t="str">
        <f>IFERROR(VLOOKUP('OB Format'!D1859,'Team Data'!C:AB,24,FALSE),"")</f>
        <v/>
      </c>
      <c r="S1859" t="str">
        <f>IFERROR(VLOOKUP('OB Format'!D1859,'Team Data'!C:AC,25,FALSE),"")</f>
        <v/>
      </c>
    </row>
    <row r="1860" spans="5:19" x14ac:dyDescent="0.25">
      <c r="E1860" t="str">
        <f>IFERROR(VLOOKUP(D1860,'Team Data'!C:AB,4,FALSE),"")</f>
        <v/>
      </c>
      <c r="F1860" t="str">
        <f>IFERROR(VLOOKUP(D1860,'Team Data'!C:AB,5,FALSE),"")</f>
        <v/>
      </c>
      <c r="G1860" t="str">
        <f>IFERROR(VLOOKUP('OB Format'!D1860,'Team Data'!C:AB,17,FALSE),"")</f>
        <v/>
      </c>
      <c r="H1860" t="str">
        <f>IFERROR(VLOOKUP(D1860,'Team Data'!C:AB,7,FALSE),"")</f>
        <v/>
      </c>
      <c r="I1860" t="str">
        <f>IFERROR(VLOOKUP(D1860,'Team Data'!C:AB,14,FALSE),"")</f>
        <v/>
      </c>
      <c r="J1860" t="str">
        <f>IFERROR(VLOOKUP(D1860,'Team Data'!C:AB,8,FALSE),"")</f>
        <v/>
      </c>
      <c r="K1860" t="str">
        <f>IFERROR(VLOOKUP(D1860,'Team Data'!C:AB,9,FALSE),"")</f>
        <v/>
      </c>
      <c r="L1860" t="str">
        <f>IFERROR(VLOOKUP(D1860,'Team Data'!C:AB,10,FALSE),"")</f>
        <v/>
      </c>
      <c r="M1860" t="str">
        <f t="shared" si="58"/>
        <v/>
      </c>
      <c r="N1860" t="str">
        <f>IFERROR(VLOOKUP(D1860,'Team Data'!C:AB,23,FALSE),"")</f>
        <v/>
      </c>
      <c r="O1860" t="str">
        <f>IFERROR(VLOOKUP(D1860,'Team Data'!C:AB,22,FALSE),"")</f>
        <v/>
      </c>
      <c r="P1860" t="str">
        <f t="shared" si="59"/>
        <v/>
      </c>
      <c r="Q1860" t="str">
        <f>IFERROR(VLOOKUP(D1860,'Team Data'!C:AB,15,FALSE),"")</f>
        <v/>
      </c>
      <c r="R1860" t="str">
        <f>IFERROR(VLOOKUP('OB Format'!D1860,'Team Data'!C:AB,24,FALSE),"")</f>
        <v/>
      </c>
      <c r="S1860" t="str">
        <f>IFERROR(VLOOKUP('OB Format'!D1860,'Team Data'!C:AC,25,FALSE),"")</f>
        <v/>
      </c>
    </row>
    <row r="1861" spans="5:19" x14ac:dyDescent="0.25">
      <c r="E1861" t="str">
        <f>IFERROR(VLOOKUP(D1861,'Team Data'!C:AB,4,FALSE),"")</f>
        <v/>
      </c>
      <c r="F1861" t="str">
        <f>IFERROR(VLOOKUP(D1861,'Team Data'!C:AB,5,FALSE),"")</f>
        <v/>
      </c>
      <c r="G1861" t="str">
        <f>IFERROR(VLOOKUP('OB Format'!D1861,'Team Data'!C:AB,17,FALSE),"")</f>
        <v/>
      </c>
      <c r="H1861" t="str">
        <f>IFERROR(VLOOKUP(D1861,'Team Data'!C:AB,7,FALSE),"")</f>
        <v/>
      </c>
      <c r="I1861" t="str">
        <f>IFERROR(VLOOKUP(D1861,'Team Data'!C:AB,14,FALSE),"")</f>
        <v/>
      </c>
      <c r="J1861" t="str">
        <f>IFERROR(VLOOKUP(D1861,'Team Data'!C:AB,8,FALSE),"")</f>
        <v/>
      </c>
      <c r="K1861" t="str">
        <f>IFERROR(VLOOKUP(D1861,'Team Data'!C:AB,9,FALSE),"")</f>
        <v/>
      </c>
      <c r="L1861" t="str">
        <f>IFERROR(VLOOKUP(D1861,'Team Data'!C:AB,10,FALSE),"")</f>
        <v/>
      </c>
      <c r="M1861" t="str">
        <f t="shared" si="58"/>
        <v/>
      </c>
      <c r="N1861" t="str">
        <f>IFERROR(VLOOKUP(D1861,'Team Data'!C:AB,23,FALSE),"")</f>
        <v/>
      </c>
      <c r="O1861" t="str">
        <f>IFERROR(VLOOKUP(D1861,'Team Data'!C:AB,22,FALSE),"")</f>
        <v/>
      </c>
      <c r="P1861" t="str">
        <f t="shared" si="59"/>
        <v/>
      </c>
      <c r="Q1861" t="str">
        <f>IFERROR(VLOOKUP(D1861,'Team Data'!C:AB,15,FALSE),"")</f>
        <v/>
      </c>
      <c r="R1861" t="str">
        <f>IFERROR(VLOOKUP('OB Format'!D1861,'Team Data'!C:AB,24,FALSE),"")</f>
        <v/>
      </c>
      <c r="S1861" t="str">
        <f>IFERROR(VLOOKUP('OB Format'!D1861,'Team Data'!C:AC,25,FALSE),"")</f>
        <v/>
      </c>
    </row>
    <row r="1862" spans="5:19" x14ac:dyDescent="0.25">
      <c r="E1862" t="str">
        <f>IFERROR(VLOOKUP(D1862,'Team Data'!C:AB,4,FALSE),"")</f>
        <v/>
      </c>
      <c r="F1862" t="str">
        <f>IFERROR(VLOOKUP(D1862,'Team Data'!C:AB,5,FALSE),"")</f>
        <v/>
      </c>
      <c r="G1862" t="str">
        <f>IFERROR(VLOOKUP('OB Format'!D1862,'Team Data'!C:AB,17,FALSE),"")</f>
        <v/>
      </c>
      <c r="H1862" t="str">
        <f>IFERROR(VLOOKUP(D1862,'Team Data'!C:AB,7,FALSE),"")</f>
        <v/>
      </c>
      <c r="I1862" t="str">
        <f>IFERROR(VLOOKUP(D1862,'Team Data'!C:AB,14,FALSE),"")</f>
        <v/>
      </c>
      <c r="J1862" t="str">
        <f>IFERROR(VLOOKUP(D1862,'Team Data'!C:AB,8,FALSE),"")</f>
        <v/>
      </c>
      <c r="K1862" t="str">
        <f>IFERROR(VLOOKUP(D1862,'Team Data'!C:AB,9,FALSE),"")</f>
        <v/>
      </c>
      <c r="L1862" t="str">
        <f>IFERROR(VLOOKUP(D1862,'Team Data'!C:AB,10,FALSE),"")</f>
        <v/>
      </c>
      <c r="M1862" t="str">
        <f t="shared" si="58"/>
        <v/>
      </c>
      <c r="N1862" t="str">
        <f>IFERROR(VLOOKUP(D1862,'Team Data'!C:AB,23,FALSE),"")</f>
        <v/>
      </c>
      <c r="O1862" t="str">
        <f>IFERROR(VLOOKUP(D1862,'Team Data'!C:AB,22,FALSE),"")</f>
        <v/>
      </c>
      <c r="P1862" t="str">
        <f t="shared" si="59"/>
        <v/>
      </c>
      <c r="Q1862" t="str">
        <f>IFERROR(VLOOKUP(D1862,'Team Data'!C:AB,15,FALSE),"")</f>
        <v/>
      </c>
      <c r="R1862" t="str">
        <f>IFERROR(VLOOKUP('OB Format'!D1862,'Team Data'!C:AB,24,FALSE),"")</f>
        <v/>
      </c>
      <c r="S1862" t="str">
        <f>IFERROR(VLOOKUP('OB Format'!D1862,'Team Data'!C:AC,25,FALSE),"")</f>
        <v/>
      </c>
    </row>
    <row r="1863" spans="5:19" x14ac:dyDescent="0.25">
      <c r="E1863" t="str">
        <f>IFERROR(VLOOKUP(D1863,'Team Data'!C:AB,4,FALSE),"")</f>
        <v/>
      </c>
      <c r="F1863" t="str">
        <f>IFERROR(VLOOKUP(D1863,'Team Data'!C:AB,5,FALSE),"")</f>
        <v/>
      </c>
      <c r="G1863" t="str">
        <f>IFERROR(VLOOKUP('OB Format'!D1863,'Team Data'!C:AB,17,FALSE),"")</f>
        <v/>
      </c>
      <c r="H1863" t="str">
        <f>IFERROR(VLOOKUP(D1863,'Team Data'!C:AB,7,FALSE),"")</f>
        <v/>
      </c>
      <c r="I1863" t="str">
        <f>IFERROR(VLOOKUP(D1863,'Team Data'!C:AB,14,FALSE),"")</f>
        <v/>
      </c>
      <c r="J1863" t="str">
        <f>IFERROR(VLOOKUP(D1863,'Team Data'!C:AB,8,FALSE),"")</f>
        <v/>
      </c>
      <c r="K1863" t="str">
        <f>IFERROR(VLOOKUP(D1863,'Team Data'!C:AB,9,FALSE),"")</f>
        <v/>
      </c>
      <c r="L1863" t="str">
        <f>IFERROR(VLOOKUP(D1863,'Team Data'!C:AB,10,FALSE),"")</f>
        <v/>
      </c>
      <c r="M1863" t="str">
        <f t="shared" si="58"/>
        <v/>
      </c>
      <c r="N1863" t="str">
        <f>IFERROR(VLOOKUP(D1863,'Team Data'!C:AB,23,FALSE),"")</f>
        <v/>
      </c>
      <c r="O1863" t="str">
        <f>IFERROR(VLOOKUP(D1863,'Team Data'!C:AB,22,FALSE),"")</f>
        <v/>
      </c>
      <c r="P1863" t="str">
        <f t="shared" si="59"/>
        <v/>
      </c>
      <c r="Q1863" t="str">
        <f>IFERROR(VLOOKUP(D1863,'Team Data'!C:AB,15,FALSE),"")</f>
        <v/>
      </c>
      <c r="R1863" t="str">
        <f>IFERROR(VLOOKUP('OB Format'!D1863,'Team Data'!C:AB,24,FALSE),"")</f>
        <v/>
      </c>
      <c r="S1863" t="str">
        <f>IFERROR(VLOOKUP('OB Format'!D1863,'Team Data'!C:AC,25,FALSE),"")</f>
        <v/>
      </c>
    </row>
    <row r="1864" spans="5:19" x14ac:dyDescent="0.25">
      <c r="E1864" t="str">
        <f>IFERROR(VLOOKUP(D1864,'Team Data'!C:AB,4,FALSE),"")</f>
        <v/>
      </c>
      <c r="F1864" t="str">
        <f>IFERROR(VLOOKUP(D1864,'Team Data'!C:AB,5,FALSE),"")</f>
        <v/>
      </c>
      <c r="G1864" t="str">
        <f>IFERROR(VLOOKUP('OB Format'!D1864,'Team Data'!C:AB,17,FALSE),"")</f>
        <v/>
      </c>
      <c r="H1864" t="str">
        <f>IFERROR(VLOOKUP(D1864,'Team Data'!C:AB,7,FALSE),"")</f>
        <v/>
      </c>
      <c r="I1864" t="str">
        <f>IFERROR(VLOOKUP(D1864,'Team Data'!C:AB,14,FALSE),"")</f>
        <v/>
      </c>
      <c r="J1864" t="str">
        <f>IFERROR(VLOOKUP(D1864,'Team Data'!C:AB,8,FALSE),"")</f>
        <v/>
      </c>
      <c r="K1864" t="str">
        <f>IFERROR(VLOOKUP(D1864,'Team Data'!C:AB,9,FALSE),"")</f>
        <v/>
      </c>
      <c r="L1864" t="str">
        <f>IFERROR(VLOOKUP(D1864,'Team Data'!C:AB,10,FALSE),"")</f>
        <v/>
      </c>
      <c r="M1864" t="str">
        <f t="shared" si="58"/>
        <v/>
      </c>
      <c r="N1864" t="str">
        <f>IFERROR(VLOOKUP(D1864,'Team Data'!C:AB,23,FALSE),"")</f>
        <v/>
      </c>
      <c r="O1864" t="str">
        <f>IFERROR(VLOOKUP(D1864,'Team Data'!C:AB,22,FALSE),"")</f>
        <v/>
      </c>
      <c r="P1864" t="str">
        <f t="shared" si="59"/>
        <v/>
      </c>
      <c r="Q1864" t="str">
        <f>IFERROR(VLOOKUP(D1864,'Team Data'!C:AB,15,FALSE),"")</f>
        <v/>
      </c>
      <c r="R1864" t="str">
        <f>IFERROR(VLOOKUP('OB Format'!D1864,'Team Data'!C:AB,24,FALSE),"")</f>
        <v/>
      </c>
      <c r="S1864" t="str">
        <f>IFERROR(VLOOKUP('OB Format'!D1864,'Team Data'!C:AC,25,FALSE),"")</f>
        <v/>
      </c>
    </row>
    <row r="1865" spans="5:19" x14ac:dyDescent="0.25">
      <c r="E1865" t="str">
        <f>IFERROR(VLOOKUP(D1865,'Team Data'!C:AB,4,FALSE),"")</f>
        <v/>
      </c>
      <c r="F1865" t="str">
        <f>IFERROR(VLOOKUP(D1865,'Team Data'!C:AB,5,FALSE),"")</f>
        <v/>
      </c>
      <c r="G1865" t="str">
        <f>IFERROR(VLOOKUP('OB Format'!D1865,'Team Data'!C:AB,17,FALSE),"")</f>
        <v/>
      </c>
      <c r="H1865" t="str">
        <f>IFERROR(VLOOKUP(D1865,'Team Data'!C:AB,7,FALSE),"")</f>
        <v/>
      </c>
      <c r="I1865" t="str">
        <f>IFERROR(VLOOKUP(D1865,'Team Data'!C:AB,14,FALSE),"")</f>
        <v/>
      </c>
      <c r="J1865" t="str">
        <f>IFERROR(VLOOKUP(D1865,'Team Data'!C:AB,8,FALSE),"")</f>
        <v/>
      </c>
      <c r="K1865" t="str">
        <f>IFERROR(VLOOKUP(D1865,'Team Data'!C:AB,9,FALSE),"")</f>
        <v/>
      </c>
      <c r="L1865" t="str">
        <f>IFERROR(VLOOKUP(D1865,'Team Data'!C:AB,10,FALSE),"")</f>
        <v/>
      </c>
      <c r="M1865" t="str">
        <f t="shared" si="58"/>
        <v/>
      </c>
      <c r="N1865" t="str">
        <f>IFERROR(VLOOKUP(D1865,'Team Data'!C:AB,23,FALSE),"")</f>
        <v/>
      </c>
      <c r="O1865" t="str">
        <f>IFERROR(VLOOKUP(D1865,'Team Data'!C:AB,22,FALSE),"")</f>
        <v/>
      </c>
      <c r="P1865" t="str">
        <f t="shared" si="59"/>
        <v/>
      </c>
      <c r="Q1865" t="str">
        <f>IFERROR(VLOOKUP(D1865,'Team Data'!C:AB,15,FALSE),"")</f>
        <v/>
      </c>
      <c r="R1865" t="str">
        <f>IFERROR(VLOOKUP('OB Format'!D1865,'Team Data'!C:AB,24,FALSE),"")</f>
        <v/>
      </c>
      <c r="S1865" t="str">
        <f>IFERROR(VLOOKUP('OB Format'!D1865,'Team Data'!C:AC,25,FALSE),"")</f>
        <v/>
      </c>
    </row>
    <row r="1866" spans="5:19" x14ac:dyDescent="0.25">
      <c r="E1866" t="str">
        <f>IFERROR(VLOOKUP(D1866,'Team Data'!C:AB,4,FALSE),"")</f>
        <v/>
      </c>
      <c r="F1866" t="str">
        <f>IFERROR(VLOOKUP(D1866,'Team Data'!C:AB,5,FALSE),"")</f>
        <v/>
      </c>
      <c r="G1866" t="str">
        <f>IFERROR(VLOOKUP('OB Format'!D1866,'Team Data'!C:AB,17,FALSE),"")</f>
        <v/>
      </c>
      <c r="H1866" t="str">
        <f>IFERROR(VLOOKUP(D1866,'Team Data'!C:AB,7,FALSE),"")</f>
        <v/>
      </c>
      <c r="I1866" t="str">
        <f>IFERROR(VLOOKUP(D1866,'Team Data'!C:AB,14,FALSE),"")</f>
        <v/>
      </c>
      <c r="J1866" t="str">
        <f>IFERROR(VLOOKUP(D1866,'Team Data'!C:AB,8,FALSE),"")</f>
        <v/>
      </c>
      <c r="K1866" t="str">
        <f>IFERROR(VLOOKUP(D1866,'Team Data'!C:AB,9,FALSE),"")</f>
        <v/>
      </c>
      <c r="L1866" t="str">
        <f>IFERROR(VLOOKUP(D1866,'Team Data'!C:AB,10,FALSE),"")</f>
        <v/>
      </c>
      <c r="M1866" t="str">
        <f t="shared" si="58"/>
        <v/>
      </c>
      <c r="N1866" t="str">
        <f>IFERROR(VLOOKUP(D1866,'Team Data'!C:AB,23,FALSE),"")</f>
        <v/>
      </c>
      <c r="O1866" t="str">
        <f>IFERROR(VLOOKUP(D1866,'Team Data'!C:AB,22,FALSE),"")</f>
        <v/>
      </c>
      <c r="P1866" t="str">
        <f t="shared" si="59"/>
        <v/>
      </c>
      <c r="Q1866" t="str">
        <f>IFERROR(VLOOKUP(D1866,'Team Data'!C:AB,15,FALSE),"")</f>
        <v/>
      </c>
      <c r="R1866" t="str">
        <f>IFERROR(VLOOKUP('OB Format'!D1866,'Team Data'!C:AB,24,FALSE),"")</f>
        <v/>
      </c>
      <c r="S1866" t="str">
        <f>IFERROR(VLOOKUP('OB Format'!D1866,'Team Data'!C:AC,25,FALSE),"")</f>
        <v/>
      </c>
    </row>
    <row r="1867" spans="5:19" x14ac:dyDescent="0.25">
      <c r="E1867" t="str">
        <f>IFERROR(VLOOKUP(D1867,'Team Data'!C:AB,4,FALSE),"")</f>
        <v/>
      </c>
      <c r="F1867" t="str">
        <f>IFERROR(VLOOKUP(D1867,'Team Data'!C:AB,5,FALSE),"")</f>
        <v/>
      </c>
      <c r="G1867" t="str">
        <f>IFERROR(VLOOKUP('OB Format'!D1867,'Team Data'!C:AB,17,FALSE),"")</f>
        <v/>
      </c>
      <c r="H1867" t="str">
        <f>IFERROR(VLOOKUP(D1867,'Team Data'!C:AB,7,FALSE),"")</f>
        <v/>
      </c>
      <c r="I1867" t="str">
        <f>IFERROR(VLOOKUP(D1867,'Team Data'!C:AB,14,FALSE),"")</f>
        <v/>
      </c>
      <c r="J1867" t="str">
        <f>IFERROR(VLOOKUP(D1867,'Team Data'!C:AB,8,FALSE),"")</f>
        <v/>
      </c>
      <c r="K1867" t="str">
        <f>IFERROR(VLOOKUP(D1867,'Team Data'!C:AB,9,FALSE),"")</f>
        <v/>
      </c>
      <c r="L1867" t="str">
        <f>IFERROR(VLOOKUP(D1867,'Team Data'!C:AB,10,FALSE),"")</f>
        <v/>
      </c>
      <c r="M1867" t="str">
        <f t="shared" si="58"/>
        <v/>
      </c>
      <c r="N1867" t="str">
        <f>IFERROR(VLOOKUP(D1867,'Team Data'!C:AB,23,FALSE),"")</f>
        <v/>
      </c>
      <c r="O1867" t="str">
        <f>IFERROR(VLOOKUP(D1867,'Team Data'!C:AB,22,FALSE),"")</f>
        <v/>
      </c>
      <c r="P1867" t="str">
        <f t="shared" si="59"/>
        <v/>
      </c>
      <c r="Q1867" t="str">
        <f>IFERROR(VLOOKUP(D1867,'Team Data'!C:AB,15,FALSE),"")</f>
        <v/>
      </c>
      <c r="R1867" t="str">
        <f>IFERROR(VLOOKUP('OB Format'!D1867,'Team Data'!C:AB,24,FALSE),"")</f>
        <v/>
      </c>
      <c r="S1867" t="str">
        <f>IFERROR(VLOOKUP('OB Format'!D1867,'Team Data'!C:AC,25,FALSE),"")</f>
        <v/>
      </c>
    </row>
    <row r="1868" spans="5:19" x14ac:dyDescent="0.25">
      <c r="E1868" t="str">
        <f>IFERROR(VLOOKUP(D1868,'Team Data'!C:AB,4,FALSE),"")</f>
        <v/>
      </c>
      <c r="F1868" t="str">
        <f>IFERROR(VLOOKUP(D1868,'Team Data'!C:AB,5,FALSE),"")</f>
        <v/>
      </c>
      <c r="G1868" t="str">
        <f>IFERROR(VLOOKUP('OB Format'!D1868,'Team Data'!C:AB,17,FALSE),"")</f>
        <v/>
      </c>
      <c r="H1868" t="str">
        <f>IFERROR(VLOOKUP(D1868,'Team Data'!C:AB,7,FALSE),"")</f>
        <v/>
      </c>
      <c r="I1868" t="str">
        <f>IFERROR(VLOOKUP(D1868,'Team Data'!C:AB,14,FALSE),"")</f>
        <v/>
      </c>
      <c r="J1868" t="str">
        <f>IFERROR(VLOOKUP(D1868,'Team Data'!C:AB,8,FALSE),"")</f>
        <v/>
      </c>
      <c r="K1868" t="str">
        <f>IFERROR(VLOOKUP(D1868,'Team Data'!C:AB,9,FALSE),"")</f>
        <v/>
      </c>
      <c r="L1868" t="str">
        <f>IFERROR(VLOOKUP(D1868,'Team Data'!C:AB,10,FALSE),"")</f>
        <v/>
      </c>
      <c r="M1868" t="str">
        <f t="shared" si="58"/>
        <v/>
      </c>
      <c r="N1868" t="str">
        <f>IFERROR(VLOOKUP(D1868,'Team Data'!C:AB,23,FALSE),"")</f>
        <v/>
      </c>
      <c r="O1868" t="str">
        <f>IFERROR(VLOOKUP(D1868,'Team Data'!C:AB,22,FALSE),"")</f>
        <v/>
      </c>
      <c r="P1868" t="str">
        <f t="shared" si="59"/>
        <v/>
      </c>
      <c r="Q1868" t="str">
        <f>IFERROR(VLOOKUP(D1868,'Team Data'!C:AB,15,FALSE),"")</f>
        <v/>
      </c>
      <c r="R1868" t="str">
        <f>IFERROR(VLOOKUP('OB Format'!D1868,'Team Data'!C:AB,24,FALSE),"")</f>
        <v/>
      </c>
      <c r="S1868" t="str">
        <f>IFERROR(VLOOKUP('OB Format'!D1868,'Team Data'!C:AC,25,FALSE),"")</f>
        <v/>
      </c>
    </row>
    <row r="1869" spans="5:19" x14ac:dyDescent="0.25">
      <c r="E1869" t="str">
        <f>IFERROR(VLOOKUP(D1869,'Team Data'!C:AB,4,FALSE),"")</f>
        <v/>
      </c>
      <c r="F1869" t="str">
        <f>IFERROR(VLOOKUP(D1869,'Team Data'!C:AB,5,FALSE),"")</f>
        <v/>
      </c>
      <c r="G1869" t="str">
        <f>IFERROR(VLOOKUP('OB Format'!D1869,'Team Data'!C:AB,17,FALSE),"")</f>
        <v/>
      </c>
      <c r="H1869" t="str">
        <f>IFERROR(VLOOKUP(D1869,'Team Data'!C:AB,7,FALSE),"")</f>
        <v/>
      </c>
      <c r="I1869" t="str">
        <f>IFERROR(VLOOKUP(D1869,'Team Data'!C:AB,14,FALSE),"")</f>
        <v/>
      </c>
      <c r="J1869" t="str">
        <f>IFERROR(VLOOKUP(D1869,'Team Data'!C:AB,8,FALSE),"")</f>
        <v/>
      </c>
      <c r="K1869" t="str">
        <f>IFERROR(VLOOKUP(D1869,'Team Data'!C:AB,9,FALSE),"")</f>
        <v/>
      </c>
      <c r="L1869" t="str">
        <f>IFERROR(VLOOKUP(D1869,'Team Data'!C:AB,10,FALSE),"")</f>
        <v/>
      </c>
      <c r="M1869" t="str">
        <f t="shared" ref="M1869:M1932" si="60">IFERROR(H1869-(J1869+L1869+K1869),"")</f>
        <v/>
      </c>
      <c r="N1869" t="str">
        <f>IFERROR(VLOOKUP(D1869,'Team Data'!C:AB,23,FALSE),"")</f>
        <v/>
      </c>
      <c r="O1869" t="str">
        <f>IFERROR(VLOOKUP(D1869,'Team Data'!C:AB,22,FALSE),"")</f>
        <v/>
      </c>
      <c r="P1869" t="str">
        <f t="shared" ref="P1869:P1932" si="61">IFERROR(E1869-(H1869+N1869+Q1869+I1869+O1869),"")</f>
        <v/>
      </c>
      <c r="Q1869" t="str">
        <f>IFERROR(VLOOKUP(D1869,'Team Data'!C:AB,15,FALSE),"")</f>
        <v/>
      </c>
      <c r="R1869" t="str">
        <f>IFERROR(VLOOKUP('OB Format'!D1869,'Team Data'!C:AB,24,FALSE),"")</f>
        <v/>
      </c>
      <c r="S1869" t="str">
        <f>IFERROR(VLOOKUP('OB Format'!D1869,'Team Data'!C:AC,25,FALSE),"")</f>
        <v/>
      </c>
    </row>
    <row r="1870" spans="5:19" x14ac:dyDescent="0.25">
      <c r="E1870" t="str">
        <f>IFERROR(VLOOKUP(D1870,'Team Data'!C:AB,4,FALSE),"")</f>
        <v/>
      </c>
      <c r="F1870" t="str">
        <f>IFERROR(VLOOKUP(D1870,'Team Data'!C:AB,5,FALSE),"")</f>
        <v/>
      </c>
      <c r="G1870" t="str">
        <f>IFERROR(VLOOKUP('OB Format'!D1870,'Team Data'!C:AB,17,FALSE),"")</f>
        <v/>
      </c>
      <c r="H1870" t="str">
        <f>IFERROR(VLOOKUP(D1870,'Team Data'!C:AB,7,FALSE),"")</f>
        <v/>
      </c>
      <c r="I1870" t="str">
        <f>IFERROR(VLOOKUP(D1870,'Team Data'!C:AB,14,FALSE),"")</f>
        <v/>
      </c>
      <c r="J1870" t="str">
        <f>IFERROR(VLOOKUP(D1870,'Team Data'!C:AB,8,FALSE),"")</f>
        <v/>
      </c>
      <c r="K1870" t="str">
        <f>IFERROR(VLOOKUP(D1870,'Team Data'!C:AB,9,FALSE),"")</f>
        <v/>
      </c>
      <c r="L1870" t="str">
        <f>IFERROR(VLOOKUP(D1870,'Team Data'!C:AB,10,FALSE),"")</f>
        <v/>
      </c>
      <c r="M1870" t="str">
        <f t="shared" si="60"/>
        <v/>
      </c>
      <c r="N1870" t="str">
        <f>IFERROR(VLOOKUP(D1870,'Team Data'!C:AB,23,FALSE),"")</f>
        <v/>
      </c>
      <c r="O1870" t="str">
        <f>IFERROR(VLOOKUP(D1870,'Team Data'!C:AB,22,FALSE),"")</f>
        <v/>
      </c>
      <c r="P1870" t="str">
        <f t="shared" si="61"/>
        <v/>
      </c>
      <c r="Q1870" t="str">
        <f>IFERROR(VLOOKUP(D1870,'Team Data'!C:AB,15,FALSE),"")</f>
        <v/>
      </c>
      <c r="R1870" t="str">
        <f>IFERROR(VLOOKUP('OB Format'!D1870,'Team Data'!C:AB,24,FALSE),"")</f>
        <v/>
      </c>
      <c r="S1870" t="str">
        <f>IFERROR(VLOOKUP('OB Format'!D1870,'Team Data'!C:AC,25,FALSE),"")</f>
        <v/>
      </c>
    </row>
    <row r="1871" spans="5:19" x14ac:dyDescent="0.25">
      <c r="E1871" t="str">
        <f>IFERROR(VLOOKUP(D1871,'Team Data'!C:AB,4,FALSE),"")</f>
        <v/>
      </c>
      <c r="F1871" t="str">
        <f>IFERROR(VLOOKUP(D1871,'Team Data'!C:AB,5,FALSE),"")</f>
        <v/>
      </c>
      <c r="G1871" t="str">
        <f>IFERROR(VLOOKUP('OB Format'!D1871,'Team Data'!C:AB,17,FALSE),"")</f>
        <v/>
      </c>
      <c r="H1871" t="str">
        <f>IFERROR(VLOOKUP(D1871,'Team Data'!C:AB,7,FALSE),"")</f>
        <v/>
      </c>
      <c r="I1871" t="str">
        <f>IFERROR(VLOOKUP(D1871,'Team Data'!C:AB,14,FALSE),"")</f>
        <v/>
      </c>
      <c r="J1871" t="str">
        <f>IFERROR(VLOOKUP(D1871,'Team Data'!C:AB,8,FALSE),"")</f>
        <v/>
      </c>
      <c r="K1871" t="str">
        <f>IFERROR(VLOOKUP(D1871,'Team Data'!C:AB,9,FALSE),"")</f>
        <v/>
      </c>
      <c r="L1871" t="str">
        <f>IFERROR(VLOOKUP(D1871,'Team Data'!C:AB,10,FALSE),"")</f>
        <v/>
      </c>
      <c r="M1871" t="str">
        <f t="shared" si="60"/>
        <v/>
      </c>
      <c r="N1871" t="str">
        <f>IFERROR(VLOOKUP(D1871,'Team Data'!C:AB,23,FALSE),"")</f>
        <v/>
      </c>
      <c r="O1871" t="str">
        <f>IFERROR(VLOOKUP(D1871,'Team Data'!C:AB,22,FALSE),"")</f>
        <v/>
      </c>
      <c r="P1871" t="str">
        <f t="shared" si="61"/>
        <v/>
      </c>
      <c r="Q1871" t="str">
        <f>IFERROR(VLOOKUP(D1871,'Team Data'!C:AB,15,FALSE),"")</f>
        <v/>
      </c>
      <c r="R1871" t="str">
        <f>IFERROR(VLOOKUP('OB Format'!D1871,'Team Data'!C:AB,24,FALSE),"")</f>
        <v/>
      </c>
      <c r="S1871" t="str">
        <f>IFERROR(VLOOKUP('OB Format'!D1871,'Team Data'!C:AC,25,FALSE),"")</f>
        <v/>
      </c>
    </row>
    <row r="1872" spans="5:19" x14ac:dyDescent="0.25">
      <c r="E1872" t="str">
        <f>IFERROR(VLOOKUP(D1872,'Team Data'!C:AB,4,FALSE),"")</f>
        <v/>
      </c>
      <c r="F1872" t="str">
        <f>IFERROR(VLOOKUP(D1872,'Team Data'!C:AB,5,FALSE),"")</f>
        <v/>
      </c>
      <c r="G1872" t="str">
        <f>IFERROR(VLOOKUP('OB Format'!D1872,'Team Data'!C:AB,17,FALSE),"")</f>
        <v/>
      </c>
      <c r="H1872" t="str">
        <f>IFERROR(VLOOKUP(D1872,'Team Data'!C:AB,7,FALSE),"")</f>
        <v/>
      </c>
      <c r="I1872" t="str">
        <f>IFERROR(VLOOKUP(D1872,'Team Data'!C:AB,14,FALSE),"")</f>
        <v/>
      </c>
      <c r="J1872" t="str">
        <f>IFERROR(VLOOKUP(D1872,'Team Data'!C:AB,8,FALSE),"")</f>
        <v/>
      </c>
      <c r="K1872" t="str">
        <f>IFERROR(VLOOKUP(D1872,'Team Data'!C:AB,9,FALSE),"")</f>
        <v/>
      </c>
      <c r="L1872" t="str">
        <f>IFERROR(VLOOKUP(D1872,'Team Data'!C:AB,10,FALSE),"")</f>
        <v/>
      </c>
      <c r="M1872" t="str">
        <f t="shared" si="60"/>
        <v/>
      </c>
      <c r="N1872" t="str">
        <f>IFERROR(VLOOKUP(D1872,'Team Data'!C:AB,23,FALSE),"")</f>
        <v/>
      </c>
      <c r="O1872" t="str">
        <f>IFERROR(VLOOKUP(D1872,'Team Data'!C:AB,22,FALSE),"")</f>
        <v/>
      </c>
      <c r="P1872" t="str">
        <f t="shared" si="61"/>
        <v/>
      </c>
      <c r="Q1872" t="str">
        <f>IFERROR(VLOOKUP(D1872,'Team Data'!C:AB,15,FALSE),"")</f>
        <v/>
      </c>
      <c r="R1872" t="str">
        <f>IFERROR(VLOOKUP('OB Format'!D1872,'Team Data'!C:AB,24,FALSE),"")</f>
        <v/>
      </c>
      <c r="S1872" t="str">
        <f>IFERROR(VLOOKUP('OB Format'!D1872,'Team Data'!C:AC,25,FALSE),"")</f>
        <v/>
      </c>
    </row>
    <row r="1873" spans="5:19" x14ac:dyDescent="0.25">
      <c r="E1873" t="str">
        <f>IFERROR(VLOOKUP(D1873,'Team Data'!C:AB,4,FALSE),"")</f>
        <v/>
      </c>
      <c r="F1873" t="str">
        <f>IFERROR(VLOOKUP(D1873,'Team Data'!C:AB,5,FALSE),"")</f>
        <v/>
      </c>
      <c r="G1873" t="str">
        <f>IFERROR(VLOOKUP('OB Format'!D1873,'Team Data'!C:AB,17,FALSE),"")</f>
        <v/>
      </c>
      <c r="H1873" t="str">
        <f>IFERROR(VLOOKUP(D1873,'Team Data'!C:AB,7,FALSE),"")</f>
        <v/>
      </c>
      <c r="I1873" t="str">
        <f>IFERROR(VLOOKUP(D1873,'Team Data'!C:AB,14,FALSE),"")</f>
        <v/>
      </c>
      <c r="J1873" t="str">
        <f>IFERROR(VLOOKUP(D1873,'Team Data'!C:AB,8,FALSE),"")</f>
        <v/>
      </c>
      <c r="K1873" t="str">
        <f>IFERROR(VLOOKUP(D1873,'Team Data'!C:AB,9,FALSE),"")</f>
        <v/>
      </c>
      <c r="L1873" t="str">
        <f>IFERROR(VLOOKUP(D1873,'Team Data'!C:AB,10,FALSE),"")</f>
        <v/>
      </c>
      <c r="M1873" t="str">
        <f t="shared" si="60"/>
        <v/>
      </c>
      <c r="N1873" t="str">
        <f>IFERROR(VLOOKUP(D1873,'Team Data'!C:AB,23,FALSE),"")</f>
        <v/>
      </c>
      <c r="O1873" t="str">
        <f>IFERROR(VLOOKUP(D1873,'Team Data'!C:AB,22,FALSE),"")</f>
        <v/>
      </c>
      <c r="P1873" t="str">
        <f t="shared" si="61"/>
        <v/>
      </c>
      <c r="Q1873" t="str">
        <f>IFERROR(VLOOKUP(D1873,'Team Data'!C:AB,15,FALSE),"")</f>
        <v/>
      </c>
      <c r="R1873" t="str">
        <f>IFERROR(VLOOKUP('OB Format'!D1873,'Team Data'!C:AB,24,FALSE),"")</f>
        <v/>
      </c>
      <c r="S1873" t="str">
        <f>IFERROR(VLOOKUP('OB Format'!D1873,'Team Data'!C:AC,25,FALSE),"")</f>
        <v/>
      </c>
    </row>
    <row r="1874" spans="5:19" x14ac:dyDescent="0.25">
      <c r="E1874" t="str">
        <f>IFERROR(VLOOKUP(D1874,'Team Data'!C:AB,4,FALSE),"")</f>
        <v/>
      </c>
      <c r="F1874" t="str">
        <f>IFERROR(VLOOKUP(D1874,'Team Data'!C:AB,5,FALSE),"")</f>
        <v/>
      </c>
      <c r="G1874" t="str">
        <f>IFERROR(VLOOKUP('OB Format'!D1874,'Team Data'!C:AB,17,FALSE),"")</f>
        <v/>
      </c>
      <c r="H1874" t="str">
        <f>IFERROR(VLOOKUP(D1874,'Team Data'!C:AB,7,FALSE),"")</f>
        <v/>
      </c>
      <c r="I1874" t="str">
        <f>IFERROR(VLOOKUP(D1874,'Team Data'!C:AB,14,FALSE),"")</f>
        <v/>
      </c>
      <c r="J1874" t="str">
        <f>IFERROR(VLOOKUP(D1874,'Team Data'!C:AB,8,FALSE),"")</f>
        <v/>
      </c>
      <c r="K1874" t="str">
        <f>IFERROR(VLOOKUP(D1874,'Team Data'!C:AB,9,FALSE),"")</f>
        <v/>
      </c>
      <c r="L1874" t="str">
        <f>IFERROR(VLOOKUP(D1874,'Team Data'!C:AB,10,FALSE),"")</f>
        <v/>
      </c>
      <c r="M1874" t="str">
        <f t="shared" si="60"/>
        <v/>
      </c>
      <c r="N1874" t="str">
        <f>IFERROR(VLOOKUP(D1874,'Team Data'!C:AB,23,FALSE),"")</f>
        <v/>
      </c>
      <c r="O1874" t="str">
        <f>IFERROR(VLOOKUP(D1874,'Team Data'!C:AB,22,FALSE),"")</f>
        <v/>
      </c>
      <c r="P1874" t="str">
        <f t="shared" si="61"/>
        <v/>
      </c>
      <c r="Q1874" t="str">
        <f>IFERROR(VLOOKUP(D1874,'Team Data'!C:AB,15,FALSE),"")</f>
        <v/>
      </c>
      <c r="R1874" t="str">
        <f>IFERROR(VLOOKUP('OB Format'!D1874,'Team Data'!C:AB,24,FALSE),"")</f>
        <v/>
      </c>
      <c r="S1874" t="str">
        <f>IFERROR(VLOOKUP('OB Format'!D1874,'Team Data'!C:AC,25,FALSE),"")</f>
        <v/>
      </c>
    </row>
    <row r="1875" spans="5:19" x14ac:dyDescent="0.25">
      <c r="E1875" t="str">
        <f>IFERROR(VLOOKUP(D1875,'Team Data'!C:AB,4,FALSE),"")</f>
        <v/>
      </c>
      <c r="F1875" t="str">
        <f>IFERROR(VLOOKUP(D1875,'Team Data'!C:AB,5,FALSE),"")</f>
        <v/>
      </c>
      <c r="G1875" t="str">
        <f>IFERROR(VLOOKUP('OB Format'!D1875,'Team Data'!C:AB,17,FALSE),"")</f>
        <v/>
      </c>
      <c r="H1875" t="str">
        <f>IFERROR(VLOOKUP(D1875,'Team Data'!C:AB,7,FALSE),"")</f>
        <v/>
      </c>
      <c r="I1875" t="str">
        <f>IFERROR(VLOOKUP(D1875,'Team Data'!C:AB,14,FALSE),"")</f>
        <v/>
      </c>
      <c r="J1875" t="str">
        <f>IFERROR(VLOOKUP(D1875,'Team Data'!C:AB,8,FALSE),"")</f>
        <v/>
      </c>
      <c r="K1875" t="str">
        <f>IFERROR(VLOOKUP(D1875,'Team Data'!C:AB,9,FALSE),"")</f>
        <v/>
      </c>
      <c r="L1875" t="str">
        <f>IFERROR(VLOOKUP(D1875,'Team Data'!C:AB,10,FALSE),"")</f>
        <v/>
      </c>
      <c r="M1875" t="str">
        <f t="shared" si="60"/>
        <v/>
      </c>
      <c r="N1875" t="str">
        <f>IFERROR(VLOOKUP(D1875,'Team Data'!C:AB,23,FALSE),"")</f>
        <v/>
      </c>
      <c r="O1875" t="str">
        <f>IFERROR(VLOOKUP(D1875,'Team Data'!C:AB,22,FALSE),"")</f>
        <v/>
      </c>
      <c r="P1875" t="str">
        <f t="shared" si="61"/>
        <v/>
      </c>
      <c r="Q1875" t="str">
        <f>IFERROR(VLOOKUP(D1875,'Team Data'!C:AB,15,FALSE),"")</f>
        <v/>
      </c>
      <c r="R1875" t="str">
        <f>IFERROR(VLOOKUP('OB Format'!D1875,'Team Data'!C:AB,24,FALSE),"")</f>
        <v/>
      </c>
      <c r="S1875" t="str">
        <f>IFERROR(VLOOKUP('OB Format'!D1875,'Team Data'!C:AC,25,FALSE),"")</f>
        <v/>
      </c>
    </row>
    <row r="1876" spans="5:19" x14ac:dyDescent="0.25">
      <c r="E1876" t="str">
        <f>IFERROR(VLOOKUP(D1876,'Team Data'!C:AB,4,FALSE),"")</f>
        <v/>
      </c>
      <c r="F1876" t="str">
        <f>IFERROR(VLOOKUP(D1876,'Team Data'!C:AB,5,FALSE),"")</f>
        <v/>
      </c>
      <c r="G1876" t="str">
        <f>IFERROR(VLOOKUP('OB Format'!D1876,'Team Data'!C:AB,17,FALSE),"")</f>
        <v/>
      </c>
      <c r="H1876" t="str">
        <f>IFERROR(VLOOKUP(D1876,'Team Data'!C:AB,7,FALSE),"")</f>
        <v/>
      </c>
      <c r="I1876" t="str">
        <f>IFERROR(VLOOKUP(D1876,'Team Data'!C:AB,14,FALSE),"")</f>
        <v/>
      </c>
      <c r="J1876" t="str">
        <f>IFERROR(VLOOKUP(D1876,'Team Data'!C:AB,8,FALSE),"")</f>
        <v/>
      </c>
      <c r="K1876" t="str">
        <f>IFERROR(VLOOKUP(D1876,'Team Data'!C:AB,9,FALSE),"")</f>
        <v/>
      </c>
      <c r="L1876" t="str">
        <f>IFERROR(VLOOKUP(D1876,'Team Data'!C:AB,10,FALSE),"")</f>
        <v/>
      </c>
      <c r="M1876" t="str">
        <f t="shared" si="60"/>
        <v/>
      </c>
      <c r="N1876" t="str">
        <f>IFERROR(VLOOKUP(D1876,'Team Data'!C:AB,23,FALSE),"")</f>
        <v/>
      </c>
      <c r="O1876" t="str">
        <f>IFERROR(VLOOKUP(D1876,'Team Data'!C:AB,22,FALSE),"")</f>
        <v/>
      </c>
      <c r="P1876" t="str">
        <f t="shared" si="61"/>
        <v/>
      </c>
      <c r="Q1876" t="str">
        <f>IFERROR(VLOOKUP(D1876,'Team Data'!C:AB,15,FALSE),"")</f>
        <v/>
      </c>
      <c r="R1876" t="str">
        <f>IFERROR(VLOOKUP('OB Format'!D1876,'Team Data'!C:AB,24,FALSE),"")</f>
        <v/>
      </c>
      <c r="S1876" t="str">
        <f>IFERROR(VLOOKUP('OB Format'!D1876,'Team Data'!C:AC,25,FALSE),"")</f>
        <v/>
      </c>
    </row>
    <row r="1877" spans="5:19" x14ac:dyDescent="0.25">
      <c r="E1877" t="str">
        <f>IFERROR(VLOOKUP(D1877,'Team Data'!C:AB,4,FALSE),"")</f>
        <v/>
      </c>
      <c r="F1877" t="str">
        <f>IFERROR(VLOOKUP(D1877,'Team Data'!C:AB,5,FALSE),"")</f>
        <v/>
      </c>
      <c r="G1877" t="str">
        <f>IFERROR(VLOOKUP('OB Format'!D1877,'Team Data'!C:AB,17,FALSE),"")</f>
        <v/>
      </c>
      <c r="H1877" t="str">
        <f>IFERROR(VLOOKUP(D1877,'Team Data'!C:AB,7,FALSE),"")</f>
        <v/>
      </c>
      <c r="I1877" t="str">
        <f>IFERROR(VLOOKUP(D1877,'Team Data'!C:AB,14,FALSE),"")</f>
        <v/>
      </c>
      <c r="J1877" t="str">
        <f>IFERROR(VLOOKUP(D1877,'Team Data'!C:AB,8,FALSE),"")</f>
        <v/>
      </c>
      <c r="K1877" t="str">
        <f>IFERROR(VLOOKUP(D1877,'Team Data'!C:AB,9,FALSE),"")</f>
        <v/>
      </c>
      <c r="L1877" t="str">
        <f>IFERROR(VLOOKUP(D1877,'Team Data'!C:AB,10,FALSE),"")</f>
        <v/>
      </c>
      <c r="M1877" t="str">
        <f t="shared" si="60"/>
        <v/>
      </c>
      <c r="N1877" t="str">
        <f>IFERROR(VLOOKUP(D1877,'Team Data'!C:AB,23,FALSE),"")</f>
        <v/>
      </c>
      <c r="O1877" t="str">
        <f>IFERROR(VLOOKUP(D1877,'Team Data'!C:AB,22,FALSE),"")</f>
        <v/>
      </c>
      <c r="P1877" t="str">
        <f t="shared" si="61"/>
        <v/>
      </c>
      <c r="Q1877" t="str">
        <f>IFERROR(VLOOKUP(D1877,'Team Data'!C:AB,15,FALSE),"")</f>
        <v/>
      </c>
      <c r="R1877" t="str">
        <f>IFERROR(VLOOKUP('OB Format'!D1877,'Team Data'!C:AB,24,FALSE),"")</f>
        <v/>
      </c>
      <c r="S1877" t="str">
        <f>IFERROR(VLOOKUP('OB Format'!D1877,'Team Data'!C:AC,25,FALSE),"")</f>
        <v/>
      </c>
    </row>
    <row r="1878" spans="5:19" x14ac:dyDescent="0.25">
      <c r="E1878" t="str">
        <f>IFERROR(VLOOKUP(D1878,'Team Data'!C:AB,4,FALSE),"")</f>
        <v/>
      </c>
      <c r="F1878" t="str">
        <f>IFERROR(VLOOKUP(D1878,'Team Data'!C:AB,5,FALSE),"")</f>
        <v/>
      </c>
      <c r="G1878" t="str">
        <f>IFERROR(VLOOKUP('OB Format'!D1878,'Team Data'!C:AB,17,FALSE),"")</f>
        <v/>
      </c>
      <c r="H1878" t="str">
        <f>IFERROR(VLOOKUP(D1878,'Team Data'!C:AB,7,FALSE),"")</f>
        <v/>
      </c>
      <c r="I1878" t="str">
        <f>IFERROR(VLOOKUP(D1878,'Team Data'!C:AB,14,FALSE),"")</f>
        <v/>
      </c>
      <c r="J1878" t="str">
        <f>IFERROR(VLOOKUP(D1878,'Team Data'!C:AB,8,FALSE),"")</f>
        <v/>
      </c>
      <c r="K1878" t="str">
        <f>IFERROR(VLOOKUP(D1878,'Team Data'!C:AB,9,FALSE),"")</f>
        <v/>
      </c>
      <c r="L1878" t="str">
        <f>IFERROR(VLOOKUP(D1878,'Team Data'!C:AB,10,FALSE),"")</f>
        <v/>
      </c>
      <c r="M1878" t="str">
        <f t="shared" si="60"/>
        <v/>
      </c>
      <c r="N1878" t="str">
        <f>IFERROR(VLOOKUP(D1878,'Team Data'!C:AB,23,FALSE),"")</f>
        <v/>
      </c>
      <c r="O1878" t="str">
        <f>IFERROR(VLOOKUP(D1878,'Team Data'!C:AB,22,FALSE),"")</f>
        <v/>
      </c>
      <c r="P1878" t="str">
        <f t="shared" si="61"/>
        <v/>
      </c>
      <c r="Q1878" t="str">
        <f>IFERROR(VLOOKUP(D1878,'Team Data'!C:AB,15,FALSE),"")</f>
        <v/>
      </c>
      <c r="R1878" t="str">
        <f>IFERROR(VLOOKUP('OB Format'!D1878,'Team Data'!C:AB,24,FALSE),"")</f>
        <v/>
      </c>
      <c r="S1878" t="str">
        <f>IFERROR(VLOOKUP('OB Format'!D1878,'Team Data'!C:AC,25,FALSE),"")</f>
        <v/>
      </c>
    </row>
    <row r="1879" spans="5:19" x14ac:dyDescent="0.25">
      <c r="E1879" t="str">
        <f>IFERROR(VLOOKUP(D1879,'Team Data'!C:AB,4,FALSE),"")</f>
        <v/>
      </c>
      <c r="F1879" t="str">
        <f>IFERROR(VLOOKUP(D1879,'Team Data'!C:AB,5,FALSE),"")</f>
        <v/>
      </c>
      <c r="G1879" t="str">
        <f>IFERROR(VLOOKUP('OB Format'!D1879,'Team Data'!C:AB,17,FALSE),"")</f>
        <v/>
      </c>
      <c r="H1879" t="str">
        <f>IFERROR(VLOOKUP(D1879,'Team Data'!C:AB,7,FALSE),"")</f>
        <v/>
      </c>
      <c r="I1879" t="str">
        <f>IFERROR(VLOOKUP(D1879,'Team Data'!C:AB,14,FALSE),"")</f>
        <v/>
      </c>
      <c r="J1879" t="str">
        <f>IFERROR(VLOOKUP(D1879,'Team Data'!C:AB,8,FALSE),"")</f>
        <v/>
      </c>
      <c r="K1879" t="str">
        <f>IFERROR(VLOOKUP(D1879,'Team Data'!C:AB,9,FALSE),"")</f>
        <v/>
      </c>
      <c r="L1879" t="str">
        <f>IFERROR(VLOOKUP(D1879,'Team Data'!C:AB,10,FALSE),"")</f>
        <v/>
      </c>
      <c r="M1879" t="str">
        <f t="shared" si="60"/>
        <v/>
      </c>
      <c r="N1879" t="str">
        <f>IFERROR(VLOOKUP(D1879,'Team Data'!C:AB,23,FALSE),"")</f>
        <v/>
      </c>
      <c r="O1879" t="str">
        <f>IFERROR(VLOOKUP(D1879,'Team Data'!C:AB,22,FALSE),"")</f>
        <v/>
      </c>
      <c r="P1879" t="str">
        <f t="shared" si="61"/>
        <v/>
      </c>
      <c r="Q1879" t="str">
        <f>IFERROR(VLOOKUP(D1879,'Team Data'!C:AB,15,FALSE),"")</f>
        <v/>
      </c>
      <c r="R1879" t="str">
        <f>IFERROR(VLOOKUP('OB Format'!D1879,'Team Data'!C:AB,24,FALSE),"")</f>
        <v/>
      </c>
      <c r="S1879" t="str">
        <f>IFERROR(VLOOKUP('OB Format'!D1879,'Team Data'!C:AC,25,FALSE),"")</f>
        <v/>
      </c>
    </row>
    <row r="1880" spans="5:19" x14ac:dyDescent="0.25">
      <c r="E1880" t="str">
        <f>IFERROR(VLOOKUP(D1880,'Team Data'!C:AB,4,FALSE),"")</f>
        <v/>
      </c>
      <c r="F1880" t="str">
        <f>IFERROR(VLOOKUP(D1880,'Team Data'!C:AB,5,FALSE),"")</f>
        <v/>
      </c>
      <c r="G1880" t="str">
        <f>IFERROR(VLOOKUP('OB Format'!D1880,'Team Data'!C:AB,17,FALSE),"")</f>
        <v/>
      </c>
      <c r="H1880" t="str">
        <f>IFERROR(VLOOKUP(D1880,'Team Data'!C:AB,7,FALSE),"")</f>
        <v/>
      </c>
      <c r="I1880" t="str">
        <f>IFERROR(VLOOKUP(D1880,'Team Data'!C:AB,14,FALSE),"")</f>
        <v/>
      </c>
      <c r="J1880" t="str">
        <f>IFERROR(VLOOKUP(D1880,'Team Data'!C:AB,8,FALSE),"")</f>
        <v/>
      </c>
      <c r="K1880" t="str">
        <f>IFERROR(VLOOKUP(D1880,'Team Data'!C:AB,9,FALSE),"")</f>
        <v/>
      </c>
      <c r="L1880" t="str">
        <f>IFERROR(VLOOKUP(D1880,'Team Data'!C:AB,10,FALSE),"")</f>
        <v/>
      </c>
      <c r="M1880" t="str">
        <f t="shared" si="60"/>
        <v/>
      </c>
      <c r="N1880" t="str">
        <f>IFERROR(VLOOKUP(D1880,'Team Data'!C:AB,23,FALSE),"")</f>
        <v/>
      </c>
      <c r="O1880" t="str">
        <f>IFERROR(VLOOKUP(D1880,'Team Data'!C:AB,22,FALSE),"")</f>
        <v/>
      </c>
      <c r="P1880" t="str">
        <f t="shared" si="61"/>
        <v/>
      </c>
      <c r="Q1880" t="str">
        <f>IFERROR(VLOOKUP(D1880,'Team Data'!C:AB,15,FALSE),"")</f>
        <v/>
      </c>
      <c r="R1880" t="str">
        <f>IFERROR(VLOOKUP('OB Format'!D1880,'Team Data'!C:AB,24,FALSE),"")</f>
        <v/>
      </c>
      <c r="S1880" t="str">
        <f>IFERROR(VLOOKUP('OB Format'!D1880,'Team Data'!C:AC,25,FALSE),"")</f>
        <v/>
      </c>
    </row>
    <row r="1881" spans="5:19" x14ac:dyDescent="0.25">
      <c r="E1881" t="str">
        <f>IFERROR(VLOOKUP(D1881,'Team Data'!C:AB,4,FALSE),"")</f>
        <v/>
      </c>
      <c r="F1881" t="str">
        <f>IFERROR(VLOOKUP(D1881,'Team Data'!C:AB,5,FALSE),"")</f>
        <v/>
      </c>
      <c r="G1881" t="str">
        <f>IFERROR(VLOOKUP('OB Format'!D1881,'Team Data'!C:AB,17,FALSE),"")</f>
        <v/>
      </c>
      <c r="H1881" t="str">
        <f>IFERROR(VLOOKUP(D1881,'Team Data'!C:AB,7,FALSE),"")</f>
        <v/>
      </c>
      <c r="I1881" t="str">
        <f>IFERROR(VLOOKUP(D1881,'Team Data'!C:AB,14,FALSE),"")</f>
        <v/>
      </c>
      <c r="J1881" t="str">
        <f>IFERROR(VLOOKUP(D1881,'Team Data'!C:AB,8,FALSE),"")</f>
        <v/>
      </c>
      <c r="K1881" t="str">
        <f>IFERROR(VLOOKUP(D1881,'Team Data'!C:AB,9,FALSE),"")</f>
        <v/>
      </c>
      <c r="L1881" t="str">
        <f>IFERROR(VLOOKUP(D1881,'Team Data'!C:AB,10,FALSE),"")</f>
        <v/>
      </c>
      <c r="M1881" t="str">
        <f t="shared" si="60"/>
        <v/>
      </c>
      <c r="N1881" t="str">
        <f>IFERROR(VLOOKUP(D1881,'Team Data'!C:AB,23,FALSE),"")</f>
        <v/>
      </c>
      <c r="O1881" t="str">
        <f>IFERROR(VLOOKUP(D1881,'Team Data'!C:AB,22,FALSE),"")</f>
        <v/>
      </c>
      <c r="P1881" t="str">
        <f t="shared" si="61"/>
        <v/>
      </c>
      <c r="Q1881" t="str">
        <f>IFERROR(VLOOKUP(D1881,'Team Data'!C:AB,15,FALSE),"")</f>
        <v/>
      </c>
      <c r="R1881" t="str">
        <f>IFERROR(VLOOKUP('OB Format'!D1881,'Team Data'!C:AB,24,FALSE),"")</f>
        <v/>
      </c>
      <c r="S1881" t="str">
        <f>IFERROR(VLOOKUP('OB Format'!D1881,'Team Data'!C:AC,25,FALSE),"")</f>
        <v/>
      </c>
    </row>
    <row r="1882" spans="5:19" x14ac:dyDescent="0.25">
      <c r="E1882" t="str">
        <f>IFERROR(VLOOKUP(D1882,'Team Data'!C:AB,4,FALSE),"")</f>
        <v/>
      </c>
      <c r="F1882" t="str">
        <f>IFERROR(VLOOKUP(D1882,'Team Data'!C:AB,5,FALSE),"")</f>
        <v/>
      </c>
      <c r="G1882" t="str">
        <f>IFERROR(VLOOKUP('OB Format'!D1882,'Team Data'!C:AB,17,FALSE),"")</f>
        <v/>
      </c>
      <c r="H1882" t="str">
        <f>IFERROR(VLOOKUP(D1882,'Team Data'!C:AB,7,FALSE),"")</f>
        <v/>
      </c>
      <c r="I1882" t="str">
        <f>IFERROR(VLOOKUP(D1882,'Team Data'!C:AB,14,FALSE),"")</f>
        <v/>
      </c>
      <c r="J1882" t="str">
        <f>IFERROR(VLOOKUP(D1882,'Team Data'!C:AB,8,FALSE),"")</f>
        <v/>
      </c>
      <c r="K1882" t="str">
        <f>IFERROR(VLOOKUP(D1882,'Team Data'!C:AB,9,FALSE),"")</f>
        <v/>
      </c>
      <c r="L1882" t="str">
        <f>IFERROR(VLOOKUP(D1882,'Team Data'!C:AB,10,FALSE),"")</f>
        <v/>
      </c>
      <c r="M1882" t="str">
        <f t="shared" si="60"/>
        <v/>
      </c>
      <c r="N1882" t="str">
        <f>IFERROR(VLOOKUP(D1882,'Team Data'!C:AB,23,FALSE),"")</f>
        <v/>
      </c>
      <c r="O1882" t="str">
        <f>IFERROR(VLOOKUP(D1882,'Team Data'!C:AB,22,FALSE),"")</f>
        <v/>
      </c>
      <c r="P1882" t="str">
        <f t="shared" si="61"/>
        <v/>
      </c>
      <c r="Q1882" t="str">
        <f>IFERROR(VLOOKUP(D1882,'Team Data'!C:AB,15,FALSE),"")</f>
        <v/>
      </c>
      <c r="R1882" t="str">
        <f>IFERROR(VLOOKUP('OB Format'!D1882,'Team Data'!C:AB,24,FALSE),"")</f>
        <v/>
      </c>
      <c r="S1882" t="str">
        <f>IFERROR(VLOOKUP('OB Format'!D1882,'Team Data'!C:AC,25,FALSE),"")</f>
        <v/>
      </c>
    </row>
    <row r="1883" spans="5:19" x14ac:dyDescent="0.25">
      <c r="E1883" t="str">
        <f>IFERROR(VLOOKUP(D1883,'Team Data'!C:AB,4,FALSE),"")</f>
        <v/>
      </c>
      <c r="F1883" t="str">
        <f>IFERROR(VLOOKUP(D1883,'Team Data'!C:AB,5,FALSE),"")</f>
        <v/>
      </c>
      <c r="G1883" t="str">
        <f>IFERROR(VLOOKUP('OB Format'!D1883,'Team Data'!C:AB,17,FALSE),"")</f>
        <v/>
      </c>
      <c r="H1883" t="str">
        <f>IFERROR(VLOOKUP(D1883,'Team Data'!C:AB,7,FALSE),"")</f>
        <v/>
      </c>
      <c r="I1883" t="str">
        <f>IFERROR(VLOOKUP(D1883,'Team Data'!C:AB,14,FALSE),"")</f>
        <v/>
      </c>
      <c r="J1883" t="str">
        <f>IFERROR(VLOOKUP(D1883,'Team Data'!C:AB,8,FALSE),"")</f>
        <v/>
      </c>
      <c r="K1883" t="str">
        <f>IFERROR(VLOOKUP(D1883,'Team Data'!C:AB,9,FALSE),"")</f>
        <v/>
      </c>
      <c r="L1883" t="str">
        <f>IFERROR(VLOOKUP(D1883,'Team Data'!C:AB,10,FALSE),"")</f>
        <v/>
      </c>
      <c r="M1883" t="str">
        <f t="shared" si="60"/>
        <v/>
      </c>
      <c r="N1883" t="str">
        <f>IFERROR(VLOOKUP(D1883,'Team Data'!C:AB,23,FALSE),"")</f>
        <v/>
      </c>
      <c r="O1883" t="str">
        <f>IFERROR(VLOOKUP(D1883,'Team Data'!C:AB,22,FALSE),"")</f>
        <v/>
      </c>
      <c r="P1883" t="str">
        <f t="shared" si="61"/>
        <v/>
      </c>
      <c r="Q1883" t="str">
        <f>IFERROR(VLOOKUP(D1883,'Team Data'!C:AB,15,FALSE),"")</f>
        <v/>
      </c>
      <c r="R1883" t="str">
        <f>IFERROR(VLOOKUP('OB Format'!D1883,'Team Data'!C:AB,24,FALSE),"")</f>
        <v/>
      </c>
      <c r="S1883" t="str">
        <f>IFERROR(VLOOKUP('OB Format'!D1883,'Team Data'!C:AC,25,FALSE),"")</f>
        <v/>
      </c>
    </row>
    <row r="1884" spans="5:19" x14ac:dyDescent="0.25">
      <c r="E1884" t="str">
        <f>IFERROR(VLOOKUP(D1884,'Team Data'!C:AB,4,FALSE),"")</f>
        <v/>
      </c>
      <c r="F1884" t="str">
        <f>IFERROR(VLOOKUP(D1884,'Team Data'!C:AB,5,FALSE),"")</f>
        <v/>
      </c>
      <c r="G1884" t="str">
        <f>IFERROR(VLOOKUP('OB Format'!D1884,'Team Data'!C:AB,17,FALSE),"")</f>
        <v/>
      </c>
      <c r="H1884" t="str">
        <f>IFERROR(VLOOKUP(D1884,'Team Data'!C:AB,7,FALSE),"")</f>
        <v/>
      </c>
      <c r="I1884" t="str">
        <f>IFERROR(VLOOKUP(D1884,'Team Data'!C:AB,14,FALSE),"")</f>
        <v/>
      </c>
      <c r="J1884" t="str">
        <f>IFERROR(VLOOKUP(D1884,'Team Data'!C:AB,8,FALSE),"")</f>
        <v/>
      </c>
      <c r="K1884" t="str">
        <f>IFERROR(VLOOKUP(D1884,'Team Data'!C:AB,9,FALSE),"")</f>
        <v/>
      </c>
      <c r="L1884" t="str">
        <f>IFERROR(VLOOKUP(D1884,'Team Data'!C:AB,10,FALSE),"")</f>
        <v/>
      </c>
      <c r="M1884" t="str">
        <f t="shared" si="60"/>
        <v/>
      </c>
      <c r="N1884" t="str">
        <f>IFERROR(VLOOKUP(D1884,'Team Data'!C:AB,23,FALSE),"")</f>
        <v/>
      </c>
      <c r="O1884" t="str">
        <f>IFERROR(VLOOKUP(D1884,'Team Data'!C:AB,22,FALSE),"")</f>
        <v/>
      </c>
      <c r="P1884" t="str">
        <f t="shared" si="61"/>
        <v/>
      </c>
      <c r="Q1884" t="str">
        <f>IFERROR(VLOOKUP(D1884,'Team Data'!C:AB,15,FALSE),"")</f>
        <v/>
      </c>
      <c r="R1884" t="str">
        <f>IFERROR(VLOOKUP('OB Format'!D1884,'Team Data'!C:AB,24,FALSE),"")</f>
        <v/>
      </c>
      <c r="S1884" t="str">
        <f>IFERROR(VLOOKUP('OB Format'!D1884,'Team Data'!C:AC,25,FALSE),"")</f>
        <v/>
      </c>
    </row>
    <row r="1885" spans="5:19" x14ac:dyDescent="0.25">
      <c r="E1885" t="str">
        <f>IFERROR(VLOOKUP(D1885,'Team Data'!C:AB,4,FALSE),"")</f>
        <v/>
      </c>
      <c r="F1885" t="str">
        <f>IFERROR(VLOOKUP(D1885,'Team Data'!C:AB,5,FALSE),"")</f>
        <v/>
      </c>
      <c r="G1885" t="str">
        <f>IFERROR(VLOOKUP('OB Format'!D1885,'Team Data'!C:AB,17,FALSE),"")</f>
        <v/>
      </c>
      <c r="H1885" t="str">
        <f>IFERROR(VLOOKUP(D1885,'Team Data'!C:AB,7,FALSE),"")</f>
        <v/>
      </c>
      <c r="I1885" t="str">
        <f>IFERROR(VLOOKUP(D1885,'Team Data'!C:AB,14,FALSE),"")</f>
        <v/>
      </c>
      <c r="J1885" t="str">
        <f>IFERROR(VLOOKUP(D1885,'Team Data'!C:AB,8,FALSE),"")</f>
        <v/>
      </c>
      <c r="K1885" t="str">
        <f>IFERROR(VLOOKUP(D1885,'Team Data'!C:AB,9,FALSE),"")</f>
        <v/>
      </c>
      <c r="L1885" t="str">
        <f>IFERROR(VLOOKUP(D1885,'Team Data'!C:AB,10,FALSE),"")</f>
        <v/>
      </c>
      <c r="M1885" t="str">
        <f t="shared" si="60"/>
        <v/>
      </c>
      <c r="N1885" t="str">
        <f>IFERROR(VLOOKUP(D1885,'Team Data'!C:AB,23,FALSE),"")</f>
        <v/>
      </c>
      <c r="O1885" t="str">
        <f>IFERROR(VLOOKUP(D1885,'Team Data'!C:AB,22,FALSE),"")</f>
        <v/>
      </c>
      <c r="P1885" t="str">
        <f t="shared" si="61"/>
        <v/>
      </c>
      <c r="Q1885" t="str">
        <f>IFERROR(VLOOKUP(D1885,'Team Data'!C:AB,15,FALSE),"")</f>
        <v/>
      </c>
      <c r="R1885" t="str">
        <f>IFERROR(VLOOKUP('OB Format'!D1885,'Team Data'!C:AB,24,FALSE),"")</f>
        <v/>
      </c>
      <c r="S1885" t="str">
        <f>IFERROR(VLOOKUP('OB Format'!D1885,'Team Data'!C:AC,25,FALSE),"")</f>
        <v/>
      </c>
    </row>
    <row r="1886" spans="5:19" x14ac:dyDescent="0.25">
      <c r="E1886" t="str">
        <f>IFERROR(VLOOKUP(D1886,'Team Data'!C:AB,4,FALSE),"")</f>
        <v/>
      </c>
      <c r="F1886" t="str">
        <f>IFERROR(VLOOKUP(D1886,'Team Data'!C:AB,5,FALSE),"")</f>
        <v/>
      </c>
      <c r="G1886" t="str">
        <f>IFERROR(VLOOKUP('OB Format'!D1886,'Team Data'!C:AB,17,FALSE),"")</f>
        <v/>
      </c>
      <c r="H1886" t="str">
        <f>IFERROR(VLOOKUP(D1886,'Team Data'!C:AB,7,FALSE),"")</f>
        <v/>
      </c>
      <c r="I1886" t="str">
        <f>IFERROR(VLOOKUP(D1886,'Team Data'!C:AB,14,FALSE),"")</f>
        <v/>
      </c>
      <c r="J1886" t="str">
        <f>IFERROR(VLOOKUP(D1886,'Team Data'!C:AB,8,FALSE),"")</f>
        <v/>
      </c>
      <c r="K1886" t="str">
        <f>IFERROR(VLOOKUP(D1886,'Team Data'!C:AB,9,FALSE),"")</f>
        <v/>
      </c>
      <c r="L1886" t="str">
        <f>IFERROR(VLOOKUP(D1886,'Team Data'!C:AB,10,FALSE),"")</f>
        <v/>
      </c>
      <c r="M1886" t="str">
        <f t="shared" si="60"/>
        <v/>
      </c>
      <c r="N1886" t="str">
        <f>IFERROR(VLOOKUP(D1886,'Team Data'!C:AB,23,FALSE),"")</f>
        <v/>
      </c>
      <c r="O1886" t="str">
        <f>IFERROR(VLOOKUP(D1886,'Team Data'!C:AB,22,FALSE),"")</f>
        <v/>
      </c>
      <c r="P1886" t="str">
        <f t="shared" si="61"/>
        <v/>
      </c>
      <c r="Q1886" t="str">
        <f>IFERROR(VLOOKUP(D1886,'Team Data'!C:AB,15,FALSE),"")</f>
        <v/>
      </c>
      <c r="R1886" t="str">
        <f>IFERROR(VLOOKUP('OB Format'!D1886,'Team Data'!C:AB,24,FALSE),"")</f>
        <v/>
      </c>
      <c r="S1886" t="str">
        <f>IFERROR(VLOOKUP('OB Format'!D1886,'Team Data'!C:AC,25,FALSE),"")</f>
        <v/>
      </c>
    </row>
    <row r="1887" spans="5:19" x14ac:dyDescent="0.25">
      <c r="E1887" t="str">
        <f>IFERROR(VLOOKUP(D1887,'Team Data'!C:AB,4,FALSE),"")</f>
        <v/>
      </c>
      <c r="F1887" t="str">
        <f>IFERROR(VLOOKUP(D1887,'Team Data'!C:AB,5,FALSE),"")</f>
        <v/>
      </c>
      <c r="G1887" t="str">
        <f>IFERROR(VLOOKUP('OB Format'!D1887,'Team Data'!C:AB,17,FALSE),"")</f>
        <v/>
      </c>
      <c r="H1887" t="str">
        <f>IFERROR(VLOOKUP(D1887,'Team Data'!C:AB,7,FALSE),"")</f>
        <v/>
      </c>
      <c r="I1887" t="str">
        <f>IFERROR(VLOOKUP(D1887,'Team Data'!C:AB,14,FALSE),"")</f>
        <v/>
      </c>
      <c r="J1887" t="str">
        <f>IFERROR(VLOOKUP(D1887,'Team Data'!C:AB,8,FALSE),"")</f>
        <v/>
      </c>
      <c r="K1887" t="str">
        <f>IFERROR(VLOOKUP(D1887,'Team Data'!C:AB,9,FALSE),"")</f>
        <v/>
      </c>
      <c r="L1887" t="str">
        <f>IFERROR(VLOOKUP(D1887,'Team Data'!C:AB,10,FALSE),"")</f>
        <v/>
      </c>
      <c r="M1887" t="str">
        <f t="shared" si="60"/>
        <v/>
      </c>
      <c r="N1887" t="str">
        <f>IFERROR(VLOOKUP(D1887,'Team Data'!C:AB,23,FALSE),"")</f>
        <v/>
      </c>
      <c r="O1887" t="str">
        <f>IFERROR(VLOOKUP(D1887,'Team Data'!C:AB,22,FALSE),"")</f>
        <v/>
      </c>
      <c r="P1887" t="str">
        <f t="shared" si="61"/>
        <v/>
      </c>
      <c r="Q1887" t="str">
        <f>IFERROR(VLOOKUP(D1887,'Team Data'!C:AB,15,FALSE),"")</f>
        <v/>
      </c>
      <c r="R1887" t="str">
        <f>IFERROR(VLOOKUP('OB Format'!D1887,'Team Data'!C:AB,24,FALSE),"")</f>
        <v/>
      </c>
      <c r="S1887" t="str">
        <f>IFERROR(VLOOKUP('OB Format'!D1887,'Team Data'!C:AC,25,FALSE),"")</f>
        <v/>
      </c>
    </row>
    <row r="1888" spans="5:19" x14ac:dyDescent="0.25">
      <c r="E1888" t="str">
        <f>IFERROR(VLOOKUP(D1888,'Team Data'!C:AB,4,FALSE),"")</f>
        <v/>
      </c>
      <c r="F1888" t="str">
        <f>IFERROR(VLOOKUP(D1888,'Team Data'!C:AB,5,FALSE),"")</f>
        <v/>
      </c>
      <c r="G1888" t="str">
        <f>IFERROR(VLOOKUP('OB Format'!D1888,'Team Data'!C:AB,17,FALSE),"")</f>
        <v/>
      </c>
      <c r="H1888" t="str">
        <f>IFERROR(VLOOKUP(D1888,'Team Data'!C:AB,7,FALSE),"")</f>
        <v/>
      </c>
      <c r="I1888" t="str">
        <f>IFERROR(VLOOKUP(D1888,'Team Data'!C:AB,14,FALSE),"")</f>
        <v/>
      </c>
      <c r="J1888" t="str">
        <f>IFERROR(VLOOKUP(D1888,'Team Data'!C:AB,8,FALSE),"")</f>
        <v/>
      </c>
      <c r="K1888" t="str">
        <f>IFERROR(VLOOKUP(D1888,'Team Data'!C:AB,9,FALSE),"")</f>
        <v/>
      </c>
      <c r="L1888" t="str">
        <f>IFERROR(VLOOKUP(D1888,'Team Data'!C:AB,10,FALSE),"")</f>
        <v/>
      </c>
      <c r="M1888" t="str">
        <f t="shared" si="60"/>
        <v/>
      </c>
      <c r="N1888" t="str">
        <f>IFERROR(VLOOKUP(D1888,'Team Data'!C:AB,23,FALSE),"")</f>
        <v/>
      </c>
      <c r="O1888" t="str">
        <f>IFERROR(VLOOKUP(D1888,'Team Data'!C:AB,22,FALSE),"")</f>
        <v/>
      </c>
      <c r="P1888" t="str">
        <f t="shared" si="61"/>
        <v/>
      </c>
      <c r="Q1888" t="str">
        <f>IFERROR(VLOOKUP(D1888,'Team Data'!C:AB,15,FALSE),"")</f>
        <v/>
      </c>
      <c r="R1888" t="str">
        <f>IFERROR(VLOOKUP('OB Format'!D1888,'Team Data'!C:AB,24,FALSE),"")</f>
        <v/>
      </c>
      <c r="S1888" t="str">
        <f>IFERROR(VLOOKUP('OB Format'!D1888,'Team Data'!C:AC,25,FALSE),"")</f>
        <v/>
      </c>
    </row>
    <row r="1889" spans="5:19" x14ac:dyDescent="0.25">
      <c r="E1889" t="str">
        <f>IFERROR(VLOOKUP(D1889,'Team Data'!C:AB,4,FALSE),"")</f>
        <v/>
      </c>
      <c r="F1889" t="str">
        <f>IFERROR(VLOOKUP(D1889,'Team Data'!C:AB,5,FALSE),"")</f>
        <v/>
      </c>
      <c r="G1889" t="str">
        <f>IFERROR(VLOOKUP('OB Format'!D1889,'Team Data'!C:AB,17,FALSE),"")</f>
        <v/>
      </c>
      <c r="H1889" t="str">
        <f>IFERROR(VLOOKUP(D1889,'Team Data'!C:AB,7,FALSE),"")</f>
        <v/>
      </c>
      <c r="I1889" t="str">
        <f>IFERROR(VLOOKUP(D1889,'Team Data'!C:AB,14,FALSE),"")</f>
        <v/>
      </c>
      <c r="J1889" t="str">
        <f>IFERROR(VLOOKUP(D1889,'Team Data'!C:AB,8,FALSE),"")</f>
        <v/>
      </c>
      <c r="K1889" t="str">
        <f>IFERROR(VLOOKUP(D1889,'Team Data'!C:AB,9,FALSE),"")</f>
        <v/>
      </c>
      <c r="L1889" t="str">
        <f>IFERROR(VLOOKUP(D1889,'Team Data'!C:AB,10,FALSE),"")</f>
        <v/>
      </c>
      <c r="M1889" t="str">
        <f t="shared" si="60"/>
        <v/>
      </c>
      <c r="N1889" t="str">
        <f>IFERROR(VLOOKUP(D1889,'Team Data'!C:AB,23,FALSE),"")</f>
        <v/>
      </c>
      <c r="O1889" t="str">
        <f>IFERROR(VLOOKUP(D1889,'Team Data'!C:AB,22,FALSE),"")</f>
        <v/>
      </c>
      <c r="P1889" t="str">
        <f t="shared" si="61"/>
        <v/>
      </c>
      <c r="Q1889" t="str">
        <f>IFERROR(VLOOKUP(D1889,'Team Data'!C:AB,15,FALSE),"")</f>
        <v/>
      </c>
      <c r="R1889" t="str">
        <f>IFERROR(VLOOKUP('OB Format'!D1889,'Team Data'!C:AB,24,FALSE),"")</f>
        <v/>
      </c>
      <c r="S1889" t="str">
        <f>IFERROR(VLOOKUP('OB Format'!D1889,'Team Data'!C:AC,25,FALSE),"")</f>
        <v/>
      </c>
    </row>
    <row r="1890" spans="5:19" x14ac:dyDescent="0.25">
      <c r="E1890" t="str">
        <f>IFERROR(VLOOKUP(D1890,'Team Data'!C:AB,4,FALSE),"")</f>
        <v/>
      </c>
      <c r="F1890" t="str">
        <f>IFERROR(VLOOKUP(D1890,'Team Data'!C:AB,5,FALSE),"")</f>
        <v/>
      </c>
      <c r="G1890" t="str">
        <f>IFERROR(VLOOKUP('OB Format'!D1890,'Team Data'!C:AB,17,FALSE),"")</f>
        <v/>
      </c>
      <c r="H1890" t="str">
        <f>IFERROR(VLOOKUP(D1890,'Team Data'!C:AB,7,FALSE),"")</f>
        <v/>
      </c>
      <c r="I1890" t="str">
        <f>IFERROR(VLOOKUP(D1890,'Team Data'!C:AB,14,FALSE),"")</f>
        <v/>
      </c>
      <c r="J1890" t="str">
        <f>IFERROR(VLOOKUP(D1890,'Team Data'!C:AB,8,FALSE),"")</f>
        <v/>
      </c>
      <c r="K1890" t="str">
        <f>IFERROR(VLOOKUP(D1890,'Team Data'!C:AB,9,FALSE),"")</f>
        <v/>
      </c>
      <c r="L1890" t="str">
        <f>IFERROR(VLOOKUP(D1890,'Team Data'!C:AB,10,FALSE),"")</f>
        <v/>
      </c>
      <c r="M1890" t="str">
        <f t="shared" si="60"/>
        <v/>
      </c>
      <c r="N1890" t="str">
        <f>IFERROR(VLOOKUP(D1890,'Team Data'!C:AB,23,FALSE),"")</f>
        <v/>
      </c>
      <c r="O1890" t="str">
        <f>IFERROR(VLOOKUP(D1890,'Team Data'!C:AB,22,FALSE),"")</f>
        <v/>
      </c>
      <c r="P1890" t="str">
        <f t="shared" si="61"/>
        <v/>
      </c>
      <c r="Q1890" t="str">
        <f>IFERROR(VLOOKUP(D1890,'Team Data'!C:AB,15,FALSE),"")</f>
        <v/>
      </c>
      <c r="R1890" t="str">
        <f>IFERROR(VLOOKUP('OB Format'!D1890,'Team Data'!C:AB,24,FALSE),"")</f>
        <v/>
      </c>
      <c r="S1890" t="str">
        <f>IFERROR(VLOOKUP('OB Format'!D1890,'Team Data'!C:AC,25,FALSE),"")</f>
        <v/>
      </c>
    </row>
    <row r="1891" spans="5:19" x14ac:dyDescent="0.25">
      <c r="E1891" t="str">
        <f>IFERROR(VLOOKUP(D1891,'Team Data'!C:AB,4,FALSE),"")</f>
        <v/>
      </c>
      <c r="F1891" t="str">
        <f>IFERROR(VLOOKUP(D1891,'Team Data'!C:AB,5,FALSE),"")</f>
        <v/>
      </c>
      <c r="G1891" t="str">
        <f>IFERROR(VLOOKUP('OB Format'!D1891,'Team Data'!C:AB,17,FALSE),"")</f>
        <v/>
      </c>
      <c r="H1891" t="str">
        <f>IFERROR(VLOOKUP(D1891,'Team Data'!C:AB,7,FALSE),"")</f>
        <v/>
      </c>
      <c r="I1891" t="str">
        <f>IFERROR(VLOOKUP(D1891,'Team Data'!C:AB,14,FALSE),"")</f>
        <v/>
      </c>
      <c r="J1891" t="str">
        <f>IFERROR(VLOOKUP(D1891,'Team Data'!C:AB,8,FALSE),"")</f>
        <v/>
      </c>
      <c r="K1891" t="str">
        <f>IFERROR(VLOOKUP(D1891,'Team Data'!C:AB,9,FALSE),"")</f>
        <v/>
      </c>
      <c r="L1891" t="str">
        <f>IFERROR(VLOOKUP(D1891,'Team Data'!C:AB,10,FALSE),"")</f>
        <v/>
      </c>
      <c r="M1891" t="str">
        <f t="shared" si="60"/>
        <v/>
      </c>
      <c r="N1891" t="str">
        <f>IFERROR(VLOOKUP(D1891,'Team Data'!C:AB,23,FALSE),"")</f>
        <v/>
      </c>
      <c r="O1891" t="str">
        <f>IFERROR(VLOOKUP(D1891,'Team Data'!C:AB,22,FALSE),"")</f>
        <v/>
      </c>
      <c r="P1891" t="str">
        <f t="shared" si="61"/>
        <v/>
      </c>
      <c r="Q1891" t="str">
        <f>IFERROR(VLOOKUP(D1891,'Team Data'!C:AB,15,FALSE),"")</f>
        <v/>
      </c>
      <c r="R1891" t="str">
        <f>IFERROR(VLOOKUP('OB Format'!D1891,'Team Data'!C:AB,24,FALSE),"")</f>
        <v/>
      </c>
      <c r="S1891" t="str">
        <f>IFERROR(VLOOKUP('OB Format'!D1891,'Team Data'!C:AC,25,FALSE),"")</f>
        <v/>
      </c>
    </row>
    <row r="1892" spans="5:19" x14ac:dyDescent="0.25">
      <c r="E1892" t="str">
        <f>IFERROR(VLOOKUP(D1892,'Team Data'!C:AB,4,FALSE),"")</f>
        <v/>
      </c>
      <c r="F1892" t="str">
        <f>IFERROR(VLOOKUP(D1892,'Team Data'!C:AB,5,FALSE),"")</f>
        <v/>
      </c>
      <c r="G1892" t="str">
        <f>IFERROR(VLOOKUP('OB Format'!D1892,'Team Data'!C:AB,17,FALSE),"")</f>
        <v/>
      </c>
      <c r="H1892" t="str">
        <f>IFERROR(VLOOKUP(D1892,'Team Data'!C:AB,7,FALSE),"")</f>
        <v/>
      </c>
      <c r="I1892" t="str">
        <f>IFERROR(VLOOKUP(D1892,'Team Data'!C:AB,14,FALSE),"")</f>
        <v/>
      </c>
      <c r="J1892" t="str">
        <f>IFERROR(VLOOKUP(D1892,'Team Data'!C:AB,8,FALSE),"")</f>
        <v/>
      </c>
      <c r="K1892" t="str">
        <f>IFERROR(VLOOKUP(D1892,'Team Data'!C:AB,9,FALSE),"")</f>
        <v/>
      </c>
      <c r="L1892" t="str">
        <f>IFERROR(VLOOKUP(D1892,'Team Data'!C:AB,10,FALSE),"")</f>
        <v/>
      </c>
      <c r="M1892" t="str">
        <f t="shared" si="60"/>
        <v/>
      </c>
      <c r="N1892" t="str">
        <f>IFERROR(VLOOKUP(D1892,'Team Data'!C:AB,23,FALSE),"")</f>
        <v/>
      </c>
      <c r="O1892" t="str">
        <f>IFERROR(VLOOKUP(D1892,'Team Data'!C:AB,22,FALSE),"")</f>
        <v/>
      </c>
      <c r="P1892" t="str">
        <f t="shared" si="61"/>
        <v/>
      </c>
      <c r="Q1892" t="str">
        <f>IFERROR(VLOOKUP(D1892,'Team Data'!C:AB,15,FALSE),"")</f>
        <v/>
      </c>
      <c r="R1892" t="str">
        <f>IFERROR(VLOOKUP('OB Format'!D1892,'Team Data'!C:AB,24,FALSE),"")</f>
        <v/>
      </c>
      <c r="S1892" t="str">
        <f>IFERROR(VLOOKUP('OB Format'!D1892,'Team Data'!C:AC,25,FALSE),"")</f>
        <v/>
      </c>
    </row>
    <row r="1893" spans="5:19" x14ac:dyDescent="0.25">
      <c r="E1893" t="str">
        <f>IFERROR(VLOOKUP(D1893,'Team Data'!C:AB,4,FALSE),"")</f>
        <v/>
      </c>
      <c r="F1893" t="str">
        <f>IFERROR(VLOOKUP(D1893,'Team Data'!C:AB,5,FALSE),"")</f>
        <v/>
      </c>
      <c r="G1893" t="str">
        <f>IFERROR(VLOOKUP('OB Format'!D1893,'Team Data'!C:AB,17,FALSE),"")</f>
        <v/>
      </c>
      <c r="H1893" t="str">
        <f>IFERROR(VLOOKUP(D1893,'Team Data'!C:AB,7,FALSE),"")</f>
        <v/>
      </c>
      <c r="I1893" t="str">
        <f>IFERROR(VLOOKUP(D1893,'Team Data'!C:AB,14,FALSE),"")</f>
        <v/>
      </c>
      <c r="J1893" t="str">
        <f>IFERROR(VLOOKUP(D1893,'Team Data'!C:AB,8,FALSE),"")</f>
        <v/>
      </c>
      <c r="K1893" t="str">
        <f>IFERROR(VLOOKUP(D1893,'Team Data'!C:AB,9,FALSE),"")</f>
        <v/>
      </c>
      <c r="L1893" t="str">
        <f>IFERROR(VLOOKUP(D1893,'Team Data'!C:AB,10,FALSE),"")</f>
        <v/>
      </c>
      <c r="M1893" t="str">
        <f t="shared" si="60"/>
        <v/>
      </c>
      <c r="N1893" t="str">
        <f>IFERROR(VLOOKUP(D1893,'Team Data'!C:AB,23,FALSE),"")</f>
        <v/>
      </c>
      <c r="O1893" t="str">
        <f>IFERROR(VLOOKUP(D1893,'Team Data'!C:AB,22,FALSE),"")</f>
        <v/>
      </c>
      <c r="P1893" t="str">
        <f t="shared" si="61"/>
        <v/>
      </c>
      <c r="Q1893" t="str">
        <f>IFERROR(VLOOKUP(D1893,'Team Data'!C:AB,15,FALSE),"")</f>
        <v/>
      </c>
      <c r="R1893" t="str">
        <f>IFERROR(VLOOKUP('OB Format'!D1893,'Team Data'!C:AB,24,FALSE),"")</f>
        <v/>
      </c>
      <c r="S1893" t="str">
        <f>IFERROR(VLOOKUP('OB Format'!D1893,'Team Data'!C:AC,25,FALSE),"")</f>
        <v/>
      </c>
    </row>
    <row r="1894" spans="5:19" x14ac:dyDescent="0.25">
      <c r="E1894" t="str">
        <f>IFERROR(VLOOKUP(D1894,'Team Data'!C:AB,4,FALSE),"")</f>
        <v/>
      </c>
      <c r="F1894" t="str">
        <f>IFERROR(VLOOKUP(D1894,'Team Data'!C:AB,5,FALSE),"")</f>
        <v/>
      </c>
      <c r="G1894" t="str">
        <f>IFERROR(VLOOKUP('OB Format'!D1894,'Team Data'!C:AB,17,FALSE),"")</f>
        <v/>
      </c>
      <c r="H1894" t="str">
        <f>IFERROR(VLOOKUP(D1894,'Team Data'!C:AB,7,FALSE),"")</f>
        <v/>
      </c>
      <c r="I1894" t="str">
        <f>IFERROR(VLOOKUP(D1894,'Team Data'!C:AB,14,FALSE),"")</f>
        <v/>
      </c>
      <c r="J1894" t="str">
        <f>IFERROR(VLOOKUP(D1894,'Team Data'!C:AB,8,FALSE),"")</f>
        <v/>
      </c>
      <c r="K1894" t="str">
        <f>IFERROR(VLOOKUP(D1894,'Team Data'!C:AB,9,FALSE),"")</f>
        <v/>
      </c>
      <c r="L1894" t="str">
        <f>IFERROR(VLOOKUP(D1894,'Team Data'!C:AB,10,FALSE),"")</f>
        <v/>
      </c>
      <c r="M1894" t="str">
        <f t="shared" si="60"/>
        <v/>
      </c>
      <c r="N1894" t="str">
        <f>IFERROR(VLOOKUP(D1894,'Team Data'!C:AB,23,FALSE),"")</f>
        <v/>
      </c>
      <c r="O1894" t="str">
        <f>IFERROR(VLOOKUP(D1894,'Team Data'!C:AB,22,FALSE),"")</f>
        <v/>
      </c>
      <c r="P1894" t="str">
        <f t="shared" si="61"/>
        <v/>
      </c>
      <c r="Q1894" t="str">
        <f>IFERROR(VLOOKUP(D1894,'Team Data'!C:AB,15,FALSE),"")</f>
        <v/>
      </c>
      <c r="R1894" t="str">
        <f>IFERROR(VLOOKUP('OB Format'!D1894,'Team Data'!C:AB,24,FALSE),"")</f>
        <v/>
      </c>
      <c r="S1894" t="str">
        <f>IFERROR(VLOOKUP('OB Format'!D1894,'Team Data'!C:AC,25,FALSE),"")</f>
        <v/>
      </c>
    </row>
    <row r="1895" spans="5:19" x14ac:dyDescent="0.25">
      <c r="E1895" t="str">
        <f>IFERROR(VLOOKUP(D1895,'Team Data'!C:AB,4,FALSE),"")</f>
        <v/>
      </c>
      <c r="F1895" t="str">
        <f>IFERROR(VLOOKUP(D1895,'Team Data'!C:AB,5,FALSE),"")</f>
        <v/>
      </c>
      <c r="G1895" t="str">
        <f>IFERROR(VLOOKUP('OB Format'!D1895,'Team Data'!C:AB,17,FALSE),"")</f>
        <v/>
      </c>
      <c r="H1895" t="str">
        <f>IFERROR(VLOOKUP(D1895,'Team Data'!C:AB,7,FALSE),"")</f>
        <v/>
      </c>
      <c r="I1895" t="str">
        <f>IFERROR(VLOOKUP(D1895,'Team Data'!C:AB,14,FALSE),"")</f>
        <v/>
      </c>
      <c r="J1895" t="str">
        <f>IFERROR(VLOOKUP(D1895,'Team Data'!C:AB,8,FALSE),"")</f>
        <v/>
      </c>
      <c r="K1895" t="str">
        <f>IFERROR(VLOOKUP(D1895,'Team Data'!C:AB,9,FALSE),"")</f>
        <v/>
      </c>
      <c r="L1895" t="str">
        <f>IFERROR(VLOOKUP(D1895,'Team Data'!C:AB,10,FALSE),"")</f>
        <v/>
      </c>
      <c r="M1895" t="str">
        <f t="shared" si="60"/>
        <v/>
      </c>
      <c r="N1895" t="str">
        <f>IFERROR(VLOOKUP(D1895,'Team Data'!C:AB,23,FALSE),"")</f>
        <v/>
      </c>
      <c r="O1895" t="str">
        <f>IFERROR(VLOOKUP(D1895,'Team Data'!C:AB,22,FALSE),"")</f>
        <v/>
      </c>
      <c r="P1895" t="str">
        <f t="shared" si="61"/>
        <v/>
      </c>
      <c r="Q1895" t="str">
        <f>IFERROR(VLOOKUP(D1895,'Team Data'!C:AB,15,FALSE),"")</f>
        <v/>
      </c>
      <c r="R1895" t="str">
        <f>IFERROR(VLOOKUP('OB Format'!D1895,'Team Data'!C:AB,24,FALSE),"")</f>
        <v/>
      </c>
      <c r="S1895" t="str">
        <f>IFERROR(VLOOKUP('OB Format'!D1895,'Team Data'!C:AC,25,FALSE),"")</f>
        <v/>
      </c>
    </row>
    <row r="1896" spans="5:19" x14ac:dyDescent="0.25">
      <c r="E1896" t="str">
        <f>IFERROR(VLOOKUP(D1896,'Team Data'!C:AB,4,FALSE),"")</f>
        <v/>
      </c>
      <c r="F1896" t="str">
        <f>IFERROR(VLOOKUP(D1896,'Team Data'!C:AB,5,FALSE),"")</f>
        <v/>
      </c>
      <c r="G1896" t="str">
        <f>IFERROR(VLOOKUP('OB Format'!D1896,'Team Data'!C:AB,17,FALSE),"")</f>
        <v/>
      </c>
      <c r="H1896" t="str">
        <f>IFERROR(VLOOKUP(D1896,'Team Data'!C:AB,7,FALSE),"")</f>
        <v/>
      </c>
      <c r="I1896" t="str">
        <f>IFERROR(VLOOKUP(D1896,'Team Data'!C:AB,14,FALSE),"")</f>
        <v/>
      </c>
      <c r="J1896" t="str">
        <f>IFERROR(VLOOKUP(D1896,'Team Data'!C:AB,8,FALSE),"")</f>
        <v/>
      </c>
      <c r="K1896" t="str">
        <f>IFERROR(VLOOKUP(D1896,'Team Data'!C:AB,9,FALSE),"")</f>
        <v/>
      </c>
      <c r="L1896" t="str">
        <f>IFERROR(VLOOKUP(D1896,'Team Data'!C:AB,10,FALSE),"")</f>
        <v/>
      </c>
      <c r="M1896" t="str">
        <f t="shared" si="60"/>
        <v/>
      </c>
      <c r="N1896" t="str">
        <f>IFERROR(VLOOKUP(D1896,'Team Data'!C:AB,23,FALSE),"")</f>
        <v/>
      </c>
      <c r="O1896" t="str">
        <f>IFERROR(VLOOKUP(D1896,'Team Data'!C:AB,22,FALSE),"")</f>
        <v/>
      </c>
      <c r="P1896" t="str">
        <f t="shared" si="61"/>
        <v/>
      </c>
      <c r="Q1896" t="str">
        <f>IFERROR(VLOOKUP(D1896,'Team Data'!C:AB,15,FALSE),"")</f>
        <v/>
      </c>
      <c r="R1896" t="str">
        <f>IFERROR(VLOOKUP('OB Format'!D1896,'Team Data'!C:AB,24,FALSE),"")</f>
        <v/>
      </c>
      <c r="S1896" t="str">
        <f>IFERROR(VLOOKUP('OB Format'!D1896,'Team Data'!C:AC,25,FALSE),"")</f>
        <v/>
      </c>
    </row>
    <row r="1897" spans="5:19" x14ac:dyDescent="0.25">
      <c r="E1897" t="str">
        <f>IFERROR(VLOOKUP(D1897,'Team Data'!C:AB,4,FALSE),"")</f>
        <v/>
      </c>
      <c r="F1897" t="str">
        <f>IFERROR(VLOOKUP(D1897,'Team Data'!C:AB,5,FALSE),"")</f>
        <v/>
      </c>
      <c r="G1897" t="str">
        <f>IFERROR(VLOOKUP('OB Format'!D1897,'Team Data'!C:AB,17,FALSE),"")</f>
        <v/>
      </c>
      <c r="H1897" t="str">
        <f>IFERROR(VLOOKUP(D1897,'Team Data'!C:AB,7,FALSE),"")</f>
        <v/>
      </c>
      <c r="I1897" t="str">
        <f>IFERROR(VLOOKUP(D1897,'Team Data'!C:AB,14,FALSE),"")</f>
        <v/>
      </c>
      <c r="J1897" t="str">
        <f>IFERROR(VLOOKUP(D1897,'Team Data'!C:AB,8,FALSE),"")</f>
        <v/>
      </c>
      <c r="K1897" t="str">
        <f>IFERROR(VLOOKUP(D1897,'Team Data'!C:AB,9,FALSE),"")</f>
        <v/>
      </c>
      <c r="L1897" t="str">
        <f>IFERROR(VLOOKUP(D1897,'Team Data'!C:AB,10,FALSE),"")</f>
        <v/>
      </c>
      <c r="M1897" t="str">
        <f t="shared" si="60"/>
        <v/>
      </c>
      <c r="N1897" t="str">
        <f>IFERROR(VLOOKUP(D1897,'Team Data'!C:AB,23,FALSE),"")</f>
        <v/>
      </c>
      <c r="O1897" t="str">
        <f>IFERROR(VLOOKUP(D1897,'Team Data'!C:AB,22,FALSE),"")</f>
        <v/>
      </c>
      <c r="P1897" t="str">
        <f t="shared" si="61"/>
        <v/>
      </c>
      <c r="Q1897" t="str">
        <f>IFERROR(VLOOKUP(D1897,'Team Data'!C:AB,15,FALSE),"")</f>
        <v/>
      </c>
      <c r="R1897" t="str">
        <f>IFERROR(VLOOKUP('OB Format'!D1897,'Team Data'!C:AB,24,FALSE),"")</f>
        <v/>
      </c>
      <c r="S1897" t="str">
        <f>IFERROR(VLOOKUP('OB Format'!D1897,'Team Data'!C:AC,25,FALSE),"")</f>
        <v/>
      </c>
    </row>
    <row r="1898" spans="5:19" x14ac:dyDescent="0.25">
      <c r="E1898" t="str">
        <f>IFERROR(VLOOKUP(D1898,'Team Data'!C:AB,4,FALSE),"")</f>
        <v/>
      </c>
      <c r="F1898" t="str">
        <f>IFERROR(VLOOKUP(D1898,'Team Data'!C:AB,5,FALSE),"")</f>
        <v/>
      </c>
      <c r="G1898" t="str">
        <f>IFERROR(VLOOKUP('OB Format'!D1898,'Team Data'!C:AB,17,FALSE),"")</f>
        <v/>
      </c>
      <c r="H1898" t="str">
        <f>IFERROR(VLOOKUP(D1898,'Team Data'!C:AB,7,FALSE),"")</f>
        <v/>
      </c>
      <c r="I1898" t="str">
        <f>IFERROR(VLOOKUP(D1898,'Team Data'!C:AB,14,FALSE),"")</f>
        <v/>
      </c>
      <c r="J1898" t="str">
        <f>IFERROR(VLOOKUP(D1898,'Team Data'!C:AB,8,FALSE),"")</f>
        <v/>
      </c>
      <c r="K1898" t="str">
        <f>IFERROR(VLOOKUP(D1898,'Team Data'!C:AB,9,FALSE),"")</f>
        <v/>
      </c>
      <c r="L1898" t="str">
        <f>IFERROR(VLOOKUP(D1898,'Team Data'!C:AB,10,FALSE),"")</f>
        <v/>
      </c>
      <c r="M1898" t="str">
        <f t="shared" si="60"/>
        <v/>
      </c>
      <c r="N1898" t="str">
        <f>IFERROR(VLOOKUP(D1898,'Team Data'!C:AB,23,FALSE),"")</f>
        <v/>
      </c>
      <c r="O1898" t="str">
        <f>IFERROR(VLOOKUP(D1898,'Team Data'!C:AB,22,FALSE),"")</f>
        <v/>
      </c>
      <c r="P1898" t="str">
        <f t="shared" si="61"/>
        <v/>
      </c>
      <c r="Q1898" t="str">
        <f>IFERROR(VLOOKUP(D1898,'Team Data'!C:AB,15,FALSE),"")</f>
        <v/>
      </c>
      <c r="R1898" t="str">
        <f>IFERROR(VLOOKUP('OB Format'!D1898,'Team Data'!C:AB,24,FALSE),"")</f>
        <v/>
      </c>
      <c r="S1898" t="str">
        <f>IFERROR(VLOOKUP('OB Format'!D1898,'Team Data'!C:AC,25,FALSE),"")</f>
        <v/>
      </c>
    </row>
    <row r="1899" spans="5:19" x14ac:dyDescent="0.25">
      <c r="E1899" t="str">
        <f>IFERROR(VLOOKUP(D1899,'Team Data'!C:AB,4,FALSE),"")</f>
        <v/>
      </c>
      <c r="F1899" t="str">
        <f>IFERROR(VLOOKUP(D1899,'Team Data'!C:AB,5,FALSE),"")</f>
        <v/>
      </c>
      <c r="G1899" t="str">
        <f>IFERROR(VLOOKUP('OB Format'!D1899,'Team Data'!C:AB,17,FALSE),"")</f>
        <v/>
      </c>
      <c r="H1899" t="str">
        <f>IFERROR(VLOOKUP(D1899,'Team Data'!C:AB,7,FALSE),"")</f>
        <v/>
      </c>
      <c r="I1899" t="str">
        <f>IFERROR(VLOOKUP(D1899,'Team Data'!C:AB,14,FALSE),"")</f>
        <v/>
      </c>
      <c r="J1899" t="str">
        <f>IFERROR(VLOOKUP(D1899,'Team Data'!C:AB,8,FALSE),"")</f>
        <v/>
      </c>
      <c r="K1899" t="str">
        <f>IFERROR(VLOOKUP(D1899,'Team Data'!C:AB,9,FALSE),"")</f>
        <v/>
      </c>
      <c r="L1899" t="str">
        <f>IFERROR(VLOOKUP(D1899,'Team Data'!C:AB,10,FALSE),"")</f>
        <v/>
      </c>
      <c r="M1899" t="str">
        <f t="shared" si="60"/>
        <v/>
      </c>
      <c r="N1899" t="str">
        <f>IFERROR(VLOOKUP(D1899,'Team Data'!C:AB,23,FALSE),"")</f>
        <v/>
      </c>
      <c r="O1899" t="str">
        <f>IFERROR(VLOOKUP(D1899,'Team Data'!C:AB,22,FALSE),"")</f>
        <v/>
      </c>
      <c r="P1899" t="str">
        <f t="shared" si="61"/>
        <v/>
      </c>
      <c r="Q1899" t="str">
        <f>IFERROR(VLOOKUP(D1899,'Team Data'!C:AB,15,FALSE),"")</f>
        <v/>
      </c>
      <c r="R1899" t="str">
        <f>IFERROR(VLOOKUP('OB Format'!D1899,'Team Data'!C:AB,24,FALSE),"")</f>
        <v/>
      </c>
      <c r="S1899" t="str">
        <f>IFERROR(VLOOKUP('OB Format'!D1899,'Team Data'!C:AC,25,FALSE),"")</f>
        <v/>
      </c>
    </row>
    <row r="1900" spans="5:19" x14ac:dyDescent="0.25">
      <c r="E1900" t="str">
        <f>IFERROR(VLOOKUP(D1900,'Team Data'!C:AB,4,FALSE),"")</f>
        <v/>
      </c>
      <c r="F1900" t="str">
        <f>IFERROR(VLOOKUP(D1900,'Team Data'!C:AB,5,FALSE),"")</f>
        <v/>
      </c>
      <c r="G1900" t="str">
        <f>IFERROR(VLOOKUP('OB Format'!D1900,'Team Data'!C:AB,17,FALSE),"")</f>
        <v/>
      </c>
      <c r="H1900" t="str">
        <f>IFERROR(VLOOKUP(D1900,'Team Data'!C:AB,7,FALSE),"")</f>
        <v/>
      </c>
      <c r="I1900" t="str">
        <f>IFERROR(VLOOKUP(D1900,'Team Data'!C:AB,14,FALSE),"")</f>
        <v/>
      </c>
      <c r="J1900" t="str">
        <f>IFERROR(VLOOKUP(D1900,'Team Data'!C:AB,8,FALSE),"")</f>
        <v/>
      </c>
      <c r="K1900" t="str">
        <f>IFERROR(VLOOKUP(D1900,'Team Data'!C:AB,9,FALSE),"")</f>
        <v/>
      </c>
      <c r="L1900" t="str">
        <f>IFERROR(VLOOKUP(D1900,'Team Data'!C:AB,10,FALSE),"")</f>
        <v/>
      </c>
      <c r="M1900" t="str">
        <f t="shared" si="60"/>
        <v/>
      </c>
      <c r="N1900" t="str">
        <f>IFERROR(VLOOKUP(D1900,'Team Data'!C:AB,23,FALSE),"")</f>
        <v/>
      </c>
      <c r="O1900" t="str">
        <f>IFERROR(VLOOKUP(D1900,'Team Data'!C:AB,22,FALSE),"")</f>
        <v/>
      </c>
      <c r="P1900" t="str">
        <f t="shared" si="61"/>
        <v/>
      </c>
      <c r="Q1900" t="str">
        <f>IFERROR(VLOOKUP(D1900,'Team Data'!C:AB,15,FALSE),"")</f>
        <v/>
      </c>
      <c r="R1900" t="str">
        <f>IFERROR(VLOOKUP('OB Format'!D1900,'Team Data'!C:AB,24,FALSE),"")</f>
        <v/>
      </c>
      <c r="S1900" t="str">
        <f>IFERROR(VLOOKUP('OB Format'!D1900,'Team Data'!C:AC,25,FALSE),"")</f>
        <v/>
      </c>
    </row>
    <row r="1901" spans="5:19" x14ac:dyDescent="0.25">
      <c r="E1901" t="str">
        <f>IFERROR(VLOOKUP(D1901,'Team Data'!C:AB,4,FALSE),"")</f>
        <v/>
      </c>
      <c r="F1901" t="str">
        <f>IFERROR(VLOOKUP(D1901,'Team Data'!C:AB,5,FALSE),"")</f>
        <v/>
      </c>
      <c r="G1901" t="str">
        <f>IFERROR(VLOOKUP('OB Format'!D1901,'Team Data'!C:AB,17,FALSE),"")</f>
        <v/>
      </c>
      <c r="H1901" t="str">
        <f>IFERROR(VLOOKUP(D1901,'Team Data'!C:AB,7,FALSE),"")</f>
        <v/>
      </c>
      <c r="I1901" t="str">
        <f>IFERROR(VLOOKUP(D1901,'Team Data'!C:AB,14,FALSE),"")</f>
        <v/>
      </c>
      <c r="J1901" t="str">
        <f>IFERROR(VLOOKUP(D1901,'Team Data'!C:AB,8,FALSE),"")</f>
        <v/>
      </c>
      <c r="K1901" t="str">
        <f>IFERROR(VLOOKUP(D1901,'Team Data'!C:AB,9,FALSE),"")</f>
        <v/>
      </c>
      <c r="L1901" t="str">
        <f>IFERROR(VLOOKUP(D1901,'Team Data'!C:AB,10,FALSE),"")</f>
        <v/>
      </c>
      <c r="M1901" t="str">
        <f t="shared" si="60"/>
        <v/>
      </c>
      <c r="N1901" t="str">
        <f>IFERROR(VLOOKUP(D1901,'Team Data'!C:AB,23,FALSE),"")</f>
        <v/>
      </c>
      <c r="O1901" t="str">
        <f>IFERROR(VLOOKUP(D1901,'Team Data'!C:AB,22,FALSE),"")</f>
        <v/>
      </c>
      <c r="P1901" t="str">
        <f t="shared" si="61"/>
        <v/>
      </c>
      <c r="Q1901" t="str">
        <f>IFERROR(VLOOKUP(D1901,'Team Data'!C:AB,15,FALSE),"")</f>
        <v/>
      </c>
      <c r="R1901" t="str">
        <f>IFERROR(VLOOKUP('OB Format'!D1901,'Team Data'!C:AB,24,FALSE),"")</f>
        <v/>
      </c>
      <c r="S1901" t="str">
        <f>IFERROR(VLOOKUP('OB Format'!D1901,'Team Data'!C:AC,25,FALSE),"")</f>
        <v/>
      </c>
    </row>
    <row r="1902" spans="5:19" x14ac:dyDescent="0.25">
      <c r="E1902" t="str">
        <f>IFERROR(VLOOKUP(D1902,'Team Data'!C:AB,4,FALSE),"")</f>
        <v/>
      </c>
      <c r="F1902" t="str">
        <f>IFERROR(VLOOKUP(D1902,'Team Data'!C:AB,5,FALSE),"")</f>
        <v/>
      </c>
      <c r="G1902" t="str">
        <f>IFERROR(VLOOKUP('OB Format'!D1902,'Team Data'!C:AB,17,FALSE),"")</f>
        <v/>
      </c>
      <c r="H1902" t="str">
        <f>IFERROR(VLOOKUP(D1902,'Team Data'!C:AB,7,FALSE),"")</f>
        <v/>
      </c>
      <c r="I1902" t="str">
        <f>IFERROR(VLOOKUP(D1902,'Team Data'!C:AB,14,FALSE),"")</f>
        <v/>
      </c>
      <c r="J1902" t="str">
        <f>IFERROR(VLOOKUP(D1902,'Team Data'!C:AB,8,FALSE),"")</f>
        <v/>
      </c>
      <c r="K1902" t="str">
        <f>IFERROR(VLOOKUP(D1902,'Team Data'!C:AB,9,FALSE),"")</f>
        <v/>
      </c>
      <c r="L1902" t="str">
        <f>IFERROR(VLOOKUP(D1902,'Team Data'!C:AB,10,FALSE),"")</f>
        <v/>
      </c>
      <c r="M1902" t="str">
        <f t="shared" si="60"/>
        <v/>
      </c>
      <c r="N1902" t="str">
        <f>IFERROR(VLOOKUP(D1902,'Team Data'!C:AB,23,FALSE),"")</f>
        <v/>
      </c>
      <c r="O1902" t="str">
        <f>IFERROR(VLOOKUP(D1902,'Team Data'!C:AB,22,FALSE),"")</f>
        <v/>
      </c>
      <c r="P1902" t="str">
        <f t="shared" si="61"/>
        <v/>
      </c>
      <c r="Q1902" t="str">
        <f>IFERROR(VLOOKUP(D1902,'Team Data'!C:AB,15,FALSE),"")</f>
        <v/>
      </c>
      <c r="R1902" t="str">
        <f>IFERROR(VLOOKUP('OB Format'!D1902,'Team Data'!C:AB,24,FALSE),"")</f>
        <v/>
      </c>
      <c r="S1902" t="str">
        <f>IFERROR(VLOOKUP('OB Format'!D1902,'Team Data'!C:AC,25,FALSE),"")</f>
        <v/>
      </c>
    </row>
    <row r="1903" spans="5:19" x14ac:dyDescent="0.25">
      <c r="E1903" t="str">
        <f>IFERROR(VLOOKUP(D1903,'Team Data'!C:AB,4,FALSE),"")</f>
        <v/>
      </c>
      <c r="F1903" t="str">
        <f>IFERROR(VLOOKUP(D1903,'Team Data'!C:AB,5,FALSE),"")</f>
        <v/>
      </c>
      <c r="G1903" t="str">
        <f>IFERROR(VLOOKUP('OB Format'!D1903,'Team Data'!C:AB,17,FALSE),"")</f>
        <v/>
      </c>
      <c r="H1903" t="str">
        <f>IFERROR(VLOOKUP(D1903,'Team Data'!C:AB,7,FALSE),"")</f>
        <v/>
      </c>
      <c r="I1903" t="str">
        <f>IFERROR(VLOOKUP(D1903,'Team Data'!C:AB,14,FALSE),"")</f>
        <v/>
      </c>
      <c r="J1903" t="str">
        <f>IFERROR(VLOOKUP(D1903,'Team Data'!C:AB,8,FALSE),"")</f>
        <v/>
      </c>
      <c r="K1903" t="str">
        <f>IFERROR(VLOOKUP(D1903,'Team Data'!C:AB,9,FALSE),"")</f>
        <v/>
      </c>
      <c r="L1903" t="str">
        <f>IFERROR(VLOOKUP(D1903,'Team Data'!C:AB,10,FALSE),"")</f>
        <v/>
      </c>
      <c r="M1903" t="str">
        <f t="shared" si="60"/>
        <v/>
      </c>
      <c r="N1903" t="str">
        <f>IFERROR(VLOOKUP(D1903,'Team Data'!C:AB,23,FALSE),"")</f>
        <v/>
      </c>
      <c r="O1903" t="str">
        <f>IFERROR(VLOOKUP(D1903,'Team Data'!C:AB,22,FALSE),"")</f>
        <v/>
      </c>
      <c r="P1903" t="str">
        <f t="shared" si="61"/>
        <v/>
      </c>
      <c r="Q1903" t="str">
        <f>IFERROR(VLOOKUP(D1903,'Team Data'!C:AB,15,FALSE),"")</f>
        <v/>
      </c>
      <c r="R1903" t="str">
        <f>IFERROR(VLOOKUP('OB Format'!D1903,'Team Data'!C:AB,24,FALSE),"")</f>
        <v/>
      </c>
      <c r="S1903" t="str">
        <f>IFERROR(VLOOKUP('OB Format'!D1903,'Team Data'!C:AC,25,FALSE),"")</f>
        <v/>
      </c>
    </row>
    <row r="1904" spans="5:19" x14ac:dyDescent="0.25">
      <c r="E1904" t="str">
        <f>IFERROR(VLOOKUP(D1904,'Team Data'!C:AB,4,FALSE),"")</f>
        <v/>
      </c>
      <c r="F1904" t="str">
        <f>IFERROR(VLOOKUP(D1904,'Team Data'!C:AB,5,FALSE),"")</f>
        <v/>
      </c>
      <c r="G1904" t="str">
        <f>IFERROR(VLOOKUP('OB Format'!D1904,'Team Data'!C:AB,17,FALSE),"")</f>
        <v/>
      </c>
      <c r="H1904" t="str">
        <f>IFERROR(VLOOKUP(D1904,'Team Data'!C:AB,7,FALSE),"")</f>
        <v/>
      </c>
      <c r="I1904" t="str">
        <f>IFERROR(VLOOKUP(D1904,'Team Data'!C:AB,14,FALSE),"")</f>
        <v/>
      </c>
      <c r="J1904" t="str">
        <f>IFERROR(VLOOKUP(D1904,'Team Data'!C:AB,8,FALSE),"")</f>
        <v/>
      </c>
      <c r="K1904" t="str">
        <f>IFERROR(VLOOKUP(D1904,'Team Data'!C:AB,9,FALSE),"")</f>
        <v/>
      </c>
      <c r="L1904" t="str">
        <f>IFERROR(VLOOKUP(D1904,'Team Data'!C:AB,10,FALSE),"")</f>
        <v/>
      </c>
      <c r="M1904" t="str">
        <f t="shared" si="60"/>
        <v/>
      </c>
      <c r="N1904" t="str">
        <f>IFERROR(VLOOKUP(D1904,'Team Data'!C:AB,23,FALSE),"")</f>
        <v/>
      </c>
      <c r="O1904" t="str">
        <f>IFERROR(VLOOKUP(D1904,'Team Data'!C:AB,22,FALSE),"")</f>
        <v/>
      </c>
      <c r="P1904" t="str">
        <f t="shared" si="61"/>
        <v/>
      </c>
      <c r="Q1904" t="str">
        <f>IFERROR(VLOOKUP(D1904,'Team Data'!C:AB,15,FALSE),"")</f>
        <v/>
      </c>
      <c r="R1904" t="str">
        <f>IFERROR(VLOOKUP('OB Format'!D1904,'Team Data'!C:AB,24,FALSE),"")</f>
        <v/>
      </c>
      <c r="S1904" t="str">
        <f>IFERROR(VLOOKUP('OB Format'!D1904,'Team Data'!C:AC,25,FALSE),"")</f>
        <v/>
      </c>
    </row>
    <row r="1905" spans="5:19" x14ac:dyDescent="0.25">
      <c r="E1905" t="str">
        <f>IFERROR(VLOOKUP(D1905,'Team Data'!C:AB,4,FALSE),"")</f>
        <v/>
      </c>
      <c r="F1905" t="str">
        <f>IFERROR(VLOOKUP(D1905,'Team Data'!C:AB,5,FALSE),"")</f>
        <v/>
      </c>
      <c r="G1905" t="str">
        <f>IFERROR(VLOOKUP('OB Format'!D1905,'Team Data'!C:AB,17,FALSE),"")</f>
        <v/>
      </c>
      <c r="H1905" t="str">
        <f>IFERROR(VLOOKUP(D1905,'Team Data'!C:AB,7,FALSE),"")</f>
        <v/>
      </c>
      <c r="I1905" t="str">
        <f>IFERROR(VLOOKUP(D1905,'Team Data'!C:AB,14,FALSE),"")</f>
        <v/>
      </c>
      <c r="J1905" t="str">
        <f>IFERROR(VLOOKUP(D1905,'Team Data'!C:AB,8,FALSE),"")</f>
        <v/>
      </c>
      <c r="K1905" t="str">
        <f>IFERROR(VLOOKUP(D1905,'Team Data'!C:AB,9,FALSE),"")</f>
        <v/>
      </c>
      <c r="L1905" t="str">
        <f>IFERROR(VLOOKUP(D1905,'Team Data'!C:AB,10,FALSE),"")</f>
        <v/>
      </c>
      <c r="M1905" t="str">
        <f t="shared" si="60"/>
        <v/>
      </c>
      <c r="N1905" t="str">
        <f>IFERROR(VLOOKUP(D1905,'Team Data'!C:AB,23,FALSE),"")</f>
        <v/>
      </c>
      <c r="O1905" t="str">
        <f>IFERROR(VLOOKUP(D1905,'Team Data'!C:AB,22,FALSE),"")</f>
        <v/>
      </c>
      <c r="P1905" t="str">
        <f t="shared" si="61"/>
        <v/>
      </c>
      <c r="Q1905" t="str">
        <f>IFERROR(VLOOKUP(D1905,'Team Data'!C:AB,15,FALSE),"")</f>
        <v/>
      </c>
      <c r="R1905" t="str">
        <f>IFERROR(VLOOKUP('OB Format'!D1905,'Team Data'!C:AB,24,FALSE),"")</f>
        <v/>
      </c>
      <c r="S1905" t="str">
        <f>IFERROR(VLOOKUP('OB Format'!D1905,'Team Data'!C:AC,25,FALSE),"")</f>
        <v/>
      </c>
    </row>
    <row r="1906" spans="5:19" x14ac:dyDescent="0.25">
      <c r="E1906" t="str">
        <f>IFERROR(VLOOKUP(D1906,'Team Data'!C:AB,4,FALSE),"")</f>
        <v/>
      </c>
      <c r="F1906" t="str">
        <f>IFERROR(VLOOKUP(D1906,'Team Data'!C:AB,5,FALSE),"")</f>
        <v/>
      </c>
      <c r="G1906" t="str">
        <f>IFERROR(VLOOKUP('OB Format'!D1906,'Team Data'!C:AB,17,FALSE),"")</f>
        <v/>
      </c>
      <c r="H1906" t="str">
        <f>IFERROR(VLOOKUP(D1906,'Team Data'!C:AB,7,FALSE),"")</f>
        <v/>
      </c>
      <c r="I1906" t="str">
        <f>IFERROR(VLOOKUP(D1906,'Team Data'!C:AB,14,FALSE),"")</f>
        <v/>
      </c>
      <c r="J1906" t="str">
        <f>IFERROR(VLOOKUP(D1906,'Team Data'!C:AB,8,FALSE),"")</f>
        <v/>
      </c>
      <c r="K1906" t="str">
        <f>IFERROR(VLOOKUP(D1906,'Team Data'!C:AB,9,FALSE),"")</f>
        <v/>
      </c>
      <c r="L1906" t="str">
        <f>IFERROR(VLOOKUP(D1906,'Team Data'!C:AB,10,FALSE),"")</f>
        <v/>
      </c>
      <c r="M1906" t="str">
        <f t="shared" si="60"/>
        <v/>
      </c>
      <c r="N1906" t="str">
        <f>IFERROR(VLOOKUP(D1906,'Team Data'!C:AB,23,FALSE),"")</f>
        <v/>
      </c>
      <c r="O1906" t="str">
        <f>IFERROR(VLOOKUP(D1906,'Team Data'!C:AB,22,FALSE),"")</f>
        <v/>
      </c>
      <c r="P1906" t="str">
        <f t="shared" si="61"/>
        <v/>
      </c>
      <c r="Q1906" t="str">
        <f>IFERROR(VLOOKUP(D1906,'Team Data'!C:AB,15,FALSE),"")</f>
        <v/>
      </c>
      <c r="R1906" t="str">
        <f>IFERROR(VLOOKUP('OB Format'!D1906,'Team Data'!C:AB,24,FALSE),"")</f>
        <v/>
      </c>
      <c r="S1906" t="str">
        <f>IFERROR(VLOOKUP('OB Format'!D1906,'Team Data'!C:AC,25,FALSE),"")</f>
        <v/>
      </c>
    </row>
    <row r="1907" spans="5:19" x14ac:dyDescent="0.25">
      <c r="E1907" t="str">
        <f>IFERROR(VLOOKUP(D1907,'Team Data'!C:AB,4,FALSE),"")</f>
        <v/>
      </c>
      <c r="F1907" t="str">
        <f>IFERROR(VLOOKUP(D1907,'Team Data'!C:AB,5,FALSE),"")</f>
        <v/>
      </c>
      <c r="G1907" t="str">
        <f>IFERROR(VLOOKUP('OB Format'!D1907,'Team Data'!C:AB,17,FALSE),"")</f>
        <v/>
      </c>
      <c r="H1907" t="str">
        <f>IFERROR(VLOOKUP(D1907,'Team Data'!C:AB,7,FALSE),"")</f>
        <v/>
      </c>
      <c r="I1907" t="str">
        <f>IFERROR(VLOOKUP(D1907,'Team Data'!C:AB,14,FALSE),"")</f>
        <v/>
      </c>
      <c r="J1907" t="str">
        <f>IFERROR(VLOOKUP(D1907,'Team Data'!C:AB,8,FALSE),"")</f>
        <v/>
      </c>
      <c r="K1907" t="str">
        <f>IFERROR(VLOOKUP(D1907,'Team Data'!C:AB,9,FALSE),"")</f>
        <v/>
      </c>
      <c r="L1907" t="str">
        <f>IFERROR(VLOOKUP(D1907,'Team Data'!C:AB,10,FALSE),"")</f>
        <v/>
      </c>
      <c r="M1907" t="str">
        <f t="shared" si="60"/>
        <v/>
      </c>
      <c r="N1907" t="str">
        <f>IFERROR(VLOOKUP(D1907,'Team Data'!C:AB,23,FALSE),"")</f>
        <v/>
      </c>
      <c r="O1907" t="str">
        <f>IFERROR(VLOOKUP(D1907,'Team Data'!C:AB,22,FALSE),"")</f>
        <v/>
      </c>
      <c r="P1907" t="str">
        <f t="shared" si="61"/>
        <v/>
      </c>
      <c r="Q1907" t="str">
        <f>IFERROR(VLOOKUP(D1907,'Team Data'!C:AB,15,FALSE),"")</f>
        <v/>
      </c>
      <c r="R1907" t="str">
        <f>IFERROR(VLOOKUP('OB Format'!D1907,'Team Data'!C:AB,24,FALSE),"")</f>
        <v/>
      </c>
      <c r="S1907" t="str">
        <f>IFERROR(VLOOKUP('OB Format'!D1907,'Team Data'!C:AC,25,FALSE),"")</f>
        <v/>
      </c>
    </row>
    <row r="1908" spans="5:19" x14ac:dyDescent="0.25">
      <c r="E1908" t="str">
        <f>IFERROR(VLOOKUP(D1908,'Team Data'!C:AB,4,FALSE),"")</f>
        <v/>
      </c>
      <c r="F1908" t="str">
        <f>IFERROR(VLOOKUP(D1908,'Team Data'!C:AB,5,FALSE),"")</f>
        <v/>
      </c>
      <c r="G1908" t="str">
        <f>IFERROR(VLOOKUP('OB Format'!D1908,'Team Data'!C:AB,17,FALSE),"")</f>
        <v/>
      </c>
      <c r="H1908" t="str">
        <f>IFERROR(VLOOKUP(D1908,'Team Data'!C:AB,7,FALSE),"")</f>
        <v/>
      </c>
      <c r="I1908" t="str">
        <f>IFERROR(VLOOKUP(D1908,'Team Data'!C:AB,14,FALSE),"")</f>
        <v/>
      </c>
      <c r="J1908" t="str">
        <f>IFERROR(VLOOKUP(D1908,'Team Data'!C:AB,8,FALSE),"")</f>
        <v/>
      </c>
      <c r="K1908" t="str">
        <f>IFERROR(VLOOKUP(D1908,'Team Data'!C:AB,9,FALSE),"")</f>
        <v/>
      </c>
      <c r="L1908" t="str">
        <f>IFERROR(VLOOKUP(D1908,'Team Data'!C:AB,10,FALSE),"")</f>
        <v/>
      </c>
      <c r="M1908" t="str">
        <f t="shared" si="60"/>
        <v/>
      </c>
      <c r="N1908" t="str">
        <f>IFERROR(VLOOKUP(D1908,'Team Data'!C:AB,23,FALSE),"")</f>
        <v/>
      </c>
      <c r="O1908" t="str">
        <f>IFERROR(VLOOKUP(D1908,'Team Data'!C:AB,22,FALSE),"")</f>
        <v/>
      </c>
      <c r="P1908" t="str">
        <f t="shared" si="61"/>
        <v/>
      </c>
      <c r="Q1908" t="str">
        <f>IFERROR(VLOOKUP(D1908,'Team Data'!C:AB,15,FALSE),"")</f>
        <v/>
      </c>
      <c r="R1908" t="str">
        <f>IFERROR(VLOOKUP('OB Format'!D1908,'Team Data'!C:AB,24,FALSE),"")</f>
        <v/>
      </c>
      <c r="S1908" t="str">
        <f>IFERROR(VLOOKUP('OB Format'!D1908,'Team Data'!C:AC,25,FALSE),"")</f>
        <v/>
      </c>
    </row>
    <row r="1909" spans="5:19" x14ac:dyDescent="0.25">
      <c r="E1909" t="str">
        <f>IFERROR(VLOOKUP(D1909,'Team Data'!C:AB,4,FALSE),"")</f>
        <v/>
      </c>
      <c r="F1909" t="str">
        <f>IFERROR(VLOOKUP(D1909,'Team Data'!C:AB,5,FALSE),"")</f>
        <v/>
      </c>
      <c r="G1909" t="str">
        <f>IFERROR(VLOOKUP('OB Format'!D1909,'Team Data'!C:AB,17,FALSE),"")</f>
        <v/>
      </c>
      <c r="H1909" t="str">
        <f>IFERROR(VLOOKUP(D1909,'Team Data'!C:AB,7,FALSE),"")</f>
        <v/>
      </c>
      <c r="I1909" t="str">
        <f>IFERROR(VLOOKUP(D1909,'Team Data'!C:AB,14,FALSE),"")</f>
        <v/>
      </c>
      <c r="J1909" t="str">
        <f>IFERROR(VLOOKUP(D1909,'Team Data'!C:AB,8,FALSE),"")</f>
        <v/>
      </c>
      <c r="K1909" t="str">
        <f>IFERROR(VLOOKUP(D1909,'Team Data'!C:AB,9,FALSE),"")</f>
        <v/>
      </c>
      <c r="L1909" t="str">
        <f>IFERROR(VLOOKUP(D1909,'Team Data'!C:AB,10,FALSE),"")</f>
        <v/>
      </c>
      <c r="M1909" t="str">
        <f t="shared" si="60"/>
        <v/>
      </c>
      <c r="N1909" t="str">
        <f>IFERROR(VLOOKUP(D1909,'Team Data'!C:AB,23,FALSE),"")</f>
        <v/>
      </c>
      <c r="O1909" t="str">
        <f>IFERROR(VLOOKUP(D1909,'Team Data'!C:AB,22,FALSE),"")</f>
        <v/>
      </c>
      <c r="P1909" t="str">
        <f t="shared" si="61"/>
        <v/>
      </c>
      <c r="Q1909" t="str">
        <f>IFERROR(VLOOKUP(D1909,'Team Data'!C:AB,15,FALSE),"")</f>
        <v/>
      </c>
      <c r="R1909" t="str">
        <f>IFERROR(VLOOKUP('OB Format'!D1909,'Team Data'!C:AB,24,FALSE),"")</f>
        <v/>
      </c>
      <c r="S1909" t="str">
        <f>IFERROR(VLOOKUP('OB Format'!D1909,'Team Data'!C:AC,25,FALSE),"")</f>
        <v/>
      </c>
    </row>
    <row r="1910" spans="5:19" x14ac:dyDescent="0.25">
      <c r="E1910" t="str">
        <f>IFERROR(VLOOKUP(D1910,'Team Data'!C:AB,4,FALSE),"")</f>
        <v/>
      </c>
      <c r="F1910" t="str">
        <f>IFERROR(VLOOKUP(D1910,'Team Data'!C:AB,5,FALSE),"")</f>
        <v/>
      </c>
      <c r="G1910" t="str">
        <f>IFERROR(VLOOKUP('OB Format'!D1910,'Team Data'!C:AB,17,FALSE),"")</f>
        <v/>
      </c>
      <c r="H1910" t="str">
        <f>IFERROR(VLOOKUP(D1910,'Team Data'!C:AB,7,FALSE),"")</f>
        <v/>
      </c>
      <c r="I1910" t="str">
        <f>IFERROR(VLOOKUP(D1910,'Team Data'!C:AB,14,FALSE),"")</f>
        <v/>
      </c>
      <c r="J1910" t="str">
        <f>IFERROR(VLOOKUP(D1910,'Team Data'!C:AB,8,FALSE),"")</f>
        <v/>
      </c>
      <c r="K1910" t="str">
        <f>IFERROR(VLOOKUP(D1910,'Team Data'!C:AB,9,FALSE),"")</f>
        <v/>
      </c>
      <c r="L1910" t="str">
        <f>IFERROR(VLOOKUP(D1910,'Team Data'!C:AB,10,FALSE),"")</f>
        <v/>
      </c>
      <c r="M1910" t="str">
        <f t="shared" si="60"/>
        <v/>
      </c>
      <c r="N1910" t="str">
        <f>IFERROR(VLOOKUP(D1910,'Team Data'!C:AB,23,FALSE),"")</f>
        <v/>
      </c>
      <c r="O1910" t="str">
        <f>IFERROR(VLOOKUP(D1910,'Team Data'!C:AB,22,FALSE),"")</f>
        <v/>
      </c>
      <c r="P1910" t="str">
        <f t="shared" si="61"/>
        <v/>
      </c>
      <c r="Q1910" t="str">
        <f>IFERROR(VLOOKUP(D1910,'Team Data'!C:AB,15,FALSE),"")</f>
        <v/>
      </c>
      <c r="R1910" t="str">
        <f>IFERROR(VLOOKUP('OB Format'!D1910,'Team Data'!C:AB,24,FALSE),"")</f>
        <v/>
      </c>
      <c r="S1910" t="str">
        <f>IFERROR(VLOOKUP('OB Format'!D1910,'Team Data'!C:AC,25,FALSE),"")</f>
        <v/>
      </c>
    </row>
    <row r="1911" spans="5:19" x14ac:dyDescent="0.25">
      <c r="E1911" t="str">
        <f>IFERROR(VLOOKUP(D1911,'Team Data'!C:AB,4,FALSE),"")</f>
        <v/>
      </c>
      <c r="F1911" t="str">
        <f>IFERROR(VLOOKUP(D1911,'Team Data'!C:AB,5,FALSE),"")</f>
        <v/>
      </c>
      <c r="G1911" t="str">
        <f>IFERROR(VLOOKUP('OB Format'!D1911,'Team Data'!C:AB,17,FALSE),"")</f>
        <v/>
      </c>
      <c r="H1911" t="str">
        <f>IFERROR(VLOOKUP(D1911,'Team Data'!C:AB,7,FALSE),"")</f>
        <v/>
      </c>
      <c r="I1911" t="str">
        <f>IFERROR(VLOOKUP(D1911,'Team Data'!C:AB,14,FALSE),"")</f>
        <v/>
      </c>
      <c r="J1911" t="str">
        <f>IFERROR(VLOOKUP(D1911,'Team Data'!C:AB,8,FALSE),"")</f>
        <v/>
      </c>
      <c r="K1911" t="str">
        <f>IFERROR(VLOOKUP(D1911,'Team Data'!C:AB,9,FALSE),"")</f>
        <v/>
      </c>
      <c r="L1911" t="str">
        <f>IFERROR(VLOOKUP(D1911,'Team Data'!C:AB,10,FALSE),"")</f>
        <v/>
      </c>
      <c r="M1911" t="str">
        <f t="shared" si="60"/>
        <v/>
      </c>
      <c r="N1911" t="str">
        <f>IFERROR(VLOOKUP(D1911,'Team Data'!C:AB,23,FALSE),"")</f>
        <v/>
      </c>
      <c r="O1911" t="str">
        <f>IFERROR(VLOOKUP(D1911,'Team Data'!C:AB,22,FALSE),"")</f>
        <v/>
      </c>
      <c r="P1911" t="str">
        <f t="shared" si="61"/>
        <v/>
      </c>
      <c r="Q1911" t="str">
        <f>IFERROR(VLOOKUP(D1911,'Team Data'!C:AB,15,FALSE),"")</f>
        <v/>
      </c>
      <c r="R1911" t="str">
        <f>IFERROR(VLOOKUP('OB Format'!D1911,'Team Data'!C:AB,24,FALSE),"")</f>
        <v/>
      </c>
      <c r="S1911" t="str">
        <f>IFERROR(VLOOKUP('OB Format'!D1911,'Team Data'!C:AC,25,FALSE),"")</f>
        <v/>
      </c>
    </row>
    <row r="1912" spans="5:19" x14ac:dyDescent="0.25">
      <c r="E1912" t="str">
        <f>IFERROR(VLOOKUP(D1912,'Team Data'!C:AB,4,FALSE),"")</f>
        <v/>
      </c>
      <c r="F1912" t="str">
        <f>IFERROR(VLOOKUP(D1912,'Team Data'!C:AB,5,FALSE),"")</f>
        <v/>
      </c>
      <c r="G1912" t="str">
        <f>IFERROR(VLOOKUP('OB Format'!D1912,'Team Data'!C:AB,17,FALSE),"")</f>
        <v/>
      </c>
      <c r="H1912" t="str">
        <f>IFERROR(VLOOKUP(D1912,'Team Data'!C:AB,7,FALSE),"")</f>
        <v/>
      </c>
      <c r="I1912" t="str">
        <f>IFERROR(VLOOKUP(D1912,'Team Data'!C:AB,14,FALSE),"")</f>
        <v/>
      </c>
      <c r="J1912" t="str">
        <f>IFERROR(VLOOKUP(D1912,'Team Data'!C:AB,8,FALSE),"")</f>
        <v/>
      </c>
      <c r="K1912" t="str">
        <f>IFERROR(VLOOKUP(D1912,'Team Data'!C:AB,9,FALSE),"")</f>
        <v/>
      </c>
      <c r="L1912" t="str">
        <f>IFERROR(VLOOKUP(D1912,'Team Data'!C:AB,10,FALSE),"")</f>
        <v/>
      </c>
      <c r="M1912" t="str">
        <f t="shared" si="60"/>
        <v/>
      </c>
      <c r="N1912" t="str">
        <f>IFERROR(VLOOKUP(D1912,'Team Data'!C:AB,23,FALSE),"")</f>
        <v/>
      </c>
      <c r="O1912" t="str">
        <f>IFERROR(VLOOKUP(D1912,'Team Data'!C:AB,22,FALSE),"")</f>
        <v/>
      </c>
      <c r="P1912" t="str">
        <f t="shared" si="61"/>
        <v/>
      </c>
      <c r="Q1912" t="str">
        <f>IFERROR(VLOOKUP(D1912,'Team Data'!C:AB,15,FALSE),"")</f>
        <v/>
      </c>
      <c r="R1912" t="str">
        <f>IFERROR(VLOOKUP('OB Format'!D1912,'Team Data'!C:AB,24,FALSE),"")</f>
        <v/>
      </c>
      <c r="S1912" t="str">
        <f>IFERROR(VLOOKUP('OB Format'!D1912,'Team Data'!C:AC,25,FALSE),"")</f>
        <v/>
      </c>
    </row>
    <row r="1913" spans="5:19" x14ac:dyDescent="0.25">
      <c r="E1913" t="str">
        <f>IFERROR(VLOOKUP(D1913,'Team Data'!C:AB,4,FALSE),"")</f>
        <v/>
      </c>
      <c r="F1913" t="str">
        <f>IFERROR(VLOOKUP(D1913,'Team Data'!C:AB,5,FALSE),"")</f>
        <v/>
      </c>
      <c r="G1913" t="str">
        <f>IFERROR(VLOOKUP('OB Format'!D1913,'Team Data'!C:AB,17,FALSE),"")</f>
        <v/>
      </c>
      <c r="H1913" t="str">
        <f>IFERROR(VLOOKUP(D1913,'Team Data'!C:AB,7,FALSE),"")</f>
        <v/>
      </c>
      <c r="I1913" t="str">
        <f>IFERROR(VLOOKUP(D1913,'Team Data'!C:AB,14,FALSE),"")</f>
        <v/>
      </c>
      <c r="J1913" t="str">
        <f>IFERROR(VLOOKUP(D1913,'Team Data'!C:AB,8,FALSE),"")</f>
        <v/>
      </c>
      <c r="K1913" t="str">
        <f>IFERROR(VLOOKUP(D1913,'Team Data'!C:AB,9,FALSE),"")</f>
        <v/>
      </c>
      <c r="L1913" t="str">
        <f>IFERROR(VLOOKUP(D1913,'Team Data'!C:AB,10,FALSE),"")</f>
        <v/>
      </c>
      <c r="M1913" t="str">
        <f t="shared" si="60"/>
        <v/>
      </c>
      <c r="N1913" t="str">
        <f>IFERROR(VLOOKUP(D1913,'Team Data'!C:AB,23,FALSE),"")</f>
        <v/>
      </c>
      <c r="O1913" t="str">
        <f>IFERROR(VLOOKUP(D1913,'Team Data'!C:AB,22,FALSE),"")</f>
        <v/>
      </c>
      <c r="P1913" t="str">
        <f t="shared" si="61"/>
        <v/>
      </c>
      <c r="Q1913" t="str">
        <f>IFERROR(VLOOKUP(D1913,'Team Data'!C:AB,15,FALSE),"")</f>
        <v/>
      </c>
      <c r="R1913" t="str">
        <f>IFERROR(VLOOKUP('OB Format'!D1913,'Team Data'!C:AB,24,FALSE),"")</f>
        <v/>
      </c>
      <c r="S1913" t="str">
        <f>IFERROR(VLOOKUP('OB Format'!D1913,'Team Data'!C:AC,25,FALSE),"")</f>
        <v/>
      </c>
    </row>
    <row r="1914" spans="5:19" x14ac:dyDescent="0.25">
      <c r="E1914" t="str">
        <f>IFERROR(VLOOKUP(D1914,'Team Data'!C:AB,4,FALSE),"")</f>
        <v/>
      </c>
      <c r="F1914" t="str">
        <f>IFERROR(VLOOKUP(D1914,'Team Data'!C:AB,5,FALSE),"")</f>
        <v/>
      </c>
      <c r="G1914" t="str">
        <f>IFERROR(VLOOKUP('OB Format'!D1914,'Team Data'!C:AB,17,FALSE),"")</f>
        <v/>
      </c>
      <c r="H1914" t="str">
        <f>IFERROR(VLOOKUP(D1914,'Team Data'!C:AB,7,FALSE),"")</f>
        <v/>
      </c>
      <c r="I1914" t="str">
        <f>IFERROR(VLOOKUP(D1914,'Team Data'!C:AB,14,FALSE),"")</f>
        <v/>
      </c>
      <c r="J1914" t="str">
        <f>IFERROR(VLOOKUP(D1914,'Team Data'!C:AB,8,FALSE),"")</f>
        <v/>
      </c>
      <c r="K1914" t="str">
        <f>IFERROR(VLOOKUP(D1914,'Team Data'!C:AB,9,FALSE),"")</f>
        <v/>
      </c>
      <c r="L1914" t="str">
        <f>IFERROR(VLOOKUP(D1914,'Team Data'!C:AB,10,FALSE),"")</f>
        <v/>
      </c>
      <c r="M1914" t="str">
        <f t="shared" si="60"/>
        <v/>
      </c>
      <c r="N1914" t="str">
        <f>IFERROR(VLOOKUP(D1914,'Team Data'!C:AB,23,FALSE),"")</f>
        <v/>
      </c>
      <c r="O1914" t="str">
        <f>IFERROR(VLOOKUP(D1914,'Team Data'!C:AB,22,FALSE),"")</f>
        <v/>
      </c>
      <c r="P1914" t="str">
        <f t="shared" si="61"/>
        <v/>
      </c>
      <c r="Q1914" t="str">
        <f>IFERROR(VLOOKUP(D1914,'Team Data'!C:AB,15,FALSE),"")</f>
        <v/>
      </c>
      <c r="R1914" t="str">
        <f>IFERROR(VLOOKUP('OB Format'!D1914,'Team Data'!C:AB,24,FALSE),"")</f>
        <v/>
      </c>
      <c r="S1914" t="str">
        <f>IFERROR(VLOOKUP('OB Format'!D1914,'Team Data'!C:AC,25,FALSE),"")</f>
        <v/>
      </c>
    </row>
    <row r="1915" spans="5:19" x14ac:dyDescent="0.25">
      <c r="E1915" t="str">
        <f>IFERROR(VLOOKUP(D1915,'Team Data'!C:AB,4,FALSE),"")</f>
        <v/>
      </c>
      <c r="F1915" t="str">
        <f>IFERROR(VLOOKUP(D1915,'Team Data'!C:AB,5,FALSE),"")</f>
        <v/>
      </c>
      <c r="G1915" t="str">
        <f>IFERROR(VLOOKUP('OB Format'!D1915,'Team Data'!C:AB,17,FALSE),"")</f>
        <v/>
      </c>
      <c r="H1915" t="str">
        <f>IFERROR(VLOOKUP(D1915,'Team Data'!C:AB,7,FALSE),"")</f>
        <v/>
      </c>
      <c r="I1915" t="str">
        <f>IFERROR(VLOOKUP(D1915,'Team Data'!C:AB,14,FALSE),"")</f>
        <v/>
      </c>
      <c r="J1915" t="str">
        <f>IFERROR(VLOOKUP(D1915,'Team Data'!C:AB,8,FALSE),"")</f>
        <v/>
      </c>
      <c r="K1915" t="str">
        <f>IFERROR(VLOOKUP(D1915,'Team Data'!C:AB,9,FALSE),"")</f>
        <v/>
      </c>
      <c r="L1915" t="str">
        <f>IFERROR(VLOOKUP(D1915,'Team Data'!C:AB,10,FALSE),"")</f>
        <v/>
      </c>
      <c r="M1915" t="str">
        <f t="shared" si="60"/>
        <v/>
      </c>
      <c r="N1915" t="str">
        <f>IFERROR(VLOOKUP(D1915,'Team Data'!C:AB,23,FALSE),"")</f>
        <v/>
      </c>
      <c r="O1915" t="str">
        <f>IFERROR(VLOOKUP(D1915,'Team Data'!C:AB,22,FALSE),"")</f>
        <v/>
      </c>
      <c r="P1915" t="str">
        <f t="shared" si="61"/>
        <v/>
      </c>
      <c r="Q1915" t="str">
        <f>IFERROR(VLOOKUP(D1915,'Team Data'!C:AB,15,FALSE),"")</f>
        <v/>
      </c>
      <c r="R1915" t="str">
        <f>IFERROR(VLOOKUP('OB Format'!D1915,'Team Data'!C:AB,24,FALSE),"")</f>
        <v/>
      </c>
      <c r="S1915" t="str">
        <f>IFERROR(VLOOKUP('OB Format'!D1915,'Team Data'!C:AC,25,FALSE),"")</f>
        <v/>
      </c>
    </row>
    <row r="1916" spans="5:19" x14ac:dyDescent="0.25">
      <c r="E1916" t="str">
        <f>IFERROR(VLOOKUP(D1916,'Team Data'!C:AB,4,FALSE),"")</f>
        <v/>
      </c>
      <c r="F1916" t="str">
        <f>IFERROR(VLOOKUP(D1916,'Team Data'!C:AB,5,FALSE),"")</f>
        <v/>
      </c>
      <c r="G1916" t="str">
        <f>IFERROR(VLOOKUP('OB Format'!D1916,'Team Data'!C:AB,17,FALSE),"")</f>
        <v/>
      </c>
      <c r="H1916" t="str">
        <f>IFERROR(VLOOKUP(D1916,'Team Data'!C:AB,7,FALSE),"")</f>
        <v/>
      </c>
      <c r="I1916" t="str">
        <f>IFERROR(VLOOKUP(D1916,'Team Data'!C:AB,14,FALSE),"")</f>
        <v/>
      </c>
      <c r="J1916" t="str">
        <f>IFERROR(VLOOKUP(D1916,'Team Data'!C:AB,8,FALSE),"")</f>
        <v/>
      </c>
      <c r="K1916" t="str">
        <f>IFERROR(VLOOKUP(D1916,'Team Data'!C:AB,9,FALSE),"")</f>
        <v/>
      </c>
      <c r="L1916" t="str">
        <f>IFERROR(VLOOKUP(D1916,'Team Data'!C:AB,10,FALSE),"")</f>
        <v/>
      </c>
      <c r="M1916" t="str">
        <f t="shared" si="60"/>
        <v/>
      </c>
      <c r="N1916" t="str">
        <f>IFERROR(VLOOKUP(D1916,'Team Data'!C:AB,23,FALSE),"")</f>
        <v/>
      </c>
      <c r="O1916" t="str">
        <f>IFERROR(VLOOKUP(D1916,'Team Data'!C:AB,22,FALSE),"")</f>
        <v/>
      </c>
      <c r="P1916" t="str">
        <f t="shared" si="61"/>
        <v/>
      </c>
      <c r="Q1916" t="str">
        <f>IFERROR(VLOOKUP(D1916,'Team Data'!C:AB,15,FALSE),"")</f>
        <v/>
      </c>
      <c r="R1916" t="str">
        <f>IFERROR(VLOOKUP('OB Format'!D1916,'Team Data'!C:AB,24,FALSE),"")</f>
        <v/>
      </c>
      <c r="S1916" t="str">
        <f>IFERROR(VLOOKUP('OB Format'!D1916,'Team Data'!C:AC,25,FALSE),"")</f>
        <v/>
      </c>
    </row>
    <row r="1917" spans="5:19" x14ac:dyDescent="0.25">
      <c r="E1917" t="str">
        <f>IFERROR(VLOOKUP(D1917,'Team Data'!C:AB,4,FALSE),"")</f>
        <v/>
      </c>
      <c r="F1917" t="str">
        <f>IFERROR(VLOOKUP(D1917,'Team Data'!C:AB,5,FALSE),"")</f>
        <v/>
      </c>
      <c r="G1917" t="str">
        <f>IFERROR(VLOOKUP('OB Format'!D1917,'Team Data'!C:AB,17,FALSE),"")</f>
        <v/>
      </c>
      <c r="H1917" t="str">
        <f>IFERROR(VLOOKUP(D1917,'Team Data'!C:AB,7,FALSE),"")</f>
        <v/>
      </c>
      <c r="I1917" t="str">
        <f>IFERROR(VLOOKUP(D1917,'Team Data'!C:AB,14,FALSE),"")</f>
        <v/>
      </c>
      <c r="J1917" t="str">
        <f>IFERROR(VLOOKUP(D1917,'Team Data'!C:AB,8,FALSE),"")</f>
        <v/>
      </c>
      <c r="K1917" t="str">
        <f>IFERROR(VLOOKUP(D1917,'Team Data'!C:AB,9,FALSE),"")</f>
        <v/>
      </c>
      <c r="L1917" t="str">
        <f>IFERROR(VLOOKUP(D1917,'Team Data'!C:AB,10,FALSE),"")</f>
        <v/>
      </c>
      <c r="M1917" t="str">
        <f t="shared" si="60"/>
        <v/>
      </c>
      <c r="N1917" t="str">
        <f>IFERROR(VLOOKUP(D1917,'Team Data'!C:AB,23,FALSE),"")</f>
        <v/>
      </c>
      <c r="O1917" t="str">
        <f>IFERROR(VLOOKUP(D1917,'Team Data'!C:AB,22,FALSE),"")</f>
        <v/>
      </c>
      <c r="P1917" t="str">
        <f t="shared" si="61"/>
        <v/>
      </c>
      <c r="Q1917" t="str">
        <f>IFERROR(VLOOKUP(D1917,'Team Data'!C:AB,15,FALSE),"")</f>
        <v/>
      </c>
      <c r="R1917" t="str">
        <f>IFERROR(VLOOKUP('OB Format'!D1917,'Team Data'!C:AB,24,FALSE),"")</f>
        <v/>
      </c>
      <c r="S1917" t="str">
        <f>IFERROR(VLOOKUP('OB Format'!D1917,'Team Data'!C:AC,25,FALSE),"")</f>
        <v/>
      </c>
    </row>
    <row r="1918" spans="5:19" x14ac:dyDescent="0.25">
      <c r="E1918" t="str">
        <f>IFERROR(VLOOKUP(D1918,'Team Data'!C:AB,4,FALSE),"")</f>
        <v/>
      </c>
      <c r="F1918" t="str">
        <f>IFERROR(VLOOKUP(D1918,'Team Data'!C:AB,5,FALSE),"")</f>
        <v/>
      </c>
      <c r="G1918" t="str">
        <f>IFERROR(VLOOKUP('OB Format'!D1918,'Team Data'!C:AB,17,FALSE),"")</f>
        <v/>
      </c>
      <c r="H1918" t="str">
        <f>IFERROR(VLOOKUP(D1918,'Team Data'!C:AB,7,FALSE),"")</f>
        <v/>
      </c>
      <c r="I1918" t="str">
        <f>IFERROR(VLOOKUP(D1918,'Team Data'!C:AB,14,FALSE),"")</f>
        <v/>
      </c>
      <c r="J1918" t="str">
        <f>IFERROR(VLOOKUP(D1918,'Team Data'!C:AB,8,FALSE),"")</f>
        <v/>
      </c>
      <c r="K1918" t="str">
        <f>IFERROR(VLOOKUP(D1918,'Team Data'!C:AB,9,FALSE),"")</f>
        <v/>
      </c>
      <c r="L1918" t="str">
        <f>IFERROR(VLOOKUP(D1918,'Team Data'!C:AB,10,FALSE),"")</f>
        <v/>
      </c>
      <c r="M1918" t="str">
        <f t="shared" si="60"/>
        <v/>
      </c>
      <c r="N1918" t="str">
        <f>IFERROR(VLOOKUP(D1918,'Team Data'!C:AB,23,FALSE),"")</f>
        <v/>
      </c>
      <c r="O1918" t="str">
        <f>IFERROR(VLOOKUP(D1918,'Team Data'!C:AB,22,FALSE),"")</f>
        <v/>
      </c>
      <c r="P1918" t="str">
        <f t="shared" si="61"/>
        <v/>
      </c>
      <c r="Q1918" t="str">
        <f>IFERROR(VLOOKUP(D1918,'Team Data'!C:AB,15,FALSE),"")</f>
        <v/>
      </c>
      <c r="R1918" t="str">
        <f>IFERROR(VLOOKUP('OB Format'!D1918,'Team Data'!C:AB,24,FALSE),"")</f>
        <v/>
      </c>
      <c r="S1918" t="str">
        <f>IFERROR(VLOOKUP('OB Format'!D1918,'Team Data'!C:AC,25,FALSE),"")</f>
        <v/>
      </c>
    </row>
    <row r="1919" spans="5:19" x14ac:dyDescent="0.25">
      <c r="E1919" t="str">
        <f>IFERROR(VLOOKUP(D1919,'Team Data'!C:AB,4,FALSE),"")</f>
        <v/>
      </c>
      <c r="F1919" t="str">
        <f>IFERROR(VLOOKUP(D1919,'Team Data'!C:AB,5,FALSE),"")</f>
        <v/>
      </c>
      <c r="G1919" t="str">
        <f>IFERROR(VLOOKUP('OB Format'!D1919,'Team Data'!C:AB,17,FALSE),"")</f>
        <v/>
      </c>
      <c r="H1919" t="str">
        <f>IFERROR(VLOOKUP(D1919,'Team Data'!C:AB,7,FALSE),"")</f>
        <v/>
      </c>
      <c r="I1919" t="str">
        <f>IFERROR(VLOOKUP(D1919,'Team Data'!C:AB,14,FALSE),"")</f>
        <v/>
      </c>
      <c r="J1919" t="str">
        <f>IFERROR(VLOOKUP(D1919,'Team Data'!C:AB,8,FALSE),"")</f>
        <v/>
      </c>
      <c r="K1919" t="str">
        <f>IFERROR(VLOOKUP(D1919,'Team Data'!C:AB,9,FALSE),"")</f>
        <v/>
      </c>
      <c r="L1919" t="str">
        <f>IFERROR(VLOOKUP(D1919,'Team Data'!C:AB,10,FALSE),"")</f>
        <v/>
      </c>
      <c r="M1919" t="str">
        <f t="shared" si="60"/>
        <v/>
      </c>
      <c r="N1919" t="str">
        <f>IFERROR(VLOOKUP(D1919,'Team Data'!C:AB,23,FALSE),"")</f>
        <v/>
      </c>
      <c r="O1919" t="str">
        <f>IFERROR(VLOOKUP(D1919,'Team Data'!C:AB,22,FALSE),"")</f>
        <v/>
      </c>
      <c r="P1919" t="str">
        <f t="shared" si="61"/>
        <v/>
      </c>
      <c r="Q1919" t="str">
        <f>IFERROR(VLOOKUP(D1919,'Team Data'!C:AB,15,FALSE),"")</f>
        <v/>
      </c>
      <c r="R1919" t="str">
        <f>IFERROR(VLOOKUP('OB Format'!D1919,'Team Data'!C:AB,24,FALSE),"")</f>
        <v/>
      </c>
      <c r="S1919" t="str">
        <f>IFERROR(VLOOKUP('OB Format'!D1919,'Team Data'!C:AC,25,FALSE),"")</f>
        <v/>
      </c>
    </row>
    <row r="1920" spans="5:19" x14ac:dyDescent="0.25">
      <c r="E1920" t="str">
        <f>IFERROR(VLOOKUP(D1920,'Team Data'!C:AB,4,FALSE),"")</f>
        <v/>
      </c>
      <c r="F1920" t="str">
        <f>IFERROR(VLOOKUP(D1920,'Team Data'!C:AB,5,FALSE),"")</f>
        <v/>
      </c>
      <c r="G1920" t="str">
        <f>IFERROR(VLOOKUP('OB Format'!D1920,'Team Data'!C:AB,17,FALSE),"")</f>
        <v/>
      </c>
      <c r="H1920" t="str">
        <f>IFERROR(VLOOKUP(D1920,'Team Data'!C:AB,7,FALSE),"")</f>
        <v/>
      </c>
      <c r="I1920" t="str">
        <f>IFERROR(VLOOKUP(D1920,'Team Data'!C:AB,14,FALSE),"")</f>
        <v/>
      </c>
      <c r="J1920" t="str">
        <f>IFERROR(VLOOKUP(D1920,'Team Data'!C:AB,8,FALSE),"")</f>
        <v/>
      </c>
      <c r="K1920" t="str">
        <f>IFERROR(VLOOKUP(D1920,'Team Data'!C:AB,9,FALSE),"")</f>
        <v/>
      </c>
      <c r="L1920" t="str">
        <f>IFERROR(VLOOKUP(D1920,'Team Data'!C:AB,10,FALSE),"")</f>
        <v/>
      </c>
      <c r="M1920" t="str">
        <f t="shared" si="60"/>
        <v/>
      </c>
      <c r="N1920" t="str">
        <f>IFERROR(VLOOKUP(D1920,'Team Data'!C:AB,23,FALSE),"")</f>
        <v/>
      </c>
      <c r="O1920" t="str">
        <f>IFERROR(VLOOKUP(D1920,'Team Data'!C:AB,22,FALSE),"")</f>
        <v/>
      </c>
      <c r="P1920" t="str">
        <f t="shared" si="61"/>
        <v/>
      </c>
      <c r="Q1920" t="str">
        <f>IFERROR(VLOOKUP(D1920,'Team Data'!C:AB,15,FALSE),"")</f>
        <v/>
      </c>
      <c r="R1920" t="str">
        <f>IFERROR(VLOOKUP('OB Format'!D1920,'Team Data'!C:AB,24,FALSE),"")</f>
        <v/>
      </c>
      <c r="S1920" t="str">
        <f>IFERROR(VLOOKUP('OB Format'!D1920,'Team Data'!C:AC,25,FALSE),"")</f>
        <v/>
      </c>
    </row>
    <row r="1921" spans="5:19" x14ac:dyDescent="0.25">
      <c r="E1921" t="str">
        <f>IFERROR(VLOOKUP(D1921,'Team Data'!C:AB,4,FALSE),"")</f>
        <v/>
      </c>
      <c r="F1921" t="str">
        <f>IFERROR(VLOOKUP(D1921,'Team Data'!C:AB,5,FALSE),"")</f>
        <v/>
      </c>
      <c r="G1921" t="str">
        <f>IFERROR(VLOOKUP('OB Format'!D1921,'Team Data'!C:AB,17,FALSE),"")</f>
        <v/>
      </c>
      <c r="H1921" t="str">
        <f>IFERROR(VLOOKUP(D1921,'Team Data'!C:AB,7,FALSE),"")</f>
        <v/>
      </c>
      <c r="I1921" t="str">
        <f>IFERROR(VLOOKUP(D1921,'Team Data'!C:AB,14,FALSE),"")</f>
        <v/>
      </c>
      <c r="J1921" t="str">
        <f>IFERROR(VLOOKUP(D1921,'Team Data'!C:AB,8,FALSE),"")</f>
        <v/>
      </c>
      <c r="K1921" t="str">
        <f>IFERROR(VLOOKUP(D1921,'Team Data'!C:AB,9,FALSE),"")</f>
        <v/>
      </c>
      <c r="L1921" t="str">
        <f>IFERROR(VLOOKUP(D1921,'Team Data'!C:AB,10,FALSE),"")</f>
        <v/>
      </c>
      <c r="M1921" t="str">
        <f t="shared" si="60"/>
        <v/>
      </c>
      <c r="N1921" t="str">
        <f>IFERROR(VLOOKUP(D1921,'Team Data'!C:AB,23,FALSE),"")</f>
        <v/>
      </c>
      <c r="O1921" t="str">
        <f>IFERROR(VLOOKUP(D1921,'Team Data'!C:AB,22,FALSE),"")</f>
        <v/>
      </c>
      <c r="P1921" t="str">
        <f t="shared" si="61"/>
        <v/>
      </c>
      <c r="Q1921" t="str">
        <f>IFERROR(VLOOKUP(D1921,'Team Data'!C:AB,15,FALSE),"")</f>
        <v/>
      </c>
      <c r="R1921" t="str">
        <f>IFERROR(VLOOKUP('OB Format'!D1921,'Team Data'!C:AB,24,FALSE),"")</f>
        <v/>
      </c>
      <c r="S1921" t="str">
        <f>IFERROR(VLOOKUP('OB Format'!D1921,'Team Data'!C:AC,25,FALSE),"")</f>
        <v/>
      </c>
    </row>
    <row r="1922" spans="5:19" x14ac:dyDescent="0.25">
      <c r="E1922" t="str">
        <f>IFERROR(VLOOKUP(D1922,'Team Data'!C:AB,4,FALSE),"")</f>
        <v/>
      </c>
      <c r="F1922" t="str">
        <f>IFERROR(VLOOKUP(D1922,'Team Data'!C:AB,5,FALSE),"")</f>
        <v/>
      </c>
      <c r="G1922" t="str">
        <f>IFERROR(VLOOKUP('OB Format'!D1922,'Team Data'!C:AB,17,FALSE),"")</f>
        <v/>
      </c>
      <c r="H1922" t="str">
        <f>IFERROR(VLOOKUP(D1922,'Team Data'!C:AB,7,FALSE),"")</f>
        <v/>
      </c>
      <c r="I1922" t="str">
        <f>IFERROR(VLOOKUP(D1922,'Team Data'!C:AB,14,FALSE),"")</f>
        <v/>
      </c>
      <c r="J1922" t="str">
        <f>IFERROR(VLOOKUP(D1922,'Team Data'!C:AB,8,FALSE),"")</f>
        <v/>
      </c>
      <c r="K1922" t="str">
        <f>IFERROR(VLOOKUP(D1922,'Team Data'!C:AB,9,FALSE),"")</f>
        <v/>
      </c>
      <c r="L1922" t="str">
        <f>IFERROR(VLOOKUP(D1922,'Team Data'!C:AB,10,FALSE),"")</f>
        <v/>
      </c>
      <c r="M1922" t="str">
        <f t="shared" si="60"/>
        <v/>
      </c>
      <c r="N1922" t="str">
        <f>IFERROR(VLOOKUP(D1922,'Team Data'!C:AB,23,FALSE),"")</f>
        <v/>
      </c>
      <c r="O1922" t="str">
        <f>IFERROR(VLOOKUP(D1922,'Team Data'!C:AB,22,FALSE),"")</f>
        <v/>
      </c>
      <c r="P1922" t="str">
        <f t="shared" si="61"/>
        <v/>
      </c>
      <c r="Q1922" t="str">
        <f>IFERROR(VLOOKUP(D1922,'Team Data'!C:AB,15,FALSE),"")</f>
        <v/>
      </c>
      <c r="R1922" t="str">
        <f>IFERROR(VLOOKUP('OB Format'!D1922,'Team Data'!C:AB,24,FALSE),"")</f>
        <v/>
      </c>
      <c r="S1922" t="str">
        <f>IFERROR(VLOOKUP('OB Format'!D1922,'Team Data'!C:AC,25,FALSE),"")</f>
        <v/>
      </c>
    </row>
    <row r="1923" spans="5:19" x14ac:dyDescent="0.25">
      <c r="E1923" t="str">
        <f>IFERROR(VLOOKUP(D1923,'Team Data'!C:AB,4,FALSE),"")</f>
        <v/>
      </c>
      <c r="F1923" t="str">
        <f>IFERROR(VLOOKUP(D1923,'Team Data'!C:AB,5,FALSE),"")</f>
        <v/>
      </c>
      <c r="G1923" t="str">
        <f>IFERROR(VLOOKUP('OB Format'!D1923,'Team Data'!C:AB,17,FALSE),"")</f>
        <v/>
      </c>
      <c r="H1923" t="str">
        <f>IFERROR(VLOOKUP(D1923,'Team Data'!C:AB,7,FALSE),"")</f>
        <v/>
      </c>
      <c r="I1923" t="str">
        <f>IFERROR(VLOOKUP(D1923,'Team Data'!C:AB,14,FALSE),"")</f>
        <v/>
      </c>
      <c r="J1923" t="str">
        <f>IFERROR(VLOOKUP(D1923,'Team Data'!C:AB,8,FALSE),"")</f>
        <v/>
      </c>
      <c r="K1923" t="str">
        <f>IFERROR(VLOOKUP(D1923,'Team Data'!C:AB,9,FALSE),"")</f>
        <v/>
      </c>
      <c r="L1923" t="str">
        <f>IFERROR(VLOOKUP(D1923,'Team Data'!C:AB,10,FALSE),"")</f>
        <v/>
      </c>
      <c r="M1923" t="str">
        <f t="shared" si="60"/>
        <v/>
      </c>
      <c r="N1923" t="str">
        <f>IFERROR(VLOOKUP(D1923,'Team Data'!C:AB,23,FALSE),"")</f>
        <v/>
      </c>
      <c r="O1923" t="str">
        <f>IFERROR(VLOOKUP(D1923,'Team Data'!C:AB,22,FALSE),"")</f>
        <v/>
      </c>
      <c r="P1923" t="str">
        <f t="shared" si="61"/>
        <v/>
      </c>
      <c r="Q1923" t="str">
        <f>IFERROR(VLOOKUP(D1923,'Team Data'!C:AB,15,FALSE),"")</f>
        <v/>
      </c>
      <c r="R1923" t="str">
        <f>IFERROR(VLOOKUP('OB Format'!D1923,'Team Data'!C:AB,24,FALSE),"")</f>
        <v/>
      </c>
      <c r="S1923" t="str">
        <f>IFERROR(VLOOKUP('OB Format'!D1923,'Team Data'!C:AC,25,FALSE),"")</f>
        <v/>
      </c>
    </row>
    <row r="1924" spans="5:19" x14ac:dyDescent="0.25">
      <c r="E1924" t="str">
        <f>IFERROR(VLOOKUP(D1924,'Team Data'!C:AB,4,FALSE),"")</f>
        <v/>
      </c>
      <c r="F1924" t="str">
        <f>IFERROR(VLOOKUP(D1924,'Team Data'!C:AB,5,FALSE),"")</f>
        <v/>
      </c>
      <c r="G1924" t="str">
        <f>IFERROR(VLOOKUP('OB Format'!D1924,'Team Data'!C:AB,17,FALSE),"")</f>
        <v/>
      </c>
      <c r="H1924" t="str">
        <f>IFERROR(VLOOKUP(D1924,'Team Data'!C:AB,7,FALSE),"")</f>
        <v/>
      </c>
      <c r="I1924" t="str">
        <f>IFERROR(VLOOKUP(D1924,'Team Data'!C:AB,14,FALSE),"")</f>
        <v/>
      </c>
      <c r="J1924" t="str">
        <f>IFERROR(VLOOKUP(D1924,'Team Data'!C:AB,8,FALSE),"")</f>
        <v/>
      </c>
      <c r="K1924" t="str">
        <f>IFERROR(VLOOKUP(D1924,'Team Data'!C:AB,9,FALSE),"")</f>
        <v/>
      </c>
      <c r="L1924" t="str">
        <f>IFERROR(VLOOKUP(D1924,'Team Data'!C:AB,10,FALSE),"")</f>
        <v/>
      </c>
      <c r="M1924" t="str">
        <f t="shared" si="60"/>
        <v/>
      </c>
      <c r="N1924" t="str">
        <f>IFERROR(VLOOKUP(D1924,'Team Data'!C:AB,23,FALSE),"")</f>
        <v/>
      </c>
      <c r="O1924" t="str">
        <f>IFERROR(VLOOKUP(D1924,'Team Data'!C:AB,22,FALSE),"")</f>
        <v/>
      </c>
      <c r="P1924" t="str">
        <f t="shared" si="61"/>
        <v/>
      </c>
      <c r="Q1924" t="str">
        <f>IFERROR(VLOOKUP(D1924,'Team Data'!C:AB,15,FALSE),"")</f>
        <v/>
      </c>
      <c r="R1924" t="str">
        <f>IFERROR(VLOOKUP('OB Format'!D1924,'Team Data'!C:AB,24,FALSE),"")</f>
        <v/>
      </c>
      <c r="S1924" t="str">
        <f>IFERROR(VLOOKUP('OB Format'!D1924,'Team Data'!C:AC,25,FALSE),"")</f>
        <v/>
      </c>
    </row>
    <row r="1925" spans="5:19" x14ac:dyDescent="0.25">
      <c r="E1925" t="str">
        <f>IFERROR(VLOOKUP(D1925,'Team Data'!C:AB,4,FALSE),"")</f>
        <v/>
      </c>
      <c r="F1925" t="str">
        <f>IFERROR(VLOOKUP(D1925,'Team Data'!C:AB,5,FALSE),"")</f>
        <v/>
      </c>
      <c r="G1925" t="str">
        <f>IFERROR(VLOOKUP('OB Format'!D1925,'Team Data'!C:AB,17,FALSE),"")</f>
        <v/>
      </c>
      <c r="H1925" t="str">
        <f>IFERROR(VLOOKUP(D1925,'Team Data'!C:AB,7,FALSE),"")</f>
        <v/>
      </c>
      <c r="I1925" t="str">
        <f>IFERROR(VLOOKUP(D1925,'Team Data'!C:AB,14,FALSE),"")</f>
        <v/>
      </c>
      <c r="J1925" t="str">
        <f>IFERROR(VLOOKUP(D1925,'Team Data'!C:AB,8,FALSE),"")</f>
        <v/>
      </c>
      <c r="K1925" t="str">
        <f>IFERROR(VLOOKUP(D1925,'Team Data'!C:AB,9,FALSE),"")</f>
        <v/>
      </c>
      <c r="L1925" t="str">
        <f>IFERROR(VLOOKUP(D1925,'Team Data'!C:AB,10,FALSE),"")</f>
        <v/>
      </c>
      <c r="M1925" t="str">
        <f t="shared" si="60"/>
        <v/>
      </c>
      <c r="N1925" t="str">
        <f>IFERROR(VLOOKUP(D1925,'Team Data'!C:AB,23,FALSE),"")</f>
        <v/>
      </c>
      <c r="O1925" t="str">
        <f>IFERROR(VLOOKUP(D1925,'Team Data'!C:AB,22,FALSE),"")</f>
        <v/>
      </c>
      <c r="P1925" t="str">
        <f t="shared" si="61"/>
        <v/>
      </c>
      <c r="Q1925" t="str">
        <f>IFERROR(VLOOKUP(D1925,'Team Data'!C:AB,15,FALSE),"")</f>
        <v/>
      </c>
      <c r="R1925" t="str">
        <f>IFERROR(VLOOKUP('OB Format'!D1925,'Team Data'!C:AB,24,FALSE),"")</f>
        <v/>
      </c>
      <c r="S1925" t="str">
        <f>IFERROR(VLOOKUP('OB Format'!D1925,'Team Data'!C:AC,25,FALSE),"")</f>
        <v/>
      </c>
    </row>
    <row r="1926" spans="5:19" x14ac:dyDescent="0.25">
      <c r="E1926" t="str">
        <f>IFERROR(VLOOKUP(D1926,'Team Data'!C:AB,4,FALSE),"")</f>
        <v/>
      </c>
      <c r="F1926" t="str">
        <f>IFERROR(VLOOKUP(D1926,'Team Data'!C:AB,5,FALSE),"")</f>
        <v/>
      </c>
      <c r="G1926" t="str">
        <f>IFERROR(VLOOKUP('OB Format'!D1926,'Team Data'!C:AB,17,FALSE),"")</f>
        <v/>
      </c>
      <c r="H1926" t="str">
        <f>IFERROR(VLOOKUP(D1926,'Team Data'!C:AB,7,FALSE),"")</f>
        <v/>
      </c>
      <c r="I1926" t="str">
        <f>IFERROR(VLOOKUP(D1926,'Team Data'!C:AB,14,FALSE),"")</f>
        <v/>
      </c>
      <c r="J1926" t="str">
        <f>IFERROR(VLOOKUP(D1926,'Team Data'!C:AB,8,FALSE),"")</f>
        <v/>
      </c>
      <c r="K1926" t="str">
        <f>IFERROR(VLOOKUP(D1926,'Team Data'!C:AB,9,FALSE),"")</f>
        <v/>
      </c>
      <c r="L1926" t="str">
        <f>IFERROR(VLOOKUP(D1926,'Team Data'!C:AB,10,FALSE),"")</f>
        <v/>
      </c>
      <c r="M1926" t="str">
        <f t="shared" si="60"/>
        <v/>
      </c>
      <c r="N1926" t="str">
        <f>IFERROR(VLOOKUP(D1926,'Team Data'!C:AB,23,FALSE),"")</f>
        <v/>
      </c>
      <c r="O1926" t="str">
        <f>IFERROR(VLOOKUP(D1926,'Team Data'!C:AB,22,FALSE),"")</f>
        <v/>
      </c>
      <c r="P1926" t="str">
        <f t="shared" si="61"/>
        <v/>
      </c>
      <c r="Q1926" t="str">
        <f>IFERROR(VLOOKUP(D1926,'Team Data'!C:AB,15,FALSE),"")</f>
        <v/>
      </c>
      <c r="R1926" t="str">
        <f>IFERROR(VLOOKUP('OB Format'!D1926,'Team Data'!C:AB,24,FALSE),"")</f>
        <v/>
      </c>
      <c r="S1926" t="str">
        <f>IFERROR(VLOOKUP('OB Format'!D1926,'Team Data'!C:AC,25,FALSE),"")</f>
        <v/>
      </c>
    </row>
    <row r="1927" spans="5:19" x14ac:dyDescent="0.25">
      <c r="E1927" t="str">
        <f>IFERROR(VLOOKUP(D1927,'Team Data'!C:AB,4,FALSE),"")</f>
        <v/>
      </c>
      <c r="F1927" t="str">
        <f>IFERROR(VLOOKUP(D1927,'Team Data'!C:AB,5,FALSE),"")</f>
        <v/>
      </c>
      <c r="G1927" t="str">
        <f>IFERROR(VLOOKUP('OB Format'!D1927,'Team Data'!C:AB,17,FALSE),"")</f>
        <v/>
      </c>
      <c r="H1927" t="str">
        <f>IFERROR(VLOOKUP(D1927,'Team Data'!C:AB,7,FALSE),"")</f>
        <v/>
      </c>
      <c r="I1927" t="str">
        <f>IFERROR(VLOOKUP(D1927,'Team Data'!C:AB,14,FALSE),"")</f>
        <v/>
      </c>
      <c r="J1927" t="str">
        <f>IFERROR(VLOOKUP(D1927,'Team Data'!C:AB,8,FALSE),"")</f>
        <v/>
      </c>
      <c r="K1927" t="str">
        <f>IFERROR(VLOOKUP(D1927,'Team Data'!C:AB,9,FALSE),"")</f>
        <v/>
      </c>
      <c r="L1927" t="str">
        <f>IFERROR(VLOOKUP(D1927,'Team Data'!C:AB,10,FALSE),"")</f>
        <v/>
      </c>
      <c r="M1927" t="str">
        <f t="shared" si="60"/>
        <v/>
      </c>
      <c r="N1927" t="str">
        <f>IFERROR(VLOOKUP(D1927,'Team Data'!C:AB,23,FALSE),"")</f>
        <v/>
      </c>
      <c r="O1927" t="str">
        <f>IFERROR(VLOOKUP(D1927,'Team Data'!C:AB,22,FALSE),"")</f>
        <v/>
      </c>
      <c r="P1927" t="str">
        <f t="shared" si="61"/>
        <v/>
      </c>
      <c r="Q1927" t="str">
        <f>IFERROR(VLOOKUP(D1927,'Team Data'!C:AB,15,FALSE),"")</f>
        <v/>
      </c>
      <c r="R1927" t="str">
        <f>IFERROR(VLOOKUP('OB Format'!D1927,'Team Data'!C:AB,24,FALSE),"")</f>
        <v/>
      </c>
      <c r="S1927" t="str">
        <f>IFERROR(VLOOKUP('OB Format'!D1927,'Team Data'!C:AC,25,FALSE),"")</f>
        <v/>
      </c>
    </row>
    <row r="1928" spans="5:19" x14ac:dyDescent="0.25">
      <c r="E1928" t="str">
        <f>IFERROR(VLOOKUP(D1928,'Team Data'!C:AB,4,FALSE),"")</f>
        <v/>
      </c>
      <c r="F1928" t="str">
        <f>IFERROR(VLOOKUP(D1928,'Team Data'!C:AB,5,FALSE),"")</f>
        <v/>
      </c>
      <c r="G1928" t="str">
        <f>IFERROR(VLOOKUP('OB Format'!D1928,'Team Data'!C:AB,17,FALSE),"")</f>
        <v/>
      </c>
      <c r="H1928" t="str">
        <f>IFERROR(VLOOKUP(D1928,'Team Data'!C:AB,7,FALSE),"")</f>
        <v/>
      </c>
      <c r="I1928" t="str">
        <f>IFERROR(VLOOKUP(D1928,'Team Data'!C:AB,14,FALSE),"")</f>
        <v/>
      </c>
      <c r="J1928" t="str">
        <f>IFERROR(VLOOKUP(D1928,'Team Data'!C:AB,8,FALSE),"")</f>
        <v/>
      </c>
      <c r="K1928" t="str">
        <f>IFERROR(VLOOKUP(D1928,'Team Data'!C:AB,9,FALSE),"")</f>
        <v/>
      </c>
      <c r="L1928" t="str">
        <f>IFERROR(VLOOKUP(D1928,'Team Data'!C:AB,10,FALSE),"")</f>
        <v/>
      </c>
      <c r="M1928" t="str">
        <f t="shared" si="60"/>
        <v/>
      </c>
      <c r="N1928" t="str">
        <f>IFERROR(VLOOKUP(D1928,'Team Data'!C:AB,23,FALSE),"")</f>
        <v/>
      </c>
      <c r="O1928" t="str">
        <f>IFERROR(VLOOKUP(D1928,'Team Data'!C:AB,22,FALSE),"")</f>
        <v/>
      </c>
      <c r="P1928" t="str">
        <f t="shared" si="61"/>
        <v/>
      </c>
      <c r="Q1928" t="str">
        <f>IFERROR(VLOOKUP(D1928,'Team Data'!C:AB,15,FALSE),"")</f>
        <v/>
      </c>
      <c r="R1928" t="str">
        <f>IFERROR(VLOOKUP('OB Format'!D1928,'Team Data'!C:AB,24,FALSE),"")</f>
        <v/>
      </c>
      <c r="S1928" t="str">
        <f>IFERROR(VLOOKUP('OB Format'!D1928,'Team Data'!C:AC,25,FALSE),"")</f>
        <v/>
      </c>
    </row>
    <row r="1929" spans="5:19" x14ac:dyDescent="0.25">
      <c r="E1929" t="str">
        <f>IFERROR(VLOOKUP(D1929,'Team Data'!C:AB,4,FALSE),"")</f>
        <v/>
      </c>
      <c r="F1929" t="str">
        <f>IFERROR(VLOOKUP(D1929,'Team Data'!C:AB,5,FALSE),"")</f>
        <v/>
      </c>
      <c r="G1929" t="str">
        <f>IFERROR(VLOOKUP('OB Format'!D1929,'Team Data'!C:AB,17,FALSE),"")</f>
        <v/>
      </c>
      <c r="H1929" t="str">
        <f>IFERROR(VLOOKUP(D1929,'Team Data'!C:AB,7,FALSE),"")</f>
        <v/>
      </c>
      <c r="I1929" t="str">
        <f>IFERROR(VLOOKUP(D1929,'Team Data'!C:AB,14,FALSE),"")</f>
        <v/>
      </c>
      <c r="J1929" t="str">
        <f>IFERROR(VLOOKUP(D1929,'Team Data'!C:AB,8,FALSE),"")</f>
        <v/>
      </c>
      <c r="K1929" t="str">
        <f>IFERROR(VLOOKUP(D1929,'Team Data'!C:AB,9,FALSE),"")</f>
        <v/>
      </c>
      <c r="L1929" t="str">
        <f>IFERROR(VLOOKUP(D1929,'Team Data'!C:AB,10,FALSE),"")</f>
        <v/>
      </c>
      <c r="M1929" t="str">
        <f t="shared" si="60"/>
        <v/>
      </c>
      <c r="N1929" t="str">
        <f>IFERROR(VLOOKUP(D1929,'Team Data'!C:AB,23,FALSE),"")</f>
        <v/>
      </c>
      <c r="O1929" t="str">
        <f>IFERROR(VLOOKUP(D1929,'Team Data'!C:AB,22,FALSE),"")</f>
        <v/>
      </c>
      <c r="P1929" t="str">
        <f t="shared" si="61"/>
        <v/>
      </c>
      <c r="Q1929" t="str">
        <f>IFERROR(VLOOKUP(D1929,'Team Data'!C:AB,15,FALSE),"")</f>
        <v/>
      </c>
      <c r="R1929" t="str">
        <f>IFERROR(VLOOKUP('OB Format'!D1929,'Team Data'!C:AB,24,FALSE),"")</f>
        <v/>
      </c>
      <c r="S1929" t="str">
        <f>IFERROR(VLOOKUP('OB Format'!D1929,'Team Data'!C:AC,25,FALSE),"")</f>
        <v/>
      </c>
    </row>
    <row r="1930" spans="5:19" x14ac:dyDescent="0.25">
      <c r="E1930" t="str">
        <f>IFERROR(VLOOKUP(D1930,'Team Data'!C:AB,4,FALSE),"")</f>
        <v/>
      </c>
      <c r="F1930" t="str">
        <f>IFERROR(VLOOKUP(D1930,'Team Data'!C:AB,5,FALSE),"")</f>
        <v/>
      </c>
      <c r="G1930" t="str">
        <f>IFERROR(VLOOKUP('OB Format'!D1930,'Team Data'!C:AB,17,FALSE),"")</f>
        <v/>
      </c>
      <c r="H1930" t="str">
        <f>IFERROR(VLOOKUP(D1930,'Team Data'!C:AB,7,FALSE),"")</f>
        <v/>
      </c>
      <c r="I1930" t="str">
        <f>IFERROR(VLOOKUP(D1930,'Team Data'!C:AB,14,FALSE),"")</f>
        <v/>
      </c>
      <c r="J1930" t="str">
        <f>IFERROR(VLOOKUP(D1930,'Team Data'!C:AB,8,FALSE),"")</f>
        <v/>
      </c>
      <c r="K1930" t="str">
        <f>IFERROR(VLOOKUP(D1930,'Team Data'!C:AB,9,FALSE),"")</f>
        <v/>
      </c>
      <c r="L1930" t="str">
        <f>IFERROR(VLOOKUP(D1930,'Team Data'!C:AB,10,FALSE),"")</f>
        <v/>
      </c>
      <c r="M1930" t="str">
        <f t="shared" si="60"/>
        <v/>
      </c>
      <c r="N1930" t="str">
        <f>IFERROR(VLOOKUP(D1930,'Team Data'!C:AB,23,FALSE),"")</f>
        <v/>
      </c>
      <c r="O1930" t="str">
        <f>IFERROR(VLOOKUP(D1930,'Team Data'!C:AB,22,FALSE),"")</f>
        <v/>
      </c>
      <c r="P1930" t="str">
        <f t="shared" si="61"/>
        <v/>
      </c>
      <c r="Q1930" t="str">
        <f>IFERROR(VLOOKUP(D1930,'Team Data'!C:AB,15,FALSE),"")</f>
        <v/>
      </c>
      <c r="R1930" t="str">
        <f>IFERROR(VLOOKUP('OB Format'!D1930,'Team Data'!C:AB,24,FALSE),"")</f>
        <v/>
      </c>
      <c r="S1930" t="str">
        <f>IFERROR(VLOOKUP('OB Format'!D1930,'Team Data'!C:AC,25,FALSE),"")</f>
        <v/>
      </c>
    </row>
    <row r="1931" spans="5:19" x14ac:dyDescent="0.25">
      <c r="E1931" t="str">
        <f>IFERROR(VLOOKUP(D1931,'Team Data'!C:AB,4,FALSE),"")</f>
        <v/>
      </c>
      <c r="F1931" t="str">
        <f>IFERROR(VLOOKUP(D1931,'Team Data'!C:AB,5,FALSE),"")</f>
        <v/>
      </c>
      <c r="G1931" t="str">
        <f>IFERROR(VLOOKUP('OB Format'!D1931,'Team Data'!C:AB,17,FALSE),"")</f>
        <v/>
      </c>
      <c r="H1931" t="str">
        <f>IFERROR(VLOOKUP(D1931,'Team Data'!C:AB,7,FALSE),"")</f>
        <v/>
      </c>
      <c r="I1931" t="str">
        <f>IFERROR(VLOOKUP(D1931,'Team Data'!C:AB,14,FALSE),"")</f>
        <v/>
      </c>
      <c r="J1931" t="str">
        <f>IFERROR(VLOOKUP(D1931,'Team Data'!C:AB,8,FALSE),"")</f>
        <v/>
      </c>
      <c r="K1931" t="str">
        <f>IFERROR(VLOOKUP(D1931,'Team Data'!C:AB,9,FALSE),"")</f>
        <v/>
      </c>
      <c r="L1931" t="str">
        <f>IFERROR(VLOOKUP(D1931,'Team Data'!C:AB,10,FALSE),"")</f>
        <v/>
      </c>
      <c r="M1931" t="str">
        <f t="shared" si="60"/>
        <v/>
      </c>
      <c r="N1931" t="str">
        <f>IFERROR(VLOOKUP(D1931,'Team Data'!C:AB,23,FALSE),"")</f>
        <v/>
      </c>
      <c r="O1931" t="str">
        <f>IFERROR(VLOOKUP(D1931,'Team Data'!C:AB,22,FALSE),"")</f>
        <v/>
      </c>
      <c r="P1931" t="str">
        <f t="shared" si="61"/>
        <v/>
      </c>
      <c r="Q1931" t="str">
        <f>IFERROR(VLOOKUP(D1931,'Team Data'!C:AB,15,FALSE),"")</f>
        <v/>
      </c>
      <c r="R1931" t="str">
        <f>IFERROR(VLOOKUP('OB Format'!D1931,'Team Data'!C:AB,24,FALSE),"")</f>
        <v/>
      </c>
      <c r="S1931" t="str">
        <f>IFERROR(VLOOKUP('OB Format'!D1931,'Team Data'!C:AC,25,FALSE),"")</f>
        <v/>
      </c>
    </row>
    <row r="1932" spans="5:19" x14ac:dyDescent="0.25">
      <c r="E1932" t="str">
        <f>IFERROR(VLOOKUP(D1932,'Team Data'!C:AB,4,FALSE),"")</f>
        <v/>
      </c>
      <c r="F1932" t="str">
        <f>IFERROR(VLOOKUP(D1932,'Team Data'!C:AB,5,FALSE),"")</f>
        <v/>
      </c>
      <c r="G1932" t="str">
        <f>IFERROR(VLOOKUP('OB Format'!D1932,'Team Data'!C:AB,17,FALSE),"")</f>
        <v/>
      </c>
      <c r="H1932" t="str">
        <f>IFERROR(VLOOKUP(D1932,'Team Data'!C:AB,7,FALSE),"")</f>
        <v/>
      </c>
      <c r="I1932" t="str">
        <f>IFERROR(VLOOKUP(D1932,'Team Data'!C:AB,14,FALSE),"")</f>
        <v/>
      </c>
      <c r="J1932" t="str">
        <f>IFERROR(VLOOKUP(D1932,'Team Data'!C:AB,8,FALSE),"")</f>
        <v/>
      </c>
      <c r="K1932" t="str">
        <f>IFERROR(VLOOKUP(D1932,'Team Data'!C:AB,9,FALSE),"")</f>
        <v/>
      </c>
      <c r="L1932" t="str">
        <f>IFERROR(VLOOKUP(D1932,'Team Data'!C:AB,10,FALSE),"")</f>
        <v/>
      </c>
      <c r="M1932" t="str">
        <f t="shared" si="60"/>
        <v/>
      </c>
      <c r="N1932" t="str">
        <f>IFERROR(VLOOKUP(D1932,'Team Data'!C:AB,23,FALSE),"")</f>
        <v/>
      </c>
      <c r="O1932" t="str">
        <f>IFERROR(VLOOKUP(D1932,'Team Data'!C:AB,22,FALSE),"")</f>
        <v/>
      </c>
      <c r="P1932" t="str">
        <f t="shared" si="61"/>
        <v/>
      </c>
      <c r="Q1932" t="str">
        <f>IFERROR(VLOOKUP(D1932,'Team Data'!C:AB,15,FALSE),"")</f>
        <v/>
      </c>
      <c r="R1932" t="str">
        <f>IFERROR(VLOOKUP('OB Format'!D1932,'Team Data'!C:AB,24,FALSE),"")</f>
        <v/>
      </c>
      <c r="S1932" t="str">
        <f>IFERROR(VLOOKUP('OB Format'!D1932,'Team Data'!C:AC,25,FALSE),"")</f>
        <v/>
      </c>
    </row>
    <row r="1933" spans="5:19" x14ac:dyDescent="0.25">
      <c r="E1933" t="str">
        <f>IFERROR(VLOOKUP(D1933,'Team Data'!C:AB,4,FALSE),"")</f>
        <v/>
      </c>
      <c r="F1933" t="str">
        <f>IFERROR(VLOOKUP(D1933,'Team Data'!C:AB,5,FALSE),"")</f>
        <v/>
      </c>
      <c r="G1933" t="str">
        <f>IFERROR(VLOOKUP('OB Format'!D1933,'Team Data'!C:AB,17,FALSE),"")</f>
        <v/>
      </c>
      <c r="H1933" t="str">
        <f>IFERROR(VLOOKUP(D1933,'Team Data'!C:AB,7,FALSE),"")</f>
        <v/>
      </c>
      <c r="I1933" t="str">
        <f>IFERROR(VLOOKUP(D1933,'Team Data'!C:AB,14,FALSE),"")</f>
        <v/>
      </c>
      <c r="J1933" t="str">
        <f>IFERROR(VLOOKUP(D1933,'Team Data'!C:AB,8,FALSE),"")</f>
        <v/>
      </c>
      <c r="K1933" t="str">
        <f>IFERROR(VLOOKUP(D1933,'Team Data'!C:AB,9,FALSE),"")</f>
        <v/>
      </c>
      <c r="L1933" t="str">
        <f>IFERROR(VLOOKUP(D1933,'Team Data'!C:AB,10,FALSE),"")</f>
        <v/>
      </c>
      <c r="M1933" t="str">
        <f t="shared" ref="M1933:M1996" si="62">IFERROR(H1933-(J1933+L1933+K1933),"")</f>
        <v/>
      </c>
      <c r="N1933" t="str">
        <f>IFERROR(VLOOKUP(D1933,'Team Data'!C:AB,23,FALSE),"")</f>
        <v/>
      </c>
      <c r="O1933" t="str">
        <f>IFERROR(VLOOKUP(D1933,'Team Data'!C:AB,22,FALSE),"")</f>
        <v/>
      </c>
      <c r="P1933" t="str">
        <f t="shared" ref="P1933:P1996" si="63">IFERROR(E1933-(H1933+N1933+Q1933+I1933+O1933),"")</f>
        <v/>
      </c>
      <c r="Q1933" t="str">
        <f>IFERROR(VLOOKUP(D1933,'Team Data'!C:AB,15,FALSE),"")</f>
        <v/>
      </c>
      <c r="R1933" t="str">
        <f>IFERROR(VLOOKUP('OB Format'!D1933,'Team Data'!C:AB,24,FALSE),"")</f>
        <v/>
      </c>
      <c r="S1933" t="str">
        <f>IFERROR(VLOOKUP('OB Format'!D1933,'Team Data'!C:AC,25,FALSE),"")</f>
        <v/>
      </c>
    </row>
    <row r="1934" spans="5:19" x14ac:dyDescent="0.25">
      <c r="E1934" t="str">
        <f>IFERROR(VLOOKUP(D1934,'Team Data'!C:AB,4,FALSE),"")</f>
        <v/>
      </c>
      <c r="F1934" t="str">
        <f>IFERROR(VLOOKUP(D1934,'Team Data'!C:AB,5,FALSE),"")</f>
        <v/>
      </c>
      <c r="G1934" t="str">
        <f>IFERROR(VLOOKUP('OB Format'!D1934,'Team Data'!C:AB,17,FALSE),"")</f>
        <v/>
      </c>
      <c r="H1934" t="str">
        <f>IFERROR(VLOOKUP(D1934,'Team Data'!C:AB,7,FALSE),"")</f>
        <v/>
      </c>
      <c r="I1934" t="str">
        <f>IFERROR(VLOOKUP(D1934,'Team Data'!C:AB,14,FALSE),"")</f>
        <v/>
      </c>
      <c r="J1934" t="str">
        <f>IFERROR(VLOOKUP(D1934,'Team Data'!C:AB,8,FALSE),"")</f>
        <v/>
      </c>
      <c r="K1934" t="str">
        <f>IFERROR(VLOOKUP(D1934,'Team Data'!C:AB,9,FALSE),"")</f>
        <v/>
      </c>
      <c r="L1934" t="str">
        <f>IFERROR(VLOOKUP(D1934,'Team Data'!C:AB,10,FALSE),"")</f>
        <v/>
      </c>
      <c r="M1934" t="str">
        <f t="shared" si="62"/>
        <v/>
      </c>
      <c r="N1934" t="str">
        <f>IFERROR(VLOOKUP(D1934,'Team Data'!C:AB,23,FALSE),"")</f>
        <v/>
      </c>
      <c r="O1934" t="str">
        <f>IFERROR(VLOOKUP(D1934,'Team Data'!C:AB,22,FALSE),"")</f>
        <v/>
      </c>
      <c r="P1934" t="str">
        <f t="shared" si="63"/>
        <v/>
      </c>
      <c r="Q1934" t="str">
        <f>IFERROR(VLOOKUP(D1934,'Team Data'!C:AB,15,FALSE),"")</f>
        <v/>
      </c>
      <c r="R1934" t="str">
        <f>IFERROR(VLOOKUP('OB Format'!D1934,'Team Data'!C:AB,24,FALSE),"")</f>
        <v/>
      </c>
      <c r="S1934" t="str">
        <f>IFERROR(VLOOKUP('OB Format'!D1934,'Team Data'!C:AC,25,FALSE),"")</f>
        <v/>
      </c>
    </row>
    <row r="1935" spans="5:19" x14ac:dyDescent="0.25">
      <c r="E1935" t="str">
        <f>IFERROR(VLOOKUP(D1935,'Team Data'!C:AB,4,FALSE),"")</f>
        <v/>
      </c>
      <c r="F1935" t="str">
        <f>IFERROR(VLOOKUP(D1935,'Team Data'!C:AB,5,FALSE),"")</f>
        <v/>
      </c>
      <c r="G1935" t="str">
        <f>IFERROR(VLOOKUP('OB Format'!D1935,'Team Data'!C:AB,17,FALSE),"")</f>
        <v/>
      </c>
      <c r="H1935" t="str">
        <f>IFERROR(VLOOKUP(D1935,'Team Data'!C:AB,7,FALSE),"")</f>
        <v/>
      </c>
      <c r="I1935" t="str">
        <f>IFERROR(VLOOKUP(D1935,'Team Data'!C:AB,14,FALSE),"")</f>
        <v/>
      </c>
      <c r="J1935" t="str">
        <f>IFERROR(VLOOKUP(D1935,'Team Data'!C:AB,8,FALSE),"")</f>
        <v/>
      </c>
      <c r="K1935" t="str">
        <f>IFERROR(VLOOKUP(D1935,'Team Data'!C:AB,9,FALSE),"")</f>
        <v/>
      </c>
      <c r="L1935" t="str">
        <f>IFERROR(VLOOKUP(D1935,'Team Data'!C:AB,10,FALSE),"")</f>
        <v/>
      </c>
      <c r="M1935" t="str">
        <f t="shared" si="62"/>
        <v/>
      </c>
      <c r="N1935" t="str">
        <f>IFERROR(VLOOKUP(D1935,'Team Data'!C:AB,23,FALSE),"")</f>
        <v/>
      </c>
      <c r="O1935" t="str">
        <f>IFERROR(VLOOKUP(D1935,'Team Data'!C:AB,22,FALSE),"")</f>
        <v/>
      </c>
      <c r="P1935" t="str">
        <f t="shared" si="63"/>
        <v/>
      </c>
      <c r="Q1935" t="str">
        <f>IFERROR(VLOOKUP(D1935,'Team Data'!C:AB,15,FALSE),"")</f>
        <v/>
      </c>
      <c r="R1935" t="str">
        <f>IFERROR(VLOOKUP('OB Format'!D1935,'Team Data'!C:AB,24,FALSE),"")</f>
        <v/>
      </c>
      <c r="S1935" t="str">
        <f>IFERROR(VLOOKUP('OB Format'!D1935,'Team Data'!C:AC,25,FALSE),"")</f>
        <v/>
      </c>
    </row>
    <row r="1936" spans="5:19" x14ac:dyDescent="0.25">
      <c r="E1936" t="str">
        <f>IFERROR(VLOOKUP(D1936,'Team Data'!C:AB,4,FALSE),"")</f>
        <v/>
      </c>
      <c r="F1936" t="str">
        <f>IFERROR(VLOOKUP(D1936,'Team Data'!C:AB,5,FALSE),"")</f>
        <v/>
      </c>
      <c r="G1936" t="str">
        <f>IFERROR(VLOOKUP('OB Format'!D1936,'Team Data'!C:AB,17,FALSE),"")</f>
        <v/>
      </c>
      <c r="H1936" t="str">
        <f>IFERROR(VLOOKUP(D1936,'Team Data'!C:AB,7,FALSE),"")</f>
        <v/>
      </c>
      <c r="I1936" t="str">
        <f>IFERROR(VLOOKUP(D1936,'Team Data'!C:AB,14,FALSE),"")</f>
        <v/>
      </c>
      <c r="J1936" t="str">
        <f>IFERROR(VLOOKUP(D1936,'Team Data'!C:AB,8,FALSE),"")</f>
        <v/>
      </c>
      <c r="K1936" t="str">
        <f>IFERROR(VLOOKUP(D1936,'Team Data'!C:AB,9,FALSE),"")</f>
        <v/>
      </c>
      <c r="L1936" t="str">
        <f>IFERROR(VLOOKUP(D1936,'Team Data'!C:AB,10,FALSE),"")</f>
        <v/>
      </c>
      <c r="M1936" t="str">
        <f t="shared" si="62"/>
        <v/>
      </c>
      <c r="N1936" t="str">
        <f>IFERROR(VLOOKUP(D1936,'Team Data'!C:AB,23,FALSE),"")</f>
        <v/>
      </c>
      <c r="O1936" t="str">
        <f>IFERROR(VLOOKUP(D1936,'Team Data'!C:AB,22,FALSE),"")</f>
        <v/>
      </c>
      <c r="P1936" t="str">
        <f t="shared" si="63"/>
        <v/>
      </c>
      <c r="Q1936" t="str">
        <f>IFERROR(VLOOKUP(D1936,'Team Data'!C:AB,15,FALSE),"")</f>
        <v/>
      </c>
      <c r="R1936" t="str">
        <f>IFERROR(VLOOKUP('OB Format'!D1936,'Team Data'!C:AB,24,FALSE),"")</f>
        <v/>
      </c>
      <c r="S1936" t="str">
        <f>IFERROR(VLOOKUP('OB Format'!D1936,'Team Data'!C:AC,25,FALSE),"")</f>
        <v/>
      </c>
    </row>
    <row r="1937" spans="5:19" x14ac:dyDescent="0.25">
      <c r="E1937" t="str">
        <f>IFERROR(VLOOKUP(D1937,'Team Data'!C:AB,4,FALSE),"")</f>
        <v/>
      </c>
      <c r="F1937" t="str">
        <f>IFERROR(VLOOKUP(D1937,'Team Data'!C:AB,5,FALSE),"")</f>
        <v/>
      </c>
      <c r="G1937" t="str">
        <f>IFERROR(VLOOKUP('OB Format'!D1937,'Team Data'!C:AB,17,FALSE),"")</f>
        <v/>
      </c>
      <c r="H1937" t="str">
        <f>IFERROR(VLOOKUP(D1937,'Team Data'!C:AB,7,FALSE),"")</f>
        <v/>
      </c>
      <c r="I1937" t="str">
        <f>IFERROR(VLOOKUP(D1937,'Team Data'!C:AB,14,FALSE),"")</f>
        <v/>
      </c>
      <c r="J1937" t="str">
        <f>IFERROR(VLOOKUP(D1937,'Team Data'!C:AB,8,FALSE),"")</f>
        <v/>
      </c>
      <c r="K1937" t="str">
        <f>IFERROR(VLOOKUP(D1937,'Team Data'!C:AB,9,FALSE),"")</f>
        <v/>
      </c>
      <c r="L1937" t="str">
        <f>IFERROR(VLOOKUP(D1937,'Team Data'!C:AB,10,FALSE),"")</f>
        <v/>
      </c>
      <c r="M1937" t="str">
        <f t="shared" si="62"/>
        <v/>
      </c>
      <c r="N1937" t="str">
        <f>IFERROR(VLOOKUP(D1937,'Team Data'!C:AB,23,FALSE),"")</f>
        <v/>
      </c>
      <c r="O1937" t="str">
        <f>IFERROR(VLOOKUP(D1937,'Team Data'!C:AB,22,FALSE),"")</f>
        <v/>
      </c>
      <c r="P1937" t="str">
        <f t="shared" si="63"/>
        <v/>
      </c>
      <c r="Q1937" t="str">
        <f>IFERROR(VLOOKUP(D1937,'Team Data'!C:AB,15,FALSE),"")</f>
        <v/>
      </c>
      <c r="R1937" t="str">
        <f>IFERROR(VLOOKUP('OB Format'!D1937,'Team Data'!C:AB,24,FALSE),"")</f>
        <v/>
      </c>
      <c r="S1937" t="str">
        <f>IFERROR(VLOOKUP('OB Format'!D1937,'Team Data'!C:AC,25,FALSE),"")</f>
        <v/>
      </c>
    </row>
    <row r="1938" spans="5:19" x14ac:dyDescent="0.25">
      <c r="E1938" t="str">
        <f>IFERROR(VLOOKUP(D1938,'Team Data'!C:AB,4,FALSE),"")</f>
        <v/>
      </c>
      <c r="F1938" t="str">
        <f>IFERROR(VLOOKUP(D1938,'Team Data'!C:AB,5,FALSE),"")</f>
        <v/>
      </c>
      <c r="G1938" t="str">
        <f>IFERROR(VLOOKUP('OB Format'!D1938,'Team Data'!C:AB,17,FALSE),"")</f>
        <v/>
      </c>
      <c r="H1938" t="str">
        <f>IFERROR(VLOOKUP(D1938,'Team Data'!C:AB,7,FALSE),"")</f>
        <v/>
      </c>
      <c r="I1938" t="str">
        <f>IFERROR(VLOOKUP(D1938,'Team Data'!C:AB,14,FALSE),"")</f>
        <v/>
      </c>
      <c r="J1938" t="str">
        <f>IFERROR(VLOOKUP(D1938,'Team Data'!C:AB,8,FALSE),"")</f>
        <v/>
      </c>
      <c r="K1938" t="str">
        <f>IFERROR(VLOOKUP(D1938,'Team Data'!C:AB,9,FALSE),"")</f>
        <v/>
      </c>
      <c r="L1938" t="str">
        <f>IFERROR(VLOOKUP(D1938,'Team Data'!C:AB,10,FALSE),"")</f>
        <v/>
      </c>
      <c r="M1938" t="str">
        <f t="shared" si="62"/>
        <v/>
      </c>
      <c r="N1938" t="str">
        <f>IFERROR(VLOOKUP(D1938,'Team Data'!C:AB,23,FALSE),"")</f>
        <v/>
      </c>
      <c r="O1938" t="str">
        <f>IFERROR(VLOOKUP(D1938,'Team Data'!C:AB,22,FALSE),"")</f>
        <v/>
      </c>
      <c r="P1938" t="str">
        <f t="shared" si="63"/>
        <v/>
      </c>
      <c r="Q1938" t="str">
        <f>IFERROR(VLOOKUP(D1938,'Team Data'!C:AB,15,FALSE),"")</f>
        <v/>
      </c>
      <c r="R1938" t="str">
        <f>IFERROR(VLOOKUP('OB Format'!D1938,'Team Data'!C:AB,24,FALSE),"")</f>
        <v/>
      </c>
      <c r="S1938" t="str">
        <f>IFERROR(VLOOKUP('OB Format'!D1938,'Team Data'!C:AC,25,FALSE),"")</f>
        <v/>
      </c>
    </row>
    <row r="1939" spans="5:19" x14ac:dyDescent="0.25">
      <c r="E1939" t="str">
        <f>IFERROR(VLOOKUP(D1939,'Team Data'!C:AB,4,FALSE),"")</f>
        <v/>
      </c>
      <c r="F1939" t="str">
        <f>IFERROR(VLOOKUP(D1939,'Team Data'!C:AB,5,FALSE),"")</f>
        <v/>
      </c>
      <c r="G1939" t="str">
        <f>IFERROR(VLOOKUP('OB Format'!D1939,'Team Data'!C:AB,17,FALSE),"")</f>
        <v/>
      </c>
      <c r="H1939" t="str">
        <f>IFERROR(VLOOKUP(D1939,'Team Data'!C:AB,7,FALSE),"")</f>
        <v/>
      </c>
      <c r="I1939" t="str">
        <f>IFERROR(VLOOKUP(D1939,'Team Data'!C:AB,14,FALSE),"")</f>
        <v/>
      </c>
      <c r="J1939" t="str">
        <f>IFERROR(VLOOKUP(D1939,'Team Data'!C:AB,8,FALSE),"")</f>
        <v/>
      </c>
      <c r="K1939" t="str">
        <f>IFERROR(VLOOKUP(D1939,'Team Data'!C:AB,9,FALSE),"")</f>
        <v/>
      </c>
      <c r="L1939" t="str">
        <f>IFERROR(VLOOKUP(D1939,'Team Data'!C:AB,10,FALSE),"")</f>
        <v/>
      </c>
      <c r="M1939" t="str">
        <f t="shared" si="62"/>
        <v/>
      </c>
      <c r="N1939" t="str">
        <f>IFERROR(VLOOKUP(D1939,'Team Data'!C:AB,23,FALSE),"")</f>
        <v/>
      </c>
      <c r="O1939" t="str">
        <f>IFERROR(VLOOKUP(D1939,'Team Data'!C:AB,22,FALSE),"")</f>
        <v/>
      </c>
      <c r="P1939" t="str">
        <f t="shared" si="63"/>
        <v/>
      </c>
      <c r="Q1939" t="str">
        <f>IFERROR(VLOOKUP(D1939,'Team Data'!C:AB,15,FALSE),"")</f>
        <v/>
      </c>
      <c r="R1939" t="str">
        <f>IFERROR(VLOOKUP('OB Format'!D1939,'Team Data'!C:AB,24,FALSE),"")</f>
        <v/>
      </c>
      <c r="S1939" t="str">
        <f>IFERROR(VLOOKUP('OB Format'!D1939,'Team Data'!C:AC,25,FALSE),"")</f>
        <v/>
      </c>
    </row>
    <row r="1940" spans="5:19" x14ac:dyDescent="0.25">
      <c r="E1940" t="str">
        <f>IFERROR(VLOOKUP(D1940,'Team Data'!C:AB,4,FALSE),"")</f>
        <v/>
      </c>
      <c r="F1940" t="str">
        <f>IFERROR(VLOOKUP(D1940,'Team Data'!C:AB,5,FALSE),"")</f>
        <v/>
      </c>
      <c r="G1940" t="str">
        <f>IFERROR(VLOOKUP('OB Format'!D1940,'Team Data'!C:AB,17,FALSE),"")</f>
        <v/>
      </c>
      <c r="H1940" t="str">
        <f>IFERROR(VLOOKUP(D1940,'Team Data'!C:AB,7,FALSE),"")</f>
        <v/>
      </c>
      <c r="I1940" t="str">
        <f>IFERROR(VLOOKUP(D1940,'Team Data'!C:AB,14,FALSE),"")</f>
        <v/>
      </c>
      <c r="J1940" t="str">
        <f>IFERROR(VLOOKUP(D1940,'Team Data'!C:AB,8,FALSE),"")</f>
        <v/>
      </c>
      <c r="K1940" t="str">
        <f>IFERROR(VLOOKUP(D1940,'Team Data'!C:AB,9,FALSE),"")</f>
        <v/>
      </c>
      <c r="L1940" t="str">
        <f>IFERROR(VLOOKUP(D1940,'Team Data'!C:AB,10,FALSE),"")</f>
        <v/>
      </c>
      <c r="M1940" t="str">
        <f t="shared" si="62"/>
        <v/>
      </c>
      <c r="N1940" t="str">
        <f>IFERROR(VLOOKUP(D1940,'Team Data'!C:AB,23,FALSE),"")</f>
        <v/>
      </c>
      <c r="O1940" t="str">
        <f>IFERROR(VLOOKUP(D1940,'Team Data'!C:AB,22,FALSE),"")</f>
        <v/>
      </c>
      <c r="P1940" t="str">
        <f t="shared" si="63"/>
        <v/>
      </c>
      <c r="Q1940" t="str">
        <f>IFERROR(VLOOKUP(D1940,'Team Data'!C:AB,15,FALSE),"")</f>
        <v/>
      </c>
      <c r="R1940" t="str">
        <f>IFERROR(VLOOKUP('OB Format'!D1940,'Team Data'!C:AB,24,FALSE),"")</f>
        <v/>
      </c>
      <c r="S1940" t="str">
        <f>IFERROR(VLOOKUP('OB Format'!D1940,'Team Data'!C:AC,25,FALSE),"")</f>
        <v/>
      </c>
    </row>
    <row r="1941" spans="5:19" x14ac:dyDescent="0.25">
      <c r="E1941" t="str">
        <f>IFERROR(VLOOKUP(D1941,'Team Data'!C:AB,4,FALSE),"")</f>
        <v/>
      </c>
      <c r="F1941" t="str">
        <f>IFERROR(VLOOKUP(D1941,'Team Data'!C:AB,5,FALSE),"")</f>
        <v/>
      </c>
      <c r="G1941" t="str">
        <f>IFERROR(VLOOKUP('OB Format'!D1941,'Team Data'!C:AB,17,FALSE),"")</f>
        <v/>
      </c>
      <c r="H1941" t="str">
        <f>IFERROR(VLOOKUP(D1941,'Team Data'!C:AB,7,FALSE),"")</f>
        <v/>
      </c>
      <c r="I1941" t="str">
        <f>IFERROR(VLOOKUP(D1941,'Team Data'!C:AB,14,FALSE),"")</f>
        <v/>
      </c>
      <c r="J1941" t="str">
        <f>IFERROR(VLOOKUP(D1941,'Team Data'!C:AB,8,FALSE),"")</f>
        <v/>
      </c>
      <c r="K1941" t="str">
        <f>IFERROR(VLOOKUP(D1941,'Team Data'!C:AB,9,FALSE),"")</f>
        <v/>
      </c>
      <c r="L1941" t="str">
        <f>IFERROR(VLOOKUP(D1941,'Team Data'!C:AB,10,FALSE),"")</f>
        <v/>
      </c>
      <c r="M1941" t="str">
        <f t="shared" si="62"/>
        <v/>
      </c>
      <c r="N1941" t="str">
        <f>IFERROR(VLOOKUP(D1941,'Team Data'!C:AB,23,FALSE),"")</f>
        <v/>
      </c>
      <c r="O1941" t="str">
        <f>IFERROR(VLOOKUP(D1941,'Team Data'!C:AB,22,FALSE),"")</f>
        <v/>
      </c>
      <c r="P1941" t="str">
        <f t="shared" si="63"/>
        <v/>
      </c>
      <c r="Q1941" t="str">
        <f>IFERROR(VLOOKUP(D1941,'Team Data'!C:AB,15,FALSE),"")</f>
        <v/>
      </c>
      <c r="R1941" t="str">
        <f>IFERROR(VLOOKUP('OB Format'!D1941,'Team Data'!C:AB,24,FALSE),"")</f>
        <v/>
      </c>
      <c r="S1941" t="str">
        <f>IFERROR(VLOOKUP('OB Format'!D1941,'Team Data'!C:AC,25,FALSE),"")</f>
        <v/>
      </c>
    </row>
    <row r="1942" spans="5:19" x14ac:dyDescent="0.25">
      <c r="E1942" t="str">
        <f>IFERROR(VLOOKUP(D1942,'Team Data'!C:AB,4,FALSE),"")</f>
        <v/>
      </c>
      <c r="F1942" t="str">
        <f>IFERROR(VLOOKUP(D1942,'Team Data'!C:AB,5,FALSE),"")</f>
        <v/>
      </c>
      <c r="G1942" t="str">
        <f>IFERROR(VLOOKUP('OB Format'!D1942,'Team Data'!C:AB,17,FALSE),"")</f>
        <v/>
      </c>
      <c r="H1942" t="str">
        <f>IFERROR(VLOOKUP(D1942,'Team Data'!C:AB,7,FALSE),"")</f>
        <v/>
      </c>
      <c r="I1942" t="str">
        <f>IFERROR(VLOOKUP(D1942,'Team Data'!C:AB,14,FALSE),"")</f>
        <v/>
      </c>
      <c r="J1942" t="str">
        <f>IFERROR(VLOOKUP(D1942,'Team Data'!C:AB,8,FALSE),"")</f>
        <v/>
      </c>
      <c r="K1942" t="str">
        <f>IFERROR(VLOOKUP(D1942,'Team Data'!C:AB,9,FALSE),"")</f>
        <v/>
      </c>
      <c r="L1942" t="str">
        <f>IFERROR(VLOOKUP(D1942,'Team Data'!C:AB,10,FALSE),"")</f>
        <v/>
      </c>
      <c r="M1942" t="str">
        <f t="shared" si="62"/>
        <v/>
      </c>
      <c r="N1942" t="str">
        <f>IFERROR(VLOOKUP(D1942,'Team Data'!C:AB,23,FALSE),"")</f>
        <v/>
      </c>
      <c r="O1942" t="str">
        <f>IFERROR(VLOOKUP(D1942,'Team Data'!C:AB,22,FALSE),"")</f>
        <v/>
      </c>
      <c r="P1942" t="str">
        <f t="shared" si="63"/>
        <v/>
      </c>
      <c r="Q1942" t="str">
        <f>IFERROR(VLOOKUP(D1942,'Team Data'!C:AB,15,FALSE),"")</f>
        <v/>
      </c>
      <c r="R1942" t="str">
        <f>IFERROR(VLOOKUP('OB Format'!D1942,'Team Data'!C:AB,24,FALSE),"")</f>
        <v/>
      </c>
      <c r="S1942" t="str">
        <f>IFERROR(VLOOKUP('OB Format'!D1942,'Team Data'!C:AC,25,FALSE),"")</f>
        <v/>
      </c>
    </row>
    <row r="1943" spans="5:19" x14ac:dyDescent="0.25">
      <c r="E1943" t="str">
        <f>IFERROR(VLOOKUP(D1943,'Team Data'!C:AB,4,FALSE),"")</f>
        <v/>
      </c>
      <c r="F1943" t="str">
        <f>IFERROR(VLOOKUP(D1943,'Team Data'!C:AB,5,FALSE),"")</f>
        <v/>
      </c>
      <c r="G1943" t="str">
        <f>IFERROR(VLOOKUP('OB Format'!D1943,'Team Data'!C:AB,17,FALSE),"")</f>
        <v/>
      </c>
      <c r="H1943" t="str">
        <f>IFERROR(VLOOKUP(D1943,'Team Data'!C:AB,7,FALSE),"")</f>
        <v/>
      </c>
      <c r="I1943" t="str">
        <f>IFERROR(VLOOKUP(D1943,'Team Data'!C:AB,14,FALSE),"")</f>
        <v/>
      </c>
      <c r="J1943" t="str">
        <f>IFERROR(VLOOKUP(D1943,'Team Data'!C:AB,8,FALSE),"")</f>
        <v/>
      </c>
      <c r="K1943" t="str">
        <f>IFERROR(VLOOKUP(D1943,'Team Data'!C:AB,9,FALSE),"")</f>
        <v/>
      </c>
      <c r="L1943" t="str">
        <f>IFERROR(VLOOKUP(D1943,'Team Data'!C:AB,10,FALSE),"")</f>
        <v/>
      </c>
      <c r="M1943" t="str">
        <f t="shared" si="62"/>
        <v/>
      </c>
      <c r="N1943" t="str">
        <f>IFERROR(VLOOKUP(D1943,'Team Data'!C:AB,23,FALSE),"")</f>
        <v/>
      </c>
      <c r="O1943" t="str">
        <f>IFERROR(VLOOKUP(D1943,'Team Data'!C:AB,22,FALSE),"")</f>
        <v/>
      </c>
      <c r="P1943" t="str">
        <f t="shared" si="63"/>
        <v/>
      </c>
      <c r="Q1943" t="str">
        <f>IFERROR(VLOOKUP(D1943,'Team Data'!C:AB,15,FALSE),"")</f>
        <v/>
      </c>
      <c r="R1943" t="str">
        <f>IFERROR(VLOOKUP('OB Format'!D1943,'Team Data'!C:AB,24,FALSE),"")</f>
        <v/>
      </c>
      <c r="S1943" t="str">
        <f>IFERROR(VLOOKUP('OB Format'!D1943,'Team Data'!C:AC,25,FALSE),"")</f>
        <v/>
      </c>
    </row>
    <row r="1944" spans="5:19" x14ac:dyDescent="0.25">
      <c r="E1944" t="str">
        <f>IFERROR(VLOOKUP(D1944,'Team Data'!C:AB,4,FALSE),"")</f>
        <v/>
      </c>
      <c r="F1944" t="str">
        <f>IFERROR(VLOOKUP(D1944,'Team Data'!C:AB,5,FALSE),"")</f>
        <v/>
      </c>
      <c r="G1944" t="str">
        <f>IFERROR(VLOOKUP('OB Format'!D1944,'Team Data'!C:AB,17,FALSE),"")</f>
        <v/>
      </c>
      <c r="H1944" t="str">
        <f>IFERROR(VLOOKUP(D1944,'Team Data'!C:AB,7,FALSE),"")</f>
        <v/>
      </c>
      <c r="I1944" t="str">
        <f>IFERROR(VLOOKUP(D1944,'Team Data'!C:AB,14,FALSE),"")</f>
        <v/>
      </c>
      <c r="J1944" t="str">
        <f>IFERROR(VLOOKUP(D1944,'Team Data'!C:AB,8,FALSE),"")</f>
        <v/>
      </c>
      <c r="K1944" t="str">
        <f>IFERROR(VLOOKUP(D1944,'Team Data'!C:AB,9,FALSE),"")</f>
        <v/>
      </c>
      <c r="L1944" t="str">
        <f>IFERROR(VLOOKUP(D1944,'Team Data'!C:AB,10,FALSE),"")</f>
        <v/>
      </c>
      <c r="M1944" t="str">
        <f t="shared" si="62"/>
        <v/>
      </c>
      <c r="N1944" t="str">
        <f>IFERROR(VLOOKUP(D1944,'Team Data'!C:AB,23,FALSE),"")</f>
        <v/>
      </c>
      <c r="O1944" t="str">
        <f>IFERROR(VLOOKUP(D1944,'Team Data'!C:AB,22,FALSE),"")</f>
        <v/>
      </c>
      <c r="P1944" t="str">
        <f t="shared" si="63"/>
        <v/>
      </c>
      <c r="Q1944" t="str">
        <f>IFERROR(VLOOKUP(D1944,'Team Data'!C:AB,15,FALSE),"")</f>
        <v/>
      </c>
      <c r="R1944" t="str">
        <f>IFERROR(VLOOKUP('OB Format'!D1944,'Team Data'!C:AB,24,FALSE),"")</f>
        <v/>
      </c>
      <c r="S1944" t="str">
        <f>IFERROR(VLOOKUP('OB Format'!D1944,'Team Data'!C:AC,25,FALSE),"")</f>
        <v/>
      </c>
    </row>
    <row r="1945" spans="5:19" x14ac:dyDescent="0.25">
      <c r="E1945" t="str">
        <f>IFERROR(VLOOKUP(D1945,'Team Data'!C:AB,4,FALSE),"")</f>
        <v/>
      </c>
      <c r="F1945" t="str">
        <f>IFERROR(VLOOKUP(D1945,'Team Data'!C:AB,5,FALSE),"")</f>
        <v/>
      </c>
      <c r="G1945" t="str">
        <f>IFERROR(VLOOKUP('OB Format'!D1945,'Team Data'!C:AB,17,FALSE),"")</f>
        <v/>
      </c>
      <c r="H1945" t="str">
        <f>IFERROR(VLOOKUP(D1945,'Team Data'!C:AB,7,FALSE),"")</f>
        <v/>
      </c>
      <c r="I1945" t="str">
        <f>IFERROR(VLOOKUP(D1945,'Team Data'!C:AB,14,FALSE),"")</f>
        <v/>
      </c>
      <c r="J1945" t="str">
        <f>IFERROR(VLOOKUP(D1945,'Team Data'!C:AB,8,FALSE),"")</f>
        <v/>
      </c>
      <c r="K1945" t="str">
        <f>IFERROR(VLOOKUP(D1945,'Team Data'!C:AB,9,FALSE),"")</f>
        <v/>
      </c>
      <c r="L1945" t="str">
        <f>IFERROR(VLOOKUP(D1945,'Team Data'!C:AB,10,FALSE),"")</f>
        <v/>
      </c>
      <c r="M1945" t="str">
        <f t="shared" si="62"/>
        <v/>
      </c>
      <c r="N1945" t="str">
        <f>IFERROR(VLOOKUP(D1945,'Team Data'!C:AB,23,FALSE),"")</f>
        <v/>
      </c>
      <c r="O1945" t="str">
        <f>IFERROR(VLOOKUP(D1945,'Team Data'!C:AB,22,FALSE),"")</f>
        <v/>
      </c>
      <c r="P1945" t="str">
        <f t="shared" si="63"/>
        <v/>
      </c>
      <c r="Q1945" t="str">
        <f>IFERROR(VLOOKUP(D1945,'Team Data'!C:AB,15,FALSE),"")</f>
        <v/>
      </c>
      <c r="R1945" t="str">
        <f>IFERROR(VLOOKUP('OB Format'!D1945,'Team Data'!C:AB,24,FALSE),"")</f>
        <v/>
      </c>
      <c r="S1945" t="str">
        <f>IFERROR(VLOOKUP('OB Format'!D1945,'Team Data'!C:AC,25,FALSE),"")</f>
        <v/>
      </c>
    </row>
    <row r="1946" spans="5:19" x14ac:dyDescent="0.25">
      <c r="E1946" t="str">
        <f>IFERROR(VLOOKUP(D1946,'Team Data'!C:AB,4,FALSE),"")</f>
        <v/>
      </c>
      <c r="F1946" t="str">
        <f>IFERROR(VLOOKUP(D1946,'Team Data'!C:AB,5,FALSE),"")</f>
        <v/>
      </c>
      <c r="G1946" t="str">
        <f>IFERROR(VLOOKUP('OB Format'!D1946,'Team Data'!C:AB,17,FALSE),"")</f>
        <v/>
      </c>
      <c r="H1946" t="str">
        <f>IFERROR(VLOOKUP(D1946,'Team Data'!C:AB,7,FALSE),"")</f>
        <v/>
      </c>
      <c r="I1946" t="str">
        <f>IFERROR(VLOOKUP(D1946,'Team Data'!C:AB,14,FALSE),"")</f>
        <v/>
      </c>
      <c r="J1946" t="str">
        <f>IFERROR(VLOOKUP(D1946,'Team Data'!C:AB,8,FALSE),"")</f>
        <v/>
      </c>
      <c r="K1946" t="str">
        <f>IFERROR(VLOOKUP(D1946,'Team Data'!C:AB,9,FALSE),"")</f>
        <v/>
      </c>
      <c r="L1946" t="str">
        <f>IFERROR(VLOOKUP(D1946,'Team Data'!C:AB,10,FALSE),"")</f>
        <v/>
      </c>
      <c r="M1946" t="str">
        <f t="shared" si="62"/>
        <v/>
      </c>
      <c r="N1946" t="str">
        <f>IFERROR(VLOOKUP(D1946,'Team Data'!C:AB,23,FALSE),"")</f>
        <v/>
      </c>
      <c r="O1946" t="str">
        <f>IFERROR(VLOOKUP(D1946,'Team Data'!C:AB,22,FALSE),"")</f>
        <v/>
      </c>
      <c r="P1946" t="str">
        <f t="shared" si="63"/>
        <v/>
      </c>
      <c r="Q1946" t="str">
        <f>IFERROR(VLOOKUP(D1946,'Team Data'!C:AB,15,FALSE),"")</f>
        <v/>
      </c>
      <c r="R1946" t="str">
        <f>IFERROR(VLOOKUP('OB Format'!D1946,'Team Data'!C:AB,24,FALSE),"")</f>
        <v/>
      </c>
      <c r="S1946" t="str">
        <f>IFERROR(VLOOKUP('OB Format'!D1946,'Team Data'!C:AC,25,FALSE),"")</f>
        <v/>
      </c>
    </row>
    <row r="1947" spans="5:19" x14ac:dyDescent="0.25">
      <c r="E1947" t="str">
        <f>IFERROR(VLOOKUP(D1947,'Team Data'!C:AB,4,FALSE),"")</f>
        <v/>
      </c>
      <c r="F1947" t="str">
        <f>IFERROR(VLOOKUP(D1947,'Team Data'!C:AB,5,FALSE),"")</f>
        <v/>
      </c>
      <c r="G1947" t="str">
        <f>IFERROR(VLOOKUP('OB Format'!D1947,'Team Data'!C:AB,17,FALSE),"")</f>
        <v/>
      </c>
      <c r="H1947" t="str">
        <f>IFERROR(VLOOKUP(D1947,'Team Data'!C:AB,7,FALSE),"")</f>
        <v/>
      </c>
      <c r="I1947" t="str">
        <f>IFERROR(VLOOKUP(D1947,'Team Data'!C:AB,14,FALSE),"")</f>
        <v/>
      </c>
      <c r="J1947" t="str">
        <f>IFERROR(VLOOKUP(D1947,'Team Data'!C:AB,8,FALSE),"")</f>
        <v/>
      </c>
      <c r="K1947" t="str">
        <f>IFERROR(VLOOKUP(D1947,'Team Data'!C:AB,9,FALSE),"")</f>
        <v/>
      </c>
      <c r="L1947" t="str">
        <f>IFERROR(VLOOKUP(D1947,'Team Data'!C:AB,10,FALSE),"")</f>
        <v/>
      </c>
      <c r="M1947" t="str">
        <f t="shared" si="62"/>
        <v/>
      </c>
      <c r="N1947" t="str">
        <f>IFERROR(VLOOKUP(D1947,'Team Data'!C:AB,23,FALSE),"")</f>
        <v/>
      </c>
      <c r="O1947" t="str">
        <f>IFERROR(VLOOKUP(D1947,'Team Data'!C:AB,22,FALSE),"")</f>
        <v/>
      </c>
      <c r="P1947" t="str">
        <f t="shared" si="63"/>
        <v/>
      </c>
      <c r="Q1947" t="str">
        <f>IFERROR(VLOOKUP(D1947,'Team Data'!C:AB,15,FALSE),"")</f>
        <v/>
      </c>
      <c r="R1947" t="str">
        <f>IFERROR(VLOOKUP('OB Format'!D1947,'Team Data'!C:AB,24,FALSE),"")</f>
        <v/>
      </c>
      <c r="S1947" t="str">
        <f>IFERROR(VLOOKUP('OB Format'!D1947,'Team Data'!C:AC,25,FALSE),"")</f>
        <v/>
      </c>
    </row>
    <row r="1948" spans="5:19" x14ac:dyDescent="0.25">
      <c r="E1948" t="str">
        <f>IFERROR(VLOOKUP(D1948,'Team Data'!C:AB,4,FALSE),"")</f>
        <v/>
      </c>
      <c r="F1948" t="str">
        <f>IFERROR(VLOOKUP(D1948,'Team Data'!C:AB,5,FALSE),"")</f>
        <v/>
      </c>
      <c r="G1948" t="str">
        <f>IFERROR(VLOOKUP('OB Format'!D1948,'Team Data'!C:AB,17,FALSE),"")</f>
        <v/>
      </c>
      <c r="H1948" t="str">
        <f>IFERROR(VLOOKUP(D1948,'Team Data'!C:AB,7,FALSE),"")</f>
        <v/>
      </c>
      <c r="I1948" t="str">
        <f>IFERROR(VLOOKUP(D1948,'Team Data'!C:AB,14,FALSE),"")</f>
        <v/>
      </c>
      <c r="J1948" t="str">
        <f>IFERROR(VLOOKUP(D1948,'Team Data'!C:AB,8,FALSE),"")</f>
        <v/>
      </c>
      <c r="K1948" t="str">
        <f>IFERROR(VLOOKUP(D1948,'Team Data'!C:AB,9,FALSE),"")</f>
        <v/>
      </c>
      <c r="L1948" t="str">
        <f>IFERROR(VLOOKUP(D1948,'Team Data'!C:AB,10,FALSE),"")</f>
        <v/>
      </c>
      <c r="M1948" t="str">
        <f t="shared" si="62"/>
        <v/>
      </c>
      <c r="N1948" t="str">
        <f>IFERROR(VLOOKUP(D1948,'Team Data'!C:AB,23,FALSE),"")</f>
        <v/>
      </c>
      <c r="O1948" t="str">
        <f>IFERROR(VLOOKUP(D1948,'Team Data'!C:AB,22,FALSE),"")</f>
        <v/>
      </c>
      <c r="P1948" t="str">
        <f t="shared" si="63"/>
        <v/>
      </c>
      <c r="Q1948" t="str">
        <f>IFERROR(VLOOKUP(D1948,'Team Data'!C:AB,15,FALSE),"")</f>
        <v/>
      </c>
      <c r="R1948" t="str">
        <f>IFERROR(VLOOKUP('OB Format'!D1948,'Team Data'!C:AB,24,FALSE),"")</f>
        <v/>
      </c>
      <c r="S1948" t="str">
        <f>IFERROR(VLOOKUP('OB Format'!D1948,'Team Data'!C:AC,25,FALSE),"")</f>
        <v/>
      </c>
    </row>
    <row r="1949" spans="5:19" x14ac:dyDescent="0.25">
      <c r="E1949" t="str">
        <f>IFERROR(VLOOKUP(D1949,'Team Data'!C:AB,4,FALSE),"")</f>
        <v/>
      </c>
      <c r="F1949" t="str">
        <f>IFERROR(VLOOKUP(D1949,'Team Data'!C:AB,5,FALSE),"")</f>
        <v/>
      </c>
      <c r="G1949" t="str">
        <f>IFERROR(VLOOKUP('OB Format'!D1949,'Team Data'!C:AB,17,FALSE),"")</f>
        <v/>
      </c>
      <c r="H1949" t="str">
        <f>IFERROR(VLOOKUP(D1949,'Team Data'!C:AB,7,FALSE),"")</f>
        <v/>
      </c>
      <c r="I1949" t="str">
        <f>IFERROR(VLOOKUP(D1949,'Team Data'!C:AB,14,FALSE),"")</f>
        <v/>
      </c>
      <c r="J1949" t="str">
        <f>IFERROR(VLOOKUP(D1949,'Team Data'!C:AB,8,FALSE),"")</f>
        <v/>
      </c>
      <c r="K1949" t="str">
        <f>IFERROR(VLOOKUP(D1949,'Team Data'!C:AB,9,FALSE),"")</f>
        <v/>
      </c>
      <c r="L1949" t="str">
        <f>IFERROR(VLOOKUP(D1949,'Team Data'!C:AB,10,FALSE),"")</f>
        <v/>
      </c>
      <c r="M1949" t="str">
        <f t="shared" si="62"/>
        <v/>
      </c>
      <c r="N1949" t="str">
        <f>IFERROR(VLOOKUP(D1949,'Team Data'!C:AB,23,FALSE),"")</f>
        <v/>
      </c>
      <c r="O1949" t="str">
        <f>IFERROR(VLOOKUP(D1949,'Team Data'!C:AB,22,FALSE),"")</f>
        <v/>
      </c>
      <c r="P1949" t="str">
        <f t="shared" si="63"/>
        <v/>
      </c>
      <c r="Q1949" t="str">
        <f>IFERROR(VLOOKUP(D1949,'Team Data'!C:AB,15,FALSE),"")</f>
        <v/>
      </c>
      <c r="R1949" t="str">
        <f>IFERROR(VLOOKUP('OB Format'!D1949,'Team Data'!C:AB,24,FALSE),"")</f>
        <v/>
      </c>
      <c r="S1949" t="str">
        <f>IFERROR(VLOOKUP('OB Format'!D1949,'Team Data'!C:AC,25,FALSE),"")</f>
        <v/>
      </c>
    </row>
    <row r="1950" spans="5:19" x14ac:dyDescent="0.25">
      <c r="E1950" t="str">
        <f>IFERROR(VLOOKUP(D1950,'Team Data'!C:AB,4,FALSE),"")</f>
        <v/>
      </c>
      <c r="F1950" t="str">
        <f>IFERROR(VLOOKUP(D1950,'Team Data'!C:AB,5,FALSE),"")</f>
        <v/>
      </c>
      <c r="G1950" t="str">
        <f>IFERROR(VLOOKUP('OB Format'!D1950,'Team Data'!C:AB,17,FALSE),"")</f>
        <v/>
      </c>
      <c r="H1950" t="str">
        <f>IFERROR(VLOOKUP(D1950,'Team Data'!C:AB,7,FALSE),"")</f>
        <v/>
      </c>
      <c r="I1950" t="str">
        <f>IFERROR(VLOOKUP(D1950,'Team Data'!C:AB,14,FALSE),"")</f>
        <v/>
      </c>
      <c r="J1950" t="str">
        <f>IFERROR(VLOOKUP(D1950,'Team Data'!C:AB,8,FALSE),"")</f>
        <v/>
      </c>
      <c r="K1950" t="str">
        <f>IFERROR(VLOOKUP(D1950,'Team Data'!C:AB,9,FALSE),"")</f>
        <v/>
      </c>
      <c r="L1950" t="str">
        <f>IFERROR(VLOOKUP(D1950,'Team Data'!C:AB,10,FALSE),"")</f>
        <v/>
      </c>
      <c r="M1950" t="str">
        <f t="shared" si="62"/>
        <v/>
      </c>
      <c r="N1950" t="str">
        <f>IFERROR(VLOOKUP(D1950,'Team Data'!C:AB,23,FALSE),"")</f>
        <v/>
      </c>
      <c r="O1950" t="str">
        <f>IFERROR(VLOOKUP(D1950,'Team Data'!C:AB,22,FALSE),"")</f>
        <v/>
      </c>
      <c r="P1950" t="str">
        <f t="shared" si="63"/>
        <v/>
      </c>
      <c r="Q1950" t="str">
        <f>IFERROR(VLOOKUP(D1950,'Team Data'!C:AB,15,FALSE),"")</f>
        <v/>
      </c>
      <c r="R1950" t="str">
        <f>IFERROR(VLOOKUP('OB Format'!D1950,'Team Data'!C:AB,24,FALSE),"")</f>
        <v/>
      </c>
      <c r="S1950" t="str">
        <f>IFERROR(VLOOKUP('OB Format'!D1950,'Team Data'!C:AC,25,FALSE),"")</f>
        <v/>
      </c>
    </row>
    <row r="1951" spans="5:19" x14ac:dyDescent="0.25">
      <c r="E1951" t="str">
        <f>IFERROR(VLOOKUP(D1951,'Team Data'!C:AB,4,FALSE),"")</f>
        <v/>
      </c>
      <c r="F1951" t="str">
        <f>IFERROR(VLOOKUP(D1951,'Team Data'!C:AB,5,FALSE),"")</f>
        <v/>
      </c>
      <c r="G1951" t="str">
        <f>IFERROR(VLOOKUP('OB Format'!D1951,'Team Data'!C:AB,17,FALSE),"")</f>
        <v/>
      </c>
      <c r="H1951" t="str">
        <f>IFERROR(VLOOKUP(D1951,'Team Data'!C:AB,7,FALSE),"")</f>
        <v/>
      </c>
      <c r="I1951" t="str">
        <f>IFERROR(VLOOKUP(D1951,'Team Data'!C:AB,14,FALSE),"")</f>
        <v/>
      </c>
      <c r="J1951" t="str">
        <f>IFERROR(VLOOKUP(D1951,'Team Data'!C:AB,8,FALSE),"")</f>
        <v/>
      </c>
      <c r="K1951" t="str">
        <f>IFERROR(VLOOKUP(D1951,'Team Data'!C:AB,9,FALSE),"")</f>
        <v/>
      </c>
      <c r="L1951" t="str">
        <f>IFERROR(VLOOKUP(D1951,'Team Data'!C:AB,10,FALSE),"")</f>
        <v/>
      </c>
      <c r="M1951" t="str">
        <f t="shared" si="62"/>
        <v/>
      </c>
      <c r="N1951" t="str">
        <f>IFERROR(VLOOKUP(D1951,'Team Data'!C:AB,23,FALSE),"")</f>
        <v/>
      </c>
      <c r="O1951" t="str">
        <f>IFERROR(VLOOKUP(D1951,'Team Data'!C:AB,22,FALSE),"")</f>
        <v/>
      </c>
      <c r="P1951" t="str">
        <f t="shared" si="63"/>
        <v/>
      </c>
      <c r="Q1951" t="str">
        <f>IFERROR(VLOOKUP(D1951,'Team Data'!C:AB,15,FALSE),"")</f>
        <v/>
      </c>
      <c r="R1951" t="str">
        <f>IFERROR(VLOOKUP('OB Format'!D1951,'Team Data'!C:AB,24,FALSE),"")</f>
        <v/>
      </c>
      <c r="S1951" t="str">
        <f>IFERROR(VLOOKUP('OB Format'!D1951,'Team Data'!C:AC,25,FALSE),"")</f>
        <v/>
      </c>
    </row>
    <row r="1952" spans="5:19" x14ac:dyDescent="0.25">
      <c r="E1952" t="str">
        <f>IFERROR(VLOOKUP(D1952,'Team Data'!C:AB,4,FALSE),"")</f>
        <v/>
      </c>
      <c r="F1952" t="str">
        <f>IFERROR(VLOOKUP(D1952,'Team Data'!C:AB,5,FALSE),"")</f>
        <v/>
      </c>
      <c r="G1952" t="str">
        <f>IFERROR(VLOOKUP('OB Format'!D1952,'Team Data'!C:AB,17,FALSE),"")</f>
        <v/>
      </c>
      <c r="H1952" t="str">
        <f>IFERROR(VLOOKUP(D1952,'Team Data'!C:AB,7,FALSE),"")</f>
        <v/>
      </c>
      <c r="I1952" t="str">
        <f>IFERROR(VLOOKUP(D1952,'Team Data'!C:AB,14,FALSE),"")</f>
        <v/>
      </c>
      <c r="J1952" t="str">
        <f>IFERROR(VLOOKUP(D1952,'Team Data'!C:AB,8,FALSE),"")</f>
        <v/>
      </c>
      <c r="K1952" t="str">
        <f>IFERROR(VLOOKUP(D1952,'Team Data'!C:AB,9,FALSE),"")</f>
        <v/>
      </c>
      <c r="L1952" t="str">
        <f>IFERROR(VLOOKUP(D1952,'Team Data'!C:AB,10,FALSE),"")</f>
        <v/>
      </c>
      <c r="M1952" t="str">
        <f t="shared" si="62"/>
        <v/>
      </c>
      <c r="N1952" t="str">
        <f>IFERROR(VLOOKUP(D1952,'Team Data'!C:AB,23,FALSE),"")</f>
        <v/>
      </c>
      <c r="O1952" t="str">
        <f>IFERROR(VLOOKUP(D1952,'Team Data'!C:AB,22,FALSE),"")</f>
        <v/>
      </c>
      <c r="P1952" t="str">
        <f t="shared" si="63"/>
        <v/>
      </c>
      <c r="Q1952" t="str">
        <f>IFERROR(VLOOKUP(D1952,'Team Data'!C:AB,15,FALSE),"")</f>
        <v/>
      </c>
      <c r="R1952" t="str">
        <f>IFERROR(VLOOKUP('OB Format'!D1952,'Team Data'!C:AB,24,FALSE),"")</f>
        <v/>
      </c>
      <c r="S1952" t="str">
        <f>IFERROR(VLOOKUP('OB Format'!D1952,'Team Data'!C:AC,25,FALSE),"")</f>
        <v/>
      </c>
    </row>
    <row r="1953" spans="5:19" x14ac:dyDescent="0.25">
      <c r="E1953" t="str">
        <f>IFERROR(VLOOKUP(D1953,'Team Data'!C:AB,4,FALSE),"")</f>
        <v/>
      </c>
      <c r="F1953" t="str">
        <f>IFERROR(VLOOKUP(D1953,'Team Data'!C:AB,5,FALSE),"")</f>
        <v/>
      </c>
      <c r="G1953" t="str">
        <f>IFERROR(VLOOKUP('OB Format'!D1953,'Team Data'!C:AB,17,FALSE),"")</f>
        <v/>
      </c>
      <c r="H1953" t="str">
        <f>IFERROR(VLOOKUP(D1953,'Team Data'!C:AB,7,FALSE),"")</f>
        <v/>
      </c>
      <c r="I1953" t="str">
        <f>IFERROR(VLOOKUP(D1953,'Team Data'!C:AB,14,FALSE),"")</f>
        <v/>
      </c>
      <c r="J1953" t="str">
        <f>IFERROR(VLOOKUP(D1953,'Team Data'!C:AB,8,FALSE),"")</f>
        <v/>
      </c>
      <c r="K1953" t="str">
        <f>IFERROR(VLOOKUP(D1953,'Team Data'!C:AB,9,FALSE),"")</f>
        <v/>
      </c>
      <c r="L1953" t="str">
        <f>IFERROR(VLOOKUP(D1953,'Team Data'!C:AB,10,FALSE),"")</f>
        <v/>
      </c>
      <c r="M1953" t="str">
        <f t="shared" si="62"/>
        <v/>
      </c>
      <c r="N1953" t="str">
        <f>IFERROR(VLOOKUP(D1953,'Team Data'!C:AB,23,FALSE),"")</f>
        <v/>
      </c>
      <c r="O1953" t="str">
        <f>IFERROR(VLOOKUP(D1953,'Team Data'!C:AB,22,FALSE),"")</f>
        <v/>
      </c>
      <c r="P1953" t="str">
        <f t="shared" si="63"/>
        <v/>
      </c>
      <c r="Q1953" t="str">
        <f>IFERROR(VLOOKUP(D1953,'Team Data'!C:AB,15,FALSE),"")</f>
        <v/>
      </c>
      <c r="R1953" t="str">
        <f>IFERROR(VLOOKUP('OB Format'!D1953,'Team Data'!C:AB,24,FALSE),"")</f>
        <v/>
      </c>
      <c r="S1953" t="str">
        <f>IFERROR(VLOOKUP('OB Format'!D1953,'Team Data'!C:AC,25,FALSE),"")</f>
        <v/>
      </c>
    </row>
    <row r="1954" spans="5:19" x14ac:dyDescent="0.25">
      <c r="E1954" t="str">
        <f>IFERROR(VLOOKUP(D1954,'Team Data'!C:AB,4,FALSE),"")</f>
        <v/>
      </c>
      <c r="F1954" t="str">
        <f>IFERROR(VLOOKUP(D1954,'Team Data'!C:AB,5,FALSE),"")</f>
        <v/>
      </c>
      <c r="G1954" t="str">
        <f>IFERROR(VLOOKUP('OB Format'!D1954,'Team Data'!C:AB,17,FALSE),"")</f>
        <v/>
      </c>
      <c r="H1954" t="str">
        <f>IFERROR(VLOOKUP(D1954,'Team Data'!C:AB,7,FALSE),"")</f>
        <v/>
      </c>
      <c r="I1954" t="str">
        <f>IFERROR(VLOOKUP(D1954,'Team Data'!C:AB,14,FALSE),"")</f>
        <v/>
      </c>
      <c r="J1954" t="str">
        <f>IFERROR(VLOOKUP(D1954,'Team Data'!C:AB,8,FALSE),"")</f>
        <v/>
      </c>
      <c r="K1954" t="str">
        <f>IFERROR(VLOOKUP(D1954,'Team Data'!C:AB,9,FALSE),"")</f>
        <v/>
      </c>
      <c r="L1954" t="str">
        <f>IFERROR(VLOOKUP(D1954,'Team Data'!C:AB,10,FALSE),"")</f>
        <v/>
      </c>
      <c r="M1954" t="str">
        <f t="shared" si="62"/>
        <v/>
      </c>
      <c r="N1954" t="str">
        <f>IFERROR(VLOOKUP(D1954,'Team Data'!C:AB,23,FALSE),"")</f>
        <v/>
      </c>
      <c r="O1954" t="str">
        <f>IFERROR(VLOOKUP(D1954,'Team Data'!C:AB,22,FALSE),"")</f>
        <v/>
      </c>
      <c r="P1954" t="str">
        <f t="shared" si="63"/>
        <v/>
      </c>
      <c r="Q1954" t="str">
        <f>IFERROR(VLOOKUP(D1954,'Team Data'!C:AB,15,FALSE),"")</f>
        <v/>
      </c>
      <c r="R1954" t="str">
        <f>IFERROR(VLOOKUP('OB Format'!D1954,'Team Data'!C:AB,24,FALSE),"")</f>
        <v/>
      </c>
      <c r="S1954" t="str">
        <f>IFERROR(VLOOKUP('OB Format'!D1954,'Team Data'!C:AC,25,FALSE),"")</f>
        <v/>
      </c>
    </row>
    <row r="1955" spans="5:19" x14ac:dyDescent="0.25">
      <c r="E1955" t="str">
        <f>IFERROR(VLOOKUP(D1955,'Team Data'!C:AB,4,FALSE),"")</f>
        <v/>
      </c>
      <c r="F1955" t="str">
        <f>IFERROR(VLOOKUP(D1955,'Team Data'!C:AB,5,FALSE),"")</f>
        <v/>
      </c>
      <c r="G1955" t="str">
        <f>IFERROR(VLOOKUP('OB Format'!D1955,'Team Data'!C:AB,17,FALSE),"")</f>
        <v/>
      </c>
      <c r="H1955" t="str">
        <f>IFERROR(VLOOKUP(D1955,'Team Data'!C:AB,7,FALSE),"")</f>
        <v/>
      </c>
      <c r="I1955" t="str">
        <f>IFERROR(VLOOKUP(D1955,'Team Data'!C:AB,14,FALSE),"")</f>
        <v/>
      </c>
      <c r="J1955" t="str">
        <f>IFERROR(VLOOKUP(D1955,'Team Data'!C:AB,8,FALSE),"")</f>
        <v/>
      </c>
      <c r="K1955" t="str">
        <f>IFERROR(VLOOKUP(D1955,'Team Data'!C:AB,9,FALSE),"")</f>
        <v/>
      </c>
      <c r="L1955" t="str">
        <f>IFERROR(VLOOKUP(D1955,'Team Data'!C:AB,10,FALSE),"")</f>
        <v/>
      </c>
      <c r="M1955" t="str">
        <f t="shared" si="62"/>
        <v/>
      </c>
      <c r="N1955" t="str">
        <f>IFERROR(VLOOKUP(D1955,'Team Data'!C:AB,23,FALSE),"")</f>
        <v/>
      </c>
      <c r="O1955" t="str">
        <f>IFERROR(VLOOKUP(D1955,'Team Data'!C:AB,22,FALSE),"")</f>
        <v/>
      </c>
      <c r="P1955" t="str">
        <f t="shared" si="63"/>
        <v/>
      </c>
      <c r="Q1955" t="str">
        <f>IFERROR(VLOOKUP(D1955,'Team Data'!C:AB,15,FALSE),"")</f>
        <v/>
      </c>
      <c r="R1955" t="str">
        <f>IFERROR(VLOOKUP('OB Format'!D1955,'Team Data'!C:AB,24,FALSE),"")</f>
        <v/>
      </c>
      <c r="S1955" t="str">
        <f>IFERROR(VLOOKUP('OB Format'!D1955,'Team Data'!C:AC,25,FALSE),"")</f>
        <v/>
      </c>
    </row>
    <row r="1956" spans="5:19" x14ac:dyDescent="0.25">
      <c r="E1956" t="str">
        <f>IFERROR(VLOOKUP(D1956,'Team Data'!C:AB,4,FALSE),"")</f>
        <v/>
      </c>
      <c r="F1956" t="str">
        <f>IFERROR(VLOOKUP(D1956,'Team Data'!C:AB,5,FALSE),"")</f>
        <v/>
      </c>
      <c r="G1956" t="str">
        <f>IFERROR(VLOOKUP('OB Format'!D1956,'Team Data'!C:AB,17,FALSE),"")</f>
        <v/>
      </c>
      <c r="H1956" t="str">
        <f>IFERROR(VLOOKUP(D1956,'Team Data'!C:AB,7,FALSE),"")</f>
        <v/>
      </c>
      <c r="I1956" t="str">
        <f>IFERROR(VLOOKUP(D1956,'Team Data'!C:AB,14,FALSE),"")</f>
        <v/>
      </c>
      <c r="J1956" t="str">
        <f>IFERROR(VLOOKUP(D1956,'Team Data'!C:AB,8,FALSE),"")</f>
        <v/>
      </c>
      <c r="K1956" t="str">
        <f>IFERROR(VLOOKUP(D1956,'Team Data'!C:AB,9,FALSE),"")</f>
        <v/>
      </c>
      <c r="L1956" t="str">
        <f>IFERROR(VLOOKUP(D1956,'Team Data'!C:AB,10,FALSE),"")</f>
        <v/>
      </c>
      <c r="M1956" t="str">
        <f t="shared" si="62"/>
        <v/>
      </c>
      <c r="N1956" t="str">
        <f>IFERROR(VLOOKUP(D1956,'Team Data'!C:AB,23,FALSE),"")</f>
        <v/>
      </c>
      <c r="O1956" t="str">
        <f>IFERROR(VLOOKUP(D1956,'Team Data'!C:AB,22,FALSE),"")</f>
        <v/>
      </c>
      <c r="P1956" t="str">
        <f t="shared" si="63"/>
        <v/>
      </c>
      <c r="Q1956" t="str">
        <f>IFERROR(VLOOKUP(D1956,'Team Data'!C:AB,15,FALSE),"")</f>
        <v/>
      </c>
      <c r="R1956" t="str">
        <f>IFERROR(VLOOKUP('OB Format'!D1956,'Team Data'!C:AB,24,FALSE),"")</f>
        <v/>
      </c>
      <c r="S1956" t="str">
        <f>IFERROR(VLOOKUP('OB Format'!D1956,'Team Data'!C:AC,25,FALSE),"")</f>
        <v/>
      </c>
    </row>
    <row r="1957" spans="5:19" x14ac:dyDescent="0.25">
      <c r="E1957" t="str">
        <f>IFERROR(VLOOKUP(D1957,'Team Data'!C:AB,4,FALSE),"")</f>
        <v/>
      </c>
      <c r="F1957" t="str">
        <f>IFERROR(VLOOKUP(D1957,'Team Data'!C:AB,5,FALSE),"")</f>
        <v/>
      </c>
      <c r="G1957" t="str">
        <f>IFERROR(VLOOKUP('OB Format'!D1957,'Team Data'!C:AB,17,FALSE),"")</f>
        <v/>
      </c>
      <c r="H1957" t="str">
        <f>IFERROR(VLOOKUP(D1957,'Team Data'!C:AB,7,FALSE),"")</f>
        <v/>
      </c>
      <c r="I1957" t="str">
        <f>IFERROR(VLOOKUP(D1957,'Team Data'!C:AB,14,FALSE),"")</f>
        <v/>
      </c>
      <c r="J1957" t="str">
        <f>IFERROR(VLOOKUP(D1957,'Team Data'!C:AB,8,FALSE),"")</f>
        <v/>
      </c>
      <c r="K1957" t="str">
        <f>IFERROR(VLOOKUP(D1957,'Team Data'!C:AB,9,FALSE),"")</f>
        <v/>
      </c>
      <c r="L1957" t="str">
        <f>IFERROR(VLOOKUP(D1957,'Team Data'!C:AB,10,FALSE),"")</f>
        <v/>
      </c>
      <c r="M1957" t="str">
        <f t="shared" si="62"/>
        <v/>
      </c>
      <c r="N1957" t="str">
        <f>IFERROR(VLOOKUP(D1957,'Team Data'!C:AB,23,FALSE),"")</f>
        <v/>
      </c>
      <c r="O1957" t="str">
        <f>IFERROR(VLOOKUP(D1957,'Team Data'!C:AB,22,FALSE),"")</f>
        <v/>
      </c>
      <c r="P1957" t="str">
        <f t="shared" si="63"/>
        <v/>
      </c>
      <c r="Q1957" t="str">
        <f>IFERROR(VLOOKUP(D1957,'Team Data'!C:AB,15,FALSE),"")</f>
        <v/>
      </c>
      <c r="R1957" t="str">
        <f>IFERROR(VLOOKUP('OB Format'!D1957,'Team Data'!C:AB,24,FALSE),"")</f>
        <v/>
      </c>
      <c r="S1957" t="str">
        <f>IFERROR(VLOOKUP('OB Format'!D1957,'Team Data'!C:AC,25,FALSE),"")</f>
        <v/>
      </c>
    </row>
    <row r="1958" spans="5:19" x14ac:dyDescent="0.25">
      <c r="E1958" t="str">
        <f>IFERROR(VLOOKUP(D1958,'Team Data'!C:AB,4,FALSE),"")</f>
        <v/>
      </c>
      <c r="F1958" t="str">
        <f>IFERROR(VLOOKUP(D1958,'Team Data'!C:AB,5,FALSE),"")</f>
        <v/>
      </c>
      <c r="G1958" t="str">
        <f>IFERROR(VLOOKUP('OB Format'!D1958,'Team Data'!C:AB,17,FALSE),"")</f>
        <v/>
      </c>
      <c r="H1958" t="str">
        <f>IFERROR(VLOOKUP(D1958,'Team Data'!C:AB,7,FALSE),"")</f>
        <v/>
      </c>
      <c r="I1958" t="str">
        <f>IFERROR(VLOOKUP(D1958,'Team Data'!C:AB,14,FALSE),"")</f>
        <v/>
      </c>
      <c r="J1958" t="str">
        <f>IFERROR(VLOOKUP(D1958,'Team Data'!C:AB,8,FALSE),"")</f>
        <v/>
      </c>
      <c r="K1958" t="str">
        <f>IFERROR(VLOOKUP(D1958,'Team Data'!C:AB,9,FALSE),"")</f>
        <v/>
      </c>
      <c r="L1958" t="str">
        <f>IFERROR(VLOOKUP(D1958,'Team Data'!C:AB,10,FALSE),"")</f>
        <v/>
      </c>
      <c r="M1958" t="str">
        <f t="shared" si="62"/>
        <v/>
      </c>
      <c r="N1958" t="str">
        <f>IFERROR(VLOOKUP(D1958,'Team Data'!C:AB,23,FALSE),"")</f>
        <v/>
      </c>
      <c r="O1958" t="str">
        <f>IFERROR(VLOOKUP(D1958,'Team Data'!C:AB,22,FALSE),"")</f>
        <v/>
      </c>
      <c r="P1958" t="str">
        <f t="shared" si="63"/>
        <v/>
      </c>
      <c r="Q1958" t="str">
        <f>IFERROR(VLOOKUP(D1958,'Team Data'!C:AB,15,FALSE),"")</f>
        <v/>
      </c>
      <c r="R1958" t="str">
        <f>IFERROR(VLOOKUP('OB Format'!D1958,'Team Data'!C:AB,24,FALSE),"")</f>
        <v/>
      </c>
      <c r="S1958" t="str">
        <f>IFERROR(VLOOKUP('OB Format'!D1958,'Team Data'!C:AC,25,FALSE),"")</f>
        <v/>
      </c>
    </row>
    <row r="1959" spans="5:19" x14ac:dyDescent="0.25">
      <c r="E1959" t="str">
        <f>IFERROR(VLOOKUP(D1959,'Team Data'!C:AB,4,FALSE),"")</f>
        <v/>
      </c>
      <c r="F1959" t="str">
        <f>IFERROR(VLOOKUP(D1959,'Team Data'!C:AB,5,FALSE),"")</f>
        <v/>
      </c>
      <c r="G1959" t="str">
        <f>IFERROR(VLOOKUP('OB Format'!D1959,'Team Data'!C:AB,17,FALSE),"")</f>
        <v/>
      </c>
      <c r="H1959" t="str">
        <f>IFERROR(VLOOKUP(D1959,'Team Data'!C:AB,7,FALSE),"")</f>
        <v/>
      </c>
      <c r="I1959" t="str">
        <f>IFERROR(VLOOKUP(D1959,'Team Data'!C:AB,14,FALSE),"")</f>
        <v/>
      </c>
      <c r="J1959" t="str">
        <f>IFERROR(VLOOKUP(D1959,'Team Data'!C:AB,8,FALSE),"")</f>
        <v/>
      </c>
      <c r="K1959" t="str">
        <f>IFERROR(VLOOKUP(D1959,'Team Data'!C:AB,9,FALSE),"")</f>
        <v/>
      </c>
      <c r="L1959" t="str">
        <f>IFERROR(VLOOKUP(D1959,'Team Data'!C:AB,10,FALSE),"")</f>
        <v/>
      </c>
      <c r="M1959" t="str">
        <f t="shared" si="62"/>
        <v/>
      </c>
      <c r="N1959" t="str">
        <f>IFERROR(VLOOKUP(D1959,'Team Data'!C:AB,23,FALSE),"")</f>
        <v/>
      </c>
      <c r="O1959" t="str">
        <f>IFERROR(VLOOKUP(D1959,'Team Data'!C:AB,22,FALSE),"")</f>
        <v/>
      </c>
      <c r="P1959" t="str">
        <f t="shared" si="63"/>
        <v/>
      </c>
      <c r="Q1959" t="str">
        <f>IFERROR(VLOOKUP(D1959,'Team Data'!C:AB,15,FALSE),"")</f>
        <v/>
      </c>
      <c r="R1959" t="str">
        <f>IFERROR(VLOOKUP('OB Format'!D1959,'Team Data'!C:AB,24,FALSE),"")</f>
        <v/>
      </c>
      <c r="S1959" t="str">
        <f>IFERROR(VLOOKUP('OB Format'!D1959,'Team Data'!C:AC,25,FALSE),"")</f>
        <v/>
      </c>
    </row>
    <row r="1960" spans="5:19" x14ac:dyDescent="0.25">
      <c r="E1960" t="str">
        <f>IFERROR(VLOOKUP(D1960,'Team Data'!C:AB,4,FALSE),"")</f>
        <v/>
      </c>
      <c r="F1960" t="str">
        <f>IFERROR(VLOOKUP(D1960,'Team Data'!C:AB,5,FALSE),"")</f>
        <v/>
      </c>
      <c r="G1960" t="str">
        <f>IFERROR(VLOOKUP('OB Format'!D1960,'Team Data'!C:AB,17,FALSE),"")</f>
        <v/>
      </c>
      <c r="H1960" t="str">
        <f>IFERROR(VLOOKUP(D1960,'Team Data'!C:AB,7,FALSE),"")</f>
        <v/>
      </c>
      <c r="I1960" t="str">
        <f>IFERROR(VLOOKUP(D1960,'Team Data'!C:AB,14,FALSE),"")</f>
        <v/>
      </c>
      <c r="J1960" t="str">
        <f>IFERROR(VLOOKUP(D1960,'Team Data'!C:AB,8,FALSE),"")</f>
        <v/>
      </c>
      <c r="K1960" t="str">
        <f>IFERROR(VLOOKUP(D1960,'Team Data'!C:AB,9,FALSE),"")</f>
        <v/>
      </c>
      <c r="L1960" t="str">
        <f>IFERROR(VLOOKUP(D1960,'Team Data'!C:AB,10,FALSE),"")</f>
        <v/>
      </c>
      <c r="M1960" t="str">
        <f t="shared" si="62"/>
        <v/>
      </c>
      <c r="N1960" t="str">
        <f>IFERROR(VLOOKUP(D1960,'Team Data'!C:AB,23,FALSE),"")</f>
        <v/>
      </c>
      <c r="O1960" t="str">
        <f>IFERROR(VLOOKUP(D1960,'Team Data'!C:AB,22,FALSE),"")</f>
        <v/>
      </c>
      <c r="P1960" t="str">
        <f t="shared" si="63"/>
        <v/>
      </c>
      <c r="Q1960" t="str">
        <f>IFERROR(VLOOKUP(D1960,'Team Data'!C:AB,15,FALSE),"")</f>
        <v/>
      </c>
      <c r="R1960" t="str">
        <f>IFERROR(VLOOKUP('OB Format'!D1960,'Team Data'!C:AB,24,FALSE),"")</f>
        <v/>
      </c>
      <c r="S1960" t="str">
        <f>IFERROR(VLOOKUP('OB Format'!D1960,'Team Data'!C:AC,25,FALSE),"")</f>
        <v/>
      </c>
    </row>
    <row r="1961" spans="5:19" x14ac:dyDescent="0.25">
      <c r="E1961" t="str">
        <f>IFERROR(VLOOKUP(D1961,'Team Data'!C:AB,4,FALSE),"")</f>
        <v/>
      </c>
      <c r="F1961" t="str">
        <f>IFERROR(VLOOKUP(D1961,'Team Data'!C:AB,5,FALSE),"")</f>
        <v/>
      </c>
      <c r="G1961" t="str">
        <f>IFERROR(VLOOKUP('OB Format'!D1961,'Team Data'!C:AB,17,FALSE),"")</f>
        <v/>
      </c>
      <c r="H1961" t="str">
        <f>IFERROR(VLOOKUP(D1961,'Team Data'!C:AB,7,FALSE),"")</f>
        <v/>
      </c>
      <c r="I1961" t="str">
        <f>IFERROR(VLOOKUP(D1961,'Team Data'!C:AB,14,FALSE),"")</f>
        <v/>
      </c>
      <c r="J1961" t="str">
        <f>IFERROR(VLOOKUP(D1961,'Team Data'!C:AB,8,FALSE),"")</f>
        <v/>
      </c>
      <c r="K1961" t="str">
        <f>IFERROR(VLOOKUP(D1961,'Team Data'!C:AB,9,FALSE),"")</f>
        <v/>
      </c>
      <c r="L1961" t="str">
        <f>IFERROR(VLOOKUP(D1961,'Team Data'!C:AB,10,FALSE),"")</f>
        <v/>
      </c>
      <c r="M1961" t="str">
        <f t="shared" si="62"/>
        <v/>
      </c>
      <c r="N1961" t="str">
        <f>IFERROR(VLOOKUP(D1961,'Team Data'!C:AB,23,FALSE),"")</f>
        <v/>
      </c>
      <c r="O1961" t="str">
        <f>IFERROR(VLOOKUP(D1961,'Team Data'!C:AB,22,FALSE),"")</f>
        <v/>
      </c>
      <c r="P1961" t="str">
        <f t="shared" si="63"/>
        <v/>
      </c>
      <c r="Q1961" t="str">
        <f>IFERROR(VLOOKUP(D1961,'Team Data'!C:AB,15,FALSE),"")</f>
        <v/>
      </c>
      <c r="R1961" t="str">
        <f>IFERROR(VLOOKUP('OB Format'!D1961,'Team Data'!C:AB,24,FALSE),"")</f>
        <v/>
      </c>
      <c r="S1961" t="str">
        <f>IFERROR(VLOOKUP('OB Format'!D1961,'Team Data'!C:AC,25,FALSE),"")</f>
        <v/>
      </c>
    </row>
    <row r="1962" spans="5:19" x14ac:dyDescent="0.25">
      <c r="E1962" t="str">
        <f>IFERROR(VLOOKUP(D1962,'Team Data'!C:AB,4,FALSE),"")</f>
        <v/>
      </c>
      <c r="F1962" t="str">
        <f>IFERROR(VLOOKUP(D1962,'Team Data'!C:AB,5,FALSE),"")</f>
        <v/>
      </c>
      <c r="G1962" t="str">
        <f>IFERROR(VLOOKUP('OB Format'!D1962,'Team Data'!C:AB,17,FALSE),"")</f>
        <v/>
      </c>
      <c r="H1962" t="str">
        <f>IFERROR(VLOOKUP(D1962,'Team Data'!C:AB,7,FALSE),"")</f>
        <v/>
      </c>
      <c r="I1962" t="str">
        <f>IFERROR(VLOOKUP(D1962,'Team Data'!C:AB,14,FALSE),"")</f>
        <v/>
      </c>
      <c r="J1962" t="str">
        <f>IFERROR(VLOOKUP(D1962,'Team Data'!C:AB,8,FALSE),"")</f>
        <v/>
      </c>
      <c r="K1962" t="str">
        <f>IFERROR(VLOOKUP(D1962,'Team Data'!C:AB,9,FALSE),"")</f>
        <v/>
      </c>
      <c r="L1962" t="str">
        <f>IFERROR(VLOOKUP(D1962,'Team Data'!C:AB,10,FALSE),"")</f>
        <v/>
      </c>
      <c r="M1962" t="str">
        <f t="shared" si="62"/>
        <v/>
      </c>
      <c r="N1962" t="str">
        <f>IFERROR(VLOOKUP(D1962,'Team Data'!C:AB,23,FALSE),"")</f>
        <v/>
      </c>
      <c r="O1962" t="str">
        <f>IFERROR(VLOOKUP(D1962,'Team Data'!C:AB,22,FALSE),"")</f>
        <v/>
      </c>
      <c r="P1962" t="str">
        <f t="shared" si="63"/>
        <v/>
      </c>
      <c r="Q1962" t="str">
        <f>IFERROR(VLOOKUP(D1962,'Team Data'!C:AB,15,FALSE),"")</f>
        <v/>
      </c>
      <c r="R1962" t="str">
        <f>IFERROR(VLOOKUP('OB Format'!D1962,'Team Data'!C:AB,24,FALSE),"")</f>
        <v/>
      </c>
      <c r="S1962" t="str">
        <f>IFERROR(VLOOKUP('OB Format'!D1962,'Team Data'!C:AC,25,FALSE),"")</f>
        <v/>
      </c>
    </row>
    <row r="1963" spans="5:19" x14ac:dyDescent="0.25">
      <c r="E1963" t="str">
        <f>IFERROR(VLOOKUP(D1963,'Team Data'!C:AB,4,FALSE),"")</f>
        <v/>
      </c>
      <c r="F1963" t="str">
        <f>IFERROR(VLOOKUP(D1963,'Team Data'!C:AB,5,FALSE),"")</f>
        <v/>
      </c>
      <c r="G1963" t="str">
        <f>IFERROR(VLOOKUP('OB Format'!D1963,'Team Data'!C:AB,17,FALSE),"")</f>
        <v/>
      </c>
      <c r="H1963" t="str">
        <f>IFERROR(VLOOKUP(D1963,'Team Data'!C:AB,7,FALSE),"")</f>
        <v/>
      </c>
      <c r="I1963" t="str">
        <f>IFERROR(VLOOKUP(D1963,'Team Data'!C:AB,14,FALSE),"")</f>
        <v/>
      </c>
      <c r="J1963" t="str">
        <f>IFERROR(VLOOKUP(D1963,'Team Data'!C:AB,8,FALSE),"")</f>
        <v/>
      </c>
      <c r="K1963" t="str">
        <f>IFERROR(VLOOKUP(D1963,'Team Data'!C:AB,9,FALSE),"")</f>
        <v/>
      </c>
      <c r="L1963" t="str">
        <f>IFERROR(VLOOKUP(D1963,'Team Data'!C:AB,10,FALSE),"")</f>
        <v/>
      </c>
      <c r="M1963" t="str">
        <f t="shared" si="62"/>
        <v/>
      </c>
      <c r="N1963" t="str">
        <f>IFERROR(VLOOKUP(D1963,'Team Data'!C:AB,23,FALSE),"")</f>
        <v/>
      </c>
      <c r="O1963" t="str">
        <f>IFERROR(VLOOKUP(D1963,'Team Data'!C:AB,22,FALSE),"")</f>
        <v/>
      </c>
      <c r="P1963" t="str">
        <f t="shared" si="63"/>
        <v/>
      </c>
      <c r="Q1963" t="str">
        <f>IFERROR(VLOOKUP(D1963,'Team Data'!C:AB,15,FALSE),"")</f>
        <v/>
      </c>
      <c r="R1963" t="str">
        <f>IFERROR(VLOOKUP('OB Format'!D1963,'Team Data'!C:AB,24,FALSE),"")</f>
        <v/>
      </c>
      <c r="S1963" t="str">
        <f>IFERROR(VLOOKUP('OB Format'!D1963,'Team Data'!C:AC,25,FALSE),"")</f>
        <v/>
      </c>
    </row>
    <row r="1964" spans="5:19" x14ac:dyDescent="0.25">
      <c r="E1964" t="str">
        <f>IFERROR(VLOOKUP(D1964,'Team Data'!C:AB,4,FALSE),"")</f>
        <v/>
      </c>
      <c r="F1964" t="str">
        <f>IFERROR(VLOOKUP(D1964,'Team Data'!C:AB,5,FALSE),"")</f>
        <v/>
      </c>
      <c r="G1964" t="str">
        <f>IFERROR(VLOOKUP('OB Format'!D1964,'Team Data'!C:AB,17,FALSE),"")</f>
        <v/>
      </c>
      <c r="H1964" t="str">
        <f>IFERROR(VLOOKUP(D1964,'Team Data'!C:AB,7,FALSE),"")</f>
        <v/>
      </c>
      <c r="I1964" t="str">
        <f>IFERROR(VLOOKUP(D1964,'Team Data'!C:AB,14,FALSE),"")</f>
        <v/>
      </c>
      <c r="J1964" t="str">
        <f>IFERROR(VLOOKUP(D1964,'Team Data'!C:AB,8,FALSE),"")</f>
        <v/>
      </c>
      <c r="K1964" t="str">
        <f>IFERROR(VLOOKUP(D1964,'Team Data'!C:AB,9,FALSE),"")</f>
        <v/>
      </c>
      <c r="L1964" t="str">
        <f>IFERROR(VLOOKUP(D1964,'Team Data'!C:AB,10,FALSE),"")</f>
        <v/>
      </c>
      <c r="M1964" t="str">
        <f t="shared" si="62"/>
        <v/>
      </c>
      <c r="N1964" t="str">
        <f>IFERROR(VLOOKUP(D1964,'Team Data'!C:AB,23,FALSE),"")</f>
        <v/>
      </c>
      <c r="O1964" t="str">
        <f>IFERROR(VLOOKUP(D1964,'Team Data'!C:AB,22,FALSE),"")</f>
        <v/>
      </c>
      <c r="P1964" t="str">
        <f t="shared" si="63"/>
        <v/>
      </c>
      <c r="Q1964" t="str">
        <f>IFERROR(VLOOKUP(D1964,'Team Data'!C:AB,15,FALSE),"")</f>
        <v/>
      </c>
      <c r="R1964" t="str">
        <f>IFERROR(VLOOKUP('OB Format'!D1964,'Team Data'!C:AB,24,FALSE),"")</f>
        <v/>
      </c>
      <c r="S1964" t="str">
        <f>IFERROR(VLOOKUP('OB Format'!D1964,'Team Data'!C:AC,25,FALSE),"")</f>
        <v/>
      </c>
    </row>
    <row r="1965" spans="5:19" x14ac:dyDescent="0.25">
      <c r="E1965" t="str">
        <f>IFERROR(VLOOKUP(D1965,'Team Data'!C:AB,4,FALSE),"")</f>
        <v/>
      </c>
      <c r="F1965" t="str">
        <f>IFERROR(VLOOKUP(D1965,'Team Data'!C:AB,5,FALSE),"")</f>
        <v/>
      </c>
      <c r="G1965" t="str">
        <f>IFERROR(VLOOKUP('OB Format'!D1965,'Team Data'!C:AB,17,FALSE),"")</f>
        <v/>
      </c>
      <c r="H1965" t="str">
        <f>IFERROR(VLOOKUP(D1965,'Team Data'!C:AB,7,FALSE),"")</f>
        <v/>
      </c>
      <c r="I1965" t="str">
        <f>IFERROR(VLOOKUP(D1965,'Team Data'!C:AB,14,FALSE),"")</f>
        <v/>
      </c>
      <c r="J1965" t="str">
        <f>IFERROR(VLOOKUP(D1965,'Team Data'!C:AB,8,FALSE),"")</f>
        <v/>
      </c>
      <c r="K1965" t="str">
        <f>IFERROR(VLOOKUP(D1965,'Team Data'!C:AB,9,FALSE),"")</f>
        <v/>
      </c>
      <c r="L1965" t="str">
        <f>IFERROR(VLOOKUP(D1965,'Team Data'!C:AB,10,FALSE),"")</f>
        <v/>
      </c>
      <c r="M1965" t="str">
        <f t="shared" si="62"/>
        <v/>
      </c>
      <c r="N1965" t="str">
        <f>IFERROR(VLOOKUP(D1965,'Team Data'!C:AB,23,FALSE),"")</f>
        <v/>
      </c>
      <c r="O1965" t="str">
        <f>IFERROR(VLOOKUP(D1965,'Team Data'!C:AB,22,FALSE),"")</f>
        <v/>
      </c>
      <c r="P1965" t="str">
        <f t="shared" si="63"/>
        <v/>
      </c>
      <c r="Q1965" t="str">
        <f>IFERROR(VLOOKUP(D1965,'Team Data'!C:AB,15,FALSE),"")</f>
        <v/>
      </c>
      <c r="R1965" t="str">
        <f>IFERROR(VLOOKUP('OB Format'!D1965,'Team Data'!C:AB,24,FALSE),"")</f>
        <v/>
      </c>
      <c r="S1965" t="str">
        <f>IFERROR(VLOOKUP('OB Format'!D1965,'Team Data'!C:AC,25,FALSE),"")</f>
        <v/>
      </c>
    </row>
    <row r="1966" spans="5:19" x14ac:dyDescent="0.25">
      <c r="E1966" t="str">
        <f>IFERROR(VLOOKUP(D1966,'Team Data'!C:AB,4,FALSE),"")</f>
        <v/>
      </c>
      <c r="F1966" t="str">
        <f>IFERROR(VLOOKUP(D1966,'Team Data'!C:AB,5,FALSE),"")</f>
        <v/>
      </c>
      <c r="G1966" t="str">
        <f>IFERROR(VLOOKUP('OB Format'!D1966,'Team Data'!C:AB,17,FALSE),"")</f>
        <v/>
      </c>
      <c r="H1966" t="str">
        <f>IFERROR(VLOOKUP(D1966,'Team Data'!C:AB,7,FALSE),"")</f>
        <v/>
      </c>
      <c r="I1966" t="str">
        <f>IFERROR(VLOOKUP(D1966,'Team Data'!C:AB,14,FALSE),"")</f>
        <v/>
      </c>
      <c r="J1966" t="str">
        <f>IFERROR(VLOOKUP(D1966,'Team Data'!C:AB,8,FALSE),"")</f>
        <v/>
      </c>
      <c r="K1966" t="str">
        <f>IFERROR(VLOOKUP(D1966,'Team Data'!C:AB,9,FALSE),"")</f>
        <v/>
      </c>
      <c r="L1966" t="str">
        <f>IFERROR(VLOOKUP(D1966,'Team Data'!C:AB,10,FALSE),"")</f>
        <v/>
      </c>
      <c r="M1966" t="str">
        <f t="shared" si="62"/>
        <v/>
      </c>
      <c r="N1966" t="str">
        <f>IFERROR(VLOOKUP(D1966,'Team Data'!C:AB,23,FALSE),"")</f>
        <v/>
      </c>
      <c r="O1966" t="str">
        <f>IFERROR(VLOOKUP(D1966,'Team Data'!C:AB,22,FALSE),"")</f>
        <v/>
      </c>
      <c r="P1966" t="str">
        <f t="shared" si="63"/>
        <v/>
      </c>
      <c r="Q1966" t="str">
        <f>IFERROR(VLOOKUP(D1966,'Team Data'!C:AB,15,FALSE),"")</f>
        <v/>
      </c>
      <c r="R1966" t="str">
        <f>IFERROR(VLOOKUP('OB Format'!D1966,'Team Data'!C:AB,24,FALSE),"")</f>
        <v/>
      </c>
      <c r="S1966" t="str">
        <f>IFERROR(VLOOKUP('OB Format'!D1966,'Team Data'!C:AC,25,FALSE),"")</f>
        <v/>
      </c>
    </row>
    <row r="1967" spans="5:19" x14ac:dyDescent="0.25">
      <c r="E1967" t="str">
        <f>IFERROR(VLOOKUP(D1967,'Team Data'!C:AB,4,FALSE),"")</f>
        <v/>
      </c>
      <c r="F1967" t="str">
        <f>IFERROR(VLOOKUP(D1967,'Team Data'!C:AB,5,FALSE),"")</f>
        <v/>
      </c>
      <c r="G1967" t="str">
        <f>IFERROR(VLOOKUP('OB Format'!D1967,'Team Data'!C:AB,17,FALSE),"")</f>
        <v/>
      </c>
      <c r="H1967" t="str">
        <f>IFERROR(VLOOKUP(D1967,'Team Data'!C:AB,7,FALSE),"")</f>
        <v/>
      </c>
      <c r="I1967" t="str">
        <f>IFERROR(VLOOKUP(D1967,'Team Data'!C:AB,14,FALSE),"")</f>
        <v/>
      </c>
      <c r="J1967" t="str">
        <f>IFERROR(VLOOKUP(D1967,'Team Data'!C:AB,8,FALSE),"")</f>
        <v/>
      </c>
      <c r="K1967" t="str">
        <f>IFERROR(VLOOKUP(D1967,'Team Data'!C:AB,9,FALSE),"")</f>
        <v/>
      </c>
      <c r="L1967" t="str">
        <f>IFERROR(VLOOKUP(D1967,'Team Data'!C:AB,10,FALSE),"")</f>
        <v/>
      </c>
      <c r="M1967" t="str">
        <f t="shared" si="62"/>
        <v/>
      </c>
      <c r="N1967" t="str">
        <f>IFERROR(VLOOKUP(D1967,'Team Data'!C:AB,23,FALSE),"")</f>
        <v/>
      </c>
      <c r="O1967" t="str">
        <f>IFERROR(VLOOKUP(D1967,'Team Data'!C:AB,22,FALSE),"")</f>
        <v/>
      </c>
      <c r="P1967" t="str">
        <f t="shared" si="63"/>
        <v/>
      </c>
      <c r="Q1967" t="str">
        <f>IFERROR(VLOOKUP(D1967,'Team Data'!C:AB,15,FALSE),"")</f>
        <v/>
      </c>
      <c r="R1967" t="str">
        <f>IFERROR(VLOOKUP('OB Format'!D1967,'Team Data'!C:AB,24,FALSE),"")</f>
        <v/>
      </c>
      <c r="S1967" t="str">
        <f>IFERROR(VLOOKUP('OB Format'!D1967,'Team Data'!C:AC,25,FALSE),"")</f>
        <v/>
      </c>
    </row>
    <row r="1968" spans="5:19" x14ac:dyDescent="0.25">
      <c r="E1968" t="str">
        <f>IFERROR(VLOOKUP(D1968,'Team Data'!C:AB,4,FALSE),"")</f>
        <v/>
      </c>
      <c r="F1968" t="str">
        <f>IFERROR(VLOOKUP(D1968,'Team Data'!C:AB,5,FALSE),"")</f>
        <v/>
      </c>
      <c r="G1968" t="str">
        <f>IFERROR(VLOOKUP('OB Format'!D1968,'Team Data'!C:AB,17,FALSE),"")</f>
        <v/>
      </c>
      <c r="H1968" t="str">
        <f>IFERROR(VLOOKUP(D1968,'Team Data'!C:AB,7,FALSE),"")</f>
        <v/>
      </c>
      <c r="I1968" t="str">
        <f>IFERROR(VLOOKUP(D1968,'Team Data'!C:AB,14,FALSE),"")</f>
        <v/>
      </c>
      <c r="J1968" t="str">
        <f>IFERROR(VLOOKUP(D1968,'Team Data'!C:AB,8,FALSE),"")</f>
        <v/>
      </c>
      <c r="K1968" t="str">
        <f>IFERROR(VLOOKUP(D1968,'Team Data'!C:AB,9,FALSE),"")</f>
        <v/>
      </c>
      <c r="L1968" t="str">
        <f>IFERROR(VLOOKUP(D1968,'Team Data'!C:AB,10,FALSE),"")</f>
        <v/>
      </c>
      <c r="M1968" t="str">
        <f t="shared" si="62"/>
        <v/>
      </c>
      <c r="N1968" t="str">
        <f>IFERROR(VLOOKUP(D1968,'Team Data'!C:AB,23,FALSE),"")</f>
        <v/>
      </c>
      <c r="O1968" t="str">
        <f>IFERROR(VLOOKUP(D1968,'Team Data'!C:AB,22,FALSE),"")</f>
        <v/>
      </c>
      <c r="P1968" t="str">
        <f t="shared" si="63"/>
        <v/>
      </c>
      <c r="Q1968" t="str">
        <f>IFERROR(VLOOKUP(D1968,'Team Data'!C:AB,15,FALSE),"")</f>
        <v/>
      </c>
      <c r="R1968" t="str">
        <f>IFERROR(VLOOKUP('OB Format'!D1968,'Team Data'!C:AB,24,FALSE),"")</f>
        <v/>
      </c>
      <c r="S1968" t="str">
        <f>IFERROR(VLOOKUP('OB Format'!D1968,'Team Data'!C:AC,25,FALSE),"")</f>
        <v/>
      </c>
    </row>
    <row r="1969" spans="5:19" x14ac:dyDescent="0.25">
      <c r="E1969" t="str">
        <f>IFERROR(VLOOKUP(D1969,'Team Data'!C:AB,4,FALSE),"")</f>
        <v/>
      </c>
      <c r="F1969" t="str">
        <f>IFERROR(VLOOKUP(D1969,'Team Data'!C:AB,5,FALSE),"")</f>
        <v/>
      </c>
      <c r="G1969" t="str">
        <f>IFERROR(VLOOKUP('OB Format'!D1969,'Team Data'!C:AB,17,FALSE),"")</f>
        <v/>
      </c>
      <c r="H1969" t="str">
        <f>IFERROR(VLOOKUP(D1969,'Team Data'!C:AB,7,FALSE),"")</f>
        <v/>
      </c>
      <c r="I1969" t="str">
        <f>IFERROR(VLOOKUP(D1969,'Team Data'!C:AB,14,FALSE),"")</f>
        <v/>
      </c>
      <c r="J1969" t="str">
        <f>IFERROR(VLOOKUP(D1969,'Team Data'!C:AB,8,FALSE),"")</f>
        <v/>
      </c>
      <c r="K1969" t="str">
        <f>IFERROR(VLOOKUP(D1969,'Team Data'!C:AB,9,FALSE),"")</f>
        <v/>
      </c>
      <c r="L1969" t="str">
        <f>IFERROR(VLOOKUP(D1969,'Team Data'!C:AB,10,FALSE),"")</f>
        <v/>
      </c>
      <c r="M1969" t="str">
        <f t="shared" si="62"/>
        <v/>
      </c>
      <c r="N1969" t="str">
        <f>IFERROR(VLOOKUP(D1969,'Team Data'!C:AB,23,FALSE),"")</f>
        <v/>
      </c>
      <c r="O1969" t="str">
        <f>IFERROR(VLOOKUP(D1969,'Team Data'!C:AB,22,FALSE),"")</f>
        <v/>
      </c>
      <c r="P1969" t="str">
        <f t="shared" si="63"/>
        <v/>
      </c>
      <c r="Q1969" t="str">
        <f>IFERROR(VLOOKUP(D1969,'Team Data'!C:AB,15,FALSE),"")</f>
        <v/>
      </c>
      <c r="R1969" t="str">
        <f>IFERROR(VLOOKUP('OB Format'!D1969,'Team Data'!C:AB,24,FALSE),"")</f>
        <v/>
      </c>
      <c r="S1969" t="str">
        <f>IFERROR(VLOOKUP('OB Format'!D1969,'Team Data'!C:AC,25,FALSE),"")</f>
        <v/>
      </c>
    </row>
    <row r="1970" spans="5:19" x14ac:dyDescent="0.25">
      <c r="E1970" t="str">
        <f>IFERROR(VLOOKUP(D1970,'Team Data'!C:AB,4,FALSE),"")</f>
        <v/>
      </c>
      <c r="F1970" t="str">
        <f>IFERROR(VLOOKUP(D1970,'Team Data'!C:AB,5,FALSE),"")</f>
        <v/>
      </c>
      <c r="G1970" t="str">
        <f>IFERROR(VLOOKUP('OB Format'!D1970,'Team Data'!C:AB,17,FALSE),"")</f>
        <v/>
      </c>
      <c r="H1970" t="str">
        <f>IFERROR(VLOOKUP(D1970,'Team Data'!C:AB,7,FALSE),"")</f>
        <v/>
      </c>
      <c r="I1970" t="str">
        <f>IFERROR(VLOOKUP(D1970,'Team Data'!C:AB,14,FALSE),"")</f>
        <v/>
      </c>
      <c r="J1970" t="str">
        <f>IFERROR(VLOOKUP(D1970,'Team Data'!C:AB,8,FALSE),"")</f>
        <v/>
      </c>
      <c r="K1970" t="str">
        <f>IFERROR(VLOOKUP(D1970,'Team Data'!C:AB,9,FALSE),"")</f>
        <v/>
      </c>
      <c r="L1970" t="str">
        <f>IFERROR(VLOOKUP(D1970,'Team Data'!C:AB,10,FALSE),"")</f>
        <v/>
      </c>
      <c r="M1970" t="str">
        <f t="shared" si="62"/>
        <v/>
      </c>
      <c r="N1970" t="str">
        <f>IFERROR(VLOOKUP(D1970,'Team Data'!C:AB,23,FALSE),"")</f>
        <v/>
      </c>
      <c r="O1970" t="str">
        <f>IFERROR(VLOOKUP(D1970,'Team Data'!C:AB,22,FALSE),"")</f>
        <v/>
      </c>
      <c r="P1970" t="str">
        <f t="shared" si="63"/>
        <v/>
      </c>
      <c r="Q1970" t="str">
        <f>IFERROR(VLOOKUP(D1970,'Team Data'!C:AB,15,FALSE),"")</f>
        <v/>
      </c>
      <c r="R1970" t="str">
        <f>IFERROR(VLOOKUP('OB Format'!D1970,'Team Data'!C:AB,24,FALSE),"")</f>
        <v/>
      </c>
      <c r="S1970" t="str">
        <f>IFERROR(VLOOKUP('OB Format'!D1970,'Team Data'!C:AC,25,FALSE),"")</f>
        <v/>
      </c>
    </row>
    <row r="1971" spans="5:19" x14ac:dyDescent="0.25">
      <c r="E1971" t="str">
        <f>IFERROR(VLOOKUP(D1971,'Team Data'!C:AB,4,FALSE),"")</f>
        <v/>
      </c>
      <c r="F1971" t="str">
        <f>IFERROR(VLOOKUP(D1971,'Team Data'!C:AB,5,FALSE),"")</f>
        <v/>
      </c>
      <c r="G1971" t="str">
        <f>IFERROR(VLOOKUP('OB Format'!D1971,'Team Data'!C:AB,17,FALSE),"")</f>
        <v/>
      </c>
      <c r="H1971" t="str">
        <f>IFERROR(VLOOKUP(D1971,'Team Data'!C:AB,7,FALSE),"")</f>
        <v/>
      </c>
      <c r="I1971" t="str">
        <f>IFERROR(VLOOKUP(D1971,'Team Data'!C:AB,14,FALSE),"")</f>
        <v/>
      </c>
      <c r="J1971" t="str">
        <f>IFERROR(VLOOKUP(D1971,'Team Data'!C:AB,8,FALSE),"")</f>
        <v/>
      </c>
      <c r="K1971" t="str">
        <f>IFERROR(VLOOKUP(D1971,'Team Data'!C:AB,9,FALSE),"")</f>
        <v/>
      </c>
      <c r="L1971" t="str">
        <f>IFERROR(VLOOKUP(D1971,'Team Data'!C:AB,10,FALSE),"")</f>
        <v/>
      </c>
      <c r="M1971" t="str">
        <f t="shared" si="62"/>
        <v/>
      </c>
      <c r="N1971" t="str">
        <f>IFERROR(VLOOKUP(D1971,'Team Data'!C:AB,23,FALSE),"")</f>
        <v/>
      </c>
      <c r="O1971" t="str">
        <f>IFERROR(VLOOKUP(D1971,'Team Data'!C:AB,22,FALSE),"")</f>
        <v/>
      </c>
      <c r="P1971" t="str">
        <f t="shared" si="63"/>
        <v/>
      </c>
      <c r="Q1971" t="str">
        <f>IFERROR(VLOOKUP(D1971,'Team Data'!C:AB,15,FALSE),"")</f>
        <v/>
      </c>
      <c r="R1971" t="str">
        <f>IFERROR(VLOOKUP('OB Format'!D1971,'Team Data'!C:AB,24,FALSE),"")</f>
        <v/>
      </c>
      <c r="S1971" t="str">
        <f>IFERROR(VLOOKUP('OB Format'!D1971,'Team Data'!C:AC,25,FALSE),"")</f>
        <v/>
      </c>
    </row>
    <row r="1972" spans="5:19" x14ac:dyDescent="0.25">
      <c r="E1972" t="str">
        <f>IFERROR(VLOOKUP(D1972,'Team Data'!C:AB,4,FALSE),"")</f>
        <v/>
      </c>
      <c r="F1972" t="str">
        <f>IFERROR(VLOOKUP(D1972,'Team Data'!C:AB,5,FALSE),"")</f>
        <v/>
      </c>
      <c r="G1972" t="str">
        <f>IFERROR(VLOOKUP('OB Format'!D1972,'Team Data'!C:AB,17,FALSE),"")</f>
        <v/>
      </c>
      <c r="H1972" t="str">
        <f>IFERROR(VLOOKUP(D1972,'Team Data'!C:AB,7,FALSE),"")</f>
        <v/>
      </c>
      <c r="I1972" t="str">
        <f>IFERROR(VLOOKUP(D1972,'Team Data'!C:AB,14,FALSE),"")</f>
        <v/>
      </c>
      <c r="J1972" t="str">
        <f>IFERROR(VLOOKUP(D1972,'Team Data'!C:AB,8,FALSE),"")</f>
        <v/>
      </c>
      <c r="K1972" t="str">
        <f>IFERROR(VLOOKUP(D1972,'Team Data'!C:AB,9,FALSE),"")</f>
        <v/>
      </c>
      <c r="L1972" t="str">
        <f>IFERROR(VLOOKUP(D1972,'Team Data'!C:AB,10,FALSE),"")</f>
        <v/>
      </c>
      <c r="M1972" t="str">
        <f t="shared" si="62"/>
        <v/>
      </c>
      <c r="N1972" t="str">
        <f>IFERROR(VLOOKUP(D1972,'Team Data'!C:AB,23,FALSE),"")</f>
        <v/>
      </c>
      <c r="O1972" t="str">
        <f>IFERROR(VLOOKUP(D1972,'Team Data'!C:AB,22,FALSE),"")</f>
        <v/>
      </c>
      <c r="P1972" t="str">
        <f t="shared" si="63"/>
        <v/>
      </c>
      <c r="Q1972" t="str">
        <f>IFERROR(VLOOKUP(D1972,'Team Data'!C:AB,15,FALSE),"")</f>
        <v/>
      </c>
      <c r="R1972" t="str">
        <f>IFERROR(VLOOKUP('OB Format'!D1972,'Team Data'!C:AB,24,FALSE),"")</f>
        <v/>
      </c>
      <c r="S1972" t="str">
        <f>IFERROR(VLOOKUP('OB Format'!D1972,'Team Data'!C:AC,25,FALSE),"")</f>
        <v/>
      </c>
    </row>
    <row r="1973" spans="5:19" x14ac:dyDescent="0.25">
      <c r="E1973" t="str">
        <f>IFERROR(VLOOKUP(D1973,'Team Data'!C:AB,4,FALSE),"")</f>
        <v/>
      </c>
      <c r="F1973" t="str">
        <f>IFERROR(VLOOKUP(D1973,'Team Data'!C:AB,5,FALSE),"")</f>
        <v/>
      </c>
      <c r="G1973" t="str">
        <f>IFERROR(VLOOKUP('OB Format'!D1973,'Team Data'!C:AB,17,FALSE),"")</f>
        <v/>
      </c>
      <c r="H1973" t="str">
        <f>IFERROR(VLOOKUP(D1973,'Team Data'!C:AB,7,FALSE),"")</f>
        <v/>
      </c>
      <c r="I1973" t="str">
        <f>IFERROR(VLOOKUP(D1973,'Team Data'!C:AB,14,FALSE),"")</f>
        <v/>
      </c>
      <c r="J1973" t="str">
        <f>IFERROR(VLOOKUP(D1973,'Team Data'!C:AB,8,FALSE),"")</f>
        <v/>
      </c>
      <c r="K1973" t="str">
        <f>IFERROR(VLOOKUP(D1973,'Team Data'!C:AB,9,FALSE),"")</f>
        <v/>
      </c>
      <c r="L1973" t="str">
        <f>IFERROR(VLOOKUP(D1973,'Team Data'!C:AB,10,FALSE),"")</f>
        <v/>
      </c>
      <c r="M1973" t="str">
        <f t="shared" si="62"/>
        <v/>
      </c>
      <c r="N1973" t="str">
        <f>IFERROR(VLOOKUP(D1973,'Team Data'!C:AB,23,FALSE),"")</f>
        <v/>
      </c>
      <c r="O1973" t="str">
        <f>IFERROR(VLOOKUP(D1973,'Team Data'!C:AB,22,FALSE),"")</f>
        <v/>
      </c>
      <c r="P1973" t="str">
        <f t="shared" si="63"/>
        <v/>
      </c>
      <c r="Q1973" t="str">
        <f>IFERROR(VLOOKUP(D1973,'Team Data'!C:AB,15,FALSE),"")</f>
        <v/>
      </c>
      <c r="R1973" t="str">
        <f>IFERROR(VLOOKUP('OB Format'!D1973,'Team Data'!C:AB,24,FALSE),"")</f>
        <v/>
      </c>
      <c r="S1973" t="str">
        <f>IFERROR(VLOOKUP('OB Format'!D1973,'Team Data'!C:AC,25,FALSE),"")</f>
        <v/>
      </c>
    </row>
    <row r="1974" spans="5:19" x14ac:dyDescent="0.25">
      <c r="E1974" t="str">
        <f>IFERROR(VLOOKUP(D1974,'Team Data'!C:AB,4,FALSE),"")</f>
        <v/>
      </c>
      <c r="F1974" t="str">
        <f>IFERROR(VLOOKUP(D1974,'Team Data'!C:AB,5,FALSE),"")</f>
        <v/>
      </c>
      <c r="G1974" t="str">
        <f>IFERROR(VLOOKUP('OB Format'!D1974,'Team Data'!C:AB,17,FALSE),"")</f>
        <v/>
      </c>
      <c r="H1974" t="str">
        <f>IFERROR(VLOOKUP(D1974,'Team Data'!C:AB,7,FALSE),"")</f>
        <v/>
      </c>
      <c r="I1974" t="str">
        <f>IFERROR(VLOOKUP(D1974,'Team Data'!C:AB,14,FALSE),"")</f>
        <v/>
      </c>
      <c r="J1974" t="str">
        <f>IFERROR(VLOOKUP(D1974,'Team Data'!C:AB,8,FALSE),"")</f>
        <v/>
      </c>
      <c r="K1974" t="str">
        <f>IFERROR(VLOOKUP(D1974,'Team Data'!C:AB,9,FALSE),"")</f>
        <v/>
      </c>
      <c r="L1974" t="str">
        <f>IFERROR(VLOOKUP(D1974,'Team Data'!C:AB,10,FALSE),"")</f>
        <v/>
      </c>
      <c r="M1974" t="str">
        <f t="shared" si="62"/>
        <v/>
      </c>
      <c r="N1974" t="str">
        <f>IFERROR(VLOOKUP(D1974,'Team Data'!C:AB,23,FALSE),"")</f>
        <v/>
      </c>
      <c r="O1974" t="str">
        <f>IFERROR(VLOOKUP(D1974,'Team Data'!C:AB,22,FALSE),"")</f>
        <v/>
      </c>
      <c r="P1974" t="str">
        <f t="shared" si="63"/>
        <v/>
      </c>
      <c r="Q1974" t="str">
        <f>IFERROR(VLOOKUP(D1974,'Team Data'!C:AB,15,FALSE),"")</f>
        <v/>
      </c>
      <c r="R1974" t="str">
        <f>IFERROR(VLOOKUP('OB Format'!D1974,'Team Data'!C:AB,24,FALSE),"")</f>
        <v/>
      </c>
      <c r="S1974" t="str">
        <f>IFERROR(VLOOKUP('OB Format'!D1974,'Team Data'!C:AC,25,FALSE),"")</f>
        <v/>
      </c>
    </row>
    <row r="1975" spans="5:19" x14ac:dyDescent="0.25">
      <c r="E1975" t="str">
        <f>IFERROR(VLOOKUP(D1975,'Team Data'!C:AB,4,FALSE),"")</f>
        <v/>
      </c>
      <c r="F1975" t="str">
        <f>IFERROR(VLOOKUP(D1975,'Team Data'!C:AB,5,FALSE),"")</f>
        <v/>
      </c>
      <c r="G1975" t="str">
        <f>IFERROR(VLOOKUP('OB Format'!D1975,'Team Data'!C:AB,17,FALSE),"")</f>
        <v/>
      </c>
      <c r="H1975" t="str">
        <f>IFERROR(VLOOKUP(D1975,'Team Data'!C:AB,7,FALSE),"")</f>
        <v/>
      </c>
      <c r="I1975" t="str">
        <f>IFERROR(VLOOKUP(D1975,'Team Data'!C:AB,14,FALSE),"")</f>
        <v/>
      </c>
      <c r="J1975" t="str">
        <f>IFERROR(VLOOKUP(D1975,'Team Data'!C:AB,8,FALSE),"")</f>
        <v/>
      </c>
      <c r="K1975" t="str">
        <f>IFERROR(VLOOKUP(D1975,'Team Data'!C:AB,9,FALSE),"")</f>
        <v/>
      </c>
      <c r="L1975" t="str">
        <f>IFERROR(VLOOKUP(D1975,'Team Data'!C:AB,10,FALSE),"")</f>
        <v/>
      </c>
      <c r="M1975" t="str">
        <f t="shared" si="62"/>
        <v/>
      </c>
      <c r="N1975" t="str">
        <f>IFERROR(VLOOKUP(D1975,'Team Data'!C:AB,23,FALSE),"")</f>
        <v/>
      </c>
      <c r="O1975" t="str">
        <f>IFERROR(VLOOKUP(D1975,'Team Data'!C:AB,22,FALSE),"")</f>
        <v/>
      </c>
      <c r="P1975" t="str">
        <f t="shared" si="63"/>
        <v/>
      </c>
      <c r="Q1975" t="str">
        <f>IFERROR(VLOOKUP(D1975,'Team Data'!C:AB,15,FALSE),"")</f>
        <v/>
      </c>
      <c r="R1975" t="str">
        <f>IFERROR(VLOOKUP('OB Format'!D1975,'Team Data'!C:AB,24,FALSE),"")</f>
        <v/>
      </c>
      <c r="S1975" t="str">
        <f>IFERROR(VLOOKUP('OB Format'!D1975,'Team Data'!C:AC,25,FALSE),"")</f>
        <v/>
      </c>
    </row>
    <row r="1976" spans="5:19" x14ac:dyDescent="0.25">
      <c r="E1976" t="str">
        <f>IFERROR(VLOOKUP(D1976,'Team Data'!C:AB,4,FALSE),"")</f>
        <v/>
      </c>
      <c r="F1976" t="str">
        <f>IFERROR(VLOOKUP(D1976,'Team Data'!C:AB,5,FALSE),"")</f>
        <v/>
      </c>
      <c r="G1976" t="str">
        <f>IFERROR(VLOOKUP('OB Format'!D1976,'Team Data'!C:AB,17,FALSE),"")</f>
        <v/>
      </c>
      <c r="H1976" t="str">
        <f>IFERROR(VLOOKUP(D1976,'Team Data'!C:AB,7,FALSE),"")</f>
        <v/>
      </c>
      <c r="I1976" t="str">
        <f>IFERROR(VLOOKUP(D1976,'Team Data'!C:AB,14,FALSE),"")</f>
        <v/>
      </c>
      <c r="J1976" t="str">
        <f>IFERROR(VLOOKUP(D1976,'Team Data'!C:AB,8,FALSE),"")</f>
        <v/>
      </c>
      <c r="K1976" t="str">
        <f>IFERROR(VLOOKUP(D1976,'Team Data'!C:AB,9,FALSE),"")</f>
        <v/>
      </c>
      <c r="L1976" t="str">
        <f>IFERROR(VLOOKUP(D1976,'Team Data'!C:AB,10,FALSE),"")</f>
        <v/>
      </c>
      <c r="M1976" t="str">
        <f t="shared" si="62"/>
        <v/>
      </c>
      <c r="N1976" t="str">
        <f>IFERROR(VLOOKUP(D1976,'Team Data'!C:AB,23,FALSE),"")</f>
        <v/>
      </c>
      <c r="O1976" t="str">
        <f>IFERROR(VLOOKUP(D1976,'Team Data'!C:AB,22,FALSE),"")</f>
        <v/>
      </c>
      <c r="P1976" t="str">
        <f t="shared" si="63"/>
        <v/>
      </c>
      <c r="Q1976" t="str">
        <f>IFERROR(VLOOKUP(D1976,'Team Data'!C:AB,15,FALSE),"")</f>
        <v/>
      </c>
      <c r="R1976" t="str">
        <f>IFERROR(VLOOKUP('OB Format'!D1976,'Team Data'!C:AB,24,FALSE),"")</f>
        <v/>
      </c>
      <c r="S1976" t="str">
        <f>IFERROR(VLOOKUP('OB Format'!D1976,'Team Data'!C:AC,25,FALSE),"")</f>
        <v/>
      </c>
    </row>
    <row r="1977" spans="5:19" x14ac:dyDescent="0.25">
      <c r="E1977" t="str">
        <f>IFERROR(VLOOKUP(D1977,'Team Data'!C:AB,4,FALSE),"")</f>
        <v/>
      </c>
      <c r="F1977" t="str">
        <f>IFERROR(VLOOKUP(D1977,'Team Data'!C:AB,5,FALSE),"")</f>
        <v/>
      </c>
      <c r="G1977" t="str">
        <f>IFERROR(VLOOKUP('OB Format'!D1977,'Team Data'!C:AB,17,FALSE),"")</f>
        <v/>
      </c>
      <c r="H1977" t="str">
        <f>IFERROR(VLOOKUP(D1977,'Team Data'!C:AB,7,FALSE),"")</f>
        <v/>
      </c>
      <c r="I1977" t="str">
        <f>IFERROR(VLOOKUP(D1977,'Team Data'!C:AB,14,FALSE),"")</f>
        <v/>
      </c>
      <c r="J1977" t="str">
        <f>IFERROR(VLOOKUP(D1977,'Team Data'!C:AB,8,FALSE),"")</f>
        <v/>
      </c>
      <c r="K1977" t="str">
        <f>IFERROR(VLOOKUP(D1977,'Team Data'!C:AB,9,FALSE),"")</f>
        <v/>
      </c>
      <c r="L1977" t="str">
        <f>IFERROR(VLOOKUP(D1977,'Team Data'!C:AB,10,FALSE),"")</f>
        <v/>
      </c>
      <c r="M1977" t="str">
        <f t="shared" si="62"/>
        <v/>
      </c>
      <c r="N1977" t="str">
        <f>IFERROR(VLOOKUP(D1977,'Team Data'!C:AB,23,FALSE),"")</f>
        <v/>
      </c>
      <c r="O1977" t="str">
        <f>IFERROR(VLOOKUP(D1977,'Team Data'!C:AB,22,FALSE),"")</f>
        <v/>
      </c>
      <c r="P1977" t="str">
        <f t="shared" si="63"/>
        <v/>
      </c>
      <c r="Q1977" t="str">
        <f>IFERROR(VLOOKUP(D1977,'Team Data'!C:AB,15,FALSE),"")</f>
        <v/>
      </c>
      <c r="R1977" t="str">
        <f>IFERROR(VLOOKUP('OB Format'!D1977,'Team Data'!C:AB,24,FALSE),"")</f>
        <v/>
      </c>
      <c r="S1977" t="str">
        <f>IFERROR(VLOOKUP('OB Format'!D1977,'Team Data'!C:AC,25,FALSE),"")</f>
        <v/>
      </c>
    </row>
    <row r="1978" spans="5:19" x14ac:dyDescent="0.25">
      <c r="E1978" t="str">
        <f>IFERROR(VLOOKUP(D1978,'Team Data'!C:AB,4,FALSE),"")</f>
        <v/>
      </c>
      <c r="F1978" t="str">
        <f>IFERROR(VLOOKUP(D1978,'Team Data'!C:AB,5,FALSE),"")</f>
        <v/>
      </c>
      <c r="G1978" t="str">
        <f>IFERROR(VLOOKUP('OB Format'!D1978,'Team Data'!C:AB,17,FALSE),"")</f>
        <v/>
      </c>
      <c r="H1978" t="str">
        <f>IFERROR(VLOOKUP(D1978,'Team Data'!C:AB,7,FALSE),"")</f>
        <v/>
      </c>
      <c r="I1978" t="str">
        <f>IFERROR(VLOOKUP(D1978,'Team Data'!C:AB,14,FALSE),"")</f>
        <v/>
      </c>
      <c r="J1978" t="str">
        <f>IFERROR(VLOOKUP(D1978,'Team Data'!C:AB,8,FALSE),"")</f>
        <v/>
      </c>
      <c r="K1978" t="str">
        <f>IFERROR(VLOOKUP(D1978,'Team Data'!C:AB,9,FALSE),"")</f>
        <v/>
      </c>
      <c r="L1978" t="str">
        <f>IFERROR(VLOOKUP(D1978,'Team Data'!C:AB,10,FALSE),"")</f>
        <v/>
      </c>
      <c r="M1978" t="str">
        <f t="shared" si="62"/>
        <v/>
      </c>
      <c r="N1978" t="str">
        <f>IFERROR(VLOOKUP(D1978,'Team Data'!C:AB,23,FALSE),"")</f>
        <v/>
      </c>
      <c r="O1978" t="str">
        <f>IFERROR(VLOOKUP(D1978,'Team Data'!C:AB,22,FALSE),"")</f>
        <v/>
      </c>
      <c r="P1978" t="str">
        <f t="shared" si="63"/>
        <v/>
      </c>
      <c r="Q1978" t="str">
        <f>IFERROR(VLOOKUP(D1978,'Team Data'!C:AB,15,FALSE),"")</f>
        <v/>
      </c>
      <c r="R1978" t="str">
        <f>IFERROR(VLOOKUP('OB Format'!D1978,'Team Data'!C:AB,24,FALSE),"")</f>
        <v/>
      </c>
      <c r="S1978" t="str">
        <f>IFERROR(VLOOKUP('OB Format'!D1978,'Team Data'!C:AC,25,FALSE),"")</f>
        <v/>
      </c>
    </row>
    <row r="1979" spans="5:19" x14ac:dyDescent="0.25">
      <c r="E1979" t="str">
        <f>IFERROR(VLOOKUP(D1979,'Team Data'!C:AB,4,FALSE),"")</f>
        <v/>
      </c>
      <c r="F1979" t="str">
        <f>IFERROR(VLOOKUP(D1979,'Team Data'!C:AB,5,FALSE),"")</f>
        <v/>
      </c>
      <c r="G1979" t="str">
        <f>IFERROR(VLOOKUP('OB Format'!D1979,'Team Data'!C:AB,17,FALSE),"")</f>
        <v/>
      </c>
      <c r="H1979" t="str">
        <f>IFERROR(VLOOKUP(D1979,'Team Data'!C:AB,7,FALSE),"")</f>
        <v/>
      </c>
      <c r="I1979" t="str">
        <f>IFERROR(VLOOKUP(D1979,'Team Data'!C:AB,14,FALSE),"")</f>
        <v/>
      </c>
      <c r="J1979" t="str">
        <f>IFERROR(VLOOKUP(D1979,'Team Data'!C:AB,8,FALSE),"")</f>
        <v/>
      </c>
      <c r="K1979" t="str">
        <f>IFERROR(VLOOKUP(D1979,'Team Data'!C:AB,9,FALSE),"")</f>
        <v/>
      </c>
      <c r="L1979" t="str">
        <f>IFERROR(VLOOKUP(D1979,'Team Data'!C:AB,10,FALSE),"")</f>
        <v/>
      </c>
      <c r="M1979" t="str">
        <f t="shared" si="62"/>
        <v/>
      </c>
      <c r="N1979" t="str">
        <f>IFERROR(VLOOKUP(D1979,'Team Data'!C:AB,23,FALSE),"")</f>
        <v/>
      </c>
      <c r="O1979" t="str">
        <f>IFERROR(VLOOKUP(D1979,'Team Data'!C:AB,22,FALSE),"")</f>
        <v/>
      </c>
      <c r="P1979" t="str">
        <f t="shared" si="63"/>
        <v/>
      </c>
      <c r="Q1979" t="str">
        <f>IFERROR(VLOOKUP(D1979,'Team Data'!C:AB,15,FALSE),"")</f>
        <v/>
      </c>
      <c r="R1979" t="str">
        <f>IFERROR(VLOOKUP('OB Format'!D1979,'Team Data'!C:AB,24,FALSE),"")</f>
        <v/>
      </c>
      <c r="S1979" t="str">
        <f>IFERROR(VLOOKUP('OB Format'!D1979,'Team Data'!C:AC,25,FALSE),"")</f>
        <v/>
      </c>
    </row>
    <row r="1980" spans="5:19" x14ac:dyDescent="0.25">
      <c r="E1980" t="str">
        <f>IFERROR(VLOOKUP(D1980,'Team Data'!C:AB,4,FALSE),"")</f>
        <v/>
      </c>
      <c r="F1980" t="str">
        <f>IFERROR(VLOOKUP(D1980,'Team Data'!C:AB,5,FALSE),"")</f>
        <v/>
      </c>
      <c r="G1980" t="str">
        <f>IFERROR(VLOOKUP('OB Format'!D1980,'Team Data'!C:AB,17,FALSE),"")</f>
        <v/>
      </c>
      <c r="H1980" t="str">
        <f>IFERROR(VLOOKUP(D1980,'Team Data'!C:AB,7,FALSE),"")</f>
        <v/>
      </c>
      <c r="I1980" t="str">
        <f>IFERROR(VLOOKUP(D1980,'Team Data'!C:AB,14,FALSE),"")</f>
        <v/>
      </c>
      <c r="J1980" t="str">
        <f>IFERROR(VLOOKUP(D1980,'Team Data'!C:AB,8,FALSE),"")</f>
        <v/>
      </c>
      <c r="K1980" t="str">
        <f>IFERROR(VLOOKUP(D1980,'Team Data'!C:AB,9,FALSE),"")</f>
        <v/>
      </c>
      <c r="L1980" t="str">
        <f>IFERROR(VLOOKUP(D1980,'Team Data'!C:AB,10,FALSE),"")</f>
        <v/>
      </c>
      <c r="M1980" t="str">
        <f t="shared" si="62"/>
        <v/>
      </c>
      <c r="N1980" t="str">
        <f>IFERROR(VLOOKUP(D1980,'Team Data'!C:AB,23,FALSE),"")</f>
        <v/>
      </c>
      <c r="O1980" t="str">
        <f>IFERROR(VLOOKUP(D1980,'Team Data'!C:AB,22,FALSE),"")</f>
        <v/>
      </c>
      <c r="P1980" t="str">
        <f t="shared" si="63"/>
        <v/>
      </c>
      <c r="Q1980" t="str">
        <f>IFERROR(VLOOKUP(D1980,'Team Data'!C:AB,15,FALSE),"")</f>
        <v/>
      </c>
      <c r="R1980" t="str">
        <f>IFERROR(VLOOKUP('OB Format'!D1980,'Team Data'!C:AB,24,FALSE),"")</f>
        <v/>
      </c>
      <c r="S1980" t="str">
        <f>IFERROR(VLOOKUP('OB Format'!D1980,'Team Data'!C:AC,25,FALSE),"")</f>
        <v/>
      </c>
    </row>
    <row r="1981" spans="5:19" x14ac:dyDescent="0.25">
      <c r="E1981" t="str">
        <f>IFERROR(VLOOKUP(D1981,'Team Data'!C:AB,4,FALSE),"")</f>
        <v/>
      </c>
      <c r="F1981" t="str">
        <f>IFERROR(VLOOKUP(D1981,'Team Data'!C:AB,5,FALSE),"")</f>
        <v/>
      </c>
      <c r="G1981" t="str">
        <f>IFERROR(VLOOKUP('OB Format'!D1981,'Team Data'!C:AB,17,FALSE),"")</f>
        <v/>
      </c>
      <c r="H1981" t="str">
        <f>IFERROR(VLOOKUP(D1981,'Team Data'!C:AB,7,FALSE),"")</f>
        <v/>
      </c>
      <c r="I1981" t="str">
        <f>IFERROR(VLOOKUP(D1981,'Team Data'!C:AB,14,FALSE),"")</f>
        <v/>
      </c>
      <c r="J1981" t="str">
        <f>IFERROR(VLOOKUP(D1981,'Team Data'!C:AB,8,FALSE),"")</f>
        <v/>
      </c>
      <c r="K1981" t="str">
        <f>IFERROR(VLOOKUP(D1981,'Team Data'!C:AB,9,FALSE),"")</f>
        <v/>
      </c>
      <c r="L1981" t="str">
        <f>IFERROR(VLOOKUP(D1981,'Team Data'!C:AB,10,FALSE),"")</f>
        <v/>
      </c>
      <c r="M1981" t="str">
        <f t="shared" si="62"/>
        <v/>
      </c>
      <c r="N1981" t="str">
        <f>IFERROR(VLOOKUP(D1981,'Team Data'!C:AB,23,FALSE),"")</f>
        <v/>
      </c>
      <c r="O1981" t="str">
        <f>IFERROR(VLOOKUP(D1981,'Team Data'!C:AB,22,FALSE),"")</f>
        <v/>
      </c>
      <c r="P1981" t="str">
        <f t="shared" si="63"/>
        <v/>
      </c>
      <c r="Q1981" t="str">
        <f>IFERROR(VLOOKUP(D1981,'Team Data'!C:AB,15,FALSE),"")</f>
        <v/>
      </c>
      <c r="R1981" t="str">
        <f>IFERROR(VLOOKUP('OB Format'!D1981,'Team Data'!C:AB,24,FALSE),"")</f>
        <v/>
      </c>
      <c r="S1981" t="str">
        <f>IFERROR(VLOOKUP('OB Format'!D1981,'Team Data'!C:AC,25,FALSE),"")</f>
        <v/>
      </c>
    </row>
    <row r="1982" spans="5:19" x14ac:dyDescent="0.25">
      <c r="E1982" t="str">
        <f>IFERROR(VLOOKUP(D1982,'Team Data'!C:AB,4,FALSE),"")</f>
        <v/>
      </c>
      <c r="F1982" t="str">
        <f>IFERROR(VLOOKUP(D1982,'Team Data'!C:AB,5,FALSE),"")</f>
        <v/>
      </c>
      <c r="G1982" t="str">
        <f>IFERROR(VLOOKUP('OB Format'!D1982,'Team Data'!C:AB,17,FALSE),"")</f>
        <v/>
      </c>
      <c r="H1982" t="str">
        <f>IFERROR(VLOOKUP(D1982,'Team Data'!C:AB,7,FALSE),"")</f>
        <v/>
      </c>
      <c r="I1982" t="str">
        <f>IFERROR(VLOOKUP(D1982,'Team Data'!C:AB,14,FALSE),"")</f>
        <v/>
      </c>
      <c r="J1982" t="str">
        <f>IFERROR(VLOOKUP(D1982,'Team Data'!C:AB,8,FALSE),"")</f>
        <v/>
      </c>
      <c r="K1982" t="str">
        <f>IFERROR(VLOOKUP(D1982,'Team Data'!C:AB,9,FALSE),"")</f>
        <v/>
      </c>
      <c r="L1982" t="str">
        <f>IFERROR(VLOOKUP(D1982,'Team Data'!C:AB,10,FALSE),"")</f>
        <v/>
      </c>
      <c r="M1982" t="str">
        <f t="shared" si="62"/>
        <v/>
      </c>
      <c r="N1982" t="str">
        <f>IFERROR(VLOOKUP(D1982,'Team Data'!C:AB,23,FALSE),"")</f>
        <v/>
      </c>
      <c r="O1982" t="str">
        <f>IFERROR(VLOOKUP(D1982,'Team Data'!C:AB,22,FALSE),"")</f>
        <v/>
      </c>
      <c r="P1982" t="str">
        <f t="shared" si="63"/>
        <v/>
      </c>
      <c r="Q1982" t="str">
        <f>IFERROR(VLOOKUP(D1982,'Team Data'!C:AB,15,FALSE),"")</f>
        <v/>
      </c>
      <c r="R1982" t="str">
        <f>IFERROR(VLOOKUP('OB Format'!D1982,'Team Data'!C:AB,24,FALSE),"")</f>
        <v/>
      </c>
      <c r="S1982" t="str">
        <f>IFERROR(VLOOKUP('OB Format'!D1982,'Team Data'!C:AC,25,FALSE),"")</f>
        <v/>
      </c>
    </row>
    <row r="1983" spans="5:19" x14ac:dyDescent="0.25">
      <c r="E1983" t="str">
        <f>IFERROR(VLOOKUP(D1983,'Team Data'!C:AB,4,FALSE),"")</f>
        <v/>
      </c>
      <c r="F1983" t="str">
        <f>IFERROR(VLOOKUP(D1983,'Team Data'!C:AB,5,FALSE),"")</f>
        <v/>
      </c>
      <c r="G1983" t="str">
        <f>IFERROR(VLOOKUP('OB Format'!D1983,'Team Data'!C:AB,17,FALSE),"")</f>
        <v/>
      </c>
      <c r="H1983" t="str">
        <f>IFERROR(VLOOKUP(D1983,'Team Data'!C:AB,7,FALSE),"")</f>
        <v/>
      </c>
      <c r="I1983" t="str">
        <f>IFERROR(VLOOKUP(D1983,'Team Data'!C:AB,14,FALSE),"")</f>
        <v/>
      </c>
      <c r="J1983" t="str">
        <f>IFERROR(VLOOKUP(D1983,'Team Data'!C:AB,8,FALSE),"")</f>
        <v/>
      </c>
      <c r="K1983" t="str">
        <f>IFERROR(VLOOKUP(D1983,'Team Data'!C:AB,9,FALSE),"")</f>
        <v/>
      </c>
      <c r="L1983" t="str">
        <f>IFERROR(VLOOKUP(D1983,'Team Data'!C:AB,10,FALSE),"")</f>
        <v/>
      </c>
      <c r="M1983" t="str">
        <f t="shared" si="62"/>
        <v/>
      </c>
      <c r="N1983" t="str">
        <f>IFERROR(VLOOKUP(D1983,'Team Data'!C:AB,23,FALSE),"")</f>
        <v/>
      </c>
      <c r="O1983" t="str">
        <f>IFERROR(VLOOKUP(D1983,'Team Data'!C:AB,22,FALSE),"")</f>
        <v/>
      </c>
      <c r="P1983" t="str">
        <f t="shared" si="63"/>
        <v/>
      </c>
      <c r="Q1983" t="str">
        <f>IFERROR(VLOOKUP(D1983,'Team Data'!C:AB,15,FALSE),"")</f>
        <v/>
      </c>
      <c r="R1983" t="str">
        <f>IFERROR(VLOOKUP('OB Format'!D1983,'Team Data'!C:AB,24,FALSE),"")</f>
        <v/>
      </c>
      <c r="S1983" t="str">
        <f>IFERROR(VLOOKUP('OB Format'!D1983,'Team Data'!C:AC,25,FALSE),"")</f>
        <v/>
      </c>
    </row>
    <row r="1984" spans="5:19" x14ac:dyDescent="0.25">
      <c r="E1984" t="str">
        <f>IFERROR(VLOOKUP(D1984,'Team Data'!C:AB,4,FALSE),"")</f>
        <v/>
      </c>
      <c r="F1984" t="str">
        <f>IFERROR(VLOOKUP(D1984,'Team Data'!C:AB,5,FALSE),"")</f>
        <v/>
      </c>
      <c r="G1984" t="str">
        <f>IFERROR(VLOOKUP('OB Format'!D1984,'Team Data'!C:AB,17,FALSE),"")</f>
        <v/>
      </c>
      <c r="H1984" t="str">
        <f>IFERROR(VLOOKUP(D1984,'Team Data'!C:AB,7,FALSE),"")</f>
        <v/>
      </c>
      <c r="I1984" t="str">
        <f>IFERROR(VLOOKUP(D1984,'Team Data'!C:AB,14,FALSE),"")</f>
        <v/>
      </c>
      <c r="J1984" t="str">
        <f>IFERROR(VLOOKUP(D1984,'Team Data'!C:AB,8,FALSE),"")</f>
        <v/>
      </c>
      <c r="K1984" t="str">
        <f>IFERROR(VLOOKUP(D1984,'Team Data'!C:AB,9,FALSE),"")</f>
        <v/>
      </c>
      <c r="L1984" t="str">
        <f>IFERROR(VLOOKUP(D1984,'Team Data'!C:AB,10,FALSE),"")</f>
        <v/>
      </c>
      <c r="M1984" t="str">
        <f t="shared" si="62"/>
        <v/>
      </c>
      <c r="N1984" t="str">
        <f>IFERROR(VLOOKUP(D1984,'Team Data'!C:AB,23,FALSE),"")</f>
        <v/>
      </c>
      <c r="O1984" t="str">
        <f>IFERROR(VLOOKUP(D1984,'Team Data'!C:AB,22,FALSE),"")</f>
        <v/>
      </c>
      <c r="P1984" t="str">
        <f t="shared" si="63"/>
        <v/>
      </c>
      <c r="Q1984" t="str">
        <f>IFERROR(VLOOKUP(D1984,'Team Data'!C:AB,15,FALSE),"")</f>
        <v/>
      </c>
      <c r="R1984" t="str">
        <f>IFERROR(VLOOKUP('OB Format'!D1984,'Team Data'!C:AB,24,FALSE),"")</f>
        <v/>
      </c>
      <c r="S1984" t="str">
        <f>IFERROR(VLOOKUP('OB Format'!D1984,'Team Data'!C:AC,25,FALSE),"")</f>
        <v/>
      </c>
    </row>
    <row r="1985" spans="5:19" x14ac:dyDescent="0.25">
      <c r="E1985" t="str">
        <f>IFERROR(VLOOKUP(D1985,'Team Data'!C:AB,4,FALSE),"")</f>
        <v/>
      </c>
      <c r="F1985" t="str">
        <f>IFERROR(VLOOKUP(D1985,'Team Data'!C:AB,5,FALSE),"")</f>
        <v/>
      </c>
      <c r="G1985" t="str">
        <f>IFERROR(VLOOKUP('OB Format'!D1985,'Team Data'!C:AB,17,FALSE),"")</f>
        <v/>
      </c>
      <c r="H1985" t="str">
        <f>IFERROR(VLOOKUP(D1985,'Team Data'!C:AB,7,FALSE),"")</f>
        <v/>
      </c>
      <c r="I1985" t="str">
        <f>IFERROR(VLOOKUP(D1985,'Team Data'!C:AB,14,FALSE),"")</f>
        <v/>
      </c>
      <c r="J1985" t="str">
        <f>IFERROR(VLOOKUP(D1985,'Team Data'!C:AB,8,FALSE),"")</f>
        <v/>
      </c>
      <c r="K1985" t="str">
        <f>IFERROR(VLOOKUP(D1985,'Team Data'!C:AB,9,FALSE),"")</f>
        <v/>
      </c>
      <c r="L1985" t="str">
        <f>IFERROR(VLOOKUP(D1985,'Team Data'!C:AB,10,FALSE),"")</f>
        <v/>
      </c>
      <c r="M1985" t="str">
        <f t="shared" si="62"/>
        <v/>
      </c>
      <c r="N1985" t="str">
        <f>IFERROR(VLOOKUP(D1985,'Team Data'!C:AB,23,FALSE),"")</f>
        <v/>
      </c>
      <c r="O1985" t="str">
        <f>IFERROR(VLOOKUP(D1985,'Team Data'!C:AB,22,FALSE),"")</f>
        <v/>
      </c>
      <c r="P1985" t="str">
        <f t="shared" si="63"/>
        <v/>
      </c>
      <c r="Q1985" t="str">
        <f>IFERROR(VLOOKUP(D1985,'Team Data'!C:AB,15,FALSE),"")</f>
        <v/>
      </c>
      <c r="R1985" t="str">
        <f>IFERROR(VLOOKUP('OB Format'!D1985,'Team Data'!C:AB,24,FALSE),"")</f>
        <v/>
      </c>
      <c r="S1985" t="str">
        <f>IFERROR(VLOOKUP('OB Format'!D1985,'Team Data'!C:AC,25,FALSE),"")</f>
        <v/>
      </c>
    </row>
    <row r="1986" spans="5:19" x14ac:dyDescent="0.25">
      <c r="E1986" t="str">
        <f>IFERROR(VLOOKUP(D1986,'Team Data'!C:AB,4,FALSE),"")</f>
        <v/>
      </c>
      <c r="F1986" t="str">
        <f>IFERROR(VLOOKUP(D1986,'Team Data'!C:AB,5,FALSE),"")</f>
        <v/>
      </c>
      <c r="G1986" t="str">
        <f>IFERROR(VLOOKUP('OB Format'!D1986,'Team Data'!C:AB,17,FALSE),"")</f>
        <v/>
      </c>
      <c r="H1986" t="str">
        <f>IFERROR(VLOOKUP(D1986,'Team Data'!C:AB,7,FALSE),"")</f>
        <v/>
      </c>
      <c r="I1986" t="str">
        <f>IFERROR(VLOOKUP(D1986,'Team Data'!C:AB,14,FALSE),"")</f>
        <v/>
      </c>
      <c r="J1986" t="str">
        <f>IFERROR(VLOOKUP(D1986,'Team Data'!C:AB,8,FALSE),"")</f>
        <v/>
      </c>
      <c r="K1986" t="str">
        <f>IFERROR(VLOOKUP(D1986,'Team Data'!C:AB,9,FALSE),"")</f>
        <v/>
      </c>
      <c r="L1986" t="str">
        <f>IFERROR(VLOOKUP(D1986,'Team Data'!C:AB,10,FALSE),"")</f>
        <v/>
      </c>
      <c r="M1986" t="str">
        <f t="shared" si="62"/>
        <v/>
      </c>
      <c r="N1986" t="str">
        <f>IFERROR(VLOOKUP(D1986,'Team Data'!C:AB,23,FALSE),"")</f>
        <v/>
      </c>
      <c r="O1986" t="str">
        <f>IFERROR(VLOOKUP(D1986,'Team Data'!C:AB,22,FALSE),"")</f>
        <v/>
      </c>
      <c r="P1986" t="str">
        <f t="shared" si="63"/>
        <v/>
      </c>
      <c r="Q1986" t="str">
        <f>IFERROR(VLOOKUP(D1986,'Team Data'!C:AB,15,FALSE),"")</f>
        <v/>
      </c>
      <c r="R1986" t="str">
        <f>IFERROR(VLOOKUP('OB Format'!D1986,'Team Data'!C:AB,24,FALSE),"")</f>
        <v/>
      </c>
      <c r="S1986" t="str">
        <f>IFERROR(VLOOKUP('OB Format'!D1986,'Team Data'!C:AC,25,FALSE),"")</f>
        <v/>
      </c>
    </row>
    <row r="1987" spans="5:19" x14ac:dyDescent="0.25">
      <c r="E1987" t="str">
        <f>IFERROR(VLOOKUP(D1987,'Team Data'!C:AB,4,FALSE),"")</f>
        <v/>
      </c>
      <c r="F1987" t="str">
        <f>IFERROR(VLOOKUP(D1987,'Team Data'!C:AB,5,FALSE),"")</f>
        <v/>
      </c>
      <c r="G1987" t="str">
        <f>IFERROR(VLOOKUP('OB Format'!D1987,'Team Data'!C:AB,17,FALSE),"")</f>
        <v/>
      </c>
      <c r="H1987" t="str">
        <f>IFERROR(VLOOKUP(D1987,'Team Data'!C:AB,7,FALSE),"")</f>
        <v/>
      </c>
      <c r="I1987" t="str">
        <f>IFERROR(VLOOKUP(D1987,'Team Data'!C:AB,14,FALSE),"")</f>
        <v/>
      </c>
      <c r="J1987" t="str">
        <f>IFERROR(VLOOKUP(D1987,'Team Data'!C:AB,8,FALSE),"")</f>
        <v/>
      </c>
      <c r="K1987" t="str">
        <f>IFERROR(VLOOKUP(D1987,'Team Data'!C:AB,9,FALSE),"")</f>
        <v/>
      </c>
      <c r="L1987" t="str">
        <f>IFERROR(VLOOKUP(D1987,'Team Data'!C:AB,10,FALSE),"")</f>
        <v/>
      </c>
      <c r="M1987" t="str">
        <f t="shared" si="62"/>
        <v/>
      </c>
      <c r="N1987" t="str">
        <f>IFERROR(VLOOKUP(D1987,'Team Data'!C:AB,23,FALSE),"")</f>
        <v/>
      </c>
      <c r="O1987" t="str">
        <f>IFERROR(VLOOKUP(D1987,'Team Data'!C:AB,22,FALSE),"")</f>
        <v/>
      </c>
      <c r="P1987" t="str">
        <f t="shared" si="63"/>
        <v/>
      </c>
      <c r="Q1987" t="str">
        <f>IFERROR(VLOOKUP(D1987,'Team Data'!C:AB,15,FALSE),"")</f>
        <v/>
      </c>
      <c r="R1987" t="str">
        <f>IFERROR(VLOOKUP('OB Format'!D1987,'Team Data'!C:AB,24,FALSE),"")</f>
        <v/>
      </c>
      <c r="S1987" t="str">
        <f>IFERROR(VLOOKUP('OB Format'!D1987,'Team Data'!C:AC,25,FALSE),"")</f>
        <v/>
      </c>
    </row>
    <row r="1988" spans="5:19" x14ac:dyDescent="0.25">
      <c r="E1988" t="str">
        <f>IFERROR(VLOOKUP(D1988,'Team Data'!C:AB,4,FALSE),"")</f>
        <v/>
      </c>
      <c r="F1988" t="str">
        <f>IFERROR(VLOOKUP(D1988,'Team Data'!C:AB,5,FALSE),"")</f>
        <v/>
      </c>
      <c r="G1988" t="str">
        <f>IFERROR(VLOOKUP('OB Format'!D1988,'Team Data'!C:AB,17,FALSE),"")</f>
        <v/>
      </c>
      <c r="H1988" t="str">
        <f>IFERROR(VLOOKUP(D1988,'Team Data'!C:AB,7,FALSE),"")</f>
        <v/>
      </c>
      <c r="I1988" t="str">
        <f>IFERROR(VLOOKUP(D1988,'Team Data'!C:AB,14,FALSE),"")</f>
        <v/>
      </c>
      <c r="J1988" t="str">
        <f>IFERROR(VLOOKUP(D1988,'Team Data'!C:AB,8,FALSE),"")</f>
        <v/>
      </c>
      <c r="K1988" t="str">
        <f>IFERROR(VLOOKUP(D1988,'Team Data'!C:AB,9,FALSE),"")</f>
        <v/>
      </c>
      <c r="L1988" t="str">
        <f>IFERROR(VLOOKUP(D1988,'Team Data'!C:AB,10,FALSE),"")</f>
        <v/>
      </c>
      <c r="M1988" t="str">
        <f t="shared" si="62"/>
        <v/>
      </c>
      <c r="N1988" t="str">
        <f>IFERROR(VLOOKUP(D1988,'Team Data'!C:AB,23,FALSE),"")</f>
        <v/>
      </c>
      <c r="O1988" t="str">
        <f>IFERROR(VLOOKUP(D1988,'Team Data'!C:AB,22,FALSE),"")</f>
        <v/>
      </c>
      <c r="P1988" t="str">
        <f t="shared" si="63"/>
        <v/>
      </c>
      <c r="Q1988" t="str">
        <f>IFERROR(VLOOKUP(D1988,'Team Data'!C:AB,15,FALSE),"")</f>
        <v/>
      </c>
      <c r="R1988" t="str">
        <f>IFERROR(VLOOKUP('OB Format'!D1988,'Team Data'!C:AB,24,FALSE),"")</f>
        <v/>
      </c>
      <c r="S1988" t="str">
        <f>IFERROR(VLOOKUP('OB Format'!D1988,'Team Data'!C:AC,25,FALSE),"")</f>
        <v/>
      </c>
    </row>
    <row r="1989" spans="5:19" x14ac:dyDescent="0.25">
      <c r="E1989" t="str">
        <f>IFERROR(VLOOKUP(D1989,'Team Data'!C:AB,4,FALSE),"")</f>
        <v/>
      </c>
      <c r="F1989" t="str">
        <f>IFERROR(VLOOKUP(D1989,'Team Data'!C:AB,5,FALSE),"")</f>
        <v/>
      </c>
      <c r="G1989" t="str">
        <f>IFERROR(VLOOKUP('OB Format'!D1989,'Team Data'!C:AB,17,FALSE),"")</f>
        <v/>
      </c>
      <c r="H1989" t="str">
        <f>IFERROR(VLOOKUP(D1989,'Team Data'!C:AB,7,FALSE),"")</f>
        <v/>
      </c>
      <c r="I1989" t="str">
        <f>IFERROR(VLOOKUP(D1989,'Team Data'!C:AB,14,FALSE),"")</f>
        <v/>
      </c>
      <c r="J1989" t="str">
        <f>IFERROR(VLOOKUP(D1989,'Team Data'!C:AB,8,FALSE),"")</f>
        <v/>
      </c>
      <c r="K1989" t="str">
        <f>IFERROR(VLOOKUP(D1989,'Team Data'!C:AB,9,FALSE),"")</f>
        <v/>
      </c>
      <c r="L1989" t="str">
        <f>IFERROR(VLOOKUP(D1989,'Team Data'!C:AB,10,FALSE),"")</f>
        <v/>
      </c>
      <c r="M1989" t="str">
        <f t="shared" si="62"/>
        <v/>
      </c>
      <c r="N1989" t="str">
        <f>IFERROR(VLOOKUP(D1989,'Team Data'!C:AB,23,FALSE),"")</f>
        <v/>
      </c>
      <c r="O1989" t="str">
        <f>IFERROR(VLOOKUP(D1989,'Team Data'!C:AB,22,FALSE),"")</f>
        <v/>
      </c>
      <c r="P1989" t="str">
        <f t="shared" si="63"/>
        <v/>
      </c>
      <c r="Q1989" t="str">
        <f>IFERROR(VLOOKUP(D1989,'Team Data'!C:AB,15,FALSE),"")</f>
        <v/>
      </c>
      <c r="R1989" t="str">
        <f>IFERROR(VLOOKUP('OB Format'!D1989,'Team Data'!C:AB,24,FALSE),"")</f>
        <v/>
      </c>
      <c r="S1989" t="str">
        <f>IFERROR(VLOOKUP('OB Format'!D1989,'Team Data'!C:AC,25,FALSE),"")</f>
        <v/>
      </c>
    </row>
    <row r="1990" spans="5:19" x14ac:dyDescent="0.25">
      <c r="E1990" t="str">
        <f>IFERROR(VLOOKUP(D1990,'Team Data'!C:AB,4,FALSE),"")</f>
        <v/>
      </c>
      <c r="F1990" t="str">
        <f>IFERROR(VLOOKUP(D1990,'Team Data'!C:AB,5,FALSE),"")</f>
        <v/>
      </c>
      <c r="G1990" t="str">
        <f>IFERROR(VLOOKUP('OB Format'!D1990,'Team Data'!C:AB,17,FALSE),"")</f>
        <v/>
      </c>
      <c r="H1990" t="str">
        <f>IFERROR(VLOOKUP(D1990,'Team Data'!C:AB,7,FALSE),"")</f>
        <v/>
      </c>
      <c r="I1990" t="str">
        <f>IFERROR(VLOOKUP(D1990,'Team Data'!C:AB,14,FALSE),"")</f>
        <v/>
      </c>
      <c r="J1990" t="str">
        <f>IFERROR(VLOOKUP(D1990,'Team Data'!C:AB,8,FALSE),"")</f>
        <v/>
      </c>
      <c r="K1990" t="str">
        <f>IFERROR(VLOOKUP(D1990,'Team Data'!C:AB,9,FALSE),"")</f>
        <v/>
      </c>
      <c r="L1990" t="str">
        <f>IFERROR(VLOOKUP(D1990,'Team Data'!C:AB,10,FALSE),"")</f>
        <v/>
      </c>
      <c r="M1990" t="str">
        <f t="shared" si="62"/>
        <v/>
      </c>
      <c r="N1990" t="str">
        <f>IFERROR(VLOOKUP(D1990,'Team Data'!C:AB,23,FALSE),"")</f>
        <v/>
      </c>
      <c r="O1990" t="str">
        <f>IFERROR(VLOOKUP(D1990,'Team Data'!C:AB,22,FALSE),"")</f>
        <v/>
      </c>
      <c r="P1990" t="str">
        <f t="shared" si="63"/>
        <v/>
      </c>
      <c r="Q1990" t="str">
        <f>IFERROR(VLOOKUP(D1990,'Team Data'!C:AB,15,FALSE),"")</f>
        <v/>
      </c>
      <c r="R1990" t="str">
        <f>IFERROR(VLOOKUP('OB Format'!D1990,'Team Data'!C:AB,24,FALSE),"")</f>
        <v/>
      </c>
      <c r="S1990" t="str">
        <f>IFERROR(VLOOKUP('OB Format'!D1990,'Team Data'!C:AC,25,FALSE),"")</f>
        <v/>
      </c>
    </row>
    <row r="1991" spans="5:19" x14ac:dyDescent="0.25">
      <c r="E1991" t="str">
        <f>IFERROR(VLOOKUP(D1991,'Team Data'!C:AB,4,FALSE),"")</f>
        <v/>
      </c>
      <c r="F1991" t="str">
        <f>IFERROR(VLOOKUP(D1991,'Team Data'!C:AB,5,FALSE),"")</f>
        <v/>
      </c>
      <c r="G1991" t="str">
        <f>IFERROR(VLOOKUP('OB Format'!D1991,'Team Data'!C:AB,17,FALSE),"")</f>
        <v/>
      </c>
      <c r="H1991" t="str">
        <f>IFERROR(VLOOKUP(D1991,'Team Data'!C:AB,7,FALSE),"")</f>
        <v/>
      </c>
      <c r="I1991" t="str">
        <f>IFERROR(VLOOKUP(D1991,'Team Data'!C:AB,14,FALSE),"")</f>
        <v/>
      </c>
      <c r="J1991" t="str">
        <f>IFERROR(VLOOKUP(D1991,'Team Data'!C:AB,8,FALSE),"")</f>
        <v/>
      </c>
      <c r="K1991" t="str">
        <f>IFERROR(VLOOKUP(D1991,'Team Data'!C:AB,9,FALSE),"")</f>
        <v/>
      </c>
      <c r="L1991" t="str">
        <f>IFERROR(VLOOKUP(D1991,'Team Data'!C:AB,10,FALSE),"")</f>
        <v/>
      </c>
      <c r="M1991" t="str">
        <f t="shared" si="62"/>
        <v/>
      </c>
      <c r="N1991" t="str">
        <f>IFERROR(VLOOKUP(D1991,'Team Data'!C:AB,23,FALSE),"")</f>
        <v/>
      </c>
      <c r="O1991" t="str">
        <f>IFERROR(VLOOKUP(D1991,'Team Data'!C:AB,22,FALSE),"")</f>
        <v/>
      </c>
      <c r="P1991" t="str">
        <f t="shared" si="63"/>
        <v/>
      </c>
      <c r="Q1991" t="str">
        <f>IFERROR(VLOOKUP(D1991,'Team Data'!C:AB,15,FALSE),"")</f>
        <v/>
      </c>
      <c r="R1991" t="str">
        <f>IFERROR(VLOOKUP('OB Format'!D1991,'Team Data'!C:AB,24,FALSE),"")</f>
        <v/>
      </c>
      <c r="S1991" t="str">
        <f>IFERROR(VLOOKUP('OB Format'!D1991,'Team Data'!C:AC,25,FALSE),"")</f>
        <v/>
      </c>
    </row>
    <row r="1992" spans="5:19" x14ac:dyDescent="0.25">
      <c r="E1992" t="str">
        <f>IFERROR(VLOOKUP(D1992,'Team Data'!C:AB,4,FALSE),"")</f>
        <v/>
      </c>
      <c r="F1992" t="str">
        <f>IFERROR(VLOOKUP(D1992,'Team Data'!C:AB,5,FALSE),"")</f>
        <v/>
      </c>
      <c r="G1992" t="str">
        <f>IFERROR(VLOOKUP('OB Format'!D1992,'Team Data'!C:AB,17,FALSE),"")</f>
        <v/>
      </c>
      <c r="H1992" t="str">
        <f>IFERROR(VLOOKUP(D1992,'Team Data'!C:AB,7,FALSE),"")</f>
        <v/>
      </c>
      <c r="I1992" t="str">
        <f>IFERROR(VLOOKUP(D1992,'Team Data'!C:AB,14,FALSE),"")</f>
        <v/>
      </c>
      <c r="J1992" t="str">
        <f>IFERROR(VLOOKUP(D1992,'Team Data'!C:AB,8,FALSE),"")</f>
        <v/>
      </c>
      <c r="K1992" t="str">
        <f>IFERROR(VLOOKUP(D1992,'Team Data'!C:AB,9,FALSE),"")</f>
        <v/>
      </c>
      <c r="L1992" t="str">
        <f>IFERROR(VLOOKUP(D1992,'Team Data'!C:AB,10,FALSE),"")</f>
        <v/>
      </c>
      <c r="M1992" t="str">
        <f t="shared" si="62"/>
        <v/>
      </c>
      <c r="N1992" t="str">
        <f>IFERROR(VLOOKUP(D1992,'Team Data'!C:AB,23,FALSE),"")</f>
        <v/>
      </c>
      <c r="O1992" t="str">
        <f>IFERROR(VLOOKUP(D1992,'Team Data'!C:AB,22,FALSE),"")</f>
        <v/>
      </c>
      <c r="P1992" t="str">
        <f t="shared" si="63"/>
        <v/>
      </c>
      <c r="Q1992" t="str">
        <f>IFERROR(VLOOKUP(D1992,'Team Data'!C:AB,15,FALSE),"")</f>
        <v/>
      </c>
      <c r="R1992" t="str">
        <f>IFERROR(VLOOKUP('OB Format'!D1992,'Team Data'!C:AB,24,FALSE),"")</f>
        <v/>
      </c>
      <c r="S1992" t="str">
        <f>IFERROR(VLOOKUP('OB Format'!D1992,'Team Data'!C:AC,25,FALSE),"")</f>
        <v/>
      </c>
    </row>
    <row r="1993" spans="5:19" x14ac:dyDescent="0.25">
      <c r="E1993" t="str">
        <f>IFERROR(VLOOKUP(D1993,'Team Data'!C:AB,4,FALSE),"")</f>
        <v/>
      </c>
      <c r="F1993" t="str">
        <f>IFERROR(VLOOKUP(D1993,'Team Data'!C:AB,5,FALSE),"")</f>
        <v/>
      </c>
      <c r="G1993" t="str">
        <f>IFERROR(VLOOKUP('OB Format'!D1993,'Team Data'!C:AB,17,FALSE),"")</f>
        <v/>
      </c>
      <c r="H1993" t="str">
        <f>IFERROR(VLOOKUP(D1993,'Team Data'!C:AB,7,FALSE),"")</f>
        <v/>
      </c>
      <c r="I1993" t="str">
        <f>IFERROR(VLOOKUP(D1993,'Team Data'!C:AB,14,FALSE),"")</f>
        <v/>
      </c>
      <c r="J1993" t="str">
        <f>IFERROR(VLOOKUP(D1993,'Team Data'!C:AB,8,FALSE),"")</f>
        <v/>
      </c>
      <c r="K1993" t="str">
        <f>IFERROR(VLOOKUP(D1993,'Team Data'!C:AB,9,FALSE),"")</f>
        <v/>
      </c>
      <c r="L1993" t="str">
        <f>IFERROR(VLOOKUP(D1993,'Team Data'!C:AB,10,FALSE),"")</f>
        <v/>
      </c>
      <c r="M1993" t="str">
        <f t="shared" si="62"/>
        <v/>
      </c>
      <c r="N1993" t="str">
        <f>IFERROR(VLOOKUP(D1993,'Team Data'!C:AB,23,FALSE),"")</f>
        <v/>
      </c>
      <c r="O1993" t="str">
        <f>IFERROR(VLOOKUP(D1993,'Team Data'!C:AB,22,FALSE),"")</f>
        <v/>
      </c>
      <c r="P1993" t="str">
        <f t="shared" si="63"/>
        <v/>
      </c>
      <c r="Q1993" t="str">
        <f>IFERROR(VLOOKUP(D1993,'Team Data'!C:AB,15,FALSE),"")</f>
        <v/>
      </c>
      <c r="R1993" t="str">
        <f>IFERROR(VLOOKUP('OB Format'!D1993,'Team Data'!C:AB,24,FALSE),"")</f>
        <v/>
      </c>
      <c r="S1993" t="str">
        <f>IFERROR(VLOOKUP('OB Format'!D1993,'Team Data'!C:AC,25,FALSE),"")</f>
        <v/>
      </c>
    </row>
    <row r="1994" spans="5:19" x14ac:dyDescent="0.25">
      <c r="E1994" t="str">
        <f>IFERROR(VLOOKUP(D1994,'Team Data'!C:AB,4,FALSE),"")</f>
        <v/>
      </c>
      <c r="F1994" t="str">
        <f>IFERROR(VLOOKUP(D1994,'Team Data'!C:AB,5,FALSE),"")</f>
        <v/>
      </c>
      <c r="G1994" t="str">
        <f>IFERROR(VLOOKUP('OB Format'!D1994,'Team Data'!C:AB,17,FALSE),"")</f>
        <v/>
      </c>
      <c r="H1994" t="str">
        <f>IFERROR(VLOOKUP(D1994,'Team Data'!C:AB,7,FALSE),"")</f>
        <v/>
      </c>
      <c r="I1994" t="str">
        <f>IFERROR(VLOOKUP(D1994,'Team Data'!C:AB,14,FALSE),"")</f>
        <v/>
      </c>
      <c r="J1994" t="str">
        <f>IFERROR(VLOOKUP(D1994,'Team Data'!C:AB,8,FALSE),"")</f>
        <v/>
      </c>
      <c r="K1994" t="str">
        <f>IFERROR(VLOOKUP(D1994,'Team Data'!C:AB,9,FALSE),"")</f>
        <v/>
      </c>
      <c r="L1994" t="str">
        <f>IFERROR(VLOOKUP(D1994,'Team Data'!C:AB,10,FALSE),"")</f>
        <v/>
      </c>
      <c r="M1994" t="str">
        <f t="shared" si="62"/>
        <v/>
      </c>
      <c r="N1994" t="str">
        <f>IFERROR(VLOOKUP(D1994,'Team Data'!C:AB,23,FALSE),"")</f>
        <v/>
      </c>
      <c r="O1994" t="str">
        <f>IFERROR(VLOOKUP(D1994,'Team Data'!C:AB,22,FALSE),"")</f>
        <v/>
      </c>
      <c r="P1994" t="str">
        <f t="shared" si="63"/>
        <v/>
      </c>
      <c r="Q1994" t="str">
        <f>IFERROR(VLOOKUP(D1994,'Team Data'!C:AB,15,FALSE),"")</f>
        <v/>
      </c>
      <c r="R1994" t="str">
        <f>IFERROR(VLOOKUP('OB Format'!D1994,'Team Data'!C:AB,24,FALSE),"")</f>
        <v/>
      </c>
      <c r="S1994" t="str">
        <f>IFERROR(VLOOKUP('OB Format'!D1994,'Team Data'!C:AC,25,FALSE),"")</f>
        <v/>
      </c>
    </row>
    <row r="1995" spans="5:19" x14ac:dyDescent="0.25">
      <c r="E1995" t="str">
        <f>IFERROR(VLOOKUP(D1995,'Team Data'!C:AB,4,FALSE),"")</f>
        <v/>
      </c>
      <c r="F1995" t="str">
        <f>IFERROR(VLOOKUP(D1995,'Team Data'!C:AB,5,FALSE),"")</f>
        <v/>
      </c>
      <c r="G1995" t="str">
        <f>IFERROR(VLOOKUP('OB Format'!D1995,'Team Data'!C:AB,17,FALSE),"")</f>
        <v/>
      </c>
      <c r="H1995" t="str">
        <f>IFERROR(VLOOKUP(D1995,'Team Data'!C:AB,7,FALSE),"")</f>
        <v/>
      </c>
      <c r="I1995" t="str">
        <f>IFERROR(VLOOKUP(D1995,'Team Data'!C:AB,14,FALSE),"")</f>
        <v/>
      </c>
      <c r="J1995" t="str">
        <f>IFERROR(VLOOKUP(D1995,'Team Data'!C:AB,8,FALSE),"")</f>
        <v/>
      </c>
      <c r="K1995" t="str">
        <f>IFERROR(VLOOKUP(D1995,'Team Data'!C:AB,9,FALSE),"")</f>
        <v/>
      </c>
      <c r="L1995" t="str">
        <f>IFERROR(VLOOKUP(D1995,'Team Data'!C:AB,10,FALSE),"")</f>
        <v/>
      </c>
      <c r="M1995" t="str">
        <f t="shared" si="62"/>
        <v/>
      </c>
      <c r="N1995" t="str">
        <f>IFERROR(VLOOKUP(D1995,'Team Data'!C:AB,23,FALSE),"")</f>
        <v/>
      </c>
      <c r="O1995" t="str">
        <f>IFERROR(VLOOKUP(D1995,'Team Data'!C:AB,22,FALSE),"")</f>
        <v/>
      </c>
      <c r="P1995" t="str">
        <f t="shared" si="63"/>
        <v/>
      </c>
      <c r="Q1995" t="str">
        <f>IFERROR(VLOOKUP(D1995,'Team Data'!C:AB,15,FALSE),"")</f>
        <v/>
      </c>
      <c r="R1995" t="str">
        <f>IFERROR(VLOOKUP('OB Format'!D1995,'Team Data'!C:AB,24,FALSE),"")</f>
        <v/>
      </c>
      <c r="S1995" t="str">
        <f>IFERROR(VLOOKUP('OB Format'!D1995,'Team Data'!C:AC,25,FALSE),"")</f>
        <v/>
      </c>
    </row>
    <row r="1996" spans="5:19" x14ac:dyDescent="0.25">
      <c r="E1996" t="str">
        <f>IFERROR(VLOOKUP(D1996,'Team Data'!C:AB,4,FALSE),"")</f>
        <v/>
      </c>
      <c r="F1996" t="str">
        <f>IFERROR(VLOOKUP(D1996,'Team Data'!C:AB,5,FALSE),"")</f>
        <v/>
      </c>
      <c r="G1996" t="str">
        <f>IFERROR(VLOOKUP('OB Format'!D1996,'Team Data'!C:AB,17,FALSE),"")</f>
        <v/>
      </c>
      <c r="H1996" t="str">
        <f>IFERROR(VLOOKUP(D1996,'Team Data'!C:AB,7,FALSE),"")</f>
        <v/>
      </c>
      <c r="I1996" t="str">
        <f>IFERROR(VLOOKUP(D1996,'Team Data'!C:AB,14,FALSE),"")</f>
        <v/>
      </c>
      <c r="J1996" t="str">
        <f>IFERROR(VLOOKUP(D1996,'Team Data'!C:AB,8,FALSE),"")</f>
        <v/>
      </c>
      <c r="K1996" t="str">
        <f>IFERROR(VLOOKUP(D1996,'Team Data'!C:AB,9,FALSE),"")</f>
        <v/>
      </c>
      <c r="L1996" t="str">
        <f>IFERROR(VLOOKUP(D1996,'Team Data'!C:AB,10,FALSE),"")</f>
        <v/>
      </c>
      <c r="M1996" t="str">
        <f t="shared" si="62"/>
        <v/>
      </c>
      <c r="N1996" t="str">
        <f>IFERROR(VLOOKUP(D1996,'Team Data'!C:AB,23,FALSE),"")</f>
        <v/>
      </c>
      <c r="O1996" t="str">
        <f>IFERROR(VLOOKUP(D1996,'Team Data'!C:AB,22,FALSE),"")</f>
        <v/>
      </c>
      <c r="P1996" t="str">
        <f t="shared" si="63"/>
        <v/>
      </c>
      <c r="Q1996" t="str">
        <f>IFERROR(VLOOKUP(D1996,'Team Data'!C:AB,15,FALSE),"")</f>
        <v/>
      </c>
      <c r="R1996" t="str">
        <f>IFERROR(VLOOKUP('OB Format'!D1996,'Team Data'!C:AB,24,FALSE),"")</f>
        <v/>
      </c>
      <c r="S1996" t="str">
        <f>IFERROR(VLOOKUP('OB Format'!D1996,'Team Data'!C:AC,25,FALSE),"")</f>
        <v/>
      </c>
    </row>
    <row r="1997" spans="5:19" x14ac:dyDescent="0.25">
      <c r="E1997" t="str">
        <f>IFERROR(VLOOKUP(D1997,'Team Data'!C:AB,4,FALSE),"")</f>
        <v/>
      </c>
      <c r="F1997" t="str">
        <f>IFERROR(VLOOKUP(D1997,'Team Data'!C:AB,5,FALSE),"")</f>
        <v/>
      </c>
      <c r="G1997" t="str">
        <f>IFERROR(VLOOKUP('OB Format'!D1997,'Team Data'!C:AB,17,FALSE),"")</f>
        <v/>
      </c>
      <c r="H1997" t="str">
        <f>IFERROR(VLOOKUP(D1997,'Team Data'!C:AB,7,FALSE),"")</f>
        <v/>
      </c>
      <c r="I1997" t="str">
        <f>IFERROR(VLOOKUP(D1997,'Team Data'!C:AB,14,FALSE),"")</f>
        <v/>
      </c>
      <c r="J1997" t="str">
        <f>IFERROR(VLOOKUP(D1997,'Team Data'!C:AB,8,FALSE),"")</f>
        <v/>
      </c>
      <c r="K1997" t="str">
        <f>IFERROR(VLOOKUP(D1997,'Team Data'!C:AB,9,FALSE),"")</f>
        <v/>
      </c>
      <c r="L1997" t="str">
        <f>IFERROR(VLOOKUP(D1997,'Team Data'!C:AB,10,FALSE),"")</f>
        <v/>
      </c>
      <c r="M1997" t="str">
        <f t="shared" ref="M1997:M2060" si="64">IFERROR(H1997-(J1997+L1997+K1997),"")</f>
        <v/>
      </c>
      <c r="N1997" t="str">
        <f>IFERROR(VLOOKUP(D1997,'Team Data'!C:AB,23,FALSE),"")</f>
        <v/>
      </c>
      <c r="O1997" t="str">
        <f>IFERROR(VLOOKUP(D1997,'Team Data'!C:AB,22,FALSE),"")</f>
        <v/>
      </c>
      <c r="P1997" t="str">
        <f t="shared" ref="P1997:P2060" si="65">IFERROR(E1997-(H1997+N1997+Q1997+I1997+O1997),"")</f>
        <v/>
      </c>
      <c r="Q1997" t="str">
        <f>IFERROR(VLOOKUP(D1997,'Team Data'!C:AB,15,FALSE),"")</f>
        <v/>
      </c>
      <c r="R1997" t="str">
        <f>IFERROR(VLOOKUP('OB Format'!D1997,'Team Data'!C:AB,24,FALSE),"")</f>
        <v/>
      </c>
      <c r="S1997" t="str">
        <f>IFERROR(VLOOKUP('OB Format'!D1997,'Team Data'!C:AC,25,FALSE),"")</f>
        <v/>
      </c>
    </row>
    <row r="1998" spans="5:19" x14ac:dyDescent="0.25">
      <c r="E1998" t="str">
        <f>IFERROR(VLOOKUP(D1998,'Team Data'!C:AB,4,FALSE),"")</f>
        <v/>
      </c>
      <c r="F1998" t="str">
        <f>IFERROR(VLOOKUP(D1998,'Team Data'!C:AB,5,FALSE),"")</f>
        <v/>
      </c>
      <c r="G1998" t="str">
        <f>IFERROR(VLOOKUP('OB Format'!D1998,'Team Data'!C:AB,17,FALSE),"")</f>
        <v/>
      </c>
      <c r="H1998" t="str">
        <f>IFERROR(VLOOKUP(D1998,'Team Data'!C:AB,7,FALSE),"")</f>
        <v/>
      </c>
      <c r="I1998" t="str">
        <f>IFERROR(VLOOKUP(D1998,'Team Data'!C:AB,14,FALSE),"")</f>
        <v/>
      </c>
      <c r="J1998" t="str">
        <f>IFERROR(VLOOKUP(D1998,'Team Data'!C:AB,8,FALSE),"")</f>
        <v/>
      </c>
      <c r="K1998" t="str">
        <f>IFERROR(VLOOKUP(D1998,'Team Data'!C:AB,9,FALSE),"")</f>
        <v/>
      </c>
      <c r="L1998" t="str">
        <f>IFERROR(VLOOKUP(D1998,'Team Data'!C:AB,10,FALSE),"")</f>
        <v/>
      </c>
      <c r="M1998" t="str">
        <f t="shared" si="64"/>
        <v/>
      </c>
      <c r="N1998" t="str">
        <f>IFERROR(VLOOKUP(D1998,'Team Data'!C:AB,23,FALSE),"")</f>
        <v/>
      </c>
      <c r="O1998" t="str">
        <f>IFERROR(VLOOKUP(D1998,'Team Data'!C:AB,22,FALSE),"")</f>
        <v/>
      </c>
      <c r="P1998" t="str">
        <f t="shared" si="65"/>
        <v/>
      </c>
      <c r="Q1998" t="str">
        <f>IFERROR(VLOOKUP(D1998,'Team Data'!C:AB,15,FALSE),"")</f>
        <v/>
      </c>
      <c r="R1998" t="str">
        <f>IFERROR(VLOOKUP('OB Format'!D1998,'Team Data'!C:AB,24,FALSE),"")</f>
        <v/>
      </c>
      <c r="S1998" t="str">
        <f>IFERROR(VLOOKUP('OB Format'!D1998,'Team Data'!C:AC,25,FALSE),"")</f>
        <v/>
      </c>
    </row>
    <row r="1999" spans="5:19" x14ac:dyDescent="0.25">
      <c r="E1999" t="str">
        <f>IFERROR(VLOOKUP(D1999,'Team Data'!C:AB,4,FALSE),"")</f>
        <v/>
      </c>
      <c r="F1999" t="str">
        <f>IFERROR(VLOOKUP(D1999,'Team Data'!C:AB,5,FALSE),"")</f>
        <v/>
      </c>
      <c r="G1999" t="str">
        <f>IFERROR(VLOOKUP('OB Format'!D1999,'Team Data'!C:AB,17,FALSE),"")</f>
        <v/>
      </c>
      <c r="H1999" t="str">
        <f>IFERROR(VLOOKUP(D1999,'Team Data'!C:AB,7,FALSE),"")</f>
        <v/>
      </c>
      <c r="I1999" t="str">
        <f>IFERROR(VLOOKUP(D1999,'Team Data'!C:AB,14,FALSE),"")</f>
        <v/>
      </c>
      <c r="J1999" t="str">
        <f>IFERROR(VLOOKUP(D1999,'Team Data'!C:AB,8,FALSE),"")</f>
        <v/>
      </c>
      <c r="K1999" t="str">
        <f>IFERROR(VLOOKUP(D1999,'Team Data'!C:AB,9,FALSE),"")</f>
        <v/>
      </c>
      <c r="L1999" t="str">
        <f>IFERROR(VLOOKUP(D1999,'Team Data'!C:AB,10,FALSE),"")</f>
        <v/>
      </c>
      <c r="M1999" t="str">
        <f t="shared" si="64"/>
        <v/>
      </c>
      <c r="N1999" t="str">
        <f>IFERROR(VLOOKUP(D1999,'Team Data'!C:AB,23,FALSE),"")</f>
        <v/>
      </c>
      <c r="O1999" t="str">
        <f>IFERROR(VLOOKUP(D1999,'Team Data'!C:AB,22,FALSE),"")</f>
        <v/>
      </c>
      <c r="P1999" t="str">
        <f t="shared" si="65"/>
        <v/>
      </c>
      <c r="Q1999" t="str">
        <f>IFERROR(VLOOKUP(D1999,'Team Data'!C:AB,15,FALSE),"")</f>
        <v/>
      </c>
      <c r="R1999" t="str">
        <f>IFERROR(VLOOKUP('OB Format'!D1999,'Team Data'!C:AB,24,FALSE),"")</f>
        <v/>
      </c>
      <c r="S1999" t="str">
        <f>IFERROR(VLOOKUP('OB Format'!D1999,'Team Data'!C:AC,25,FALSE),"")</f>
        <v/>
      </c>
    </row>
    <row r="2000" spans="5:19" x14ac:dyDescent="0.25">
      <c r="E2000" t="str">
        <f>IFERROR(VLOOKUP(D2000,'Team Data'!C:AB,4,FALSE),"")</f>
        <v/>
      </c>
      <c r="F2000" t="str">
        <f>IFERROR(VLOOKUP(D2000,'Team Data'!C:AB,5,FALSE),"")</f>
        <v/>
      </c>
      <c r="G2000" t="str">
        <f>IFERROR(VLOOKUP('OB Format'!D2000,'Team Data'!C:AB,17,FALSE),"")</f>
        <v/>
      </c>
      <c r="H2000" t="str">
        <f>IFERROR(VLOOKUP(D2000,'Team Data'!C:AB,7,FALSE),"")</f>
        <v/>
      </c>
      <c r="I2000" t="str">
        <f>IFERROR(VLOOKUP(D2000,'Team Data'!C:AB,14,FALSE),"")</f>
        <v/>
      </c>
      <c r="J2000" t="str">
        <f>IFERROR(VLOOKUP(D2000,'Team Data'!C:AB,8,FALSE),"")</f>
        <v/>
      </c>
      <c r="K2000" t="str">
        <f>IFERROR(VLOOKUP(D2000,'Team Data'!C:AB,9,FALSE),"")</f>
        <v/>
      </c>
      <c r="L2000" t="str">
        <f>IFERROR(VLOOKUP(D2000,'Team Data'!C:AB,10,FALSE),"")</f>
        <v/>
      </c>
      <c r="M2000" t="str">
        <f t="shared" si="64"/>
        <v/>
      </c>
      <c r="N2000" t="str">
        <f>IFERROR(VLOOKUP(D2000,'Team Data'!C:AB,23,FALSE),"")</f>
        <v/>
      </c>
      <c r="O2000" t="str">
        <f>IFERROR(VLOOKUP(D2000,'Team Data'!C:AB,22,FALSE),"")</f>
        <v/>
      </c>
      <c r="P2000" t="str">
        <f t="shared" si="65"/>
        <v/>
      </c>
      <c r="Q2000" t="str">
        <f>IFERROR(VLOOKUP(D2000,'Team Data'!C:AB,15,FALSE),"")</f>
        <v/>
      </c>
      <c r="R2000" t="str">
        <f>IFERROR(VLOOKUP('OB Format'!D2000,'Team Data'!C:AB,24,FALSE),"")</f>
        <v/>
      </c>
      <c r="S2000" t="str">
        <f>IFERROR(VLOOKUP('OB Format'!D2000,'Team Data'!C:AC,25,FALSE),"")</f>
        <v/>
      </c>
    </row>
    <row r="2001" spans="5:19" x14ac:dyDescent="0.25">
      <c r="E2001" t="str">
        <f>IFERROR(VLOOKUP(D2001,'Team Data'!C:AB,4,FALSE),"")</f>
        <v/>
      </c>
      <c r="F2001" t="str">
        <f>IFERROR(VLOOKUP(D2001,'Team Data'!C:AB,5,FALSE),"")</f>
        <v/>
      </c>
      <c r="G2001" t="str">
        <f>IFERROR(VLOOKUP('OB Format'!D2001,'Team Data'!C:AB,17,FALSE),"")</f>
        <v/>
      </c>
      <c r="H2001" t="str">
        <f>IFERROR(VLOOKUP(D2001,'Team Data'!C:AB,7,FALSE),"")</f>
        <v/>
      </c>
      <c r="I2001" t="str">
        <f>IFERROR(VLOOKUP(D2001,'Team Data'!C:AB,14,FALSE),"")</f>
        <v/>
      </c>
      <c r="J2001" t="str">
        <f>IFERROR(VLOOKUP(D2001,'Team Data'!C:AB,8,FALSE),"")</f>
        <v/>
      </c>
      <c r="K2001" t="str">
        <f>IFERROR(VLOOKUP(D2001,'Team Data'!C:AB,9,FALSE),"")</f>
        <v/>
      </c>
      <c r="L2001" t="str">
        <f>IFERROR(VLOOKUP(D2001,'Team Data'!C:AB,10,FALSE),"")</f>
        <v/>
      </c>
      <c r="M2001" t="str">
        <f t="shared" si="64"/>
        <v/>
      </c>
      <c r="N2001" t="str">
        <f>IFERROR(VLOOKUP(D2001,'Team Data'!C:AB,23,FALSE),"")</f>
        <v/>
      </c>
      <c r="O2001" t="str">
        <f>IFERROR(VLOOKUP(D2001,'Team Data'!C:AB,22,FALSE),"")</f>
        <v/>
      </c>
      <c r="P2001" t="str">
        <f t="shared" si="65"/>
        <v/>
      </c>
      <c r="Q2001" t="str">
        <f>IFERROR(VLOOKUP(D2001,'Team Data'!C:AB,15,FALSE),"")</f>
        <v/>
      </c>
      <c r="R2001" t="str">
        <f>IFERROR(VLOOKUP('OB Format'!D2001,'Team Data'!C:AB,24,FALSE),"")</f>
        <v/>
      </c>
      <c r="S2001" t="str">
        <f>IFERROR(VLOOKUP('OB Format'!D2001,'Team Data'!C:AC,25,FALSE),"")</f>
        <v/>
      </c>
    </row>
    <row r="2002" spans="5:19" x14ac:dyDescent="0.25">
      <c r="E2002" t="str">
        <f>IFERROR(VLOOKUP(D2002,'Team Data'!C:AB,4,FALSE),"")</f>
        <v/>
      </c>
      <c r="F2002" t="str">
        <f>IFERROR(VLOOKUP(D2002,'Team Data'!C:AB,5,FALSE),"")</f>
        <v/>
      </c>
      <c r="G2002" t="str">
        <f>IFERROR(VLOOKUP('OB Format'!D2002,'Team Data'!C:AB,17,FALSE),"")</f>
        <v/>
      </c>
      <c r="H2002" t="str">
        <f>IFERROR(VLOOKUP(D2002,'Team Data'!C:AB,7,FALSE),"")</f>
        <v/>
      </c>
      <c r="I2002" t="str">
        <f>IFERROR(VLOOKUP(D2002,'Team Data'!C:AB,14,FALSE),"")</f>
        <v/>
      </c>
      <c r="J2002" t="str">
        <f>IFERROR(VLOOKUP(D2002,'Team Data'!C:AB,8,FALSE),"")</f>
        <v/>
      </c>
      <c r="K2002" t="str">
        <f>IFERROR(VLOOKUP(D2002,'Team Data'!C:AB,9,FALSE),"")</f>
        <v/>
      </c>
      <c r="L2002" t="str">
        <f>IFERROR(VLOOKUP(D2002,'Team Data'!C:AB,10,FALSE),"")</f>
        <v/>
      </c>
      <c r="M2002" t="str">
        <f t="shared" si="64"/>
        <v/>
      </c>
      <c r="N2002" t="str">
        <f>IFERROR(VLOOKUP(D2002,'Team Data'!C:AB,23,FALSE),"")</f>
        <v/>
      </c>
      <c r="O2002" t="str">
        <f>IFERROR(VLOOKUP(D2002,'Team Data'!C:AB,22,FALSE),"")</f>
        <v/>
      </c>
      <c r="P2002" t="str">
        <f t="shared" si="65"/>
        <v/>
      </c>
      <c r="Q2002" t="str">
        <f>IFERROR(VLOOKUP(D2002,'Team Data'!C:AB,15,FALSE),"")</f>
        <v/>
      </c>
      <c r="R2002" t="str">
        <f>IFERROR(VLOOKUP('OB Format'!D2002,'Team Data'!C:AB,24,FALSE),"")</f>
        <v/>
      </c>
      <c r="S2002" t="str">
        <f>IFERROR(VLOOKUP('OB Format'!D2002,'Team Data'!C:AC,25,FALSE),"")</f>
        <v/>
      </c>
    </row>
    <row r="2003" spans="5:19" x14ac:dyDescent="0.25">
      <c r="E2003" t="str">
        <f>IFERROR(VLOOKUP(D2003,'Team Data'!C:AB,4,FALSE),"")</f>
        <v/>
      </c>
      <c r="F2003" t="str">
        <f>IFERROR(VLOOKUP(D2003,'Team Data'!C:AB,5,FALSE),"")</f>
        <v/>
      </c>
      <c r="G2003" t="str">
        <f>IFERROR(VLOOKUP('OB Format'!D2003,'Team Data'!C:AB,17,FALSE),"")</f>
        <v/>
      </c>
      <c r="H2003" t="str">
        <f>IFERROR(VLOOKUP(D2003,'Team Data'!C:AB,7,FALSE),"")</f>
        <v/>
      </c>
      <c r="I2003" t="str">
        <f>IFERROR(VLOOKUP(D2003,'Team Data'!C:AB,14,FALSE),"")</f>
        <v/>
      </c>
      <c r="J2003" t="str">
        <f>IFERROR(VLOOKUP(D2003,'Team Data'!C:AB,8,FALSE),"")</f>
        <v/>
      </c>
      <c r="K2003" t="str">
        <f>IFERROR(VLOOKUP(D2003,'Team Data'!C:AB,9,FALSE),"")</f>
        <v/>
      </c>
      <c r="L2003" t="str">
        <f>IFERROR(VLOOKUP(D2003,'Team Data'!C:AB,10,FALSE),"")</f>
        <v/>
      </c>
      <c r="M2003" t="str">
        <f t="shared" si="64"/>
        <v/>
      </c>
      <c r="N2003" t="str">
        <f>IFERROR(VLOOKUP(D2003,'Team Data'!C:AB,23,FALSE),"")</f>
        <v/>
      </c>
      <c r="O2003" t="str">
        <f>IFERROR(VLOOKUP(D2003,'Team Data'!C:AB,22,FALSE),"")</f>
        <v/>
      </c>
      <c r="P2003" t="str">
        <f t="shared" si="65"/>
        <v/>
      </c>
      <c r="Q2003" t="str">
        <f>IFERROR(VLOOKUP(D2003,'Team Data'!C:AB,15,FALSE),"")</f>
        <v/>
      </c>
      <c r="R2003" t="str">
        <f>IFERROR(VLOOKUP('OB Format'!D2003,'Team Data'!C:AB,24,FALSE),"")</f>
        <v/>
      </c>
      <c r="S2003" t="str">
        <f>IFERROR(VLOOKUP('OB Format'!D2003,'Team Data'!C:AC,25,FALSE),"")</f>
        <v/>
      </c>
    </row>
    <row r="2004" spans="5:19" x14ac:dyDescent="0.25">
      <c r="E2004" t="str">
        <f>IFERROR(VLOOKUP(D2004,'Team Data'!C:AB,4,FALSE),"")</f>
        <v/>
      </c>
      <c r="F2004" t="str">
        <f>IFERROR(VLOOKUP(D2004,'Team Data'!C:AB,5,FALSE),"")</f>
        <v/>
      </c>
      <c r="G2004" t="str">
        <f>IFERROR(VLOOKUP('OB Format'!D2004,'Team Data'!C:AB,17,FALSE),"")</f>
        <v/>
      </c>
      <c r="H2004" t="str">
        <f>IFERROR(VLOOKUP(D2004,'Team Data'!C:AB,7,FALSE),"")</f>
        <v/>
      </c>
      <c r="I2004" t="str">
        <f>IFERROR(VLOOKUP(D2004,'Team Data'!C:AB,14,FALSE),"")</f>
        <v/>
      </c>
      <c r="J2004" t="str">
        <f>IFERROR(VLOOKUP(D2004,'Team Data'!C:AB,8,FALSE),"")</f>
        <v/>
      </c>
      <c r="K2004" t="str">
        <f>IFERROR(VLOOKUP(D2004,'Team Data'!C:AB,9,FALSE),"")</f>
        <v/>
      </c>
      <c r="L2004" t="str">
        <f>IFERROR(VLOOKUP(D2004,'Team Data'!C:AB,10,FALSE),"")</f>
        <v/>
      </c>
      <c r="M2004" t="str">
        <f t="shared" si="64"/>
        <v/>
      </c>
      <c r="N2004" t="str">
        <f>IFERROR(VLOOKUP(D2004,'Team Data'!C:AB,23,FALSE),"")</f>
        <v/>
      </c>
      <c r="O2004" t="str">
        <f>IFERROR(VLOOKUP(D2004,'Team Data'!C:AB,22,FALSE),"")</f>
        <v/>
      </c>
      <c r="P2004" t="str">
        <f t="shared" si="65"/>
        <v/>
      </c>
      <c r="Q2004" t="str">
        <f>IFERROR(VLOOKUP(D2004,'Team Data'!C:AB,15,FALSE),"")</f>
        <v/>
      </c>
      <c r="R2004" t="str">
        <f>IFERROR(VLOOKUP('OB Format'!D2004,'Team Data'!C:AB,24,FALSE),"")</f>
        <v/>
      </c>
      <c r="S2004" t="str">
        <f>IFERROR(VLOOKUP('OB Format'!D2004,'Team Data'!C:AC,25,FALSE),"")</f>
        <v/>
      </c>
    </row>
    <row r="2005" spans="5:19" x14ac:dyDescent="0.25">
      <c r="E2005" t="str">
        <f>IFERROR(VLOOKUP(D2005,'Team Data'!C:AB,4,FALSE),"")</f>
        <v/>
      </c>
      <c r="F2005" t="str">
        <f>IFERROR(VLOOKUP(D2005,'Team Data'!C:AB,5,FALSE),"")</f>
        <v/>
      </c>
      <c r="G2005" t="str">
        <f>IFERROR(VLOOKUP('OB Format'!D2005,'Team Data'!C:AB,17,FALSE),"")</f>
        <v/>
      </c>
      <c r="H2005" t="str">
        <f>IFERROR(VLOOKUP(D2005,'Team Data'!C:AB,7,FALSE),"")</f>
        <v/>
      </c>
      <c r="I2005" t="str">
        <f>IFERROR(VLOOKUP(D2005,'Team Data'!C:AB,14,FALSE),"")</f>
        <v/>
      </c>
      <c r="J2005" t="str">
        <f>IFERROR(VLOOKUP(D2005,'Team Data'!C:AB,8,FALSE),"")</f>
        <v/>
      </c>
      <c r="K2005" t="str">
        <f>IFERROR(VLOOKUP(D2005,'Team Data'!C:AB,9,FALSE),"")</f>
        <v/>
      </c>
      <c r="L2005" t="str">
        <f>IFERROR(VLOOKUP(D2005,'Team Data'!C:AB,10,FALSE),"")</f>
        <v/>
      </c>
      <c r="M2005" t="str">
        <f t="shared" si="64"/>
        <v/>
      </c>
      <c r="N2005" t="str">
        <f>IFERROR(VLOOKUP(D2005,'Team Data'!C:AB,23,FALSE),"")</f>
        <v/>
      </c>
      <c r="O2005" t="str">
        <f>IFERROR(VLOOKUP(D2005,'Team Data'!C:AB,22,FALSE),"")</f>
        <v/>
      </c>
      <c r="P2005" t="str">
        <f t="shared" si="65"/>
        <v/>
      </c>
      <c r="Q2005" t="str">
        <f>IFERROR(VLOOKUP(D2005,'Team Data'!C:AB,15,FALSE),"")</f>
        <v/>
      </c>
      <c r="R2005" t="str">
        <f>IFERROR(VLOOKUP('OB Format'!D2005,'Team Data'!C:AB,24,FALSE),"")</f>
        <v/>
      </c>
      <c r="S2005" t="str">
        <f>IFERROR(VLOOKUP('OB Format'!D2005,'Team Data'!C:AC,25,FALSE),"")</f>
        <v/>
      </c>
    </row>
    <row r="2006" spans="5:19" x14ac:dyDescent="0.25">
      <c r="E2006" t="str">
        <f>IFERROR(VLOOKUP(D2006,'Team Data'!C:AB,4,FALSE),"")</f>
        <v/>
      </c>
      <c r="F2006" t="str">
        <f>IFERROR(VLOOKUP(D2006,'Team Data'!C:AB,5,FALSE),"")</f>
        <v/>
      </c>
      <c r="G2006" t="str">
        <f>IFERROR(VLOOKUP('OB Format'!D2006,'Team Data'!C:AB,17,FALSE),"")</f>
        <v/>
      </c>
      <c r="H2006" t="str">
        <f>IFERROR(VLOOKUP(D2006,'Team Data'!C:AB,7,FALSE),"")</f>
        <v/>
      </c>
      <c r="I2006" t="str">
        <f>IFERROR(VLOOKUP(D2006,'Team Data'!C:AB,14,FALSE),"")</f>
        <v/>
      </c>
      <c r="J2006" t="str">
        <f>IFERROR(VLOOKUP(D2006,'Team Data'!C:AB,8,FALSE),"")</f>
        <v/>
      </c>
      <c r="K2006" t="str">
        <f>IFERROR(VLOOKUP(D2006,'Team Data'!C:AB,9,FALSE),"")</f>
        <v/>
      </c>
      <c r="L2006" t="str">
        <f>IFERROR(VLOOKUP(D2006,'Team Data'!C:AB,10,FALSE),"")</f>
        <v/>
      </c>
      <c r="M2006" t="str">
        <f t="shared" si="64"/>
        <v/>
      </c>
      <c r="N2006" t="str">
        <f>IFERROR(VLOOKUP(D2006,'Team Data'!C:AB,23,FALSE),"")</f>
        <v/>
      </c>
      <c r="O2006" t="str">
        <f>IFERROR(VLOOKUP(D2006,'Team Data'!C:AB,22,FALSE),"")</f>
        <v/>
      </c>
      <c r="P2006" t="str">
        <f t="shared" si="65"/>
        <v/>
      </c>
      <c r="Q2006" t="str">
        <f>IFERROR(VLOOKUP(D2006,'Team Data'!C:AB,15,FALSE),"")</f>
        <v/>
      </c>
      <c r="R2006" t="str">
        <f>IFERROR(VLOOKUP('OB Format'!D2006,'Team Data'!C:AB,24,FALSE),"")</f>
        <v/>
      </c>
      <c r="S2006" t="str">
        <f>IFERROR(VLOOKUP('OB Format'!D2006,'Team Data'!C:AC,25,FALSE),"")</f>
        <v/>
      </c>
    </row>
    <row r="2007" spans="5:19" x14ac:dyDescent="0.25">
      <c r="E2007" t="str">
        <f>IFERROR(VLOOKUP(D2007,'Team Data'!C:AB,4,FALSE),"")</f>
        <v/>
      </c>
      <c r="F2007" t="str">
        <f>IFERROR(VLOOKUP(D2007,'Team Data'!C:AB,5,FALSE),"")</f>
        <v/>
      </c>
      <c r="G2007" t="str">
        <f>IFERROR(VLOOKUP('OB Format'!D2007,'Team Data'!C:AB,17,FALSE),"")</f>
        <v/>
      </c>
      <c r="H2007" t="str">
        <f>IFERROR(VLOOKUP(D2007,'Team Data'!C:AB,7,FALSE),"")</f>
        <v/>
      </c>
      <c r="I2007" t="str">
        <f>IFERROR(VLOOKUP(D2007,'Team Data'!C:AB,14,FALSE),"")</f>
        <v/>
      </c>
      <c r="J2007" t="str">
        <f>IFERROR(VLOOKUP(D2007,'Team Data'!C:AB,8,FALSE),"")</f>
        <v/>
      </c>
      <c r="K2007" t="str">
        <f>IFERROR(VLOOKUP(D2007,'Team Data'!C:AB,9,FALSE),"")</f>
        <v/>
      </c>
      <c r="L2007" t="str">
        <f>IFERROR(VLOOKUP(D2007,'Team Data'!C:AB,10,FALSE),"")</f>
        <v/>
      </c>
      <c r="M2007" t="str">
        <f t="shared" si="64"/>
        <v/>
      </c>
      <c r="N2007" t="str">
        <f>IFERROR(VLOOKUP(D2007,'Team Data'!C:AB,23,FALSE),"")</f>
        <v/>
      </c>
      <c r="O2007" t="str">
        <f>IFERROR(VLOOKUP(D2007,'Team Data'!C:AB,22,FALSE),"")</f>
        <v/>
      </c>
      <c r="P2007" t="str">
        <f t="shared" si="65"/>
        <v/>
      </c>
      <c r="Q2007" t="str">
        <f>IFERROR(VLOOKUP(D2007,'Team Data'!C:AB,15,FALSE),"")</f>
        <v/>
      </c>
      <c r="R2007" t="str">
        <f>IFERROR(VLOOKUP('OB Format'!D2007,'Team Data'!C:AB,24,FALSE),"")</f>
        <v/>
      </c>
      <c r="S2007" t="str">
        <f>IFERROR(VLOOKUP('OB Format'!D2007,'Team Data'!C:AC,25,FALSE),"")</f>
        <v/>
      </c>
    </row>
    <row r="2008" spans="5:19" x14ac:dyDescent="0.25">
      <c r="E2008" t="str">
        <f>IFERROR(VLOOKUP(D2008,'Team Data'!C:AB,4,FALSE),"")</f>
        <v/>
      </c>
      <c r="F2008" t="str">
        <f>IFERROR(VLOOKUP(D2008,'Team Data'!C:AB,5,FALSE),"")</f>
        <v/>
      </c>
      <c r="G2008" t="str">
        <f>IFERROR(VLOOKUP('OB Format'!D2008,'Team Data'!C:AB,17,FALSE),"")</f>
        <v/>
      </c>
      <c r="H2008" t="str">
        <f>IFERROR(VLOOKUP(D2008,'Team Data'!C:AB,7,FALSE),"")</f>
        <v/>
      </c>
      <c r="I2008" t="str">
        <f>IFERROR(VLOOKUP(D2008,'Team Data'!C:AB,14,FALSE),"")</f>
        <v/>
      </c>
      <c r="J2008" t="str">
        <f>IFERROR(VLOOKUP(D2008,'Team Data'!C:AB,8,FALSE),"")</f>
        <v/>
      </c>
      <c r="K2008" t="str">
        <f>IFERROR(VLOOKUP(D2008,'Team Data'!C:AB,9,FALSE),"")</f>
        <v/>
      </c>
      <c r="L2008" t="str">
        <f>IFERROR(VLOOKUP(D2008,'Team Data'!C:AB,10,FALSE),"")</f>
        <v/>
      </c>
      <c r="M2008" t="str">
        <f t="shared" si="64"/>
        <v/>
      </c>
      <c r="N2008" t="str">
        <f>IFERROR(VLOOKUP(D2008,'Team Data'!C:AB,23,FALSE),"")</f>
        <v/>
      </c>
      <c r="O2008" t="str">
        <f>IFERROR(VLOOKUP(D2008,'Team Data'!C:AB,22,FALSE),"")</f>
        <v/>
      </c>
      <c r="P2008" t="str">
        <f t="shared" si="65"/>
        <v/>
      </c>
      <c r="Q2008" t="str">
        <f>IFERROR(VLOOKUP(D2008,'Team Data'!C:AB,15,FALSE),"")</f>
        <v/>
      </c>
      <c r="R2008" t="str">
        <f>IFERROR(VLOOKUP('OB Format'!D2008,'Team Data'!C:AB,24,FALSE),"")</f>
        <v/>
      </c>
      <c r="S2008" t="str">
        <f>IFERROR(VLOOKUP('OB Format'!D2008,'Team Data'!C:AC,25,FALSE),"")</f>
        <v/>
      </c>
    </row>
    <row r="2009" spans="5:19" x14ac:dyDescent="0.25">
      <c r="E2009" t="str">
        <f>IFERROR(VLOOKUP(D2009,'Team Data'!C:AB,4,FALSE),"")</f>
        <v/>
      </c>
      <c r="F2009" t="str">
        <f>IFERROR(VLOOKUP(D2009,'Team Data'!C:AB,5,FALSE),"")</f>
        <v/>
      </c>
      <c r="G2009" t="str">
        <f>IFERROR(VLOOKUP('OB Format'!D2009,'Team Data'!C:AB,17,FALSE),"")</f>
        <v/>
      </c>
      <c r="H2009" t="str">
        <f>IFERROR(VLOOKUP(D2009,'Team Data'!C:AB,7,FALSE),"")</f>
        <v/>
      </c>
      <c r="I2009" t="str">
        <f>IFERROR(VLOOKUP(D2009,'Team Data'!C:AB,14,FALSE),"")</f>
        <v/>
      </c>
      <c r="J2009" t="str">
        <f>IFERROR(VLOOKUP(D2009,'Team Data'!C:AB,8,FALSE),"")</f>
        <v/>
      </c>
      <c r="K2009" t="str">
        <f>IFERROR(VLOOKUP(D2009,'Team Data'!C:AB,9,FALSE),"")</f>
        <v/>
      </c>
      <c r="L2009" t="str">
        <f>IFERROR(VLOOKUP(D2009,'Team Data'!C:AB,10,FALSE),"")</f>
        <v/>
      </c>
      <c r="M2009" t="str">
        <f t="shared" si="64"/>
        <v/>
      </c>
      <c r="N2009" t="str">
        <f>IFERROR(VLOOKUP(D2009,'Team Data'!C:AB,23,FALSE),"")</f>
        <v/>
      </c>
      <c r="O2009" t="str">
        <f>IFERROR(VLOOKUP(D2009,'Team Data'!C:AB,22,FALSE),"")</f>
        <v/>
      </c>
      <c r="P2009" t="str">
        <f t="shared" si="65"/>
        <v/>
      </c>
      <c r="Q2009" t="str">
        <f>IFERROR(VLOOKUP(D2009,'Team Data'!C:AB,15,FALSE),"")</f>
        <v/>
      </c>
      <c r="R2009" t="str">
        <f>IFERROR(VLOOKUP('OB Format'!D2009,'Team Data'!C:AB,24,FALSE),"")</f>
        <v/>
      </c>
      <c r="S2009" t="str">
        <f>IFERROR(VLOOKUP('OB Format'!D2009,'Team Data'!C:AC,25,FALSE),"")</f>
        <v/>
      </c>
    </row>
    <row r="2010" spans="5:19" x14ac:dyDescent="0.25">
      <c r="E2010" t="str">
        <f>IFERROR(VLOOKUP(D2010,'Team Data'!C:AB,4,FALSE),"")</f>
        <v/>
      </c>
      <c r="F2010" t="str">
        <f>IFERROR(VLOOKUP(D2010,'Team Data'!C:AB,5,FALSE),"")</f>
        <v/>
      </c>
      <c r="G2010" t="str">
        <f>IFERROR(VLOOKUP('OB Format'!D2010,'Team Data'!C:AB,17,FALSE),"")</f>
        <v/>
      </c>
      <c r="H2010" t="str">
        <f>IFERROR(VLOOKUP(D2010,'Team Data'!C:AB,7,FALSE),"")</f>
        <v/>
      </c>
      <c r="I2010" t="str">
        <f>IFERROR(VLOOKUP(D2010,'Team Data'!C:AB,14,FALSE),"")</f>
        <v/>
      </c>
      <c r="J2010" t="str">
        <f>IFERROR(VLOOKUP(D2010,'Team Data'!C:AB,8,FALSE),"")</f>
        <v/>
      </c>
      <c r="K2010" t="str">
        <f>IFERROR(VLOOKUP(D2010,'Team Data'!C:AB,9,FALSE),"")</f>
        <v/>
      </c>
      <c r="L2010" t="str">
        <f>IFERROR(VLOOKUP(D2010,'Team Data'!C:AB,10,FALSE),"")</f>
        <v/>
      </c>
      <c r="M2010" t="str">
        <f t="shared" si="64"/>
        <v/>
      </c>
      <c r="N2010" t="str">
        <f>IFERROR(VLOOKUP(D2010,'Team Data'!C:AB,23,FALSE),"")</f>
        <v/>
      </c>
      <c r="O2010" t="str">
        <f>IFERROR(VLOOKUP(D2010,'Team Data'!C:AB,22,FALSE),"")</f>
        <v/>
      </c>
      <c r="P2010" t="str">
        <f t="shared" si="65"/>
        <v/>
      </c>
      <c r="Q2010" t="str">
        <f>IFERROR(VLOOKUP(D2010,'Team Data'!C:AB,15,FALSE),"")</f>
        <v/>
      </c>
      <c r="R2010" t="str">
        <f>IFERROR(VLOOKUP('OB Format'!D2010,'Team Data'!C:AB,24,FALSE),"")</f>
        <v/>
      </c>
      <c r="S2010" t="str">
        <f>IFERROR(VLOOKUP('OB Format'!D2010,'Team Data'!C:AC,25,FALSE),"")</f>
        <v/>
      </c>
    </row>
    <row r="2011" spans="5:19" x14ac:dyDescent="0.25">
      <c r="E2011" t="str">
        <f>IFERROR(VLOOKUP(D2011,'Team Data'!C:AB,4,FALSE),"")</f>
        <v/>
      </c>
      <c r="F2011" t="str">
        <f>IFERROR(VLOOKUP(D2011,'Team Data'!C:AB,5,FALSE),"")</f>
        <v/>
      </c>
      <c r="G2011" t="str">
        <f>IFERROR(VLOOKUP('OB Format'!D2011,'Team Data'!C:AB,17,FALSE),"")</f>
        <v/>
      </c>
      <c r="H2011" t="str">
        <f>IFERROR(VLOOKUP(D2011,'Team Data'!C:AB,7,FALSE),"")</f>
        <v/>
      </c>
      <c r="I2011" t="str">
        <f>IFERROR(VLOOKUP(D2011,'Team Data'!C:AB,14,FALSE),"")</f>
        <v/>
      </c>
      <c r="J2011" t="str">
        <f>IFERROR(VLOOKUP(D2011,'Team Data'!C:AB,8,FALSE),"")</f>
        <v/>
      </c>
      <c r="K2011" t="str">
        <f>IFERROR(VLOOKUP(D2011,'Team Data'!C:AB,9,FALSE),"")</f>
        <v/>
      </c>
      <c r="L2011" t="str">
        <f>IFERROR(VLOOKUP(D2011,'Team Data'!C:AB,10,FALSE),"")</f>
        <v/>
      </c>
      <c r="M2011" t="str">
        <f t="shared" si="64"/>
        <v/>
      </c>
      <c r="N2011" t="str">
        <f>IFERROR(VLOOKUP(D2011,'Team Data'!C:AB,23,FALSE),"")</f>
        <v/>
      </c>
      <c r="O2011" t="str">
        <f>IFERROR(VLOOKUP(D2011,'Team Data'!C:AB,22,FALSE),"")</f>
        <v/>
      </c>
      <c r="P2011" t="str">
        <f t="shared" si="65"/>
        <v/>
      </c>
      <c r="Q2011" t="str">
        <f>IFERROR(VLOOKUP(D2011,'Team Data'!C:AB,15,FALSE),"")</f>
        <v/>
      </c>
      <c r="R2011" t="str">
        <f>IFERROR(VLOOKUP('OB Format'!D2011,'Team Data'!C:AB,24,FALSE),"")</f>
        <v/>
      </c>
      <c r="S2011" t="str">
        <f>IFERROR(VLOOKUP('OB Format'!D2011,'Team Data'!C:AC,25,FALSE),"")</f>
        <v/>
      </c>
    </row>
    <row r="2012" spans="5:19" x14ac:dyDescent="0.25">
      <c r="E2012" t="str">
        <f>IFERROR(VLOOKUP(D2012,'Team Data'!C:AB,4,FALSE),"")</f>
        <v/>
      </c>
      <c r="F2012" t="str">
        <f>IFERROR(VLOOKUP(D2012,'Team Data'!C:AB,5,FALSE),"")</f>
        <v/>
      </c>
      <c r="G2012" t="str">
        <f>IFERROR(VLOOKUP('OB Format'!D2012,'Team Data'!C:AB,17,FALSE),"")</f>
        <v/>
      </c>
      <c r="H2012" t="str">
        <f>IFERROR(VLOOKUP(D2012,'Team Data'!C:AB,7,FALSE),"")</f>
        <v/>
      </c>
      <c r="I2012" t="str">
        <f>IFERROR(VLOOKUP(D2012,'Team Data'!C:AB,14,FALSE),"")</f>
        <v/>
      </c>
      <c r="J2012" t="str">
        <f>IFERROR(VLOOKUP(D2012,'Team Data'!C:AB,8,FALSE),"")</f>
        <v/>
      </c>
      <c r="K2012" t="str">
        <f>IFERROR(VLOOKUP(D2012,'Team Data'!C:AB,9,FALSE),"")</f>
        <v/>
      </c>
      <c r="L2012" t="str">
        <f>IFERROR(VLOOKUP(D2012,'Team Data'!C:AB,10,FALSE),"")</f>
        <v/>
      </c>
      <c r="M2012" t="str">
        <f t="shared" si="64"/>
        <v/>
      </c>
      <c r="N2012" t="str">
        <f>IFERROR(VLOOKUP(D2012,'Team Data'!C:AB,23,FALSE),"")</f>
        <v/>
      </c>
      <c r="O2012" t="str">
        <f>IFERROR(VLOOKUP(D2012,'Team Data'!C:AB,22,FALSE),"")</f>
        <v/>
      </c>
      <c r="P2012" t="str">
        <f t="shared" si="65"/>
        <v/>
      </c>
      <c r="Q2012" t="str">
        <f>IFERROR(VLOOKUP(D2012,'Team Data'!C:AB,15,FALSE),"")</f>
        <v/>
      </c>
      <c r="R2012" t="str">
        <f>IFERROR(VLOOKUP('OB Format'!D2012,'Team Data'!C:AB,24,FALSE),"")</f>
        <v/>
      </c>
      <c r="S2012" t="str">
        <f>IFERROR(VLOOKUP('OB Format'!D2012,'Team Data'!C:AC,25,FALSE),"")</f>
        <v/>
      </c>
    </row>
    <row r="2013" spans="5:19" x14ac:dyDescent="0.25">
      <c r="E2013" t="str">
        <f>IFERROR(VLOOKUP(D2013,'Team Data'!C:AB,4,FALSE),"")</f>
        <v/>
      </c>
      <c r="F2013" t="str">
        <f>IFERROR(VLOOKUP(D2013,'Team Data'!C:AB,5,FALSE),"")</f>
        <v/>
      </c>
      <c r="G2013" t="str">
        <f>IFERROR(VLOOKUP('OB Format'!D2013,'Team Data'!C:AB,17,FALSE),"")</f>
        <v/>
      </c>
      <c r="H2013" t="str">
        <f>IFERROR(VLOOKUP(D2013,'Team Data'!C:AB,7,FALSE),"")</f>
        <v/>
      </c>
      <c r="I2013" t="str">
        <f>IFERROR(VLOOKUP(D2013,'Team Data'!C:AB,14,FALSE),"")</f>
        <v/>
      </c>
      <c r="J2013" t="str">
        <f>IFERROR(VLOOKUP(D2013,'Team Data'!C:AB,8,FALSE),"")</f>
        <v/>
      </c>
      <c r="K2013" t="str">
        <f>IFERROR(VLOOKUP(D2013,'Team Data'!C:AB,9,FALSE),"")</f>
        <v/>
      </c>
      <c r="L2013" t="str">
        <f>IFERROR(VLOOKUP(D2013,'Team Data'!C:AB,10,FALSE),"")</f>
        <v/>
      </c>
      <c r="M2013" t="str">
        <f t="shared" si="64"/>
        <v/>
      </c>
      <c r="N2013" t="str">
        <f>IFERROR(VLOOKUP(D2013,'Team Data'!C:AB,23,FALSE),"")</f>
        <v/>
      </c>
      <c r="O2013" t="str">
        <f>IFERROR(VLOOKUP(D2013,'Team Data'!C:AB,22,FALSE),"")</f>
        <v/>
      </c>
      <c r="P2013" t="str">
        <f t="shared" si="65"/>
        <v/>
      </c>
      <c r="Q2013" t="str">
        <f>IFERROR(VLOOKUP(D2013,'Team Data'!C:AB,15,FALSE),"")</f>
        <v/>
      </c>
      <c r="R2013" t="str">
        <f>IFERROR(VLOOKUP('OB Format'!D2013,'Team Data'!C:AB,24,FALSE),"")</f>
        <v/>
      </c>
      <c r="S2013" t="str">
        <f>IFERROR(VLOOKUP('OB Format'!D2013,'Team Data'!C:AC,25,FALSE),"")</f>
        <v/>
      </c>
    </row>
    <row r="2014" spans="5:19" x14ac:dyDescent="0.25">
      <c r="E2014" t="str">
        <f>IFERROR(VLOOKUP(D2014,'Team Data'!C:AB,4,FALSE),"")</f>
        <v/>
      </c>
      <c r="F2014" t="str">
        <f>IFERROR(VLOOKUP(D2014,'Team Data'!C:AB,5,FALSE),"")</f>
        <v/>
      </c>
      <c r="G2014" t="str">
        <f>IFERROR(VLOOKUP('OB Format'!D2014,'Team Data'!C:AB,17,FALSE),"")</f>
        <v/>
      </c>
      <c r="H2014" t="str">
        <f>IFERROR(VLOOKUP(D2014,'Team Data'!C:AB,7,FALSE),"")</f>
        <v/>
      </c>
      <c r="I2014" t="str">
        <f>IFERROR(VLOOKUP(D2014,'Team Data'!C:AB,14,FALSE),"")</f>
        <v/>
      </c>
      <c r="J2014" t="str">
        <f>IFERROR(VLOOKUP(D2014,'Team Data'!C:AB,8,FALSE),"")</f>
        <v/>
      </c>
      <c r="K2014" t="str">
        <f>IFERROR(VLOOKUP(D2014,'Team Data'!C:AB,9,FALSE),"")</f>
        <v/>
      </c>
      <c r="L2014" t="str">
        <f>IFERROR(VLOOKUP(D2014,'Team Data'!C:AB,10,FALSE),"")</f>
        <v/>
      </c>
      <c r="M2014" t="str">
        <f t="shared" si="64"/>
        <v/>
      </c>
      <c r="N2014" t="str">
        <f>IFERROR(VLOOKUP(D2014,'Team Data'!C:AB,23,FALSE),"")</f>
        <v/>
      </c>
      <c r="O2014" t="str">
        <f>IFERROR(VLOOKUP(D2014,'Team Data'!C:AB,22,FALSE),"")</f>
        <v/>
      </c>
      <c r="P2014" t="str">
        <f t="shared" si="65"/>
        <v/>
      </c>
      <c r="Q2014" t="str">
        <f>IFERROR(VLOOKUP(D2014,'Team Data'!C:AB,15,FALSE),"")</f>
        <v/>
      </c>
      <c r="R2014" t="str">
        <f>IFERROR(VLOOKUP('OB Format'!D2014,'Team Data'!C:AB,24,FALSE),"")</f>
        <v/>
      </c>
      <c r="S2014" t="str">
        <f>IFERROR(VLOOKUP('OB Format'!D2014,'Team Data'!C:AC,25,FALSE),"")</f>
        <v/>
      </c>
    </row>
    <row r="2015" spans="5:19" x14ac:dyDescent="0.25">
      <c r="E2015" t="str">
        <f>IFERROR(VLOOKUP(D2015,'Team Data'!C:AB,4,FALSE),"")</f>
        <v/>
      </c>
      <c r="F2015" t="str">
        <f>IFERROR(VLOOKUP(D2015,'Team Data'!C:AB,5,FALSE),"")</f>
        <v/>
      </c>
      <c r="G2015" t="str">
        <f>IFERROR(VLOOKUP('OB Format'!D2015,'Team Data'!C:AB,17,FALSE),"")</f>
        <v/>
      </c>
      <c r="H2015" t="str">
        <f>IFERROR(VLOOKUP(D2015,'Team Data'!C:AB,7,FALSE),"")</f>
        <v/>
      </c>
      <c r="I2015" t="str">
        <f>IFERROR(VLOOKUP(D2015,'Team Data'!C:AB,14,FALSE),"")</f>
        <v/>
      </c>
      <c r="J2015" t="str">
        <f>IFERROR(VLOOKUP(D2015,'Team Data'!C:AB,8,FALSE),"")</f>
        <v/>
      </c>
      <c r="K2015" t="str">
        <f>IFERROR(VLOOKUP(D2015,'Team Data'!C:AB,9,FALSE),"")</f>
        <v/>
      </c>
      <c r="L2015" t="str">
        <f>IFERROR(VLOOKUP(D2015,'Team Data'!C:AB,10,FALSE),"")</f>
        <v/>
      </c>
      <c r="M2015" t="str">
        <f t="shared" si="64"/>
        <v/>
      </c>
      <c r="N2015" t="str">
        <f>IFERROR(VLOOKUP(D2015,'Team Data'!C:AB,23,FALSE),"")</f>
        <v/>
      </c>
      <c r="O2015" t="str">
        <f>IFERROR(VLOOKUP(D2015,'Team Data'!C:AB,22,FALSE),"")</f>
        <v/>
      </c>
      <c r="P2015" t="str">
        <f t="shared" si="65"/>
        <v/>
      </c>
      <c r="Q2015" t="str">
        <f>IFERROR(VLOOKUP(D2015,'Team Data'!C:AB,15,FALSE),"")</f>
        <v/>
      </c>
      <c r="R2015" t="str">
        <f>IFERROR(VLOOKUP('OB Format'!D2015,'Team Data'!C:AB,24,FALSE),"")</f>
        <v/>
      </c>
      <c r="S2015" t="str">
        <f>IFERROR(VLOOKUP('OB Format'!D2015,'Team Data'!C:AC,25,FALSE),"")</f>
        <v/>
      </c>
    </row>
    <row r="2016" spans="5:19" x14ac:dyDescent="0.25">
      <c r="E2016" t="str">
        <f>IFERROR(VLOOKUP(D2016,'Team Data'!C:AB,4,FALSE),"")</f>
        <v/>
      </c>
      <c r="F2016" t="str">
        <f>IFERROR(VLOOKUP(D2016,'Team Data'!C:AB,5,FALSE),"")</f>
        <v/>
      </c>
      <c r="G2016" t="str">
        <f>IFERROR(VLOOKUP('OB Format'!D2016,'Team Data'!C:AB,17,FALSE),"")</f>
        <v/>
      </c>
      <c r="H2016" t="str">
        <f>IFERROR(VLOOKUP(D2016,'Team Data'!C:AB,7,FALSE),"")</f>
        <v/>
      </c>
      <c r="I2016" t="str">
        <f>IFERROR(VLOOKUP(D2016,'Team Data'!C:AB,14,FALSE),"")</f>
        <v/>
      </c>
      <c r="J2016" t="str">
        <f>IFERROR(VLOOKUP(D2016,'Team Data'!C:AB,8,FALSE),"")</f>
        <v/>
      </c>
      <c r="K2016" t="str">
        <f>IFERROR(VLOOKUP(D2016,'Team Data'!C:AB,9,FALSE),"")</f>
        <v/>
      </c>
      <c r="L2016" t="str">
        <f>IFERROR(VLOOKUP(D2016,'Team Data'!C:AB,10,FALSE),"")</f>
        <v/>
      </c>
      <c r="M2016" t="str">
        <f t="shared" si="64"/>
        <v/>
      </c>
      <c r="N2016" t="str">
        <f>IFERROR(VLOOKUP(D2016,'Team Data'!C:AB,23,FALSE),"")</f>
        <v/>
      </c>
      <c r="O2016" t="str">
        <f>IFERROR(VLOOKUP(D2016,'Team Data'!C:AB,22,FALSE),"")</f>
        <v/>
      </c>
      <c r="P2016" t="str">
        <f t="shared" si="65"/>
        <v/>
      </c>
      <c r="Q2016" t="str">
        <f>IFERROR(VLOOKUP(D2016,'Team Data'!C:AB,15,FALSE),"")</f>
        <v/>
      </c>
      <c r="R2016" t="str">
        <f>IFERROR(VLOOKUP('OB Format'!D2016,'Team Data'!C:AB,24,FALSE),"")</f>
        <v/>
      </c>
      <c r="S2016" t="str">
        <f>IFERROR(VLOOKUP('OB Format'!D2016,'Team Data'!C:AC,25,FALSE),"")</f>
        <v/>
      </c>
    </row>
    <row r="2017" spans="5:19" x14ac:dyDescent="0.25">
      <c r="E2017" t="str">
        <f>IFERROR(VLOOKUP(D2017,'Team Data'!C:AB,4,FALSE),"")</f>
        <v/>
      </c>
      <c r="F2017" t="str">
        <f>IFERROR(VLOOKUP(D2017,'Team Data'!C:AB,5,FALSE),"")</f>
        <v/>
      </c>
      <c r="G2017" t="str">
        <f>IFERROR(VLOOKUP('OB Format'!D2017,'Team Data'!C:AB,17,FALSE),"")</f>
        <v/>
      </c>
      <c r="H2017" t="str">
        <f>IFERROR(VLOOKUP(D2017,'Team Data'!C:AB,7,FALSE),"")</f>
        <v/>
      </c>
      <c r="I2017" t="str">
        <f>IFERROR(VLOOKUP(D2017,'Team Data'!C:AB,14,FALSE),"")</f>
        <v/>
      </c>
      <c r="J2017" t="str">
        <f>IFERROR(VLOOKUP(D2017,'Team Data'!C:AB,8,FALSE),"")</f>
        <v/>
      </c>
      <c r="K2017" t="str">
        <f>IFERROR(VLOOKUP(D2017,'Team Data'!C:AB,9,FALSE),"")</f>
        <v/>
      </c>
      <c r="L2017" t="str">
        <f>IFERROR(VLOOKUP(D2017,'Team Data'!C:AB,10,FALSE),"")</f>
        <v/>
      </c>
      <c r="M2017" t="str">
        <f t="shared" si="64"/>
        <v/>
      </c>
      <c r="N2017" t="str">
        <f>IFERROR(VLOOKUP(D2017,'Team Data'!C:AB,23,FALSE),"")</f>
        <v/>
      </c>
      <c r="O2017" t="str">
        <f>IFERROR(VLOOKUP(D2017,'Team Data'!C:AB,22,FALSE),"")</f>
        <v/>
      </c>
      <c r="P2017" t="str">
        <f t="shared" si="65"/>
        <v/>
      </c>
      <c r="Q2017" t="str">
        <f>IFERROR(VLOOKUP(D2017,'Team Data'!C:AB,15,FALSE),"")</f>
        <v/>
      </c>
      <c r="R2017" t="str">
        <f>IFERROR(VLOOKUP('OB Format'!D2017,'Team Data'!C:AB,24,FALSE),"")</f>
        <v/>
      </c>
      <c r="S2017" t="str">
        <f>IFERROR(VLOOKUP('OB Format'!D2017,'Team Data'!C:AC,25,FALSE),"")</f>
        <v/>
      </c>
    </row>
    <row r="2018" spans="5:19" x14ac:dyDescent="0.25">
      <c r="E2018" t="str">
        <f>IFERROR(VLOOKUP(D2018,'Team Data'!C:AB,4,FALSE),"")</f>
        <v/>
      </c>
      <c r="F2018" t="str">
        <f>IFERROR(VLOOKUP(D2018,'Team Data'!C:AB,5,FALSE),"")</f>
        <v/>
      </c>
      <c r="G2018" t="str">
        <f>IFERROR(VLOOKUP('OB Format'!D2018,'Team Data'!C:AB,17,FALSE),"")</f>
        <v/>
      </c>
      <c r="H2018" t="str">
        <f>IFERROR(VLOOKUP(D2018,'Team Data'!C:AB,7,FALSE),"")</f>
        <v/>
      </c>
      <c r="I2018" t="str">
        <f>IFERROR(VLOOKUP(D2018,'Team Data'!C:AB,14,FALSE),"")</f>
        <v/>
      </c>
      <c r="J2018" t="str">
        <f>IFERROR(VLOOKUP(D2018,'Team Data'!C:AB,8,FALSE),"")</f>
        <v/>
      </c>
      <c r="K2018" t="str">
        <f>IFERROR(VLOOKUP(D2018,'Team Data'!C:AB,9,FALSE),"")</f>
        <v/>
      </c>
      <c r="L2018" t="str">
        <f>IFERROR(VLOOKUP(D2018,'Team Data'!C:AB,10,FALSE),"")</f>
        <v/>
      </c>
      <c r="M2018" t="str">
        <f t="shared" si="64"/>
        <v/>
      </c>
      <c r="N2018" t="str">
        <f>IFERROR(VLOOKUP(D2018,'Team Data'!C:AB,23,FALSE),"")</f>
        <v/>
      </c>
      <c r="O2018" t="str">
        <f>IFERROR(VLOOKUP(D2018,'Team Data'!C:AB,22,FALSE),"")</f>
        <v/>
      </c>
      <c r="P2018" t="str">
        <f t="shared" si="65"/>
        <v/>
      </c>
      <c r="Q2018" t="str">
        <f>IFERROR(VLOOKUP(D2018,'Team Data'!C:AB,15,FALSE),"")</f>
        <v/>
      </c>
      <c r="R2018" t="str">
        <f>IFERROR(VLOOKUP('OB Format'!D2018,'Team Data'!C:AB,24,FALSE),"")</f>
        <v/>
      </c>
      <c r="S2018" t="str">
        <f>IFERROR(VLOOKUP('OB Format'!D2018,'Team Data'!C:AC,25,FALSE),"")</f>
        <v/>
      </c>
    </row>
    <row r="2019" spans="5:19" x14ac:dyDescent="0.25">
      <c r="E2019" t="str">
        <f>IFERROR(VLOOKUP(D2019,'Team Data'!C:AB,4,FALSE),"")</f>
        <v/>
      </c>
      <c r="F2019" t="str">
        <f>IFERROR(VLOOKUP(D2019,'Team Data'!C:AB,5,FALSE),"")</f>
        <v/>
      </c>
      <c r="G2019" t="str">
        <f>IFERROR(VLOOKUP('OB Format'!D2019,'Team Data'!C:AB,17,FALSE),"")</f>
        <v/>
      </c>
      <c r="H2019" t="str">
        <f>IFERROR(VLOOKUP(D2019,'Team Data'!C:AB,7,FALSE),"")</f>
        <v/>
      </c>
      <c r="I2019" t="str">
        <f>IFERROR(VLOOKUP(D2019,'Team Data'!C:AB,14,FALSE),"")</f>
        <v/>
      </c>
      <c r="J2019" t="str">
        <f>IFERROR(VLOOKUP(D2019,'Team Data'!C:AB,8,FALSE),"")</f>
        <v/>
      </c>
      <c r="K2019" t="str">
        <f>IFERROR(VLOOKUP(D2019,'Team Data'!C:AB,9,FALSE),"")</f>
        <v/>
      </c>
      <c r="L2019" t="str">
        <f>IFERROR(VLOOKUP(D2019,'Team Data'!C:AB,10,FALSE),"")</f>
        <v/>
      </c>
      <c r="M2019" t="str">
        <f t="shared" si="64"/>
        <v/>
      </c>
      <c r="N2019" t="str">
        <f>IFERROR(VLOOKUP(D2019,'Team Data'!C:AB,23,FALSE),"")</f>
        <v/>
      </c>
      <c r="O2019" t="str">
        <f>IFERROR(VLOOKUP(D2019,'Team Data'!C:AB,22,FALSE),"")</f>
        <v/>
      </c>
      <c r="P2019" t="str">
        <f t="shared" si="65"/>
        <v/>
      </c>
      <c r="Q2019" t="str">
        <f>IFERROR(VLOOKUP(D2019,'Team Data'!C:AB,15,FALSE),"")</f>
        <v/>
      </c>
      <c r="R2019" t="str">
        <f>IFERROR(VLOOKUP('OB Format'!D2019,'Team Data'!C:AB,24,FALSE),"")</f>
        <v/>
      </c>
      <c r="S2019" t="str">
        <f>IFERROR(VLOOKUP('OB Format'!D2019,'Team Data'!C:AC,25,FALSE),"")</f>
        <v/>
      </c>
    </row>
    <row r="2020" spans="5:19" x14ac:dyDescent="0.25">
      <c r="E2020" t="str">
        <f>IFERROR(VLOOKUP(D2020,'Team Data'!C:AB,4,FALSE),"")</f>
        <v/>
      </c>
      <c r="F2020" t="str">
        <f>IFERROR(VLOOKUP(D2020,'Team Data'!C:AB,5,FALSE),"")</f>
        <v/>
      </c>
      <c r="G2020" t="str">
        <f>IFERROR(VLOOKUP('OB Format'!D2020,'Team Data'!C:AB,17,FALSE),"")</f>
        <v/>
      </c>
      <c r="H2020" t="str">
        <f>IFERROR(VLOOKUP(D2020,'Team Data'!C:AB,7,FALSE),"")</f>
        <v/>
      </c>
      <c r="I2020" t="str">
        <f>IFERROR(VLOOKUP(D2020,'Team Data'!C:AB,14,FALSE),"")</f>
        <v/>
      </c>
      <c r="J2020" t="str">
        <f>IFERROR(VLOOKUP(D2020,'Team Data'!C:AB,8,FALSE),"")</f>
        <v/>
      </c>
      <c r="K2020" t="str">
        <f>IFERROR(VLOOKUP(D2020,'Team Data'!C:AB,9,FALSE),"")</f>
        <v/>
      </c>
      <c r="L2020" t="str">
        <f>IFERROR(VLOOKUP(D2020,'Team Data'!C:AB,10,FALSE),"")</f>
        <v/>
      </c>
      <c r="M2020" t="str">
        <f t="shared" si="64"/>
        <v/>
      </c>
      <c r="N2020" t="str">
        <f>IFERROR(VLOOKUP(D2020,'Team Data'!C:AB,23,FALSE),"")</f>
        <v/>
      </c>
      <c r="O2020" t="str">
        <f>IFERROR(VLOOKUP(D2020,'Team Data'!C:AB,22,FALSE),"")</f>
        <v/>
      </c>
      <c r="P2020" t="str">
        <f t="shared" si="65"/>
        <v/>
      </c>
      <c r="Q2020" t="str">
        <f>IFERROR(VLOOKUP(D2020,'Team Data'!C:AB,15,FALSE),"")</f>
        <v/>
      </c>
      <c r="R2020" t="str">
        <f>IFERROR(VLOOKUP('OB Format'!D2020,'Team Data'!C:AB,24,FALSE),"")</f>
        <v/>
      </c>
      <c r="S2020" t="str">
        <f>IFERROR(VLOOKUP('OB Format'!D2020,'Team Data'!C:AC,25,FALSE),"")</f>
        <v/>
      </c>
    </row>
    <row r="2021" spans="5:19" x14ac:dyDescent="0.25">
      <c r="E2021" t="str">
        <f>IFERROR(VLOOKUP(D2021,'Team Data'!C:AB,4,FALSE),"")</f>
        <v/>
      </c>
      <c r="F2021" t="str">
        <f>IFERROR(VLOOKUP(D2021,'Team Data'!C:AB,5,FALSE),"")</f>
        <v/>
      </c>
      <c r="G2021" t="str">
        <f>IFERROR(VLOOKUP('OB Format'!D2021,'Team Data'!C:AB,17,FALSE),"")</f>
        <v/>
      </c>
      <c r="H2021" t="str">
        <f>IFERROR(VLOOKUP(D2021,'Team Data'!C:AB,7,FALSE),"")</f>
        <v/>
      </c>
      <c r="I2021" t="str">
        <f>IFERROR(VLOOKUP(D2021,'Team Data'!C:AB,14,FALSE),"")</f>
        <v/>
      </c>
      <c r="J2021" t="str">
        <f>IFERROR(VLOOKUP(D2021,'Team Data'!C:AB,8,FALSE),"")</f>
        <v/>
      </c>
      <c r="K2021" t="str">
        <f>IFERROR(VLOOKUP(D2021,'Team Data'!C:AB,9,FALSE),"")</f>
        <v/>
      </c>
      <c r="L2021" t="str">
        <f>IFERROR(VLOOKUP(D2021,'Team Data'!C:AB,10,FALSE),"")</f>
        <v/>
      </c>
      <c r="M2021" t="str">
        <f t="shared" si="64"/>
        <v/>
      </c>
      <c r="N2021" t="str">
        <f>IFERROR(VLOOKUP(D2021,'Team Data'!C:AB,23,FALSE),"")</f>
        <v/>
      </c>
      <c r="O2021" t="str">
        <f>IFERROR(VLOOKUP(D2021,'Team Data'!C:AB,22,FALSE),"")</f>
        <v/>
      </c>
      <c r="P2021" t="str">
        <f t="shared" si="65"/>
        <v/>
      </c>
      <c r="Q2021" t="str">
        <f>IFERROR(VLOOKUP(D2021,'Team Data'!C:AB,15,FALSE),"")</f>
        <v/>
      </c>
      <c r="R2021" t="str">
        <f>IFERROR(VLOOKUP('OB Format'!D2021,'Team Data'!C:AB,24,FALSE),"")</f>
        <v/>
      </c>
      <c r="S2021" t="str">
        <f>IFERROR(VLOOKUP('OB Format'!D2021,'Team Data'!C:AC,25,FALSE),"")</f>
        <v/>
      </c>
    </row>
    <row r="2022" spans="5:19" x14ac:dyDescent="0.25">
      <c r="E2022" t="str">
        <f>IFERROR(VLOOKUP(D2022,'Team Data'!C:AB,4,FALSE),"")</f>
        <v/>
      </c>
      <c r="F2022" t="str">
        <f>IFERROR(VLOOKUP(D2022,'Team Data'!C:AB,5,FALSE),"")</f>
        <v/>
      </c>
      <c r="G2022" t="str">
        <f>IFERROR(VLOOKUP('OB Format'!D2022,'Team Data'!C:AB,17,FALSE),"")</f>
        <v/>
      </c>
      <c r="H2022" t="str">
        <f>IFERROR(VLOOKUP(D2022,'Team Data'!C:AB,7,FALSE),"")</f>
        <v/>
      </c>
      <c r="I2022" t="str">
        <f>IFERROR(VLOOKUP(D2022,'Team Data'!C:AB,14,FALSE),"")</f>
        <v/>
      </c>
      <c r="J2022" t="str">
        <f>IFERROR(VLOOKUP(D2022,'Team Data'!C:AB,8,FALSE),"")</f>
        <v/>
      </c>
      <c r="K2022" t="str">
        <f>IFERROR(VLOOKUP(D2022,'Team Data'!C:AB,9,FALSE),"")</f>
        <v/>
      </c>
      <c r="L2022" t="str">
        <f>IFERROR(VLOOKUP(D2022,'Team Data'!C:AB,10,FALSE),"")</f>
        <v/>
      </c>
      <c r="M2022" t="str">
        <f t="shared" si="64"/>
        <v/>
      </c>
      <c r="N2022" t="str">
        <f>IFERROR(VLOOKUP(D2022,'Team Data'!C:AB,23,FALSE),"")</f>
        <v/>
      </c>
      <c r="O2022" t="str">
        <f>IFERROR(VLOOKUP(D2022,'Team Data'!C:AB,22,FALSE),"")</f>
        <v/>
      </c>
      <c r="P2022" t="str">
        <f t="shared" si="65"/>
        <v/>
      </c>
      <c r="Q2022" t="str">
        <f>IFERROR(VLOOKUP(D2022,'Team Data'!C:AB,15,FALSE),"")</f>
        <v/>
      </c>
      <c r="R2022" t="str">
        <f>IFERROR(VLOOKUP('OB Format'!D2022,'Team Data'!C:AB,24,FALSE),"")</f>
        <v/>
      </c>
      <c r="S2022" t="str">
        <f>IFERROR(VLOOKUP('OB Format'!D2022,'Team Data'!C:AC,25,FALSE),"")</f>
        <v/>
      </c>
    </row>
    <row r="2023" spans="5:19" x14ac:dyDescent="0.25">
      <c r="E2023" t="str">
        <f>IFERROR(VLOOKUP(D2023,'Team Data'!C:AB,4,FALSE),"")</f>
        <v/>
      </c>
      <c r="F2023" t="str">
        <f>IFERROR(VLOOKUP(D2023,'Team Data'!C:AB,5,FALSE),"")</f>
        <v/>
      </c>
      <c r="G2023" t="str">
        <f>IFERROR(VLOOKUP('OB Format'!D2023,'Team Data'!C:AB,17,FALSE),"")</f>
        <v/>
      </c>
      <c r="H2023" t="str">
        <f>IFERROR(VLOOKUP(D2023,'Team Data'!C:AB,7,FALSE),"")</f>
        <v/>
      </c>
      <c r="I2023" t="str">
        <f>IFERROR(VLOOKUP(D2023,'Team Data'!C:AB,14,FALSE),"")</f>
        <v/>
      </c>
      <c r="J2023" t="str">
        <f>IFERROR(VLOOKUP(D2023,'Team Data'!C:AB,8,FALSE),"")</f>
        <v/>
      </c>
      <c r="K2023" t="str">
        <f>IFERROR(VLOOKUP(D2023,'Team Data'!C:AB,9,FALSE),"")</f>
        <v/>
      </c>
      <c r="L2023" t="str">
        <f>IFERROR(VLOOKUP(D2023,'Team Data'!C:AB,10,FALSE),"")</f>
        <v/>
      </c>
      <c r="M2023" t="str">
        <f t="shared" si="64"/>
        <v/>
      </c>
      <c r="N2023" t="str">
        <f>IFERROR(VLOOKUP(D2023,'Team Data'!C:AB,23,FALSE),"")</f>
        <v/>
      </c>
      <c r="O2023" t="str">
        <f>IFERROR(VLOOKUP(D2023,'Team Data'!C:AB,22,FALSE),"")</f>
        <v/>
      </c>
      <c r="P2023" t="str">
        <f t="shared" si="65"/>
        <v/>
      </c>
      <c r="Q2023" t="str">
        <f>IFERROR(VLOOKUP(D2023,'Team Data'!C:AB,15,FALSE),"")</f>
        <v/>
      </c>
      <c r="R2023" t="str">
        <f>IFERROR(VLOOKUP('OB Format'!D2023,'Team Data'!C:AB,24,FALSE),"")</f>
        <v/>
      </c>
      <c r="S2023" t="str">
        <f>IFERROR(VLOOKUP('OB Format'!D2023,'Team Data'!C:AC,25,FALSE),"")</f>
        <v/>
      </c>
    </row>
    <row r="2024" spans="5:19" x14ac:dyDescent="0.25">
      <c r="E2024" t="str">
        <f>IFERROR(VLOOKUP(D2024,'Team Data'!C:AB,4,FALSE),"")</f>
        <v/>
      </c>
      <c r="F2024" t="str">
        <f>IFERROR(VLOOKUP(D2024,'Team Data'!C:AB,5,FALSE),"")</f>
        <v/>
      </c>
      <c r="G2024" t="str">
        <f>IFERROR(VLOOKUP('OB Format'!D2024,'Team Data'!C:AB,17,FALSE),"")</f>
        <v/>
      </c>
      <c r="H2024" t="str">
        <f>IFERROR(VLOOKUP(D2024,'Team Data'!C:AB,7,FALSE),"")</f>
        <v/>
      </c>
      <c r="I2024" t="str">
        <f>IFERROR(VLOOKUP(D2024,'Team Data'!C:AB,14,FALSE),"")</f>
        <v/>
      </c>
      <c r="J2024" t="str">
        <f>IFERROR(VLOOKUP(D2024,'Team Data'!C:AB,8,FALSE),"")</f>
        <v/>
      </c>
      <c r="K2024" t="str">
        <f>IFERROR(VLOOKUP(D2024,'Team Data'!C:AB,9,FALSE),"")</f>
        <v/>
      </c>
      <c r="L2024" t="str">
        <f>IFERROR(VLOOKUP(D2024,'Team Data'!C:AB,10,FALSE),"")</f>
        <v/>
      </c>
      <c r="M2024" t="str">
        <f t="shared" si="64"/>
        <v/>
      </c>
      <c r="N2024" t="str">
        <f>IFERROR(VLOOKUP(D2024,'Team Data'!C:AB,23,FALSE),"")</f>
        <v/>
      </c>
      <c r="O2024" t="str">
        <f>IFERROR(VLOOKUP(D2024,'Team Data'!C:AB,22,FALSE),"")</f>
        <v/>
      </c>
      <c r="P2024" t="str">
        <f t="shared" si="65"/>
        <v/>
      </c>
      <c r="Q2024" t="str">
        <f>IFERROR(VLOOKUP(D2024,'Team Data'!C:AB,15,FALSE),"")</f>
        <v/>
      </c>
      <c r="R2024" t="str">
        <f>IFERROR(VLOOKUP('OB Format'!D2024,'Team Data'!C:AB,24,FALSE),"")</f>
        <v/>
      </c>
      <c r="S2024" t="str">
        <f>IFERROR(VLOOKUP('OB Format'!D2024,'Team Data'!C:AC,25,FALSE),"")</f>
        <v/>
      </c>
    </row>
    <row r="2025" spans="5:19" x14ac:dyDescent="0.25">
      <c r="E2025" t="str">
        <f>IFERROR(VLOOKUP(D2025,'Team Data'!C:AB,4,FALSE),"")</f>
        <v/>
      </c>
      <c r="F2025" t="str">
        <f>IFERROR(VLOOKUP(D2025,'Team Data'!C:AB,5,FALSE),"")</f>
        <v/>
      </c>
      <c r="G2025" t="str">
        <f>IFERROR(VLOOKUP('OB Format'!D2025,'Team Data'!C:AB,17,FALSE),"")</f>
        <v/>
      </c>
      <c r="H2025" t="str">
        <f>IFERROR(VLOOKUP(D2025,'Team Data'!C:AB,7,FALSE),"")</f>
        <v/>
      </c>
      <c r="I2025" t="str">
        <f>IFERROR(VLOOKUP(D2025,'Team Data'!C:AB,14,FALSE),"")</f>
        <v/>
      </c>
      <c r="J2025" t="str">
        <f>IFERROR(VLOOKUP(D2025,'Team Data'!C:AB,8,FALSE),"")</f>
        <v/>
      </c>
      <c r="K2025" t="str">
        <f>IFERROR(VLOOKUP(D2025,'Team Data'!C:AB,9,FALSE),"")</f>
        <v/>
      </c>
      <c r="L2025" t="str">
        <f>IFERROR(VLOOKUP(D2025,'Team Data'!C:AB,10,FALSE),"")</f>
        <v/>
      </c>
      <c r="M2025" t="str">
        <f t="shared" si="64"/>
        <v/>
      </c>
      <c r="N2025" t="str">
        <f>IFERROR(VLOOKUP(D2025,'Team Data'!C:AB,23,FALSE),"")</f>
        <v/>
      </c>
      <c r="O2025" t="str">
        <f>IFERROR(VLOOKUP(D2025,'Team Data'!C:AB,22,FALSE),"")</f>
        <v/>
      </c>
      <c r="P2025" t="str">
        <f t="shared" si="65"/>
        <v/>
      </c>
      <c r="Q2025" t="str">
        <f>IFERROR(VLOOKUP(D2025,'Team Data'!C:AB,15,FALSE),"")</f>
        <v/>
      </c>
      <c r="R2025" t="str">
        <f>IFERROR(VLOOKUP('OB Format'!D2025,'Team Data'!C:AB,24,FALSE),"")</f>
        <v/>
      </c>
      <c r="S2025" t="str">
        <f>IFERROR(VLOOKUP('OB Format'!D2025,'Team Data'!C:AC,25,FALSE),"")</f>
        <v/>
      </c>
    </row>
    <row r="2026" spans="5:19" x14ac:dyDescent="0.25">
      <c r="E2026" t="str">
        <f>IFERROR(VLOOKUP(D2026,'Team Data'!C:AB,4,FALSE),"")</f>
        <v/>
      </c>
      <c r="F2026" t="str">
        <f>IFERROR(VLOOKUP(D2026,'Team Data'!C:AB,5,FALSE),"")</f>
        <v/>
      </c>
      <c r="G2026" t="str">
        <f>IFERROR(VLOOKUP('OB Format'!D2026,'Team Data'!C:AB,17,FALSE),"")</f>
        <v/>
      </c>
      <c r="H2026" t="str">
        <f>IFERROR(VLOOKUP(D2026,'Team Data'!C:AB,7,FALSE),"")</f>
        <v/>
      </c>
      <c r="I2026" t="str">
        <f>IFERROR(VLOOKUP(D2026,'Team Data'!C:AB,14,FALSE),"")</f>
        <v/>
      </c>
      <c r="J2026" t="str">
        <f>IFERROR(VLOOKUP(D2026,'Team Data'!C:AB,8,FALSE),"")</f>
        <v/>
      </c>
      <c r="K2026" t="str">
        <f>IFERROR(VLOOKUP(D2026,'Team Data'!C:AB,9,FALSE),"")</f>
        <v/>
      </c>
      <c r="L2026" t="str">
        <f>IFERROR(VLOOKUP(D2026,'Team Data'!C:AB,10,FALSE),"")</f>
        <v/>
      </c>
      <c r="M2026" t="str">
        <f t="shared" si="64"/>
        <v/>
      </c>
      <c r="N2026" t="str">
        <f>IFERROR(VLOOKUP(D2026,'Team Data'!C:AB,23,FALSE),"")</f>
        <v/>
      </c>
      <c r="O2026" t="str">
        <f>IFERROR(VLOOKUP(D2026,'Team Data'!C:AB,22,FALSE),"")</f>
        <v/>
      </c>
      <c r="P2026" t="str">
        <f t="shared" si="65"/>
        <v/>
      </c>
      <c r="Q2026" t="str">
        <f>IFERROR(VLOOKUP(D2026,'Team Data'!C:AB,15,FALSE),"")</f>
        <v/>
      </c>
      <c r="R2026" t="str">
        <f>IFERROR(VLOOKUP('OB Format'!D2026,'Team Data'!C:AB,24,FALSE),"")</f>
        <v/>
      </c>
      <c r="S2026" t="str">
        <f>IFERROR(VLOOKUP('OB Format'!D2026,'Team Data'!C:AC,25,FALSE),"")</f>
        <v/>
      </c>
    </row>
    <row r="2027" spans="5:19" x14ac:dyDescent="0.25">
      <c r="E2027" t="str">
        <f>IFERROR(VLOOKUP(D2027,'Team Data'!C:AB,4,FALSE),"")</f>
        <v/>
      </c>
      <c r="F2027" t="str">
        <f>IFERROR(VLOOKUP(D2027,'Team Data'!C:AB,5,FALSE),"")</f>
        <v/>
      </c>
      <c r="G2027" t="str">
        <f>IFERROR(VLOOKUP('OB Format'!D2027,'Team Data'!C:AB,17,FALSE),"")</f>
        <v/>
      </c>
      <c r="H2027" t="str">
        <f>IFERROR(VLOOKUP(D2027,'Team Data'!C:AB,7,FALSE),"")</f>
        <v/>
      </c>
      <c r="I2027" t="str">
        <f>IFERROR(VLOOKUP(D2027,'Team Data'!C:AB,14,FALSE),"")</f>
        <v/>
      </c>
      <c r="J2027" t="str">
        <f>IFERROR(VLOOKUP(D2027,'Team Data'!C:AB,8,FALSE),"")</f>
        <v/>
      </c>
      <c r="K2027" t="str">
        <f>IFERROR(VLOOKUP(D2027,'Team Data'!C:AB,9,FALSE),"")</f>
        <v/>
      </c>
      <c r="L2027" t="str">
        <f>IFERROR(VLOOKUP(D2027,'Team Data'!C:AB,10,FALSE),"")</f>
        <v/>
      </c>
      <c r="M2027" t="str">
        <f t="shared" si="64"/>
        <v/>
      </c>
      <c r="N2027" t="str">
        <f>IFERROR(VLOOKUP(D2027,'Team Data'!C:AB,23,FALSE),"")</f>
        <v/>
      </c>
      <c r="O2027" t="str">
        <f>IFERROR(VLOOKUP(D2027,'Team Data'!C:AB,22,FALSE),"")</f>
        <v/>
      </c>
      <c r="P2027" t="str">
        <f t="shared" si="65"/>
        <v/>
      </c>
      <c r="Q2027" t="str">
        <f>IFERROR(VLOOKUP(D2027,'Team Data'!C:AB,15,FALSE),"")</f>
        <v/>
      </c>
      <c r="R2027" t="str">
        <f>IFERROR(VLOOKUP('OB Format'!D2027,'Team Data'!C:AB,24,FALSE),"")</f>
        <v/>
      </c>
      <c r="S2027" t="str">
        <f>IFERROR(VLOOKUP('OB Format'!D2027,'Team Data'!C:AC,25,FALSE),"")</f>
        <v/>
      </c>
    </row>
    <row r="2028" spans="5:19" x14ac:dyDescent="0.25">
      <c r="E2028" t="str">
        <f>IFERROR(VLOOKUP(D2028,'Team Data'!C:AB,4,FALSE),"")</f>
        <v/>
      </c>
      <c r="F2028" t="str">
        <f>IFERROR(VLOOKUP(D2028,'Team Data'!C:AB,5,FALSE),"")</f>
        <v/>
      </c>
      <c r="G2028" t="str">
        <f>IFERROR(VLOOKUP('OB Format'!D2028,'Team Data'!C:AB,17,FALSE),"")</f>
        <v/>
      </c>
      <c r="H2028" t="str">
        <f>IFERROR(VLOOKUP(D2028,'Team Data'!C:AB,7,FALSE),"")</f>
        <v/>
      </c>
      <c r="I2028" t="str">
        <f>IFERROR(VLOOKUP(D2028,'Team Data'!C:AB,14,FALSE),"")</f>
        <v/>
      </c>
      <c r="J2028" t="str">
        <f>IFERROR(VLOOKUP(D2028,'Team Data'!C:AB,8,FALSE),"")</f>
        <v/>
      </c>
      <c r="K2028" t="str">
        <f>IFERROR(VLOOKUP(D2028,'Team Data'!C:AB,9,FALSE),"")</f>
        <v/>
      </c>
      <c r="L2028" t="str">
        <f>IFERROR(VLOOKUP(D2028,'Team Data'!C:AB,10,FALSE),"")</f>
        <v/>
      </c>
      <c r="M2028" t="str">
        <f t="shared" si="64"/>
        <v/>
      </c>
      <c r="N2028" t="str">
        <f>IFERROR(VLOOKUP(D2028,'Team Data'!C:AB,23,FALSE),"")</f>
        <v/>
      </c>
      <c r="O2028" t="str">
        <f>IFERROR(VLOOKUP(D2028,'Team Data'!C:AB,22,FALSE),"")</f>
        <v/>
      </c>
      <c r="P2028" t="str">
        <f t="shared" si="65"/>
        <v/>
      </c>
      <c r="Q2028" t="str">
        <f>IFERROR(VLOOKUP(D2028,'Team Data'!C:AB,15,FALSE),"")</f>
        <v/>
      </c>
      <c r="R2028" t="str">
        <f>IFERROR(VLOOKUP('OB Format'!D2028,'Team Data'!C:AB,24,FALSE),"")</f>
        <v/>
      </c>
      <c r="S2028" t="str">
        <f>IFERROR(VLOOKUP('OB Format'!D2028,'Team Data'!C:AC,25,FALSE),"")</f>
        <v/>
      </c>
    </row>
    <row r="2029" spans="5:19" x14ac:dyDescent="0.25">
      <c r="E2029" t="str">
        <f>IFERROR(VLOOKUP(D2029,'Team Data'!C:AB,4,FALSE),"")</f>
        <v/>
      </c>
      <c r="F2029" t="str">
        <f>IFERROR(VLOOKUP(D2029,'Team Data'!C:AB,5,FALSE),"")</f>
        <v/>
      </c>
      <c r="G2029" t="str">
        <f>IFERROR(VLOOKUP('OB Format'!D2029,'Team Data'!C:AB,17,FALSE),"")</f>
        <v/>
      </c>
      <c r="H2029" t="str">
        <f>IFERROR(VLOOKUP(D2029,'Team Data'!C:AB,7,FALSE),"")</f>
        <v/>
      </c>
      <c r="I2029" t="str">
        <f>IFERROR(VLOOKUP(D2029,'Team Data'!C:AB,14,FALSE),"")</f>
        <v/>
      </c>
      <c r="J2029" t="str">
        <f>IFERROR(VLOOKUP(D2029,'Team Data'!C:AB,8,FALSE),"")</f>
        <v/>
      </c>
      <c r="K2029" t="str">
        <f>IFERROR(VLOOKUP(D2029,'Team Data'!C:AB,9,FALSE),"")</f>
        <v/>
      </c>
      <c r="L2029" t="str">
        <f>IFERROR(VLOOKUP(D2029,'Team Data'!C:AB,10,FALSE),"")</f>
        <v/>
      </c>
      <c r="M2029" t="str">
        <f t="shared" si="64"/>
        <v/>
      </c>
      <c r="N2029" t="str">
        <f>IFERROR(VLOOKUP(D2029,'Team Data'!C:AB,23,FALSE),"")</f>
        <v/>
      </c>
      <c r="O2029" t="str">
        <f>IFERROR(VLOOKUP(D2029,'Team Data'!C:AB,22,FALSE),"")</f>
        <v/>
      </c>
      <c r="P2029" t="str">
        <f t="shared" si="65"/>
        <v/>
      </c>
      <c r="Q2029" t="str">
        <f>IFERROR(VLOOKUP(D2029,'Team Data'!C:AB,15,FALSE),"")</f>
        <v/>
      </c>
      <c r="R2029" t="str">
        <f>IFERROR(VLOOKUP('OB Format'!D2029,'Team Data'!C:AB,24,FALSE),"")</f>
        <v/>
      </c>
      <c r="S2029" t="str">
        <f>IFERROR(VLOOKUP('OB Format'!D2029,'Team Data'!C:AC,25,FALSE),"")</f>
        <v/>
      </c>
    </row>
    <row r="2030" spans="5:19" x14ac:dyDescent="0.25">
      <c r="E2030" t="str">
        <f>IFERROR(VLOOKUP(D2030,'Team Data'!C:AB,4,FALSE),"")</f>
        <v/>
      </c>
      <c r="F2030" t="str">
        <f>IFERROR(VLOOKUP(D2030,'Team Data'!C:AB,5,FALSE),"")</f>
        <v/>
      </c>
      <c r="G2030" t="str">
        <f>IFERROR(VLOOKUP('OB Format'!D2030,'Team Data'!C:AB,17,FALSE),"")</f>
        <v/>
      </c>
      <c r="H2030" t="str">
        <f>IFERROR(VLOOKUP(D2030,'Team Data'!C:AB,7,FALSE),"")</f>
        <v/>
      </c>
      <c r="I2030" t="str">
        <f>IFERROR(VLOOKUP(D2030,'Team Data'!C:AB,14,FALSE),"")</f>
        <v/>
      </c>
      <c r="J2030" t="str">
        <f>IFERROR(VLOOKUP(D2030,'Team Data'!C:AB,8,FALSE),"")</f>
        <v/>
      </c>
      <c r="K2030" t="str">
        <f>IFERROR(VLOOKUP(D2030,'Team Data'!C:AB,9,FALSE),"")</f>
        <v/>
      </c>
      <c r="L2030" t="str">
        <f>IFERROR(VLOOKUP(D2030,'Team Data'!C:AB,10,FALSE),"")</f>
        <v/>
      </c>
      <c r="M2030" t="str">
        <f t="shared" si="64"/>
        <v/>
      </c>
      <c r="N2030" t="str">
        <f>IFERROR(VLOOKUP(D2030,'Team Data'!C:AB,23,FALSE),"")</f>
        <v/>
      </c>
      <c r="O2030" t="str">
        <f>IFERROR(VLOOKUP(D2030,'Team Data'!C:AB,22,FALSE),"")</f>
        <v/>
      </c>
      <c r="P2030" t="str">
        <f t="shared" si="65"/>
        <v/>
      </c>
      <c r="Q2030" t="str">
        <f>IFERROR(VLOOKUP(D2030,'Team Data'!C:AB,15,FALSE),"")</f>
        <v/>
      </c>
      <c r="R2030" t="str">
        <f>IFERROR(VLOOKUP('OB Format'!D2030,'Team Data'!C:AB,24,FALSE),"")</f>
        <v/>
      </c>
      <c r="S2030" t="str">
        <f>IFERROR(VLOOKUP('OB Format'!D2030,'Team Data'!C:AC,25,FALSE),"")</f>
        <v/>
      </c>
    </row>
    <row r="2031" spans="5:19" x14ac:dyDescent="0.25">
      <c r="E2031" t="str">
        <f>IFERROR(VLOOKUP(D2031,'Team Data'!C:AB,4,FALSE),"")</f>
        <v/>
      </c>
      <c r="F2031" t="str">
        <f>IFERROR(VLOOKUP(D2031,'Team Data'!C:AB,5,FALSE),"")</f>
        <v/>
      </c>
      <c r="G2031" t="str">
        <f>IFERROR(VLOOKUP('OB Format'!D2031,'Team Data'!C:AB,17,FALSE),"")</f>
        <v/>
      </c>
      <c r="H2031" t="str">
        <f>IFERROR(VLOOKUP(D2031,'Team Data'!C:AB,7,FALSE),"")</f>
        <v/>
      </c>
      <c r="I2031" t="str">
        <f>IFERROR(VLOOKUP(D2031,'Team Data'!C:AB,14,FALSE),"")</f>
        <v/>
      </c>
      <c r="J2031" t="str">
        <f>IFERROR(VLOOKUP(D2031,'Team Data'!C:AB,8,FALSE),"")</f>
        <v/>
      </c>
      <c r="K2031" t="str">
        <f>IFERROR(VLOOKUP(D2031,'Team Data'!C:AB,9,FALSE),"")</f>
        <v/>
      </c>
      <c r="L2031" t="str">
        <f>IFERROR(VLOOKUP(D2031,'Team Data'!C:AB,10,FALSE),"")</f>
        <v/>
      </c>
      <c r="M2031" t="str">
        <f t="shared" si="64"/>
        <v/>
      </c>
      <c r="N2031" t="str">
        <f>IFERROR(VLOOKUP(D2031,'Team Data'!C:AB,23,FALSE),"")</f>
        <v/>
      </c>
      <c r="O2031" t="str">
        <f>IFERROR(VLOOKUP(D2031,'Team Data'!C:AB,22,FALSE),"")</f>
        <v/>
      </c>
      <c r="P2031" t="str">
        <f t="shared" si="65"/>
        <v/>
      </c>
      <c r="Q2031" t="str">
        <f>IFERROR(VLOOKUP(D2031,'Team Data'!C:AB,15,FALSE),"")</f>
        <v/>
      </c>
      <c r="R2031" t="str">
        <f>IFERROR(VLOOKUP('OB Format'!D2031,'Team Data'!C:AB,24,FALSE),"")</f>
        <v/>
      </c>
      <c r="S2031" t="str">
        <f>IFERROR(VLOOKUP('OB Format'!D2031,'Team Data'!C:AC,25,FALSE),"")</f>
        <v/>
      </c>
    </row>
    <row r="2032" spans="5:19" x14ac:dyDescent="0.25">
      <c r="E2032" t="str">
        <f>IFERROR(VLOOKUP(D2032,'Team Data'!C:AB,4,FALSE),"")</f>
        <v/>
      </c>
      <c r="F2032" t="str">
        <f>IFERROR(VLOOKUP(D2032,'Team Data'!C:AB,5,FALSE),"")</f>
        <v/>
      </c>
      <c r="G2032" t="str">
        <f>IFERROR(VLOOKUP('OB Format'!D2032,'Team Data'!C:AB,17,FALSE),"")</f>
        <v/>
      </c>
      <c r="H2032" t="str">
        <f>IFERROR(VLOOKUP(D2032,'Team Data'!C:AB,7,FALSE),"")</f>
        <v/>
      </c>
      <c r="I2032" t="str">
        <f>IFERROR(VLOOKUP(D2032,'Team Data'!C:AB,14,FALSE),"")</f>
        <v/>
      </c>
      <c r="J2032" t="str">
        <f>IFERROR(VLOOKUP(D2032,'Team Data'!C:AB,8,FALSE),"")</f>
        <v/>
      </c>
      <c r="K2032" t="str">
        <f>IFERROR(VLOOKUP(D2032,'Team Data'!C:AB,9,FALSE),"")</f>
        <v/>
      </c>
      <c r="L2032" t="str">
        <f>IFERROR(VLOOKUP(D2032,'Team Data'!C:AB,10,FALSE),"")</f>
        <v/>
      </c>
      <c r="M2032" t="str">
        <f t="shared" si="64"/>
        <v/>
      </c>
      <c r="N2032" t="str">
        <f>IFERROR(VLOOKUP(D2032,'Team Data'!C:AB,23,FALSE),"")</f>
        <v/>
      </c>
      <c r="O2032" t="str">
        <f>IFERROR(VLOOKUP(D2032,'Team Data'!C:AB,22,FALSE),"")</f>
        <v/>
      </c>
      <c r="P2032" t="str">
        <f t="shared" si="65"/>
        <v/>
      </c>
      <c r="Q2032" t="str">
        <f>IFERROR(VLOOKUP(D2032,'Team Data'!C:AB,15,FALSE),"")</f>
        <v/>
      </c>
      <c r="R2032" t="str">
        <f>IFERROR(VLOOKUP('OB Format'!D2032,'Team Data'!C:AB,24,FALSE),"")</f>
        <v/>
      </c>
      <c r="S2032" t="str">
        <f>IFERROR(VLOOKUP('OB Format'!D2032,'Team Data'!C:AC,25,FALSE),"")</f>
        <v/>
      </c>
    </row>
    <row r="2033" spans="5:19" x14ac:dyDescent="0.25">
      <c r="E2033" t="str">
        <f>IFERROR(VLOOKUP(D2033,'Team Data'!C:AB,4,FALSE),"")</f>
        <v/>
      </c>
      <c r="F2033" t="str">
        <f>IFERROR(VLOOKUP(D2033,'Team Data'!C:AB,5,FALSE),"")</f>
        <v/>
      </c>
      <c r="G2033" t="str">
        <f>IFERROR(VLOOKUP('OB Format'!D2033,'Team Data'!C:AB,17,FALSE),"")</f>
        <v/>
      </c>
      <c r="H2033" t="str">
        <f>IFERROR(VLOOKUP(D2033,'Team Data'!C:AB,7,FALSE),"")</f>
        <v/>
      </c>
      <c r="I2033" t="str">
        <f>IFERROR(VLOOKUP(D2033,'Team Data'!C:AB,14,FALSE),"")</f>
        <v/>
      </c>
      <c r="J2033" t="str">
        <f>IFERROR(VLOOKUP(D2033,'Team Data'!C:AB,8,FALSE),"")</f>
        <v/>
      </c>
      <c r="K2033" t="str">
        <f>IFERROR(VLOOKUP(D2033,'Team Data'!C:AB,9,FALSE),"")</f>
        <v/>
      </c>
      <c r="L2033" t="str">
        <f>IFERROR(VLOOKUP(D2033,'Team Data'!C:AB,10,FALSE),"")</f>
        <v/>
      </c>
      <c r="M2033" t="str">
        <f t="shared" si="64"/>
        <v/>
      </c>
      <c r="N2033" t="str">
        <f>IFERROR(VLOOKUP(D2033,'Team Data'!C:AB,23,FALSE),"")</f>
        <v/>
      </c>
      <c r="O2033" t="str">
        <f>IFERROR(VLOOKUP(D2033,'Team Data'!C:AB,22,FALSE),"")</f>
        <v/>
      </c>
      <c r="P2033" t="str">
        <f t="shared" si="65"/>
        <v/>
      </c>
      <c r="Q2033" t="str">
        <f>IFERROR(VLOOKUP(D2033,'Team Data'!C:AB,15,FALSE),"")</f>
        <v/>
      </c>
      <c r="R2033" t="str">
        <f>IFERROR(VLOOKUP('OB Format'!D2033,'Team Data'!C:AB,24,FALSE),"")</f>
        <v/>
      </c>
      <c r="S2033" t="str">
        <f>IFERROR(VLOOKUP('OB Format'!D2033,'Team Data'!C:AC,25,FALSE),"")</f>
        <v/>
      </c>
    </row>
    <row r="2034" spans="5:19" x14ac:dyDescent="0.25">
      <c r="E2034" t="str">
        <f>IFERROR(VLOOKUP(D2034,'Team Data'!C:AB,4,FALSE),"")</f>
        <v/>
      </c>
      <c r="F2034" t="str">
        <f>IFERROR(VLOOKUP(D2034,'Team Data'!C:AB,5,FALSE),"")</f>
        <v/>
      </c>
      <c r="G2034" t="str">
        <f>IFERROR(VLOOKUP('OB Format'!D2034,'Team Data'!C:AB,17,FALSE),"")</f>
        <v/>
      </c>
      <c r="H2034" t="str">
        <f>IFERROR(VLOOKUP(D2034,'Team Data'!C:AB,7,FALSE),"")</f>
        <v/>
      </c>
      <c r="I2034" t="str">
        <f>IFERROR(VLOOKUP(D2034,'Team Data'!C:AB,14,FALSE),"")</f>
        <v/>
      </c>
      <c r="J2034" t="str">
        <f>IFERROR(VLOOKUP(D2034,'Team Data'!C:AB,8,FALSE),"")</f>
        <v/>
      </c>
      <c r="K2034" t="str">
        <f>IFERROR(VLOOKUP(D2034,'Team Data'!C:AB,9,FALSE),"")</f>
        <v/>
      </c>
      <c r="L2034" t="str">
        <f>IFERROR(VLOOKUP(D2034,'Team Data'!C:AB,10,FALSE),"")</f>
        <v/>
      </c>
      <c r="M2034" t="str">
        <f t="shared" si="64"/>
        <v/>
      </c>
      <c r="N2034" t="str">
        <f>IFERROR(VLOOKUP(D2034,'Team Data'!C:AB,23,FALSE),"")</f>
        <v/>
      </c>
      <c r="O2034" t="str">
        <f>IFERROR(VLOOKUP(D2034,'Team Data'!C:AB,22,FALSE),"")</f>
        <v/>
      </c>
      <c r="P2034" t="str">
        <f t="shared" si="65"/>
        <v/>
      </c>
      <c r="Q2034" t="str">
        <f>IFERROR(VLOOKUP(D2034,'Team Data'!C:AB,15,FALSE),"")</f>
        <v/>
      </c>
      <c r="R2034" t="str">
        <f>IFERROR(VLOOKUP('OB Format'!D2034,'Team Data'!C:AB,24,FALSE),"")</f>
        <v/>
      </c>
      <c r="S2034" t="str">
        <f>IFERROR(VLOOKUP('OB Format'!D2034,'Team Data'!C:AC,25,FALSE),"")</f>
        <v/>
      </c>
    </row>
    <row r="2035" spans="5:19" x14ac:dyDescent="0.25">
      <c r="E2035" t="str">
        <f>IFERROR(VLOOKUP(D2035,'Team Data'!C:AB,4,FALSE),"")</f>
        <v/>
      </c>
      <c r="F2035" t="str">
        <f>IFERROR(VLOOKUP(D2035,'Team Data'!C:AB,5,FALSE),"")</f>
        <v/>
      </c>
      <c r="G2035" t="str">
        <f>IFERROR(VLOOKUP('OB Format'!D2035,'Team Data'!C:AB,17,FALSE),"")</f>
        <v/>
      </c>
      <c r="H2035" t="str">
        <f>IFERROR(VLOOKUP(D2035,'Team Data'!C:AB,7,FALSE),"")</f>
        <v/>
      </c>
      <c r="I2035" t="str">
        <f>IFERROR(VLOOKUP(D2035,'Team Data'!C:AB,14,FALSE),"")</f>
        <v/>
      </c>
      <c r="J2035" t="str">
        <f>IFERROR(VLOOKUP(D2035,'Team Data'!C:AB,8,FALSE),"")</f>
        <v/>
      </c>
      <c r="K2035" t="str">
        <f>IFERROR(VLOOKUP(D2035,'Team Data'!C:AB,9,FALSE),"")</f>
        <v/>
      </c>
      <c r="L2035" t="str">
        <f>IFERROR(VLOOKUP(D2035,'Team Data'!C:AB,10,FALSE),"")</f>
        <v/>
      </c>
      <c r="M2035" t="str">
        <f t="shared" si="64"/>
        <v/>
      </c>
      <c r="N2035" t="str">
        <f>IFERROR(VLOOKUP(D2035,'Team Data'!C:AB,23,FALSE),"")</f>
        <v/>
      </c>
      <c r="O2035" t="str">
        <f>IFERROR(VLOOKUP(D2035,'Team Data'!C:AB,22,FALSE),"")</f>
        <v/>
      </c>
      <c r="P2035" t="str">
        <f t="shared" si="65"/>
        <v/>
      </c>
      <c r="Q2035" t="str">
        <f>IFERROR(VLOOKUP(D2035,'Team Data'!C:AB,15,FALSE),"")</f>
        <v/>
      </c>
      <c r="R2035" t="str">
        <f>IFERROR(VLOOKUP('OB Format'!D2035,'Team Data'!C:AB,24,FALSE),"")</f>
        <v/>
      </c>
      <c r="S2035" t="str">
        <f>IFERROR(VLOOKUP('OB Format'!D2035,'Team Data'!C:AC,25,FALSE),"")</f>
        <v/>
      </c>
    </row>
    <row r="2036" spans="5:19" x14ac:dyDescent="0.25">
      <c r="E2036" t="str">
        <f>IFERROR(VLOOKUP(D2036,'Team Data'!C:AB,4,FALSE),"")</f>
        <v/>
      </c>
      <c r="F2036" t="str">
        <f>IFERROR(VLOOKUP(D2036,'Team Data'!C:AB,5,FALSE),"")</f>
        <v/>
      </c>
      <c r="G2036" t="str">
        <f>IFERROR(VLOOKUP('OB Format'!D2036,'Team Data'!C:AB,17,FALSE),"")</f>
        <v/>
      </c>
      <c r="H2036" t="str">
        <f>IFERROR(VLOOKUP(D2036,'Team Data'!C:AB,7,FALSE),"")</f>
        <v/>
      </c>
      <c r="I2036" t="str">
        <f>IFERROR(VLOOKUP(D2036,'Team Data'!C:AB,14,FALSE),"")</f>
        <v/>
      </c>
      <c r="J2036" t="str">
        <f>IFERROR(VLOOKUP(D2036,'Team Data'!C:AB,8,FALSE),"")</f>
        <v/>
      </c>
      <c r="K2036" t="str">
        <f>IFERROR(VLOOKUP(D2036,'Team Data'!C:AB,9,FALSE),"")</f>
        <v/>
      </c>
      <c r="L2036" t="str">
        <f>IFERROR(VLOOKUP(D2036,'Team Data'!C:AB,10,FALSE),"")</f>
        <v/>
      </c>
      <c r="M2036" t="str">
        <f t="shared" si="64"/>
        <v/>
      </c>
      <c r="N2036" t="str">
        <f>IFERROR(VLOOKUP(D2036,'Team Data'!C:AB,23,FALSE),"")</f>
        <v/>
      </c>
      <c r="O2036" t="str">
        <f>IFERROR(VLOOKUP(D2036,'Team Data'!C:AB,22,FALSE),"")</f>
        <v/>
      </c>
      <c r="P2036" t="str">
        <f t="shared" si="65"/>
        <v/>
      </c>
      <c r="Q2036" t="str">
        <f>IFERROR(VLOOKUP(D2036,'Team Data'!C:AB,15,FALSE),"")</f>
        <v/>
      </c>
      <c r="R2036" t="str">
        <f>IFERROR(VLOOKUP('OB Format'!D2036,'Team Data'!C:AB,24,FALSE),"")</f>
        <v/>
      </c>
      <c r="S2036" t="str">
        <f>IFERROR(VLOOKUP('OB Format'!D2036,'Team Data'!C:AC,25,FALSE),"")</f>
        <v/>
      </c>
    </row>
    <row r="2037" spans="5:19" x14ac:dyDescent="0.25">
      <c r="E2037" t="str">
        <f>IFERROR(VLOOKUP(D2037,'Team Data'!C:AB,4,FALSE),"")</f>
        <v/>
      </c>
      <c r="F2037" t="str">
        <f>IFERROR(VLOOKUP(D2037,'Team Data'!C:AB,5,FALSE),"")</f>
        <v/>
      </c>
      <c r="G2037" t="str">
        <f>IFERROR(VLOOKUP('OB Format'!D2037,'Team Data'!C:AB,17,FALSE),"")</f>
        <v/>
      </c>
      <c r="H2037" t="str">
        <f>IFERROR(VLOOKUP(D2037,'Team Data'!C:AB,7,FALSE),"")</f>
        <v/>
      </c>
      <c r="I2037" t="str">
        <f>IFERROR(VLOOKUP(D2037,'Team Data'!C:AB,14,FALSE),"")</f>
        <v/>
      </c>
      <c r="J2037" t="str">
        <f>IFERROR(VLOOKUP(D2037,'Team Data'!C:AB,8,FALSE),"")</f>
        <v/>
      </c>
      <c r="K2037" t="str">
        <f>IFERROR(VLOOKUP(D2037,'Team Data'!C:AB,9,FALSE),"")</f>
        <v/>
      </c>
      <c r="L2037" t="str">
        <f>IFERROR(VLOOKUP(D2037,'Team Data'!C:AB,10,FALSE),"")</f>
        <v/>
      </c>
      <c r="M2037" t="str">
        <f t="shared" si="64"/>
        <v/>
      </c>
      <c r="N2037" t="str">
        <f>IFERROR(VLOOKUP(D2037,'Team Data'!C:AB,23,FALSE),"")</f>
        <v/>
      </c>
      <c r="O2037" t="str">
        <f>IFERROR(VLOOKUP(D2037,'Team Data'!C:AB,22,FALSE),"")</f>
        <v/>
      </c>
      <c r="P2037" t="str">
        <f t="shared" si="65"/>
        <v/>
      </c>
      <c r="Q2037" t="str">
        <f>IFERROR(VLOOKUP(D2037,'Team Data'!C:AB,15,FALSE),"")</f>
        <v/>
      </c>
      <c r="R2037" t="str">
        <f>IFERROR(VLOOKUP('OB Format'!D2037,'Team Data'!C:AB,24,FALSE),"")</f>
        <v/>
      </c>
      <c r="S2037" t="str">
        <f>IFERROR(VLOOKUP('OB Format'!D2037,'Team Data'!C:AC,25,FALSE),"")</f>
        <v/>
      </c>
    </row>
    <row r="2038" spans="5:19" x14ac:dyDescent="0.25">
      <c r="E2038" t="str">
        <f>IFERROR(VLOOKUP(D2038,'Team Data'!C:AB,4,FALSE),"")</f>
        <v/>
      </c>
      <c r="F2038" t="str">
        <f>IFERROR(VLOOKUP(D2038,'Team Data'!C:AB,5,FALSE),"")</f>
        <v/>
      </c>
      <c r="G2038" t="str">
        <f>IFERROR(VLOOKUP('OB Format'!D2038,'Team Data'!C:AB,17,FALSE),"")</f>
        <v/>
      </c>
      <c r="H2038" t="str">
        <f>IFERROR(VLOOKUP(D2038,'Team Data'!C:AB,7,FALSE),"")</f>
        <v/>
      </c>
      <c r="I2038" t="str">
        <f>IFERROR(VLOOKUP(D2038,'Team Data'!C:AB,14,FALSE),"")</f>
        <v/>
      </c>
      <c r="J2038" t="str">
        <f>IFERROR(VLOOKUP(D2038,'Team Data'!C:AB,8,FALSE),"")</f>
        <v/>
      </c>
      <c r="K2038" t="str">
        <f>IFERROR(VLOOKUP(D2038,'Team Data'!C:AB,9,FALSE),"")</f>
        <v/>
      </c>
      <c r="L2038" t="str">
        <f>IFERROR(VLOOKUP(D2038,'Team Data'!C:AB,10,FALSE),"")</f>
        <v/>
      </c>
      <c r="M2038" t="str">
        <f t="shared" si="64"/>
        <v/>
      </c>
      <c r="N2038" t="str">
        <f>IFERROR(VLOOKUP(D2038,'Team Data'!C:AB,23,FALSE),"")</f>
        <v/>
      </c>
      <c r="O2038" t="str">
        <f>IFERROR(VLOOKUP(D2038,'Team Data'!C:AB,22,FALSE),"")</f>
        <v/>
      </c>
      <c r="P2038" t="str">
        <f t="shared" si="65"/>
        <v/>
      </c>
      <c r="Q2038" t="str">
        <f>IFERROR(VLOOKUP(D2038,'Team Data'!C:AB,15,FALSE),"")</f>
        <v/>
      </c>
      <c r="R2038" t="str">
        <f>IFERROR(VLOOKUP('OB Format'!D2038,'Team Data'!C:AB,24,FALSE),"")</f>
        <v/>
      </c>
      <c r="S2038" t="str">
        <f>IFERROR(VLOOKUP('OB Format'!D2038,'Team Data'!C:AC,25,FALSE),"")</f>
        <v/>
      </c>
    </row>
    <row r="2039" spans="5:19" x14ac:dyDescent="0.25">
      <c r="E2039" t="str">
        <f>IFERROR(VLOOKUP(D2039,'Team Data'!C:AB,4,FALSE),"")</f>
        <v/>
      </c>
      <c r="F2039" t="str">
        <f>IFERROR(VLOOKUP(D2039,'Team Data'!C:AB,5,FALSE),"")</f>
        <v/>
      </c>
      <c r="G2039" t="str">
        <f>IFERROR(VLOOKUP('OB Format'!D2039,'Team Data'!C:AB,17,FALSE),"")</f>
        <v/>
      </c>
      <c r="H2039" t="str">
        <f>IFERROR(VLOOKUP(D2039,'Team Data'!C:AB,7,FALSE),"")</f>
        <v/>
      </c>
      <c r="I2039" t="str">
        <f>IFERROR(VLOOKUP(D2039,'Team Data'!C:AB,14,FALSE),"")</f>
        <v/>
      </c>
      <c r="J2039" t="str">
        <f>IFERROR(VLOOKUP(D2039,'Team Data'!C:AB,8,FALSE),"")</f>
        <v/>
      </c>
      <c r="K2039" t="str">
        <f>IFERROR(VLOOKUP(D2039,'Team Data'!C:AB,9,FALSE),"")</f>
        <v/>
      </c>
      <c r="L2039" t="str">
        <f>IFERROR(VLOOKUP(D2039,'Team Data'!C:AB,10,FALSE),"")</f>
        <v/>
      </c>
      <c r="M2039" t="str">
        <f t="shared" si="64"/>
        <v/>
      </c>
      <c r="N2039" t="str">
        <f>IFERROR(VLOOKUP(D2039,'Team Data'!C:AB,23,FALSE),"")</f>
        <v/>
      </c>
      <c r="O2039" t="str">
        <f>IFERROR(VLOOKUP(D2039,'Team Data'!C:AB,22,FALSE),"")</f>
        <v/>
      </c>
      <c r="P2039" t="str">
        <f t="shared" si="65"/>
        <v/>
      </c>
      <c r="Q2039" t="str">
        <f>IFERROR(VLOOKUP(D2039,'Team Data'!C:AB,15,FALSE),"")</f>
        <v/>
      </c>
      <c r="R2039" t="str">
        <f>IFERROR(VLOOKUP('OB Format'!D2039,'Team Data'!C:AB,24,FALSE),"")</f>
        <v/>
      </c>
      <c r="S2039" t="str">
        <f>IFERROR(VLOOKUP('OB Format'!D2039,'Team Data'!C:AC,25,FALSE),"")</f>
        <v/>
      </c>
    </row>
    <row r="2040" spans="5:19" x14ac:dyDescent="0.25">
      <c r="E2040" t="str">
        <f>IFERROR(VLOOKUP(D2040,'Team Data'!C:AB,4,FALSE),"")</f>
        <v/>
      </c>
      <c r="F2040" t="str">
        <f>IFERROR(VLOOKUP(D2040,'Team Data'!C:AB,5,FALSE),"")</f>
        <v/>
      </c>
      <c r="G2040" t="str">
        <f>IFERROR(VLOOKUP('OB Format'!D2040,'Team Data'!C:AB,17,FALSE),"")</f>
        <v/>
      </c>
      <c r="H2040" t="str">
        <f>IFERROR(VLOOKUP(D2040,'Team Data'!C:AB,7,FALSE),"")</f>
        <v/>
      </c>
      <c r="I2040" t="str">
        <f>IFERROR(VLOOKUP(D2040,'Team Data'!C:AB,14,FALSE),"")</f>
        <v/>
      </c>
      <c r="J2040" t="str">
        <f>IFERROR(VLOOKUP(D2040,'Team Data'!C:AB,8,FALSE),"")</f>
        <v/>
      </c>
      <c r="K2040" t="str">
        <f>IFERROR(VLOOKUP(D2040,'Team Data'!C:AB,9,FALSE),"")</f>
        <v/>
      </c>
      <c r="L2040" t="str">
        <f>IFERROR(VLOOKUP(D2040,'Team Data'!C:AB,10,FALSE),"")</f>
        <v/>
      </c>
      <c r="M2040" t="str">
        <f t="shared" si="64"/>
        <v/>
      </c>
      <c r="N2040" t="str">
        <f>IFERROR(VLOOKUP(D2040,'Team Data'!C:AB,23,FALSE),"")</f>
        <v/>
      </c>
      <c r="O2040" t="str">
        <f>IFERROR(VLOOKUP(D2040,'Team Data'!C:AB,22,FALSE),"")</f>
        <v/>
      </c>
      <c r="P2040" t="str">
        <f t="shared" si="65"/>
        <v/>
      </c>
      <c r="Q2040" t="str">
        <f>IFERROR(VLOOKUP(D2040,'Team Data'!C:AB,15,FALSE),"")</f>
        <v/>
      </c>
      <c r="R2040" t="str">
        <f>IFERROR(VLOOKUP('OB Format'!D2040,'Team Data'!C:AB,24,FALSE),"")</f>
        <v/>
      </c>
      <c r="S2040" t="str">
        <f>IFERROR(VLOOKUP('OB Format'!D2040,'Team Data'!C:AC,25,FALSE),"")</f>
        <v/>
      </c>
    </row>
    <row r="2041" spans="5:19" x14ac:dyDescent="0.25">
      <c r="E2041" t="str">
        <f>IFERROR(VLOOKUP(D2041,'Team Data'!C:AB,4,FALSE),"")</f>
        <v/>
      </c>
      <c r="F2041" t="str">
        <f>IFERROR(VLOOKUP(D2041,'Team Data'!C:AB,5,FALSE),"")</f>
        <v/>
      </c>
      <c r="G2041" t="str">
        <f>IFERROR(VLOOKUP('OB Format'!D2041,'Team Data'!C:AB,17,FALSE),"")</f>
        <v/>
      </c>
      <c r="H2041" t="str">
        <f>IFERROR(VLOOKUP(D2041,'Team Data'!C:AB,7,FALSE),"")</f>
        <v/>
      </c>
      <c r="I2041" t="str">
        <f>IFERROR(VLOOKUP(D2041,'Team Data'!C:AB,14,FALSE),"")</f>
        <v/>
      </c>
      <c r="J2041" t="str">
        <f>IFERROR(VLOOKUP(D2041,'Team Data'!C:AB,8,FALSE),"")</f>
        <v/>
      </c>
      <c r="K2041" t="str">
        <f>IFERROR(VLOOKUP(D2041,'Team Data'!C:AB,9,FALSE),"")</f>
        <v/>
      </c>
      <c r="L2041" t="str">
        <f>IFERROR(VLOOKUP(D2041,'Team Data'!C:AB,10,FALSE),"")</f>
        <v/>
      </c>
      <c r="M2041" t="str">
        <f t="shared" si="64"/>
        <v/>
      </c>
      <c r="N2041" t="str">
        <f>IFERROR(VLOOKUP(D2041,'Team Data'!C:AB,23,FALSE),"")</f>
        <v/>
      </c>
      <c r="O2041" t="str">
        <f>IFERROR(VLOOKUP(D2041,'Team Data'!C:AB,22,FALSE),"")</f>
        <v/>
      </c>
      <c r="P2041" t="str">
        <f t="shared" si="65"/>
        <v/>
      </c>
      <c r="Q2041" t="str">
        <f>IFERROR(VLOOKUP(D2041,'Team Data'!C:AB,15,FALSE),"")</f>
        <v/>
      </c>
      <c r="R2041" t="str">
        <f>IFERROR(VLOOKUP('OB Format'!D2041,'Team Data'!C:AB,24,FALSE),"")</f>
        <v/>
      </c>
      <c r="S2041" t="str">
        <f>IFERROR(VLOOKUP('OB Format'!D2041,'Team Data'!C:AC,25,FALSE),"")</f>
        <v/>
      </c>
    </row>
    <row r="2042" spans="5:19" x14ac:dyDescent="0.25">
      <c r="E2042" t="str">
        <f>IFERROR(VLOOKUP(D2042,'Team Data'!C:AB,4,FALSE),"")</f>
        <v/>
      </c>
      <c r="F2042" t="str">
        <f>IFERROR(VLOOKUP(D2042,'Team Data'!C:AB,5,FALSE),"")</f>
        <v/>
      </c>
      <c r="G2042" t="str">
        <f>IFERROR(VLOOKUP('OB Format'!D2042,'Team Data'!C:AB,17,FALSE),"")</f>
        <v/>
      </c>
      <c r="H2042" t="str">
        <f>IFERROR(VLOOKUP(D2042,'Team Data'!C:AB,7,FALSE),"")</f>
        <v/>
      </c>
      <c r="I2042" t="str">
        <f>IFERROR(VLOOKUP(D2042,'Team Data'!C:AB,14,FALSE),"")</f>
        <v/>
      </c>
      <c r="J2042" t="str">
        <f>IFERROR(VLOOKUP(D2042,'Team Data'!C:AB,8,FALSE),"")</f>
        <v/>
      </c>
      <c r="K2042" t="str">
        <f>IFERROR(VLOOKUP(D2042,'Team Data'!C:AB,9,FALSE),"")</f>
        <v/>
      </c>
      <c r="L2042" t="str">
        <f>IFERROR(VLOOKUP(D2042,'Team Data'!C:AB,10,FALSE),"")</f>
        <v/>
      </c>
      <c r="M2042" t="str">
        <f t="shared" si="64"/>
        <v/>
      </c>
      <c r="N2042" t="str">
        <f>IFERROR(VLOOKUP(D2042,'Team Data'!C:AB,23,FALSE),"")</f>
        <v/>
      </c>
      <c r="O2042" t="str">
        <f>IFERROR(VLOOKUP(D2042,'Team Data'!C:AB,22,FALSE),"")</f>
        <v/>
      </c>
      <c r="P2042" t="str">
        <f t="shared" si="65"/>
        <v/>
      </c>
      <c r="Q2042" t="str">
        <f>IFERROR(VLOOKUP(D2042,'Team Data'!C:AB,15,FALSE),"")</f>
        <v/>
      </c>
      <c r="R2042" t="str">
        <f>IFERROR(VLOOKUP('OB Format'!D2042,'Team Data'!C:AB,24,FALSE),"")</f>
        <v/>
      </c>
      <c r="S2042" t="str">
        <f>IFERROR(VLOOKUP('OB Format'!D2042,'Team Data'!C:AC,25,FALSE),"")</f>
        <v/>
      </c>
    </row>
    <row r="2043" spans="5:19" x14ac:dyDescent="0.25">
      <c r="E2043" t="str">
        <f>IFERROR(VLOOKUP(D2043,'Team Data'!C:AB,4,FALSE),"")</f>
        <v/>
      </c>
      <c r="F2043" t="str">
        <f>IFERROR(VLOOKUP(D2043,'Team Data'!C:AB,5,FALSE),"")</f>
        <v/>
      </c>
      <c r="G2043" t="str">
        <f>IFERROR(VLOOKUP('OB Format'!D2043,'Team Data'!C:AB,17,FALSE),"")</f>
        <v/>
      </c>
      <c r="H2043" t="str">
        <f>IFERROR(VLOOKUP(D2043,'Team Data'!C:AB,7,FALSE),"")</f>
        <v/>
      </c>
      <c r="I2043" t="str">
        <f>IFERROR(VLOOKUP(D2043,'Team Data'!C:AB,14,FALSE),"")</f>
        <v/>
      </c>
      <c r="J2043" t="str">
        <f>IFERROR(VLOOKUP(D2043,'Team Data'!C:AB,8,FALSE),"")</f>
        <v/>
      </c>
      <c r="K2043" t="str">
        <f>IFERROR(VLOOKUP(D2043,'Team Data'!C:AB,9,FALSE),"")</f>
        <v/>
      </c>
      <c r="L2043" t="str">
        <f>IFERROR(VLOOKUP(D2043,'Team Data'!C:AB,10,FALSE),"")</f>
        <v/>
      </c>
      <c r="M2043" t="str">
        <f t="shared" si="64"/>
        <v/>
      </c>
      <c r="N2043" t="str">
        <f>IFERROR(VLOOKUP(D2043,'Team Data'!C:AB,23,FALSE),"")</f>
        <v/>
      </c>
      <c r="O2043" t="str">
        <f>IFERROR(VLOOKUP(D2043,'Team Data'!C:AB,22,FALSE),"")</f>
        <v/>
      </c>
      <c r="P2043" t="str">
        <f t="shared" si="65"/>
        <v/>
      </c>
      <c r="Q2043" t="str">
        <f>IFERROR(VLOOKUP(D2043,'Team Data'!C:AB,15,FALSE),"")</f>
        <v/>
      </c>
      <c r="R2043" t="str">
        <f>IFERROR(VLOOKUP('OB Format'!D2043,'Team Data'!C:AB,24,FALSE),"")</f>
        <v/>
      </c>
      <c r="S2043" t="str">
        <f>IFERROR(VLOOKUP('OB Format'!D2043,'Team Data'!C:AC,25,FALSE),"")</f>
        <v/>
      </c>
    </row>
    <row r="2044" spans="5:19" x14ac:dyDescent="0.25">
      <c r="E2044" t="str">
        <f>IFERROR(VLOOKUP(D2044,'Team Data'!C:AB,4,FALSE),"")</f>
        <v/>
      </c>
      <c r="F2044" t="str">
        <f>IFERROR(VLOOKUP(D2044,'Team Data'!C:AB,5,FALSE),"")</f>
        <v/>
      </c>
      <c r="G2044" t="str">
        <f>IFERROR(VLOOKUP('OB Format'!D2044,'Team Data'!C:AB,17,FALSE),"")</f>
        <v/>
      </c>
      <c r="H2044" t="str">
        <f>IFERROR(VLOOKUP(D2044,'Team Data'!C:AB,7,FALSE),"")</f>
        <v/>
      </c>
      <c r="I2044" t="str">
        <f>IFERROR(VLOOKUP(D2044,'Team Data'!C:AB,14,FALSE),"")</f>
        <v/>
      </c>
      <c r="J2044" t="str">
        <f>IFERROR(VLOOKUP(D2044,'Team Data'!C:AB,8,FALSE),"")</f>
        <v/>
      </c>
      <c r="K2044" t="str">
        <f>IFERROR(VLOOKUP(D2044,'Team Data'!C:AB,9,FALSE),"")</f>
        <v/>
      </c>
      <c r="L2044" t="str">
        <f>IFERROR(VLOOKUP(D2044,'Team Data'!C:AB,10,FALSE),"")</f>
        <v/>
      </c>
      <c r="M2044" t="str">
        <f t="shared" si="64"/>
        <v/>
      </c>
      <c r="N2044" t="str">
        <f>IFERROR(VLOOKUP(D2044,'Team Data'!C:AB,23,FALSE),"")</f>
        <v/>
      </c>
      <c r="O2044" t="str">
        <f>IFERROR(VLOOKUP(D2044,'Team Data'!C:AB,22,FALSE),"")</f>
        <v/>
      </c>
      <c r="P2044" t="str">
        <f t="shared" si="65"/>
        <v/>
      </c>
      <c r="Q2044" t="str">
        <f>IFERROR(VLOOKUP(D2044,'Team Data'!C:AB,15,FALSE),"")</f>
        <v/>
      </c>
      <c r="R2044" t="str">
        <f>IFERROR(VLOOKUP('OB Format'!D2044,'Team Data'!C:AB,24,FALSE),"")</f>
        <v/>
      </c>
      <c r="S2044" t="str">
        <f>IFERROR(VLOOKUP('OB Format'!D2044,'Team Data'!C:AC,25,FALSE),"")</f>
        <v/>
      </c>
    </row>
    <row r="2045" spans="5:19" x14ac:dyDescent="0.25">
      <c r="E2045" t="str">
        <f>IFERROR(VLOOKUP(D2045,'Team Data'!C:AB,4,FALSE),"")</f>
        <v/>
      </c>
      <c r="F2045" t="str">
        <f>IFERROR(VLOOKUP(D2045,'Team Data'!C:AB,5,FALSE),"")</f>
        <v/>
      </c>
      <c r="G2045" t="str">
        <f>IFERROR(VLOOKUP('OB Format'!D2045,'Team Data'!C:AB,17,FALSE),"")</f>
        <v/>
      </c>
      <c r="H2045" t="str">
        <f>IFERROR(VLOOKUP(D2045,'Team Data'!C:AB,7,FALSE),"")</f>
        <v/>
      </c>
      <c r="I2045" t="str">
        <f>IFERROR(VLOOKUP(D2045,'Team Data'!C:AB,14,FALSE),"")</f>
        <v/>
      </c>
      <c r="J2045" t="str">
        <f>IFERROR(VLOOKUP(D2045,'Team Data'!C:AB,8,FALSE),"")</f>
        <v/>
      </c>
      <c r="K2045" t="str">
        <f>IFERROR(VLOOKUP(D2045,'Team Data'!C:AB,9,FALSE),"")</f>
        <v/>
      </c>
      <c r="L2045" t="str">
        <f>IFERROR(VLOOKUP(D2045,'Team Data'!C:AB,10,FALSE),"")</f>
        <v/>
      </c>
      <c r="M2045" t="str">
        <f t="shared" si="64"/>
        <v/>
      </c>
      <c r="N2045" t="str">
        <f>IFERROR(VLOOKUP(D2045,'Team Data'!C:AB,23,FALSE),"")</f>
        <v/>
      </c>
      <c r="O2045" t="str">
        <f>IFERROR(VLOOKUP(D2045,'Team Data'!C:AB,22,FALSE),"")</f>
        <v/>
      </c>
      <c r="P2045" t="str">
        <f t="shared" si="65"/>
        <v/>
      </c>
      <c r="Q2045" t="str">
        <f>IFERROR(VLOOKUP(D2045,'Team Data'!C:AB,15,FALSE),"")</f>
        <v/>
      </c>
      <c r="R2045" t="str">
        <f>IFERROR(VLOOKUP('OB Format'!D2045,'Team Data'!C:AB,24,FALSE),"")</f>
        <v/>
      </c>
      <c r="S2045" t="str">
        <f>IFERROR(VLOOKUP('OB Format'!D2045,'Team Data'!C:AC,25,FALSE),"")</f>
        <v/>
      </c>
    </row>
    <row r="2046" spans="5:19" x14ac:dyDescent="0.25">
      <c r="E2046" t="str">
        <f>IFERROR(VLOOKUP(D2046,'Team Data'!C:AB,4,FALSE),"")</f>
        <v/>
      </c>
      <c r="F2046" t="str">
        <f>IFERROR(VLOOKUP(D2046,'Team Data'!C:AB,5,FALSE),"")</f>
        <v/>
      </c>
      <c r="G2046" t="str">
        <f>IFERROR(VLOOKUP('OB Format'!D2046,'Team Data'!C:AB,17,FALSE),"")</f>
        <v/>
      </c>
      <c r="H2046" t="str">
        <f>IFERROR(VLOOKUP(D2046,'Team Data'!C:AB,7,FALSE),"")</f>
        <v/>
      </c>
      <c r="I2046" t="str">
        <f>IFERROR(VLOOKUP(D2046,'Team Data'!C:AB,14,FALSE),"")</f>
        <v/>
      </c>
      <c r="J2046" t="str">
        <f>IFERROR(VLOOKUP(D2046,'Team Data'!C:AB,8,FALSE),"")</f>
        <v/>
      </c>
      <c r="K2046" t="str">
        <f>IFERROR(VLOOKUP(D2046,'Team Data'!C:AB,9,FALSE),"")</f>
        <v/>
      </c>
      <c r="L2046" t="str">
        <f>IFERROR(VLOOKUP(D2046,'Team Data'!C:AB,10,FALSE),"")</f>
        <v/>
      </c>
      <c r="M2046" t="str">
        <f t="shared" si="64"/>
        <v/>
      </c>
      <c r="N2046" t="str">
        <f>IFERROR(VLOOKUP(D2046,'Team Data'!C:AB,23,FALSE),"")</f>
        <v/>
      </c>
      <c r="O2046" t="str">
        <f>IFERROR(VLOOKUP(D2046,'Team Data'!C:AB,22,FALSE),"")</f>
        <v/>
      </c>
      <c r="P2046" t="str">
        <f t="shared" si="65"/>
        <v/>
      </c>
      <c r="Q2046" t="str">
        <f>IFERROR(VLOOKUP(D2046,'Team Data'!C:AB,15,FALSE),"")</f>
        <v/>
      </c>
      <c r="R2046" t="str">
        <f>IFERROR(VLOOKUP('OB Format'!D2046,'Team Data'!C:AB,24,FALSE),"")</f>
        <v/>
      </c>
      <c r="S2046" t="str">
        <f>IFERROR(VLOOKUP('OB Format'!D2046,'Team Data'!C:AC,25,FALSE),"")</f>
        <v/>
      </c>
    </row>
    <row r="2047" spans="5:19" x14ac:dyDescent="0.25">
      <c r="E2047" t="str">
        <f>IFERROR(VLOOKUP(D2047,'Team Data'!C:AB,4,FALSE),"")</f>
        <v/>
      </c>
      <c r="F2047" t="str">
        <f>IFERROR(VLOOKUP(D2047,'Team Data'!C:AB,5,FALSE),"")</f>
        <v/>
      </c>
      <c r="G2047" t="str">
        <f>IFERROR(VLOOKUP('OB Format'!D2047,'Team Data'!C:AB,17,FALSE),"")</f>
        <v/>
      </c>
      <c r="H2047" t="str">
        <f>IFERROR(VLOOKUP(D2047,'Team Data'!C:AB,7,FALSE),"")</f>
        <v/>
      </c>
      <c r="I2047" t="str">
        <f>IFERROR(VLOOKUP(D2047,'Team Data'!C:AB,14,FALSE),"")</f>
        <v/>
      </c>
      <c r="J2047" t="str">
        <f>IFERROR(VLOOKUP(D2047,'Team Data'!C:AB,8,FALSE),"")</f>
        <v/>
      </c>
      <c r="K2047" t="str">
        <f>IFERROR(VLOOKUP(D2047,'Team Data'!C:AB,9,FALSE),"")</f>
        <v/>
      </c>
      <c r="L2047" t="str">
        <f>IFERROR(VLOOKUP(D2047,'Team Data'!C:AB,10,FALSE),"")</f>
        <v/>
      </c>
      <c r="M2047" t="str">
        <f t="shared" si="64"/>
        <v/>
      </c>
      <c r="N2047" t="str">
        <f>IFERROR(VLOOKUP(D2047,'Team Data'!C:AB,23,FALSE),"")</f>
        <v/>
      </c>
      <c r="O2047" t="str">
        <f>IFERROR(VLOOKUP(D2047,'Team Data'!C:AB,22,FALSE),"")</f>
        <v/>
      </c>
      <c r="P2047" t="str">
        <f t="shared" si="65"/>
        <v/>
      </c>
      <c r="Q2047" t="str">
        <f>IFERROR(VLOOKUP(D2047,'Team Data'!C:AB,15,FALSE),"")</f>
        <v/>
      </c>
      <c r="R2047" t="str">
        <f>IFERROR(VLOOKUP('OB Format'!D2047,'Team Data'!C:AB,24,FALSE),"")</f>
        <v/>
      </c>
      <c r="S2047" t="str">
        <f>IFERROR(VLOOKUP('OB Format'!D2047,'Team Data'!C:AC,25,FALSE),"")</f>
        <v/>
      </c>
    </row>
    <row r="2048" spans="5:19" x14ac:dyDescent="0.25">
      <c r="E2048" t="str">
        <f>IFERROR(VLOOKUP(D2048,'Team Data'!C:AB,4,FALSE),"")</f>
        <v/>
      </c>
      <c r="F2048" t="str">
        <f>IFERROR(VLOOKUP(D2048,'Team Data'!C:AB,5,FALSE),"")</f>
        <v/>
      </c>
      <c r="G2048" t="str">
        <f>IFERROR(VLOOKUP('OB Format'!D2048,'Team Data'!C:AB,17,FALSE),"")</f>
        <v/>
      </c>
      <c r="H2048" t="str">
        <f>IFERROR(VLOOKUP(D2048,'Team Data'!C:AB,7,FALSE),"")</f>
        <v/>
      </c>
      <c r="I2048" t="str">
        <f>IFERROR(VLOOKUP(D2048,'Team Data'!C:AB,14,FALSE),"")</f>
        <v/>
      </c>
      <c r="J2048" t="str">
        <f>IFERROR(VLOOKUP(D2048,'Team Data'!C:AB,8,FALSE),"")</f>
        <v/>
      </c>
      <c r="K2048" t="str">
        <f>IFERROR(VLOOKUP(D2048,'Team Data'!C:AB,9,FALSE),"")</f>
        <v/>
      </c>
      <c r="L2048" t="str">
        <f>IFERROR(VLOOKUP(D2048,'Team Data'!C:AB,10,FALSE),"")</f>
        <v/>
      </c>
      <c r="M2048" t="str">
        <f t="shared" si="64"/>
        <v/>
      </c>
      <c r="N2048" t="str">
        <f>IFERROR(VLOOKUP(D2048,'Team Data'!C:AB,23,FALSE),"")</f>
        <v/>
      </c>
      <c r="O2048" t="str">
        <f>IFERROR(VLOOKUP(D2048,'Team Data'!C:AB,22,FALSE),"")</f>
        <v/>
      </c>
      <c r="P2048" t="str">
        <f t="shared" si="65"/>
        <v/>
      </c>
      <c r="Q2048" t="str">
        <f>IFERROR(VLOOKUP(D2048,'Team Data'!C:AB,15,FALSE),"")</f>
        <v/>
      </c>
      <c r="R2048" t="str">
        <f>IFERROR(VLOOKUP('OB Format'!D2048,'Team Data'!C:AB,24,FALSE),"")</f>
        <v/>
      </c>
      <c r="S2048" t="str">
        <f>IFERROR(VLOOKUP('OB Format'!D2048,'Team Data'!C:AC,25,FALSE),"")</f>
        <v/>
      </c>
    </row>
    <row r="2049" spans="5:19" x14ac:dyDescent="0.25">
      <c r="E2049" t="str">
        <f>IFERROR(VLOOKUP(D2049,'Team Data'!C:AB,4,FALSE),"")</f>
        <v/>
      </c>
      <c r="F2049" t="str">
        <f>IFERROR(VLOOKUP(D2049,'Team Data'!C:AB,5,FALSE),"")</f>
        <v/>
      </c>
      <c r="G2049" t="str">
        <f>IFERROR(VLOOKUP('OB Format'!D2049,'Team Data'!C:AB,17,FALSE),"")</f>
        <v/>
      </c>
      <c r="H2049" t="str">
        <f>IFERROR(VLOOKUP(D2049,'Team Data'!C:AB,7,FALSE),"")</f>
        <v/>
      </c>
      <c r="I2049" t="str">
        <f>IFERROR(VLOOKUP(D2049,'Team Data'!C:AB,14,FALSE),"")</f>
        <v/>
      </c>
      <c r="J2049" t="str">
        <f>IFERROR(VLOOKUP(D2049,'Team Data'!C:AB,8,FALSE),"")</f>
        <v/>
      </c>
      <c r="K2049" t="str">
        <f>IFERROR(VLOOKUP(D2049,'Team Data'!C:AB,9,FALSE),"")</f>
        <v/>
      </c>
      <c r="L2049" t="str">
        <f>IFERROR(VLOOKUP(D2049,'Team Data'!C:AB,10,FALSE),"")</f>
        <v/>
      </c>
      <c r="M2049" t="str">
        <f t="shared" si="64"/>
        <v/>
      </c>
      <c r="N2049" t="str">
        <f>IFERROR(VLOOKUP(D2049,'Team Data'!C:AB,23,FALSE),"")</f>
        <v/>
      </c>
      <c r="O2049" t="str">
        <f>IFERROR(VLOOKUP(D2049,'Team Data'!C:AB,22,FALSE),"")</f>
        <v/>
      </c>
      <c r="P2049" t="str">
        <f t="shared" si="65"/>
        <v/>
      </c>
      <c r="Q2049" t="str">
        <f>IFERROR(VLOOKUP(D2049,'Team Data'!C:AB,15,FALSE),"")</f>
        <v/>
      </c>
      <c r="R2049" t="str">
        <f>IFERROR(VLOOKUP('OB Format'!D2049,'Team Data'!C:AB,24,FALSE),"")</f>
        <v/>
      </c>
      <c r="S2049" t="str">
        <f>IFERROR(VLOOKUP('OB Format'!D2049,'Team Data'!C:AC,25,FALSE),"")</f>
        <v/>
      </c>
    </row>
    <row r="2050" spans="5:19" x14ac:dyDescent="0.25">
      <c r="E2050" t="str">
        <f>IFERROR(VLOOKUP(D2050,'Team Data'!C:AB,4,FALSE),"")</f>
        <v/>
      </c>
      <c r="F2050" t="str">
        <f>IFERROR(VLOOKUP(D2050,'Team Data'!C:AB,5,FALSE),"")</f>
        <v/>
      </c>
      <c r="G2050" t="str">
        <f>IFERROR(VLOOKUP('OB Format'!D2050,'Team Data'!C:AB,17,FALSE),"")</f>
        <v/>
      </c>
      <c r="H2050" t="str">
        <f>IFERROR(VLOOKUP(D2050,'Team Data'!C:AB,7,FALSE),"")</f>
        <v/>
      </c>
      <c r="I2050" t="str">
        <f>IFERROR(VLOOKUP(D2050,'Team Data'!C:AB,14,FALSE),"")</f>
        <v/>
      </c>
      <c r="J2050" t="str">
        <f>IFERROR(VLOOKUP(D2050,'Team Data'!C:AB,8,FALSE),"")</f>
        <v/>
      </c>
      <c r="K2050" t="str">
        <f>IFERROR(VLOOKUP(D2050,'Team Data'!C:AB,9,FALSE),"")</f>
        <v/>
      </c>
      <c r="L2050" t="str">
        <f>IFERROR(VLOOKUP(D2050,'Team Data'!C:AB,10,FALSE),"")</f>
        <v/>
      </c>
      <c r="M2050" t="str">
        <f t="shared" si="64"/>
        <v/>
      </c>
      <c r="N2050" t="str">
        <f>IFERROR(VLOOKUP(D2050,'Team Data'!C:AB,23,FALSE),"")</f>
        <v/>
      </c>
      <c r="O2050" t="str">
        <f>IFERROR(VLOOKUP(D2050,'Team Data'!C:AB,22,FALSE),"")</f>
        <v/>
      </c>
      <c r="P2050" t="str">
        <f t="shared" si="65"/>
        <v/>
      </c>
      <c r="Q2050" t="str">
        <f>IFERROR(VLOOKUP(D2050,'Team Data'!C:AB,15,FALSE),"")</f>
        <v/>
      </c>
      <c r="R2050" t="str">
        <f>IFERROR(VLOOKUP('OB Format'!D2050,'Team Data'!C:AB,24,FALSE),"")</f>
        <v/>
      </c>
      <c r="S2050" t="str">
        <f>IFERROR(VLOOKUP('OB Format'!D2050,'Team Data'!C:AC,25,FALSE),"")</f>
        <v/>
      </c>
    </row>
    <row r="2051" spans="5:19" x14ac:dyDescent="0.25">
      <c r="E2051" t="str">
        <f>IFERROR(VLOOKUP(D2051,'Team Data'!C:AB,4,FALSE),"")</f>
        <v/>
      </c>
      <c r="F2051" t="str">
        <f>IFERROR(VLOOKUP(D2051,'Team Data'!C:AB,5,FALSE),"")</f>
        <v/>
      </c>
      <c r="G2051" t="str">
        <f>IFERROR(VLOOKUP('OB Format'!D2051,'Team Data'!C:AB,17,FALSE),"")</f>
        <v/>
      </c>
      <c r="H2051" t="str">
        <f>IFERROR(VLOOKUP(D2051,'Team Data'!C:AB,7,FALSE),"")</f>
        <v/>
      </c>
      <c r="I2051" t="str">
        <f>IFERROR(VLOOKUP(D2051,'Team Data'!C:AB,14,FALSE),"")</f>
        <v/>
      </c>
      <c r="J2051" t="str">
        <f>IFERROR(VLOOKUP(D2051,'Team Data'!C:AB,8,FALSE),"")</f>
        <v/>
      </c>
      <c r="K2051" t="str">
        <f>IFERROR(VLOOKUP(D2051,'Team Data'!C:AB,9,FALSE),"")</f>
        <v/>
      </c>
      <c r="L2051" t="str">
        <f>IFERROR(VLOOKUP(D2051,'Team Data'!C:AB,10,FALSE),"")</f>
        <v/>
      </c>
      <c r="M2051" t="str">
        <f t="shared" si="64"/>
        <v/>
      </c>
      <c r="N2051" t="str">
        <f>IFERROR(VLOOKUP(D2051,'Team Data'!C:AB,23,FALSE),"")</f>
        <v/>
      </c>
      <c r="O2051" t="str">
        <f>IFERROR(VLOOKUP(D2051,'Team Data'!C:AB,22,FALSE),"")</f>
        <v/>
      </c>
      <c r="P2051" t="str">
        <f t="shared" si="65"/>
        <v/>
      </c>
      <c r="Q2051" t="str">
        <f>IFERROR(VLOOKUP(D2051,'Team Data'!C:AB,15,FALSE),"")</f>
        <v/>
      </c>
      <c r="R2051" t="str">
        <f>IFERROR(VLOOKUP('OB Format'!D2051,'Team Data'!C:AB,24,FALSE),"")</f>
        <v/>
      </c>
      <c r="S2051" t="str">
        <f>IFERROR(VLOOKUP('OB Format'!D2051,'Team Data'!C:AC,25,FALSE),"")</f>
        <v/>
      </c>
    </row>
    <row r="2052" spans="5:19" x14ac:dyDescent="0.25">
      <c r="E2052" t="str">
        <f>IFERROR(VLOOKUP(D2052,'Team Data'!C:AB,4,FALSE),"")</f>
        <v/>
      </c>
      <c r="F2052" t="str">
        <f>IFERROR(VLOOKUP(D2052,'Team Data'!C:AB,5,FALSE),"")</f>
        <v/>
      </c>
      <c r="G2052" t="str">
        <f>IFERROR(VLOOKUP('OB Format'!D2052,'Team Data'!C:AB,17,FALSE),"")</f>
        <v/>
      </c>
      <c r="H2052" t="str">
        <f>IFERROR(VLOOKUP(D2052,'Team Data'!C:AB,7,FALSE),"")</f>
        <v/>
      </c>
      <c r="I2052" t="str">
        <f>IFERROR(VLOOKUP(D2052,'Team Data'!C:AB,14,FALSE),"")</f>
        <v/>
      </c>
      <c r="J2052" t="str">
        <f>IFERROR(VLOOKUP(D2052,'Team Data'!C:AB,8,FALSE),"")</f>
        <v/>
      </c>
      <c r="K2052" t="str">
        <f>IFERROR(VLOOKUP(D2052,'Team Data'!C:AB,9,FALSE),"")</f>
        <v/>
      </c>
      <c r="L2052" t="str">
        <f>IFERROR(VLOOKUP(D2052,'Team Data'!C:AB,10,FALSE),"")</f>
        <v/>
      </c>
      <c r="M2052" t="str">
        <f t="shared" si="64"/>
        <v/>
      </c>
      <c r="N2052" t="str">
        <f>IFERROR(VLOOKUP(D2052,'Team Data'!C:AB,23,FALSE),"")</f>
        <v/>
      </c>
      <c r="O2052" t="str">
        <f>IFERROR(VLOOKUP(D2052,'Team Data'!C:AB,22,FALSE),"")</f>
        <v/>
      </c>
      <c r="P2052" t="str">
        <f t="shared" si="65"/>
        <v/>
      </c>
      <c r="Q2052" t="str">
        <f>IFERROR(VLOOKUP(D2052,'Team Data'!C:AB,15,FALSE),"")</f>
        <v/>
      </c>
      <c r="R2052" t="str">
        <f>IFERROR(VLOOKUP('OB Format'!D2052,'Team Data'!C:AB,24,FALSE),"")</f>
        <v/>
      </c>
      <c r="S2052" t="str">
        <f>IFERROR(VLOOKUP('OB Format'!D2052,'Team Data'!C:AC,25,FALSE),"")</f>
        <v/>
      </c>
    </row>
    <row r="2053" spans="5:19" x14ac:dyDescent="0.25">
      <c r="E2053" t="str">
        <f>IFERROR(VLOOKUP(D2053,'Team Data'!C:AB,4,FALSE),"")</f>
        <v/>
      </c>
      <c r="F2053" t="str">
        <f>IFERROR(VLOOKUP(D2053,'Team Data'!C:AB,5,FALSE),"")</f>
        <v/>
      </c>
      <c r="G2053" t="str">
        <f>IFERROR(VLOOKUP('OB Format'!D2053,'Team Data'!C:AB,17,FALSE),"")</f>
        <v/>
      </c>
      <c r="H2053" t="str">
        <f>IFERROR(VLOOKUP(D2053,'Team Data'!C:AB,7,FALSE),"")</f>
        <v/>
      </c>
      <c r="I2053" t="str">
        <f>IFERROR(VLOOKUP(D2053,'Team Data'!C:AB,14,FALSE),"")</f>
        <v/>
      </c>
      <c r="J2053" t="str">
        <f>IFERROR(VLOOKUP(D2053,'Team Data'!C:AB,8,FALSE),"")</f>
        <v/>
      </c>
      <c r="K2053" t="str">
        <f>IFERROR(VLOOKUP(D2053,'Team Data'!C:AB,9,FALSE),"")</f>
        <v/>
      </c>
      <c r="L2053" t="str">
        <f>IFERROR(VLOOKUP(D2053,'Team Data'!C:AB,10,FALSE),"")</f>
        <v/>
      </c>
      <c r="M2053" t="str">
        <f t="shared" si="64"/>
        <v/>
      </c>
      <c r="N2053" t="str">
        <f>IFERROR(VLOOKUP(D2053,'Team Data'!C:AB,23,FALSE),"")</f>
        <v/>
      </c>
      <c r="O2053" t="str">
        <f>IFERROR(VLOOKUP(D2053,'Team Data'!C:AB,22,FALSE),"")</f>
        <v/>
      </c>
      <c r="P2053" t="str">
        <f t="shared" si="65"/>
        <v/>
      </c>
      <c r="Q2053" t="str">
        <f>IFERROR(VLOOKUP(D2053,'Team Data'!C:AB,15,FALSE),"")</f>
        <v/>
      </c>
      <c r="R2053" t="str">
        <f>IFERROR(VLOOKUP('OB Format'!D2053,'Team Data'!C:AB,24,FALSE),"")</f>
        <v/>
      </c>
      <c r="S2053" t="str">
        <f>IFERROR(VLOOKUP('OB Format'!D2053,'Team Data'!C:AC,25,FALSE),"")</f>
        <v/>
      </c>
    </row>
    <row r="2054" spans="5:19" x14ac:dyDescent="0.25">
      <c r="E2054" t="str">
        <f>IFERROR(VLOOKUP(D2054,'Team Data'!C:AB,4,FALSE),"")</f>
        <v/>
      </c>
      <c r="F2054" t="str">
        <f>IFERROR(VLOOKUP(D2054,'Team Data'!C:AB,5,FALSE),"")</f>
        <v/>
      </c>
      <c r="G2054" t="str">
        <f>IFERROR(VLOOKUP('OB Format'!D2054,'Team Data'!C:AB,17,FALSE),"")</f>
        <v/>
      </c>
      <c r="H2054" t="str">
        <f>IFERROR(VLOOKUP(D2054,'Team Data'!C:AB,7,FALSE),"")</f>
        <v/>
      </c>
      <c r="I2054" t="str">
        <f>IFERROR(VLOOKUP(D2054,'Team Data'!C:AB,14,FALSE),"")</f>
        <v/>
      </c>
      <c r="J2054" t="str">
        <f>IFERROR(VLOOKUP(D2054,'Team Data'!C:AB,8,FALSE),"")</f>
        <v/>
      </c>
      <c r="K2054" t="str">
        <f>IFERROR(VLOOKUP(D2054,'Team Data'!C:AB,9,FALSE),"")</f>
        <v/>
      </c>
      <c r="L2054" t="str">
        <f>IFERROR(VLOOKUP(D2054,'Team Data'!C:AB,10,FALSE),"")</f>
        <v/>
      </c>
      <c r="M2054" t="str">
        <f t="shared" si="64"/>
        <v/>
      </c>
      <c r="N2054" t="str">
        <f>IFERROR(VLOOKUP(D2054,'Team Data'!C:AB,23,FALSE),"")</f>
        <v/>
      </c>
      <c r="O2054" t="str">
        <f>IFERROR(VLOOKUP(D2054,'Team Data'!C:AB,22,FALSE),"")</f>
        <v/>
      </c>
      <c r="P2054" t="str">
        <f t="shared" si="65"/>
        <v/>
      </c>
      <c r="Q2054" t="str">
        <f>IFERROR(VLOOKUP(D2054,'Team Data'!C:AB,15,FALSE),"")</f>
        <v/>
      </c>
      <c r="R2054" t="str">
        <f>IFERROR(VLOOKUP('OB Format'!D2054,'Team Data'!C:AB,24,FALSE),"")</f>
        <v/>
      </c>
      <c r="S2054" t="str">
        <f>IFERROR(VLOOKUP('OB Format'!D2054,'Team Data'!C:AC,25,FALSE),"")</f>
        <v/>
      </c>
    </row>
    <row r="2055" spans="5:19" x14ac:dyDescent="0.25">
      <c r="E2055" t="str">
        <f>IFERROR(VLOOKUP(D2055,'Team Data'!C:AB,4,FALSE),"")</f>
        <v/>
      </c>
      <c r="F2055" t="str">
        <f>IFERROR(VLOOKUP(D2055,'Team Data'!C:AB,5,FALSE),"")</f>
        <v/>
      </c>
      <c r="G2055" t="str">
        <f>IFERROR(VLOOKUP('OB Format'!D2055,'Team Data'!C:AB,17,FALSE),"")</f>
        <v/>
      </c>
      <c r="H2055" t="str">
        <f>IFERROR(VLOOKUP(D2055,'Team Data'!C:AB,7,FALSE),"")</f>
        <v/>
      </c>
      <c r="I2055" t="str">
        <f>IFERROR(VLOOKUP(D2055,'Team Data'!C:AB,14,FALSE),"")</f>
        <v/>
      </c>
      <c r="J2055" t="str">
        <f>IFERROR(VLOOKUP(D2055,'Team Data'!C:AB,8,FALSE),"")</f>
        <v/>
      </c>
      <c r="K2055" t="str">
        <f>IFERROR(VLOOKUP(D2055,'Team Data'!C:AB,9,FALSE),"")</f>
        <v/>
      </c>
      <c r="L2055" t="str">
        <f>IFERROR(VLOOKUP(D2055,'Team Data'!C:AB,10,FALSE),"")</f>
        <v/>
      </c>
      <c r="M2055" t="str">
        <f t="shared" si="64"/>
        <v/>
      </c>
      <c r="N2055" t="str">
        <f>IFERROR(VLOOKUP(D2055,'Team Data'!C:AB,23,FALSE),"")</f>
        <v/>
      </c>
      <c r="O2055" t="str">
        <f>IFERROR(VLOOKUP(D2055,'Team Data'!C:AB,22,FALSE),"")</f>
        <v/>
      </c>
      <c r="P2055" t="str">
        <f t="shared" si="65"/>
        <v/>
      </c>
      <c r="Q2055" t="str">
        <f>IFERROR(VLOOKUP(D2055,'Team Data'!C:AB,15,FALSE),"")</f>
        <v/>
      </c>
      <c r="R2055" t="str">
        <f>IFERROR(VLOOKUP('OB Format'!D2055,'Team Data'!C:AB,24,FALSE),"")</f>
        <v/>
      </c>
      <c r="S2055" t="str">
        <f>IFERROR(VLOOKUP('OB Format'!D2055,'Team Data'!C:AC,25,FALSE),"")</f>
        <v/>
      </c>
    </row>
    <row r="2056" spans="5:19" x14ac:dyDescent="0.25">
      <c r="E2056" t="str">
        <f>IFERROR(VLOOKUP(D2056,'Team Data'!C:AB,4,FALSE),"")</f>
        <v/>
      </c>
      <c r="F2056" t="str">
        <f>IFERROR(VLOOKUP(D2056,'Team Data'!C:AB,5,FALSE),"")</f>
        <v/>
      </c>
      <c r="G2056" t="str">
        <f>IFERROR(VLOOKUP('OB Format'!D2056,'Team Data'!C:AB,17,FALSE),"")</f>
        <v/>
      </c>
      <c r="H2056" t="str">
        <f>IFERROR(VLOOKUP(D2056,'Team Data'!C:AB,7,FALSE),"")</f>
        <v/>
      </c>
      <c r="I2056" t="str">
        <f>IFERROR(VLOOKUP(D2056,'Team Data'!C:AB,14,FALSE),"")</f>
        <v/>
      </c>
      <c r="J2056" t="str">
        <f>IFERROR(VLOOKUP(D2056,'Team Data'!C:AB,8,FALSE),"")</f>
        <v/>
      </c>
      <c r="K2056" t="str">
        <f>IFERROR(VLOOKUP(D2056,'Team Data'!C:AB,9,FALSE),"")</f>
        <v/>
      </c>
      <c r="L2056" t="str">
        <f>IFERROR(VLOOKUP(D2056,'Team Data'!C:AB,10,FALSE),"")</f>
        <v/>
      </c>
      <c r="M2056" t="str">
        <f t="shared" si="64"/>
        <v/>
      </c>
      <c r="N2056" t="str">
        <f>IFERROR(VLOOKUP(D2056,'Team Data'!C:AB,23,FALSE),"")</f>
        <v/>
      </c>
      <c r="O2056" t="str">
        <f>IFERROR(VLOOKUP(D2056,'Team Data'!C:AB,22,FALSE),"")</f>
        <v/>
      </c>
      <c r="P2056" t="str">
        <f t="shared" si="65"/>
        <v/>
      </c>
      <c r="Q2056" t="str">
        <f>IFERROR(VLOOKUP(D2056,'Team Data'!C:AB,15,FALSE),"")</f>
        <v/>
      </c>
      <c r="R2056" t="str">
        <f>IFERROR(VLOOKUP('OB Format'!D2056,'Team Data'!C:AB,24,FALSE),"")</f>
        <v/>
      </c>
      <c r="S2056" t="str">
        <f>IFERROR(VLOOKUP('OB Format'!D2056,'Team Data'!C:AC,25,FALSE),"")</f>
        <v/>
      </c>
    </row>
    <row r="2057" spans="5:19" x14ac:dyDescent="0.25">
      <c r="E2057" t="str">
        <f>IFERROR(VLOOKUP(D2057,'Team Data'!C:AB,4,FALSE),"")</f>
        <v/>
      </c>
      <c r="F2057" t="str">
        <f>IFERROR(VLOOKUP(D2057,'Team Data'!C:AB,5,FALSE),"")</f>
        <v/>
      </c>
      <c r="G2057" t="str">
        <f>IFERROR(VLOOKUP('OB Format'!D2057,'Team Data'!C:AB,17,FALSE),"")</f>
        <v/>
      </c>
      <c r="H2057" t="str">
        <f>IFERROR(VLOOKUP(D2057,'Team Data'!C:AB,7,FALSE),"")</f>
        <v/>
      </c>
      <c r="I2057" t="str">
        <f>IFERROR(VLOOKUP(D2057,'Team Data'!C:AB,14,FALSE),"")</f>
        <v/>
      </c>
      <c r="J2057" t="str">
        <f>IFERROR(VLOOKUP(D2057,'Team Data'!C:AB,8,FALSE),"")</f>
        <v/>
      </c>
      <c r="K2057" t="str">
        <f>IFERROR(VLOOKUP(D2057,'Team Data'!C:AB,9,FALSE),"")</f>
        <v/>
      </c>
      <c r="L2057" t="str">
        <f>IFERROR(VLOOKUP(D2057,'Team Data'!C:AB,10,FALSE),"")</f>
        <v/>
      </c>
      <c r="M2057" t="str">
        <f t="shared" si="64"/>
        <v/>
      </c>
      <c r="N2057" t="str">
        <f>IFERROR(VLOOKUP(D2057,'Team Data'!C:AB,23,FALSE),"")</f>
        <v/>
      </c>
      <c r="O2057" t="str">
        <f>IFERROR(VLOOKUP(D2057,'Team Data'!C:AB,22,FALSE),"")</f>
        <v/>
      </c>
      <c r="P2057" t="str">
        <f t="shared" si="65"/>
        <v/>
      </c>
      <c r="Q2057" t="str">
        <f>IFERROR(VLOOKUP(D2057,'Team Data'!C:AB,15,FALSE),"")</f>
        <v/>
      </c>
      <c r="R2057" t="str">
        <f>IFERROR(VLOOKUP('OB Format'!D2057,'Team Data'!C:AB,24,FALSE),"")</f>
        <v/>
      </c>
      <c r="S2057" t="str">
        <f>IFERROR(VLOOKUP('OB Format'!D2057,'Team Data'!C:AC,25,FALSE),"")</f>
        <v/>
      </c>
    </row>
    <row r="2058" spans="5:19" x14ac:dyDescent="0.25">
      <c r="E2058" t="str">
        <f>IFERROR(VLOOKUP(D2058,'Team Data'!C:AB,4,FALSE),"")</f>
        <v/>
      </c>
      <c r="F2058" t="str">
        <f>IFERROR(VLOOKUP(D2058,'Team Data'!C:AB,5,FALSE),"")</f>
        <v/>
      </c>
      <c r="G2058" t="str">
        <f>IFERROR(VLOOKUP('OB Format'!D2058,'Team Data'!C:AB,17,FALSE),"")</f>
        <v/>
      </c>
      <c r="H2058" t="str">
        <f>IFERROR(VLOOKUP(D2058,'Team Data'!C:AB,7,FALSE),"")</f>
        <v/>
      </c>
      <c r="I2058" t="str">
        <f>IFERROR(VLOOKUP(D2058,'Team Data'!C:AB,14,FALSE),"")</f>
        <v/>
      </c>
      <c r="J2058" t="str">
        <f>IFERROR(VLOOKUP(D2058,'Team Data'!C:AB,8,FALSE),"")</f>
        <v/>
      </c>
      <c r="K2058" t="str">
        <f>IFERROR(VLOOKUP(D2058,'Team Data'!C:AB,9,FALSE),"")</f>
        <v/>
      </c>
      <c r="L2058" t="str">
        <f>IFERROR(VLOOKUP(D2058,'Team Data'!C:AB,10,FALSE),"")</f>
        <v/>
      </c>
      <c r="M2058" t="str">
        <f t="shared" si="64"/>
        <v/>
      </c>
      <c r="N2058" t="str">
        <f>IFERROR(VLOOKUP(D2058,'Team Data'!C:AB,23,FALSE),"")</f>
        <v/>
      </c>
      <c r="O2058" t="str">
        <f>IFERROR(VLOOKUP(D2058,'Team Data'!C:AB,22,FALSE),"")</f>
        <v/>
      </c>
      <c r="P2058" t="str">
        <f t="shared" si="65"/>
        <v/>
      </c>
      <c r="Q2058" t="str">
        <f>IFERROR(VLOOKUP(D2058,'Team Data'!C:AB,15,FALSE),"")</f>
        <v/>
      </c>
      <c r="R2058" t="str">
        <f>IFERROR(VLOOKUP('OB Format'!D2058,'Team Data'!C:AB,24,FALSE),"")</f>
        <v/>
      </c>
      <c r="S2058" t="str">
        <f>IFERROR(VLOOKUP('OB Format'!D2058,'Team Data'!C:AC,25,FALSE),"")</f>
        <v/>
      </c>
    </row>
    <row r="2059" spans="5:19" x14ac:dyDescent="0.25">
      <c r="E2059" t="str">
        <f>IFERROR(VLOOKUP(D2059,'Team Data'!C:AB,4,FALSE),"")</f>
        <v/>
      </c>
      <c r="F2059" t="str">
        <f>IFERROR(VLOOKUP(D2059,'Team Data'!C:AB,5,FALSE),"")</f>
        <v/>
      </c>
      <c r="G2059" t="str">
        <f>IFERROR(VLOOKUP('OB Format'!D2059,'Team Data'!C:AB,17,FALSE),"")</f>
        <v/>
      </c>
      <c r="H2059" t="str">
        <f>IFERROR(VLOOKUP(D2059,'Team Data'!C:AB,7,FALSE),"")</f>
        <v/>
      </c>
      <c r="I2059" t="str">
        <f>IFERROR(VLOOKUP(D2059,'Team Data'!C:AB,14,FALSE),"")</f>
        <v/>
      </c>
      <c r="J2059" t="str">
        <f>IFERROR(VLOOKUP(D2059,'Team Data'!C:AB,8,FALSE),"")</f>
        <v/>
      </c>
      <c r="K2059" t="str">
        <f>IFERROR(VLOOKUP(D2059,'Team Data'!C:AB,9,FALSE),"")</f>
        <v/>
      </c>
      <c r="L2059" t="str">
        <f>IFERROR(VLOOKUP(D2059,'Team Data'!C:AB,10,FALSE),"")</f>
        <v/>
      </c>
      <c r="M2059" t="str">
        <f t="shared" si="64"/>
        <v/>
      </c>
      <c r="N2059" t="str">
        <f>IFERROR(VLOOKUP(D2059,'Team Data'!C:AB,23,FALSE),"")</f>
        <v/>
      </c>
      <c r="O2059" t="str">
        <f>IFERROR(VLOOKUP(D2059,'Team Data'!C:AB,22,FALSE),"")</f>
        <v/>
      </c>
      <c r="P2059" t="str">
        <f t="shared" si="65"/>
        <v/>
      </c>
      <c r="Q2059" t="str">
        <f>IFERROR(VLOOKUP(D2059,'Team Data'!C:AB,15,FALSE),"")</f>
        <v/>
      </c>
      <c r="R2059" t="str">
        <f>IFERROR(VLOOKUP('OB Format'!D2059,'Team Data'!C:AB,24,FALSE),"")</f>
        <v/>
      </c>
      <c r="S2059" t="str">
        <f>IFERROR(VLOOKUP('OB Format'!D2059,'Team Data'!C:AC,25,FALSE),"")</f>
        <v/>
      </c>
    </row>
    <row r="2060" spans="5:19" x14ac:dyDescent="0.25">
      <c r="E2060" t="str">
        <f>IFERROR(VLOOKUP(D2060,'Team Data'!C:AB,4,FALSE),"")</f>
        <v/>
      </c>
      <c r="F2060" t="str">
        <f>IFERROR(VLOOKUP(D2060,'Team Data'!C:AB,5,FALSE),"")</f>
        <v/>
      </c>
      <c r="G2060" t="str">
        <f>IFERROR(VLOOKUP('OB Format'!D2060,'Team Data'!C:AB,17,FALSE),"")</f>
        <v/>
      </c>
      <c r="H2060" t="str">
        <f>IFERROR(VLOOKUP(D2060,'Team Data'!C:AB,7,FALSE),"")</f>
        <v/>
      </c>
      <c r="I2060" t="str">
        <f>IFERROR(VLOOKUP(D2060,'Team Data'!C:AB,14,FALSE),"")</f>
        <v/>
      </c>
      <c r="J2060" t="str">
        <f>IFERROR(VLOOKUP(D2060,'Team Data'!C:AB,8,FALSE),"")</f>
        <v/>
      </c>
      <c r="K2060" t="str">
        <f>IFERROR(VLOOKUP(D2060,'Team Data'!C:AB,9,FALSE),"")</f>
        <v/>
      </c>
      <c r="L2060" t="str">
        <f>IFERROR(VLOOKUP(D2060,'Team Data'!C:AB,10,FALSE),"")</f>
        <v/>
      </c>
      <c r="M2060" t="str">
        <f t="shared" si="64"/>
        <v/>
      </c>
      <c r="N2060" t="str">
        <f>IFERROR(VLOOKUP(D2060,'Team Data'!C:AB,23,FALSE),"")</f>
        <v/>
      </c>
      <c r="O2060" t="str">
        <f>IFERROR(VLOOKUP(D2060,'Team Data'!C:AB,22,FALSE),"")</f>
        <v/>
      </c>
      <c r="P2060" t="str">
        <f t="shared" si="65"/>
        <v/>
      </c>
      <c r="Q2060" t="str">
        <f>IFERROR(VLOOKUP(D2060,'Team Data'!C:AB,15,FALSE),"")</f>
        <v/>
      </c>
      <c r="R2060" t="str">
        <f>IFERROR(VLOOKUP('OB Format'!D2060,'Team Data'!C:AB,24,FALSE),"")</f>
        <v/>
      </c>
      <c r="S2060" t="str">
        <f>IFERROR(VLOOKUP('OB Format'!D2060,'Team Data'!C:AC,25,FALSE),"")</f>
        <v/>
      </c>
    </row>
    <row r="2061" spans="5:19" x14ac:dyDescent="0.25">
      <c r="E2061" t="str">
        <f>IFERROR(VLOOKUP(D2061,'Team Data'!C:AB,4,FALSE),"")</f>
        <v/>
      </c>
      <c r="F2061" t="str">
        <f>IFERROR(VLOOKUP(D2061,'Team Data'!C:AB,5,FALSE),"")</f>
        <v/>
      </c>
      <c r="G2061" t="str">
        <f>IFERROR(VLOOKUP('OB Format'!D2061,'Team Data'!C:AB,17,FALSE),"")</f>
        <v/>
      </c>
      <c r="H2061" t="str">
        <f>IFERROR(VLOOKUP(D2061,'Team Data'!C:AB,7,FALSE),"")</f>
        <v/>
      </c>
      <c r="I2061" t="str">
        <f>IFERROR(VLOOKUP(D2061,'Team Data'!C:AB,14,FALSE),"")</f>
        <v/>
      </c>
      <c r="J2061" t="str">
        <f>IFERROR(VLOOKUP(D2061,'Team Data'!C:AB,8,FALSE),"")</f>
        <v/>
      </c>
      <c r="K2061" t="str">
        <f>IFERROR(VLOOKUP(D2061,'Team Data'!C:AB,9,FALSE),"")</f>
        <v/>
      </c>
      <c r="L2061" t="str">
        <f>IFERROR(VLOOKUP(D2061,'Team Data'!C:AB,10,FALSE),"")</f>
        <v/>
      </c>
      <c r="M2061" t="str">
        <f t="shared" ref="M2061:M2124" si="66">IFERROR(H2061-(J2061+L2061+K2061),"")</f>
        <v/>
      </c>
      <c r="N2061" t="str">
        <f>IFERROR(VLOOKUP(D2061,'Team Data'!C:AB,23,FALSE),"")</f>
        <v/>
      </c>
      <c r="O2061" t="str">
        <f>IFERROR(VLOOKUP(D2061,'Team Data'!C:AB,22,FALSE),"")</f>
        <v/>
      </c>
      <c r="P2061" t="str">
        <f t="shared" ref="P2061:P2124" si="67">IFERROR(E2061-(H2061+N2061+Q2061+I2061+O2061),"")</f>
        <v/>
      </c>
      <c r="Q2061" t="str">
        <f>IFERROR(VLOOKUP(D2061,'Team Data'!C:AB,15,FALSE),"")</f>
        <v/>
      </c>
      <c r="R2061" t="str">
        <f>IFERROR(VLOOKUP('OB Format'!D2061,'Team Data'!C:AB,24,FALSE),"")</f>
        <v/>
      </c>
      <c r="S2061" t="str">
        <f>IFERROR(VLOOKUP('OB Format'!D2061,'Team Data'!C:AC,25,FALSE),"")</f>
        <v/>
      </c>
    </row>
    <row r="2062" spans="5:19" x14ac:dyDescent="0.25">
      <c r="E2062" t="str">
        <f>IFERROR(VLOOKUP(D2062,'Team Data'!C:AB,4,FALSE),"")</f>
        <v/>
      </c>
      <c r="F2062" t="str">
        <f>IFERROR(VLOOKUP(D2062,'Team Data'!C:AB,5,FALSE),"")</f>
        <v/>
      </c>
      <c r="G2062" t="str">
        <f>IFERROR(VLOOKUP('OB Format'!D2062,'Team Data'!C:AB,17,FALSE),"")</f>
        <v/>
      </c>
      <c r="H2062" t="str">
        <f>IFERROR(VLOOKUP(D2062,'Team Data'!C:AB,7,FALSE),"")</f>
        <v/>
      </c>
      <c r="I2062" t="str">
        <f>IFERROR(VLOOKUP(D2062,'Team Data'!C:AB,14,FALSE),"")</f>
        <v/>
      </c>
      <c r="J2062" t="str">
        <f>IFERROR(VLOOKUP(D2062,'Team Data'!C:AB,8,FALSE),"")</f>
        <v/>
      </c>
      <c r="K2062" t="str">
        <f>IFERROR(VLOOKUP(D2062,'Team Data'!C:AB,9,FALSE),"")</f>
        <v/>
      </c>
      <c r="L2062" t="str">
        <f>IFERROR(VLOOKUP(D2062,'Team Data'!C:AB,10,FALSE),"")</f>
        <v/>
      </c>
      <c r="M2062" t="str">
        <f t="shared" si="66"/>
        <v/>
      </c>
      <c r="N2062" t="str">
        <f>IFERROR(VLOOKUP(D2062,'Team Data'!C:AB,23,FALSE),"")</f>
        <v/>
      </c>
      <c r="O2062" t="str">
        <f>IFERROR(VLOOKUP(D2062,'Team Data'!C:AB,22,FALSE),"")</f>
        <v/>
      </c>
      <c r="P2062" t="str">
        <f t="shared" si="67"/>
        <v/>
      </c>
      <c r="Q2062" t="str">
        <f>IFERROR(VLOOKUP(D2062,'Team Data'!C:AB,15,FALSE),"")</f>
        <v/>
      </c>
      <c r="R2062" t="str">
        <f>IFERROR(VLOOKUP('OB Format'!D2062,'Team Data'!C:AB,24,FALSE),"")</f>
        <v/>
      </c>
      <c r="S2062" t="str">
        <f>IFERROR(VLOOKUP('OB Format'!D2062,'Team Data'!C:AC,25,FALSE),"")</f>
        <v/>
      </c>
    </row>
    <row r="2063" spans="5:19" x14ac:dyDescent="0.25">
      <c r="E2063" t="str">
        <f>IFERROR(VLOOKUP(D2063,'Team Data'!C:AB,4,FALSE),"")</f>
        <v/>
      </c>
      <c r="F2063" t="str">
        <f>IFERROR(VLOOKUP(D2063,'Team Data'!C:AB,5,FALSE),"")</f>
        <v/>
      </c>
      <c r="G2063" t="str">
        <f>IFERROR(VLOOKUP('OB Format'!D2063,'Team Data'!C:AB,17,FALSE),"")</f>
        <v/>
      </c>
      <c r="H2063" t="str">
        <f>IFERROR(VLOOKUP(D2063,'Team Data'!C:AB,7,FALSE),"")</f>
        <v/>
      </c>
      <c r="I2063" t="str">
        <f>IFERROR(VLOOKUP(D2063,'Team Data'!C:AB,14,FALSE),"")</f>
        <v/>
      </c>
      <c r="J2063" t="str">
        <f>IFERROR(VLOOKUP(D2063,'Team Data'!C:AB,8,FALSE),"")</f>
        <v/>
      </c>
      <c r="K2063" t="str">
        <f>IFERROR(VLOOKUP(D2063,'Team Data'!C:AB,9,FALSE),"")</f>
        <v/>
      </c>
      <c r="L2063" t="str">
        <f>IFERROR(VLOOKUP(D2063,'Team Data'!C:AB,10,FALSE),"")</f>
        <v/>
      </c>
      <c r="M2063" t="str">
        <f t="shared" si="66"/>
        <v/>
      </c>
      <c r="N2063" t="str">
        <f>IFERROR(VLOOKUP(D2063,'Team Data'!C:AB,23,FALSE),"")</f>
        <v/>
      </c>
      <c r="O2063" t="str">
        <f>IFERROR(VLOOKUP(D2063,'Team Data'!C:AB,22,FALSE),"")</f>
        <v/>
      </c>
      <c r="P2063" t="str">
        <f t="shared" si="67"/>
        <v/>
      </c>
      <c r="Q2063" t="str">
        <f>IFERROR(VLOOKUP(D2063,'Team Data'!C:AB,15,FALSE),"")</f>
        <v/>
      </c>
      <c r="R2063" t="str">
        <f>IFERROR(VLOOKUP('OB Format'!D2063,'Team Data'!C:AB,24,FALSE),"")</f>
        <v/>
      </c>
      <c r="S2063" t="str">
        <f>IFERROR(VLOOKUP('OB Format'!D2063,'Team Data'!C:AC,25,FALSE),"")</f>
        <v/>
      </c>
    </row>
    <row r="2064" spans="5:19" x14ac:dyDescent="0.25">
      <c r="E2064" t="str">
        <f>IFERROR(VLOOKUP(D2064,'Team Data'!C:AB,4,FALSE),"")</f>
        <v/>
      </c>
      <c r="F2064" t="str">
        <f>IFERROR(VLOOKUP(D2064,'Team Data'!C:AB,5,FALSE),"")</f>
        <v/>
      </c>
      <c r="G2064" t="str">
        <f>IFERROR(VLOOKUP('OB Format'!D2064,'Team Data'!C:AB,17,FALSE),"")</f>
        <v/>
      </c>
      <c r="H2064" t="str">
        <f>IFERROR(VLOOKUP(D2064,'Team Data'!C:AB,7,FALSE),"")</f>
        <v/>
      </c>
      <c r="I2064" t="str">
        <f>IFERROR(VLOOKUP(D2064,'Team Data'!C:AB,14,FALSE),"")</f>
        <v/>
      </c>
      <c r="J2064" t="str">
        <f>IFERROR(VLOOKUP(D2064,'Team Data'!C:AB,8,FALSE),"")</f>
        <v/>
      </c>
      <c r="K2064" t="str">
        <f>IFERROR(VLOOKUP(D2064,'Team Data'!C:AB,9,FALSE),"")</f>
        <v/>
      </c>
      <c r="L2064" t="str">
        <f>IFERROR(VLOOKUP(D2064,'Team Data'!C:AB,10,FALSE),"")</f>
        <v/>
      </c>
      <c r="M2064" t="str">
        <f t="shared" si="66"/>
        <v/>
      </c>
      <c r="N2064" t="str">
        <f>IFERROR(VLOOKUP(D2064,'Team Data'!C:AB,23,FALSE),"")</f>
        <v/>
      </c>
      <c r="O2064" t="str">
        <f>IFERROR(VLOOKUP(D2064,'Team Data'!C:AB,22,FALSE),"")</f>
        <v/>
      </c>
      <c r="P2064" t="str">
        <f t="shared" si="67"/>
        <v/>
      </c>
      <c r="Q2064" t="str">
        <f>IFERROR(VLOOKUP(D2064,'Team Data'!C:AB,15,FALSE),"")</f>
        <v/>
      </c>
      <c r="R2064" t="str">
        <f>IFERROR(VLOOKUP('OB Format'!D2064,'Team Data'!C:AB,24,FALSE),"")</f>
        <v/>
      </c>
      <c r="S2064" t="str">
        <f>IFERROR(VLOOKUP('OB Format'!D2064,'Team Data'!C:AC,25,FALSE),"")</f>
        <v/>
      </c>
    </row>
    <row r="2065" spans="5:19" x14ac:dyDescent="0.25">
      <c r="E2065" t="str">
        <f>IFERROR(VLOOKUP(D2065,'Team Data'!C:AB,4,FALSE),"")</f>
        <v/>
      </c>
      <c r="F2065" t="str">
        <f>IFERROR(VLOOKUP(D2065,'Team Data'!C:AB,5,FALSE),"")</f>
        <v/>
      </c>
      <c r="G2065" t="str">
        <f>IFERROR(VLOOKUP('OB Format'!D2065,'Team Data'!C:AB,17,FALSE),"")</f>
        <v/>
      </c>
      <c r="H2065" t="str">
        <f>IFERROR(VLOOKUP(D2065,'Team Data'!C:AB,7,FALSE),"")</f>
        <v/>
      </c>
      <c r="I2065" t="str">
        <f>IFERROR(VLOOKUP(D2065,'Team Data'!C:AB,14,FALSE),"")</f>
        <v/>
      </c>
      <c r="J2065" t="str">
        <f>IFERROR(VLOOKUP(D2065,'Team Data'!C:AB,8,FALSE),"")</f>
        <v/>
      </c>
      <c r="K2065" t="str">
        <f>IFERROR(VLOOKUP(D2065,'Team Data'!C:AB,9,FALSE),"")</f>
        <v/>
      </c>
      <c r="L2065" t="str">
        <f>IFERROR(VLOOKUP(D2065,'Team Data'!C:AB,10,FALSE),"")</f>
        <v/>
      </c>
      <c r="M2065" t="str">
        <f t="shared" si="66"/>
        <v/>
      </c>
      <c r="N2065" t="str">
        <f>IFERROR(VLOOKUP(D2065,'Team Data'!C:AB,23,FALSE),"")</f>
        <v/>
      </c>
      <c r="O2065" t="str">
        <f>IFERROR(VLOOKUP(D2065,'Team Data'!C:AB,22,FALSE),"")</f>
        <v/>
      </c>
      <c r="P2065" t="str">
        <f t="shared" si="67"/>
        <v/>
      </c>
      <c r="Q2065" t="str">
        <f>IFERROR(VLOOKUP(D2065,'Team Data'!C:AB,15,FALSE),"")</f>
        <v/>
      </c>
      <c r="R2065" t="str">
        <f>IFERROR(VLOOKUP('OB Format'!D2065,'Team Data'!C:AB,24,FALSE),"")</f>
        <v/>
      </c>
      <c r="S2065" t="str">
        <f>IFERROR(VLOOKUP('OB Format'!D2065,'Team Data'!C:AC,25,FALSE),"")</f>
        <v/>
      </c>
    </row>
    <row r="2066" spans="5:19" x14ac:dyDescent="0.25">
      <c r="E2066" t="str">
        <f>IFERROR(VLOOKUP(D2066,'Team Data'!C:AB,4,FALSE),"")</f>
        <v/>
      </c>
      <c r="F2066" t="str">
        <f>IFERROR(VLOOKUP(D2066,'Team Data'!C:AB,5,FALSE),"")</f>
        <v/>
      </c>
      <c r="G2066" t="str">
        <f>IFERROR(VLOOKUP('OB Format'!D2066,'Team Data'!C:AB,17,FALSE),"")</f>
        <v/>
      </c>
      <c r="H2066" t="str">
        <f>IFERROR(VLOOKUP(D2066,'Team Data'!C:AB,7,FALSE),"")</f>
        <v/>
      </c>
      <c r="I2066" t="str">
        <f>IFERROR(VLOOKUP(D2066,'Team Data'!C:AB,14,FALSE),"")</f>
        <v/>
      </c>
      <c r="J2066" t="str">
        <f>IFERROR(VLOOKUP(D2066,'Team Data'!C:AB,8,FALSE),"")</f>
        <v/>
      </c>
      <c r="K2066" t="str">
        <f>IFERROR(VLOOKUP(D2066,'Team Data'!C:AB,9,FALSE),"")</f>
        <v/>
      </c>
      <c r="L2066" t="str">
        <f>IFERROR(VLOOKUP(D2066,'Team Data'!C:AB,10,FALSE),"")</f>
        <v/>
      </c>
      <c r="M2066" t="str">
        <f t="shared" si="66"/>
        <v/>
      </c>
      <c r="N2066" t="str">
        <f>IFERROR(VLOOKUP(D2066,'Team Data'!C:AB,23,FALSE),"")</f>
        <v/>
      </c>
      <c r="O2066" t="str">
        <f>IFERROR(VLOOKUP(D2066,'Team Data'!C:AB,22,FALSE),"")</f>
        <v/>
      </c>
      <c r="P2066" t="str">
        <f t="shared" si="67"/>
        <v/>
      </c>
      <c r="Q2066" t="str">
        <f>IFERROR(VLOOKUP(D2066,'Team Data'!C:AB,15,FALSE),"")</f>
        <v/>
      </c>
      <c r="R2066" t="str">
        <f>IFERROR(VLOOKUP('OB Format'!D2066,'Team Data'!C:AB,24,FALSE),"")</f>
        <v/>
      </c>
      <c r="S2066" t="str">
        <f>IFERROR(VLOOKUP('OB Format'!D2066,'Team Data'!C:AC,25,FALSE),"")</f>
        <v/>
      </c>
    </row>
    <row r="2067" spans="5:19" x14ac:dyDescent="0.25">
      <c r="E2067" t="str">
        <f>IFERROR(VLOOKUP(D2067,'Team Data'!C:AB,4,FALSE),"")</f>
        <v/>
      </c>
      <c r="F2067" t="str">
        <f>IFERROR(VLOOKUP(D2067,'Team Data'!C:AB,5,FALSE),"")</f>
        <v/>
      </c>
      <c r="G2067" t="str">
        <f>IFERROR(VLOOKUP('OB Format'!D2067,'Team Data'!C:AB,17,FALSE),"")</f>
        <v/>
      </c>
      <c r="H2067" t="str">
        <f>IFERROR(VLOOKUP(D2067,'Team Data'!C:AB,7,FALSE),"")</f>
        <v/>
      </c>
      <c r="I2067" t="str">
        <f>IFERROR(VLOOKUP(D2067,'Team Data'!C:AB,14,FALSE),"")</f>
        <v/>
      </c>
      <c r="J2067" t="str">
        <f>IFERROR(VLOOKUP(D2067,'Team Data'!C:AB,8,FALSE),"")</f>
        <v/>
      </c>
      <c r="K2067" t="str">
        <f>IFERROR(VLOOKUP(D2067,'Team Data'!C:AB,9,FALSE),"")</f>
        <v/>
      </c>
      <c r="L2067" t="str">
        <f>IFERROR(VLOOKUP(D2067,'Team Data'!C:AB,10,FALSE),"")</f>
        <v/>
      </c>
      <c r="M2067" t="str">
        <f t="shared" si="66"/>
        <v/>
      </c>
      <c r="N2067" t="str">
        <f>IFERROR(VLOOKUP(D2067,'Team Data'!C:AB,23,FALSE),"")</f>
        <v/>
      </c>
      <c r="O2067" t="str">
        <f>IFERROR(VLOOKUP(D2067,'Team Data'!C:AB,22,FALSE),"")</f>
        <v/>
      </c>
      <c r="P2067" t="str">
        <f t="shared" si="67"/>
        <v/>
      </c>
      <c r="Q2067" t="str">
        <f>IFERROR(VLOOKUP(D2067,'Team Data'!C:AB,15,FALSE),"")</f>
        <v/>
      </c>
      <c r="R2067" t="str">
        <f>IFERROR(VLOOKUP('OB Format'!D2067,'Team Data'!C:AB,24,FALSE),"")</f>
        <v/>
      </c>
      <c r="S2067" t="str">
        <f>IFERROR(VLOOKUP('OB Format'!D2067,'Team Data'!C:AC,25,FALSE),"")</f>
        <v/>
      </c>
    </row>
    <row r="2068" spans="5:19" x14ac:dyDescent="0.25">
      <c r="E2068" t="str">
        <f>IFERROR(VLOOKUP(D2068,'Team Data'!C:AB,4,FALSE),"")</f>
        <v/>
      </c>
      <c r="F2068" t="str">
        <f>IFERROR(VLOOKUP(D2068,'Team Data'!C:AB,5,FALSE),"")</f>
        <v/>
      </c>
      <c r="G2068" t="str">
        <f>IFERROR(VLOOKUP('OB Format'!D2068,'Team Data'!C:AB,17,FALSE),"")</f>
        <v/>
      </c>
      <c r="H2068" t="str">
        <f>IFERROR(VLOOKUP(D2068,'Team Data'!C:AB,7,FALSE),"")</f>
        <v/>
      </c>
      <c r="I2068" t="str">
        <f>IFERROR(VLOOKUP(D2068,'Team Data'!C:AB,14,FALSE),"")</f>
        <v/>
      </c>
      <c r="J2068" t="str">
        <f>IFERROR(VLOOKUP(D2068,'Team Data'!C:AB,8,FALSE),"")</f>
        <v/>
      </c>
      <c r="K2068" t="str">
        <f>IFERROR(VLOOKUP(D2068,'Team Data'!C:AB,9,FALSE),"")</f>
        <v/>
      </c>
      <c r="L2068" t="str">
        <f>IFERROR(VLOOKUP(D2068,'Team Data'!C:AB,10,FALSE),"")</f>
        <v/>
      </c>
      <c r="M2068" t="str">
        <f t="shared" si="66"/>
        <v/>
      </c>
      <c r="N2068" t="str">
        <f>IFERROR(VLOOKUP(D2068,'Team Data'!C:AB,23,FALSE),"")</f>
        <v/>
      </c>
      <c r="O2068" t="str">
        <f>IFERROR(VLOOKUP(D2068,'Team Data'!C:AB,22,FALSE),"")</f>
        <v/>
      </c>
      <c r="P2068" t="str">
        <f t="shared" si="67"/>
        <v/>
      </c>
      <c r="Q2068" t="str">
        <f>IFERROR(VLOOKUP(D2068,'Team Data'!C:AB,15,FALSE),"")</f>
        <v/>
      </c>
      <c r="R2068" t="str">
        <f>IFERROR(VLOOKUP('OB Format'!D2068,'Team Data'!C:AB,24,FALSE),"")</f>
        <v/>
      </c>
      <c r="S2068" t="str">
        <f>IFERROR(VLOOKUP('OB Format'!D2068,'Team Data'!C:AC,25,FALSE),"")</f>
        <v/>
      </c>
    </row>
    <row r="2069" spans="5:19" x14ac:dyDescent="0.25">
      <c r="E2069" t="str">
        <f>IFERROR(VLOOKUP(D2069,'Team Data'!C:AB,4,FALSE),"")</f>
        <v/>
      </c>
      <c r="F2069" t="str">
        <f>IFERROR(VLOOKUP(D2069,'Team Data'!C:AB,5,FALSE),"")</f>
        <v/>
      </c>
      <c r="G2069" t="str">
        <f>IFERROR(VLOOKUP('OB Format'!D2069,'Team Data'!C:AB,17,FALSE),"")</f>
        <v/>
      </c>
      <c r="H2069" t="str">
        <f>IFERROR(VLOOKUP(D2069,'Team Data'!C:AB,7,FALSE),"")</f>
        <v/>
      </c>
      <c r="I2069" t="str">
        <f>IFERROR(VLOOKUP(D2069,'Team Data'!C:AB,14,FALSE),"")</f>
        <v/>
      </c>
      <c r="J2069" t="str">
        <f>IFERROR(VLOOKUP(D2069,'Team Data'!C:AB,8,FALSE),"")</f>
        <v/>
      </c>
      <c r="K2069" t="str">
        <f>IFERROR(VLOOKUP(D2069,'Team Data'!C:AB,9,FALSE),"")</f>
        <v/>
      </c>
      <c r="L2069" t="str">
        <f>IFERROR(VLOOKUP(D2069,'Team Data'!C:AB,10,FALSE),"")</f>
        <v/>
      </c>
      <c r="M2069" t="str">
        <f t="shared" si="66"/>
        <v/>
      </c>
      <c r="N2069" t="str">
        <f>IFERROR(VLOOKUP(D2069,'Team Data'!C:AB,23,FALSE),"")</f>
        <v/>
      </c>
      <c r="O2069" t="str">
        <f>IFERROR(VLOOKUP(D2069,'Team Data'!C:AB,22,FALSE),"")</f>
        <v/>
      </c>
      <c r="P2069" t="str">
        <f t="shared" si="67"/>
        <v/>
      </c>
      <c r="Q2069" t="str">
        <f>IFERROR(VLOOKUP(D2069,'Team Data'!C:AB,15,FALSE),"")</f>
        <v/>
      </c>
      <c r="R2069" t="str">
        <f>IFERROR(VLOOKUP('OB Format'!D2069,'Team Data'!C:AB,24,FALSE),"")</f>
        <v/>
      </c>
      <c r="S2069" t="str">
        <f>IFERROR(VLOOKUP('OB Format'!D2069,'Team Data'!C:AC,25,FALSE),"")</f>
        <v/>
      </c>
    </row>
    <row r="2070" spans="5:19" x14ac:dyDescent="0.25">
      <c r="E2070" t="str">
        <f>IFERROR(VLOOKUP(D2070,'Team Data'!C:AB,4,FALSE),"")</f>
        <v/>
      </c>
      <c r="F2070" t="str">
        <f>IFERROR(VLOOKUP(D2070,'Team Data'!C:AB,5,FALSE),"")</f>
        <v/>
      </c>
      <c r="G2070" t="str">
        <f>IFERROR(VLOOKUP('OB Format'!D2070,'Team Data'!C:AB,17,FALSE),"")</f>
        <v/>
      </c>
      <c r="H2070" t="str">
        <f>IFERROR(VLOOKUP(D2070,'Team Data'!C:AB,7,FALSE),"")</f>
        <v/>
      </c>
      <c r="I2070" t="str">
        <f>IFERROR(VLOOKUP(D2070,'Team Data'!C:AB,14,FALSE),"")</f>
        <v/>
      </c>
      <c r="J2070" t="str">
        <f>IFERROR(VLOOKUP(D2070,'Team Data'!C:AB,8,FALSE),"")</f>
        <v/>
      </c>
      <c r="K2070" t="str">
        <f>IFERROR(VLOOKUP(D2070,'Team Data'!C:AB,9,FALSE),"")</f>
        <v/>
      </c>
      <c r="L2070" t="str">
        <f>IFERROR(VLOOKUP(D2070,'Team Data'!C:AB,10,FALSE),"")</f>
        <v/>
      </c>
      <c r="M2070" t="str">
        <f t="shared" si="66"/>
        <v/>
      </c>
      <c r="N2070" t="str">
        <f>IFERROR(VLOOKUP(D2070,'Team Data'!C:AB,23,FALSE),"")</f>
        <v/>
      </c>
      <c r="O2070" t="str">
        <f>IFERROR(VLOOKUP(D2070,'Team Data'!C:AB,22,FALSE),"")</f>
        <v/>
      </c>
      <c r="P2070" t="str">
        <f t="shared" si="67"/>
        <v/>
      </c>
      <c r="Q2070" t="str">
        <f>IFERROR(VLOOKUP(D2070,'Team Data'!C:AB,15,FALSE),"")</f>
        <v/>
      </c>
      <c r="R2070" t="str">
        <f>IFERROR(VLOOKUP('OB Format'!D2070,'Team Data'!C:AB,24,FALSE),"")</f>
        <v/>
      </c>
      <c r="S2070" t="str">
        <f>IFERROR(VLOOKUP('OB Format'!D2070,'Team Data'!C:AC,25,FALSE),"")</f>
        <v/>
      </c>
    </row>
    <row r="2071" spans="5:19" x14ac:dyDescent="0.25">
      <c r="E2071" t="str">
        <f>IFERROR(VLOOKUP(D2071,'Team Data'!C:AB,4,FALSE),"")</f>
        <v/>
      </c>
      <c r="F2071" t="str">
        <f>IFERROR(VLOOKUP(D2071,'Team Data'!C:AB,5,FALSE),"")</f>
        <v/>
      </c>
      <c r="G2071" t="str">
        <f>IFERROR(VLOOKUP('OB Format'!D2071,'Team Data'!C:AB,17,FALSE),"")</f>
        <v/>
      </c>
      <c r="H2071" t="str">
        <f>IFERROR(VLOOKUP(D2071,'Team Data'!C:AB,7,FALSE),"")</f>
        <v/>
      </c>
      <c r="I2071" t="str">
        <f>IFERROR(VLOOKUP(D2071,'Team Data'!C:AB,14,FALSE),"")</f>
        <v/>
      </c>
      <c r="J2071" t="str">
        <f>IFERROR(VLOOKUP(D2071,'Team Data'!C:AB,8,FALSE),"")</f>
        <v/>
      </c>
      <c r="K2071" t="str">
        <f>IFERROR(VLOOKUP(D2071,'Team Data'!C:AB,9,FALSE),"")</f>
        <v/>
      </c>
      <c r="L2071" t="str">
        <f>IFERROR(VLOOKUP(D2071,'Team Data'!C:AB,10,FALSE),"")</f>
        <v/>
      </c>
      <c r="M2071" t="str">
        <f t="shared" si="66"/>
        <v/>
      </c>
      <c r="N2071" t="str">
        <f>IFERROR(VLOOKUP(D2071,'Team Data'!C:AB,23,FALSE),"")</f>
        <v/>
      </c>
      <c r="O2071" t="str">
        <f>IFERROR(VLOOKUP(D2071,'Team Data'!C:AB,22,FALSE),"")</f>
        <v/>
      </c>
      <c r="P2071" t="str">
        <f t="shared" si="67"/>
        <v/>
      </c>
      <c r="Q2071" t="str">
        <f>IFERROR(VLOOKUP(D2071,'Team Data'!C:AB,15,FALSE),"")</f>
        <v/>
      </c>
      <c r="R2071" t="str">
        <f>IFERROR(VLOOKUP('OB Format'!D2071,'Team Data'!C:AB,24,FALSE),"")</f>
        <v/>
      </c>
      <c r="S2071" t="str">
        <f>IFERROR(VLOOKUP('OB Format'!D2071,'Team Data'!C:AC,25,FALSE),"")</f>
        <v/>
      </c>
    </row>
    <row r="2072" spans="5:19" x14ac:dyDescent="0.25">
      <c r="E2072" t="str">
        <f>IFERROR(VLOOKUP(D2072,'Team Data'!C:AB,4,FALSE),"")</f>
        <v/>
      </c>
      <c r="F2072" t="str">
        <f>IFERROR(VLOOKUP(D2072,'Team Data'!C:AB,5,FALSE),"")</f>
        <v/>
      </c>
      <c r="G2072" t="str">
        <f>IFERROR(VLOOKUP('OB Format'!D2072,'Team Data'!C:AB,17,FALSE),"")</f>
        <v/>
      </c>
      <c r="H2072" t="str">
        <f>IFERROR(VLOOKUP(D2072,'Team Data'!C:AB,7,FALSE),"")</f>
        <v/>
      </c>
      <c r="I2072" t="str">
        <f>IFERROR(VLOOKUP(D2072,'Team Data'!C:AB,14,FALSE),"")</f>
        <v/>
      </c>
      <c r="J2072" t="str">
        <f>IFERROR(VLOOKUP(D2072,'Team Data'!C:AB,8,FALSE),"")</f>
        <v/>
      </c>
      <c r="K2072" t="str">
        <f>IFERROR(VLOOKUP(D2072,'Team Data'!C:AB,9,FALSE),"")</f>
        <v/>
      </c>
      <c r="L2072" t="str">
        <f>IFERROR(VLOOKUP(D2072,'Team Data'!C:AB,10,FALSE),"")</f>
        <v/>
      </c>
      <c r="M2072" t="str">
        <f t="shared" si="66"/>
        <v/>
      </c>
      <c r="N2072" t="str">
        <f>IFERROR(VLOOKUP(D2072,'Team Data'!C:AB,23,FALSE),"")</f>
        <v/>
      </c>
      <c r="O2072" t="str">
        <f>IFERROR(VLOOKUP(D2072,'Team Data'!C:AB,22,FALSE),"")</f>
        <v/>
      </c>
      <c r="P2072" t="str">
        <f t="shared" si="67"/>
        <v/>
      </c>
      <c r="Q2072" t="str">
        <f>IFERROR(VLOOKUP(D2072,'Team Data'!C:AB,15,FALSE),"")</f>
        <v/>
      </c>
      <c r="R2072" t="str">
        <f>IFERROR(VLOOKUP('OB Format'!D2072,'Team Data'!C:AB,24,FALSE),"")</f>
        <v/>
      </c>
      <c r="S2072" t="str">
        <f>IFERROR(VLOOKUP('OB Format'!D2072,'Team Data'!C:AC,25,FALSE),"")</f>
        <v/>
      </c>
    </row>
    <row r="2073" spans="5:19" x14ac:dyDescent="0.25">
      <c r="E2073" t="str">
        <f>IFERROR(VLOOKUP(D2073,'Team Data'!C:AB,4,FALSE),"")</f>
        <v/>
      </c>
      <c r="F2073" t="str">
        <f>IFERROR(VLOOKUP(D2073,'Team Data'!C:AB,5,FALSE),"")</f>
        <v/>
      </c>
      <c r="G2073" t="str">
        <f>IFERROR(VLOOKUP('OB Format'!D2073,'Team Data'!C:AB,17,FALSE),"")</f>
        <v/>
      </c>
      <c r="H2073" t="str">
        <f>IFERROR(VLOOKUP(D2073,'Team Data'!C:AB,7,FALSE),"")</f>
        <v/>
      </c>
      <c r="I2073" t="str">
        <f>IFERROR(VLOOKUP(D2073,'Team Data'!C:AB,14,FALSE),"")</f>
        <v/>
      </c>
      <c r="J2073" t="str">
        <f>IFERROR(VLOOKUP(D2073,'Team Data'!C:AB,8,FALSE),"")</f>
        <v/>
      </c>
      <c r="K2073" t="str">
        <f>IFERROR(VLOOKUP(D2073,'Team Data'!C:AB,9,FALSE),"")</f>
        <v/>
      </c>
      <c r="L2073" t="str">
        <f>IFERROR(VLOOKUP(D2073,'Team Data'!C:AB,10,FALSE),"")</f>
        <v/>
      </c>
      <c r="M2073" t="str">
        <f t="shared" si="66"/>
        <v/>
      </c>
      <c r="N2073" t="str">
        <f>IFERROR(VLOOKUP(D2073,'Team Data'!C:AB,23,FALSE),"")</f>
        <v/>
      </c>
      <c r="O2073" t="str">
        <f>IFERROR(VLOOKUP(D2073,'Team Data'!C:AB,22,FALSE),"")</f>
        <v/>
      </c>
      <c r="P2073" t="str">
        <f t="shared" si="67"/>
        <v/>
      </c>
      <c r="Q2073" t="str">
        <f>IFERROR(VLOOKUP(D2073,'Team Data'!C:AB,15,FALSE),"")</f>
        <v/>
      </c>
      <c r="R2073" t="str">
        <f>IFERROR(VLOOKUP('OB Format'!D2073,'Team Data'!C:AB,24,FALSE),"")</f>
        <v/>
      </c>
      <c r="S2073" t="str">
        <f>IFERROR(VLOOKUP('OB Format'!D2073,'Team Data'!C:AC,25,FALSE),"")</f>
        <v/>
      </c>
    </row>
    <row r="2074" spans="5:19" x14ac:dyDescent="0.25">
      <c r="E2074" t="str">
        <f>IFERROR(VLOOKUP(D2074,'Team Data'!C:AB,4,FALSE),"")</f>
        <v/>
      </c>
      <c r="F2074" t="str">
        <f>IFERROR(VLOOKUP(D2074,'Team Data'!C:AB,5,FALSE),"")</f>
        <v/>
      </c>
      <c r="G2074" t="str">
        <f>IFERROR(VLOOKUP('OB Format'!D2074,'Team Data'!C:AB,17,FALSE),"")</f>
        <v/>
      </c>
      <c r="H2074" t="str">
        <f>IFERROR(VLOOKUP(D2074,'Team Data'!C:AB,7,FALSE),"")</f>
        <v/>
      </c>
      <c r="I2074" t="str">
        <f>IFERROR(VLOOKUP(D2074,'Team Data'!C:AB,14,FALSE),"")</f>
        <v/>
      </c>
      <c r="J2074" t="str">
        <f>IFERROR(VLOOKUP(D2074,'Team Data'!C:AB,8,FALSE),"")</f>
        <v/>
      </c>
      <c r="K2074" t="str">
        <f>IFERROR(VLOOKUP(D2074,'Team Data'!C:AB,9,FALSE),"")</f>
        <v/>
      </c>
      <c r="L2074" t="str">
        <f>IFERROR(VLOOKUP(D2074,'Team Data'!C:AB,10,FALSE),"")</f>
        <v/>
      </c>
      <c r="M2074" t="str">
        <f t="shared" si="66"/>
        <v/>
      </c>
      <c r="N2074" t="str">
        <f>IFERROR(VLOOKUP(D2074,'Team Data'!C:AB,23,FALSE),"")</f>
        <v/>
      </c>
      <c r="O2074" t="str">
        <f>IFERROR(VLOOKUP(D2074,'Team Data'!C:AB,22,FALSE),"")</f>
        <v/>
      </c>
      <c r="P2074" t="str">
        <f t="shared" si="67"/>
        <v/>
      </c>
      <c r="Q2074" t="str">
        <f>IFERROR(VLOOKUP(D2074,'Team Data'!C:AB,15,FALSE),"")</f>
        <v/>
      </c>
      <c r="R2074" t="str">
        <f>IFERROR(VLOOKUP('OB Format'!D2074,'Team Data'!C:AB,24,FALSE),"")</f>
        <v/>
      </c>
      <c r="S2074" t="str">
        <f>IFERROR(VLOOKUP('OB Format'!D2074,'Team Data'!C:AC,25,FALSE),"")</f>
        <v/>
      </c>
    </row>
    <row r="2075" spans="5:19" x14ac:dyDescent="0.25">
      <c r="E2075" t="str">
        <f>IFERROR(VLOOKUP(D2075,'Team Data'!C:AB,4,FALSE),"")</f>
        <v/>
      </c>
      <c r="F2075" t="str">
        <f>IFERROR(VLOOKUP(D2075,'Team Data'!C:AB,5,FALSE),"")</f>
        <v/>
      </c>
      <c r="G2075" t="str">
        <f>IFERROR(VLOOKUP('OB Format'!D2075,'Team Data'!C:AB,17,FALSE),"")</f>
        <v/>
      </c>
      <c r="H2075" t="str">
        <f>IFERROR(VLOOKUP(D2075,'Team Data'!C:AB,7,FALSE),"")</f>
        <v/>
      </c>
      <c r="I2075" t="str">
        <f>IFERROR(VLOOKUP(D2075,'Team Data'!C:AB,14,FALSE),"")</f>
        <v/>
      </c>
      <c r="J2075" t="str">
        <f>IFERROR(VLOOKUP(D2075,'Team Data'!C:AB,8,FALSE),"")</f>
        <v/>
      </c>
      <c r="K2075" t="str">
        <f>IFERROR(VLOOKUP(D2075,'Team Data'!C:AB,9,FALSE),"")</f>
        <v/>
      </c>
      <c r="L2075" t="str">
        <f>IFERROR(VLOOKUP(D2075,'Team Data'!C:AB,10,FALSE),"")</f>
        <v/>
      </c>
      <c r="M2075" t="str">
        <f t="shared" si="66"/>
        <v/>
      </c>
      <c r="N2075" t="str">
        <f>IFERROR(VLOOKUP(D2075,'Team Data'!C:AB,23,FALSE),"")</f>
        <v/>
      </c>
      <c r="O2075" t="str">
        <f>IFERROR(VLOOKUP(D2075,'Team Data'!C:AB,22,FALSE),"")</f>
        <v/>
      </c>
      <c r="P2075" t="str">
        <f t="shared" si="67"/>
        <v/>
      </c>
      <c r="Q2075" t="str">
        <f>IFERROR(VLOOKUP(D2075,'Team Data'!C:AB,15,FALSE),"")</f>
        <v/>
      </c>
      <c r="R2075" t="str">
        <f>IFERROR(VLOOKUP('OB Format'!D2075,'Team Data'!C:AB,24,FALSE),"")</f>
        <v/>
      </c>
      <c r="S2075" t="str">
        <f>IFERROR(VLOOKUP('OB Format'!D2075,'Team Data'!C:AC,25,FALSE),"")</f>
        <v/>
      </c>
    </row>
    <row r="2076" spans="5:19" x14ac:dyDescent="0.25">
      <c r="E2076" t="str">
        <f>IFERROR(VLOOKUP(D2076,'Team Data'!C:AB,4,FALSE),"")</f>
        <v/>
      </c>
      <c r="F2076" t="str">
        <f>IFERROR(VLOOKUP(D2076,'Team Data'!C:AB,5,FALSE),"")</f>
        <v/>
      </c>
      <c r="G2076" t="str">
        <f>IFERROR(VLOOKUP('OB Format'!D2076,'Team Data'!C:AB,17,FALSE),"")</f>
        <v/>
      </c>
      <c r="H2076" t="str">
        <f>IFERROR(VLOOKUP(D2076,'Team Data'!C:AB,7,FALSE),"")</f>
        <v/>
      </c>
      <c r="I2076" t="str">
        <f>IFERROR(VLOOKUP(D2076,'Team Data'!C:AB,14,FALSE),"")</f>
        <v/>
      </c>
      <c r="J2076" t="str">
        <f>IFERROR(VLOOKUP(D2076,'Team Data'!C:AB,8,FALSE),"")</f>
        <v/>
      </c>
      <c r="K2076" t="str">
        <f>IFERROR(VLOOKUP(D2076,'Team Data'!C:AB,9,FALSE),"")</f>
        <v/>
      </c>
      <c r="L2076" t="str">
        <f>IFERROR(VLOOKUP(D2076,'Team Data'!C:AB,10,FALSE),"")</f>
        <v/>
      </c>
      <c r="M2076" t="str">
        <f t="shared" si="66"/>
        <v/>
      </c>
      <c r="N2076" t="str">
        <f>IFERROR(VLOOKUP(D2076,'Team Data'!C:AB,23,FALSE),"")</f>
        <v/>
      </c>
      <c r="O2076" t="str">
        <f>IFERROR(VLOOKUP(D2076,'Team Data'!C:AB,22,FALSE),"")</f>
        <v/>
      </c>
      <c r="P2076" t="str">
        <f t="shared" si="67"/>
        <v/>
      </c>
      <c r="Q2076" t="str">
        <f>IFERROR(VLOOKUP(D2076,'Team Data'!C:AB,15,FALSE),"")</f>
        <v/>
      </c>
      <c r="R2076" t="str">
        <f>IFERROR(VLOOKUP('OB Format'!D2076,'Team Data'!C:AB,24,FALSE),"")</f>
        <v/>
      </c>
      <c r="S2076" t="str">
        <f>IFERROR(VLOOKUP('OB Format'!D2076,'Team Data'!C:AC,25,FALSE),"")</f>
        <v/>
      </c>
    </row>
    <row r="2077" spans="5:19" x14ac:dyDescent="0.25">
      <c r="E2077" t="str">
        <f>IFERROR(VLOOKUP(D2077,'Team Data'!C:AB,4,FALSE),"")</f>
        <v/>
      </c>
      <c r="F2077" t="str">
        <f>IFERROR(VLOOKUP(D2077,'Team Data'!C:AB,5,FALSE),"")</f>
        <v/>
      </c>
      <c r="G2077" t="str">
        <f>IFERROR(VLOOKUP('OB Format'!D2077,'Team Data'!C:AB,17,FALSE),"")</f>
        <v/>
      </c>
      <c r="H2077" t="str">
        <f>IFERROR(VLOOKUP(D2077,'Team Data'!C:AB,7,FALSE),"")</f>
        <v/>
      </c>
      <c r="I2077" t="str">
        <f>IFERROR(VLOOKUP(D2077,'Team Data'!C:AB,14,FALSE),"")</f>
        <v/>
      </c>
      <c r="J2077" t="str">
        <f>IFERROR(VLOOKUP(D2077,'Team Data'!C:AB,8,FALSE),"")</f>
        <v/>
      </c>
      <c r="K2077" t="str">
        <f>IFERROR(VLOOKUP(D2077,'Team Data'!C:AB,9,FALSE),"")</f>
        <v/>
      </c>
      <c r="L2077" t="str">
        <f>IFERROR(VLOOKUP(D2077,'Team Data'!C:AB,10,FALSE),"")</f>
        <v/>
      </c>
      <c r="M2077" t="str">
        <f t="shared" si="66"/>
        <v/>
      </c>
      <c r="N2077" t="str">
        <f>IFERROR(VLOOKUP(D2077,'Team Data'!C:AB,23,FALSE),"")</f>
        <v/>
      </c>
      <c r="O2077" t="str">
        <f>IFERROR(VLOOKUP(D2077,'Team Data'!C:AB,22,FALSE),"")</f>
        <v/>
      </c>
      <c r="P2077" t="str">
        <f t="shared" si="67"/>
        <v/>
      </c>
      <c r="Q2077" t="str">
        <f>IFERROR(VLOOKUP(D2077,'Team Data'!C:AB,15,FALSE),"")</f>
        <v/>
      </c>
      <c r="R2077" t="str">
        <f>IFERROR(VLOOKUP('OB Format'!D2077,'Team Data'!C:AB,24,FALSE),"")</f>
        <v/>
      </c>
      <c r="S2077" t="str">
        <f>IFERROR(VLOOKUP('OB Format'!D2077,'Team Data'!C:AC,25,FALSE),"")</f>
        <v/>
      </c>
    </row>
    <row r="2078" spans="5:19" x14ac:dyDescent="0.25">
      <c r="E2078" t="str">
        <f>IFERROR(VLOOKUP(D2078,'Team Data'!C:AB,4,FALSE),"")</f>
        <v/>
      </c>
      <c r="F2078" t="str">
        <f>IFERROR(VLOOKUP(D2078,'Team Data'!C:AB,5,FALSE),"")</f>
        <v/>
      </c>
      <c r="G2078" t="str">
        <f>IFERROR(VLOOKUP('OB Format'!D2078,'Team Data'!C:AB,17,FALSE),"")</f>
        <v/>
      </c>
      <c r="H2078" t="str">
        <f>IFERROR(VLOOKUP(D2078,'Team Data'!C:AB,7,FALSE),"")</f>
        <v/>
      </c>
      <c r="I2078" t="str">
        <f>IFERROR(VLOOKUP(D2078,'Team Data'!C:AB,14,FALSE),"")</f>
        <v/>
      </c>
      <c r="J2078" t="str">
        <f>IFERROR(VLOOKUP(D2078,'Team Data'!C:AB,8,FALSE),"")</f>
        <v/>
      </c>
      <c r="K2078" t="str">
        <f>IFERROR(VLOOKUP(D2078,'Team Data'!C:AB,9,FALSE),"")</f>
        <v/>
      </c>
      <c r="L2078" t="str">
        <f>IFERROR(VLOOKUP(D2078,'Team Data'!C:AB,10,FALSE),"")</f>
        <v/>
      </c>
      <c r="M2078" t="str">
        <f t="shared" si="66"/>
        <v/>
      </c>
      <c r="N2078" t="str">
        <f>IFERROR(VLOOKUP(D2078,'Team Data'!C:AB,23,FALSE),"")</f>
        <v/>
      </c>
      <c r="O2078" t="str">
        <f>IFERROR(VLOOKUP(D2078,'Team Data'!C:AB,22,FALSE),"")</f>
        <v/>
      </c>
      <c r="P2078" t="str">
        <f t="shared" si="67"/>
        <v/>
      </c>
      <c r="Q2078" t="str">
        <f>IFERROR(VLOOKUP(D2078,'Team Data'!C:AB,15,FALSE),"")</f>
        <v/>
      </c>
      <c r="R2078" t="str">
        <f>IFERROR(VLOOKUP('OB Format'!D2078,'Team Data'!C:AB,24,FALSE),"")</f>
        <v/>
      </c>
      <c r="S2078" t="str">
        <f>IFERROR(VLOOKUP('OB Format'!D2078,'Team Data'!C:AC,25,FALSE),"")</f>
        <v/>
      </c>
    </row>
    <row r="2079" spans="5:19" x14ac:dyDescent="0.25">
      <c r="E2079" t="str">
        <f>IFERROR(VLOOKUP(D2079,'Team Data'!C:AB,4,FALSE),"")</f>
        <v/>
      </c>
      <c r="F2079" t="str">
        <f>IFERROR(VLOOKUP(D2079,'Team Data'!C:AB,5,FALSE),"")</f>
        <v/>
      </c>
      <c r="G2079" t="str">
        <f>IFERROR(VLOOKUP('OB Format'!D2079,'Team Data'!C:AB,17,FALSE),"")</f>
        <v/>
      </c>
      <c r="H2079" t="str">
        <f>IFERROR(VLOOKUP(D2079,'Team Data'!C:AB,7,FALSE),"")</f>
        <v/>
      </c>
      <c r="I2079" t="str">
        <f>IFERROR(VLOOKUP(D2079,'Team Data'!C:AB,14,FALSE),"")</f>
        <v/>
      </c>
      <c r="J2079" t="str">
        <f>IFERROR(VLOOKUP(D2079,'Team Data'!C:AB,8,FALSE),"")</f>
        <v/>
      </c>
      <c r="K2079" t="str">
        <f>IFERROR(VLOOKUP(D2079,'Team Data'!C:AB,9,FALSE),"")</f>
        <v/>
      </c>
      <c r="L2079" t="str">
        <f>IFERROR(VLOOKUP(D2079,'Team Data'!C:AB,10,FALSE),"")</f>
        <v/>
      </c>
      <c r="M2079" t="str">
        <f t="shared" si="66"/>
        <v/>
      </c>
      <c r="N2079" t="str">
        <f>IFERROR(VLOOKUP(D2079,'Team Data'!C:AB,23,FALSE),"")</f>
        <v/>
      </c>
      <c r="O2079" t="str">
        <f>IFERROR(VLOOKUP(D2079,'Team Data'!C:AB,22,FALSE),"")</f>
        <v/>
      </c>
      <c r="P2079" t="str">
        <f t="shared" si="67"/>
        <v/>
      </c>
      <c r="Q2079" t="str">
        <f>IFERROR(VLOOKUP(D2079,'Team Data'!C:AB,15,FALSE),"")</f>
        <v/>
      </c>
      <c r="R2079" t="str">
        <f>IFERROR(VLOOKUP('OB Format'!D2079,'Team Data'!C:AB,24,FALSE),"")</f>
        <v/>
      </c>
      <c r="S2079" t="str">
        <f>IFERROR(VLOOKUP('OB Format'!D2079,'Team Data'!C:AC,25,FALSE),"")</f>
        <v/>
      </c>
    </row>
    <row r="2080" spans="5:19" x14ac:dyDescent="0.25">
      <c r="E2080" t="str">
        <f>IFERROR(VLOOKUP(D2080,'Team Data'!C:AB,4,FALSE),"")</f>
        <v/>
      </c>
      <c r="F2080" t="str">
        <f>IFERROR(VLOOKUP(D2080,'Team Data'!C:AB,5,FALSE),"")</f>
        <v/>
      </c>
      <c r="G2080" t="str">
        <f>IFERROR(VLOOKUP('OB Format'!D2080,'Team Data'!C:AB,17,FALSE),"")</f>
        <v/>
      </c>
      <c r="H2080" t="str">
        <f>IFERROR(VLOOKUP(D2080,'Team Data'!C:AB,7,FALSE),"")</f>
        <v/>
      </c>
      <c r="I2080" t="str">
        <f>IFERROR(VLOOKUP(D2080,'Team Data'!C:AB,14,FALSE),"")</f>
        <v/>
      </c>
      <c r="J2080" t="str">
        <f>IFERROR(VLOOKUP(D2080,'Team Data'!C:AB,8,FALSE),"")</f>
        <v/>
      </c>
      <c r="K2080" t="str">
        <f>IFERROR(VLOOKUP(D2080,'Team Data'!C:AB,9,FALSE),"")</f>
        <v/>
      </c>
      <c r="L2080" t="str">
        <f>IFERROR(VLOOKUP(D2080,'Team Data'!C:AB,10,FALSE),"")</f>
        <v/>
      </c>
      <c r="M2080" t="str">
        <f t="shared" si="66"/>
        <v/>
      </c>
      <c r="N2080" t="str">
        <f>IFERROR(VLOOKUP(D2080,'Team Data'!C:AB,23,FALSE),"")</f>
        <v/>
      </c>
      <c r="O2080" t="str">
        <f>IFERROR(VLOOKUP(D2080,'Team Data'!C:AB,22,FALSE),"")</f>
        <v/>
      </c>
      <c r="P2080" t="str">
        <f t="shared" si="67"/>
        <v/>
      </c>
      <c r="Q2080" t="str">
        <f>IFERROR(VLOOKUP(D2080,'Team Data'!C:AB,15,FALSE),"")</f>
        <v/>
      </c>
      <c r="R2080" t="str">
        <f>IFERROR(VLOOKUP('OB Format'!D2080,'Team Data'!C:AB,24,FALSE),"")</f>
        <v/>
      </c>
      <c r="S2080" t="str">
        <f>IFERROR(VLOOKUP('OB Format'!D2080,'Team Data'!C:AC,25,FALSE),"")</f>
        <v/>
      </c>
    </row>
    <row r="2081" spans="5:19" x14ac:dyDescent="0.25">
      <c r="E2081" t="str">
        <f>IFERROR(VLOOKUP(D2081,'Team Data'!C:AB,4,FALSE),"")</f>
        <v/>
      </c>
      <c r="F2081" t="str">
        <f>IFERROR(VLOOKUP(D2081,'Team Data'!C:AB,5,FALSE),"")</f>
        <v/>
      </c>
      <c r="G2081" t="str">
        <f>IFERROR(VLOOKUP('OB Format'!D2081,'Team Data'!C:AB,17,FALSE),"")</f>
        <v/>
      </c>
      <c r="H2081" t="str">
        <f>IFERROR(VLOOKUP(D2081,'Team Data'!C:AB,7,FALSE),"")</f>
        <v/>
      </c>
      <c r="I2081" t="str">
        <f>IFERROR(VLOOKUP(D2081,'Team Data'!C:AB,14,FALSE),"")</f>
        <v/>
      </c>
      <c r="J2081" t="str">
        <f>IFERROR(VLOOKUP(D2081,'Team Data'!C:AB,8,FALSE),"")</f>
        <v/>
      </c>
      <c r="K2081" t="str">
        <f>IFERROR(VLOOKUP(D2081,'Team Data'!C:AB,9,FALSE),"")</f>
        <v/>
      </c>
      <c r="L2081" t="str">
        <f>IFERROR(VLOOKUP(D2081,'Team Data'!C:AB,10,FALSE),"")</f>
        <v/>
      </c>
      <c r="M2081" t="str">
        <f t="shared" si="66"/>
        <v/>
      </c>
      <c r="N2081" t="str">
        <f>IFERROR(VLOOKUP(D2081,'Team Data'!C:AB,23,FALSE),"")</f>
        <v/>
      </c>
      <c r="O2081" t="str">
        <f>IFERROR(VLOOKUP(D2081,'Team Data'!C:AB,22,FALSE),"")</f>
        <v/>
      </c>
      <c r="P2081" t="str">
        <f t="shared" si="67"/>
        <v/>
      </c>
      <c r="Q2081" t="str">
        <f>IFERROR(VLOOKUP(D2081,'Team Data'!C:AB,15,FALSE),"")</f>
        <v/>
      </c>
      <c r="R2081" t="str">
        <f>IFERROR(VLOOKUP('OB Format'!D2081,'Team Data'!C:AB,24,FALSE),"")</f>
        <v/>
      </c>
      <c r="S2081" t="str">
        <f>IFERROR(VLOOKUP('OB Format'!D2081,'Team Data'!C:AC,25,FALSE),"")</f>
        <v/>
      </c>
    </row>
    <row r="2082" spans="5:19" x14ac:dyDescent="0.25">
      <c r="E2082" t="str">
        <f>IFERROR(VLOOKUP(D2082,'Team Data'!C:AB,4,FALSE),"")</f>
        <v/>
      </c>
      <c r="F2082" t="str">
        <f>IFERROR(VLOOKUP(D2082,'Team Data'!C:AB,5,FALSE),"")</f>
        <v/>
      </c>
      <c r="G2082" t="str">
        <f>IFERROR(VLOOKUP('OB Format'!D2082,'Team Data'!C:AB,17,FALSE),"")</f>
        <v/>
      </c>
      <c r="H2082" t="str">
        <f>IFERROR(VLOOKUP(D2082,'Team Data'!C:AB,7,FALSE),"")</f>
        <v/>
      </c>
      <c r="I2082" t="str">
        <f>IFERROR(VLOOKUP(D2082,'Team Data'!C:AB,14,FALSE),"")</f>
        <v/>
      </c>
      <c r="J2082" t="str">
        <f>IFERROR(VLOOKUP(D2082,'Team Data'!C:AB,8,FALSE),"")</f>
        <v/>
      </c>
      <c r="K2082" t="str">
        <f>IFERROR(VLOOKUP(D2082,'Team Data'!C:AB,9,FALSE),"")</f>
        <v/>
      </c>
      <c r="L2082" t="str">
        <f>IFERROR(VLOOKUP(D2082,'Team Data'!C:AB,10,FALSE),"")</f>
        <v/>
      </c>
      <c r="M2082" t="str">
        <f t="shared" si="66"/>
        <v/>
      </c>
      <c r="N2082" t="str">
        <f>IFERROR(VLOOKUP(D2082,'Team Data'!C:AB,23,FALSE),"")</f>
        <v/>
      </c>
      <c r="O2082" t="str">
        <f>IFERROR(VLOOKUP(D2082,'Team Data'!C:AB,22,FALSE),"")</f>
        <v/>
      </c>
      <c r="P2082" t="str">
        <f t="shared" si="67"/>
        <v/>
      </c>
      <c r="Q2082" t="str">
        <f>IFERROR(VLOOKUP(D2082,'Team Data'!C:AB,15,FALSE),"")</f>
        <v/>
      </c>
      <c r="R2082" t="str">
        <f>IFERROR(VLOOKUP('OB Format'!D2082,'Team Data'!C:AB,24,FALSE),"")</f>
        <v/>
      </c>
      <c r="S2082" t="str">
        <f>IFERROR(VLOOKUP('OB Format'!D2082,'Team Data'!C:AC,25,FALSE),"")</f>
        <v/>
      </c>
    </row>
    <row r="2083" spans="5:19" x14ac:dyDescent="0.25">
      <c r="E2083" t="str">
        <f>IFERROR(VLOOKUP(D2083,'Team Data'!C:AB,4,FALSE),"")</f>
        <v/>
      </c>
      <c r="F2083" t="str">
        <f>IFERROR(VLOOKUP(D2083,'Team Data'!C:AB,5,FALSE),"")</f>
        <v/>
      </c>
      <c r="G2083" t="str">
        <f>IFERROR(VLOOKUP('OB Format'!D2083,'Team Data'!C:AB,17,FALSE),"")</f>
        <v/>
      </c>
      <c r="H2083" t="str">
        <f>IFERROR(VLOOKUP(D2083,'Team Data'!C:AB,7,FALSE),"")</f>
        <v/>
      </c>
      <c r="I2083" t="str">
        <f>IFERROR(VLOOKUP(D2083,'Team Data'!C:AB,14,FALSE),"")</f>
        <v/>
      </c>
      <c r="J2083" t="str">
        <f>IFERROR(VLOOKUP(D2083,'Team Data'!C:AB,8,FALSE),"")</f>
        <v/>
      </c>
      <c r="K2083" t="str">
        <f>IFERROR(VLOOKUP(D2083,'Team Data'!C:AB,9,FALSE),"")</f>
        <v/>
      </c>
      <c r="L2083" t="str">
        <f>IFERROR(VLOOKUP(D2083,'Team Data'!C:AB,10,FALSE),"")</f>
        <v/>
      </c>
      <c r="M2083" t="str">
        <f t="shared" si="66"/>
        <v/>
      </c>
      <c r="N2083" t="str">
        <f>IFERROR(VLOOKUP(D2083,'Team Data'!C:AB,23,FALSE),"")</f>
        <v/>
      </c>
      <c r="O2083" t="str">
        <f>IFERROR(VLOOKUP(D2083,'Team Data'!C:AB,22,FALSE),"")</f>
        <v/>
      </c>
      <c r="P2083" t="str">
        <f t="shared" si="67"/>
        <v/>
      </c>
      <c r="Q2083" t="str">
        <f>IFERROR(VLOOKUP(D2083,'Team Data'!C:AB,15,FALSE),"")</f>
        <v/>
      </c>
      <c r="R2083" t="str">
        <f>IFERROR(VLOOKUP('OB Format'!D2083,'Team Data'!C:AB,24,FALSE),"")</f>
        <v/>
      </c>
      <c r="S2083" t="str">
        <f>IFERROR(VLOOKUP('OB Format'!D2083,'Team Data'!C:AC,25,FALSE),"")</f>
        <v/>
      </c>
    </row>
    <row r="2084" spans="5:19" x14ac:dyDescent="0.25">
      <c r="E2084" t="str">
        <f>IFERROR(VLOOKUP(D2084,'Team Data'!C:AB,4,FALSE),"")</f>
        <v/>
      </c>
      <c r="F2084" t="str">
        <f>IFERROR(VLOOKUP(D2084,'Team Data'!C:AB,5,FALSE),"")</f>
        <v/>
      </c>
      <c r="G2084" t="str">
        <f>IFERROR(VLOOKUP('OB Format'!D2084,'Team Data'!C:AB,17,FALSE),"")</f>
        <v/>
      </c>
      <c r="H2084" t="str">
        <f>IFERROR(VLOOKUP(D2084,'Team Data'!C:AB,7,FALSE),"")</f>
        <v/>
      </c>
      <c r="I2084" t="str">
        <f>IFERROR(VLOOKUP(D2084,'Team Data'!C:AB,14,FALSE),"")</f>
        <v/>
      </c>
      <c r="J2084" t="str">
        <f>IFERROR(VLOOKUP(D2084,'Team Data'!C:AB,8,FALSE),"")</f>
        <v/>
      </c>
      <c r="K2084" t="str">
        <f>IFERROR(VLOOKUP(D2084,'Team Data'!C:AB,9,FALSE),"")</f>
        <v/>
      </c>
      <c r="L2084" t="str">
        <f>IFERROR(VLOOKUP(D2084,'Team Data'!C:AB,10,FALSE),"")</f>
        <v/>
      </c>
      <c r="M2084" t="str">
        <f t="shared" si="66"/>
        <v/>
      </c>
      <c r="N2084" t="str">
        <f>IFERROR(VLOOKUP(D2084,'Team Data'!C:AB,23,FALSE),"")</f>
        <v/>
      </c>
      <c r="O2084" t="str">
        <f>IFERROR(VLOOKUP(D2084,'Team Data'!C:AB,22,FALSE),"")</f>
        <v/>
      </c>
      <c r="P2084" t="str">
        <f t="shared" si="67"/>
        <v/>
      </c>
      <c r="Q2084" t="str">
        <f>IFERROR(VLOOKUP(D2084,'Team Data'!C:AB,15,FALSE),"")</f>
        <v/>
      </c>
      <c r="R2084" t="str">
        <f>IFERROR(VLOOKUP('OB Format'!D2084,'Team Data'!C:AB,24,FALSE),"")</f>
        <v/>
      </c>
      <c r="S2084" t="str">
        <f>IFERROR(VLOOKUP('OB Format'!D2084,'Team Data'!C:AC,25,FALSE),"")</f>
        <v/>
      </c>
    </row>
    <row r="2085" spans="5:19" x14ac:dyDescent="0.25">
      <c r="E2085" t="str">
        <f>IFERROR(VLOOKUP(D2085,'Team Data'!C:AB,4,FALSE),"")</f>
        <v/>
      </c>
      <c r="F2085" t="str">
        <f>IFERROR(VLOOKUP(D2085,'Team Data'!C:AB,5,FALSE),"")</f>
        <v/>
      </c>
      <c r="G2085" t="str">
        <f>IFERROR(VLOOKUP('OB Format'!D2085,'Team Data'!C:AB,17,FALSE),"")</f>
        <v/>
      </c>
      <c r="H2085" t="str">
        <f>IFERROR(VLOOKUP(D2085,'Team Data'!C:AB,7,FALSE),"")</f>
        <v/>
      </c>
      <c r="I2085" t="str">
        <f>IFERROR(VLOOKUP(D2085,'Team Data'!C:AB,14,FALSE),"")</f>
        <v/>
      </c>
      <c r="J2085" t="str">
        <f>IFERROR(VLOOKUP(D2085,'Team Data'!C:AB,8,FALSE),"")</f>
        <v/>
      </c>
      <c r="K2085" t="str">
        <f>IFERROR(VLOOKUP(D2085,'Team Data'!C:AB,9,FALSE),"")</f>
        <v/>
      </c>
      <c r="L2085" t="str">
        <f>IFERROR(VLOOKUP(D2085,'Team Data'!C:AB,10,FALSE),"")</f>
        <v/>
      </c>
      <c r="M2085" t="str">
        <f t="shared" si="66"/>
        <v/>
      </c>
      <c r="N2085" t="str">
        <f>IFERROR(VLOOKUP(D2085,'Team Data'!C:AB,23,FALSE),"")</f>
        <v/>
      </c>
      <c r="O2085" t="str">
        <f>IFERROR(VLOOKUP(D2085,'Team Data'!C:AB,22,FALSE),"")</f>
        <v/>
      </c>
      <c r="P2085" t="str">
        <f t="shared" si="67"/>
        <v/>
      </c>
      <c r="Q2085" t="str">
        <f>IFERROR(VLOOKUP(D2085,'Team Data'!C:AB,15,FALSE),"")</f>
        <v/>
      </c>
      <c r="R2085" t="str">
        <f>IFERROR(VLOOKUP('OB Format'!D2085,'Team Data'!C:AB,24,FALSE),"")</f>
        <v/>
      </c>
      <c r="S2085" t="str">
        <f>IFERROR(VLOOKUP('OB Format'!D2085,'Team Data'!C:AC,25,FALSE),"")</f>
        <v/>
      </c>
    </row>
    <row r="2086" spans="5:19" x14ac:dyDescent="0.25">
      <c r="E2086" t="str">
        <f>IFERROR(VLOOKUP(D2086,'Team Data'!C:AB,4,FALSE),"")</f>
        <v/>
      </c>
      <c r="F2086" t="str">
        <f>IFERROR(VLOOKUP(D2086,'Team Data'!C:AB,5,FALSE),"")</f>
        <v/>
      </c>
      <c r="G2086" t="str">
        <f>IFERROR(VLOOKUP('OB Format'!D2086,'Team Data'!C:AB,17,FALSE),"")</f>
        <v/>
      </c>
      <c r="H2086" t="str">
        <f>IFERROR(VLOOKUP(D2086,'Team Data'!C:AB,7,FALSE),"")</f>
        <v/>
      </c>
      <c r="I2086" t="str">
        <f>IFERROR(VLOOKUP(D2086,'Team Data'!C:AB,14,FALSE),"")</f>
        <v/>
      </c>
      <c r="J2086" t="str">
        <f>IFERROR(VLOOKUP(D2086,'Team Data'!C:AB,8,FALSE),"")</f>
        <v/>
      </c>
      <c r="K2086" t="str">
        <f>IFERROR(VLOOKUP(D2086,'Team Data'!C:AB,9,FALSE),"")</f>
        <v/>
      </c>
      <c r="L2086" t="str">
        <f>IFERROR(VLOOKUP(D2086,'Team Data'!C:AB,10,FALSE),"")</f>
        <v/>
      </c>
      <c r="M2086" t="str">
        <f t="shared" si="66"/>
        <v/>
      </c>
      <c r="N2086" t="str">
        <f>IFERROR(VLOOKUP(D2086,'Team Data'!C:AB,23,FALSE),"")</f>
        <v/>
      </c>
      <c r="O2086" t="str">
        <f>IFERROR(VLOOKUP(D2086,'Team Data'!C:AB,22,FALSE),"")</f>
        <v/>
      </c>
      <c r="P2086" t="str">
        <f t="shared" si="67"/>
        <v/>
      </c>
      <c r="Q2086" t="str">
        <f>IFERROR(VLOOKUP(D2086,'Team Data'!C:AB,15,FALSE),"")</f>
        <v/>
      </c>
      <c r="R2086" t="str">
        <f>IFERROR(VLOOKUP('OB Format'!D2086,'Team Data'!C:AB,24,FALSE),"")</f>
        <v/>
      </c>
      <c r="S2086" t="str">
        <f>IFERROR(VLOOKUP('OB Format'!D2086,'Team Data'!C:AC,25,FALSE),"")</f>
        <v/>
      </c>
    </row>
    <row r="2087" spans="5:19" x14ac:dyDescent="0.25">
      <c r="E2087" t="str">
        <f>IFERROR(VLOOKUP(D2087,'Team Data'!C:AB,4,FALSE),"")</f>
        <v/>
      </c>
      <c r="F2087" t="str">
        <f>IFERROR(VLOOKUP(D2087,'Team Data'!C:AB,5,FALSE),"")</f>
        <v/>
      </c>
      <c r="G2087" t="str">
        <f>IFERROR(VLOOKUP('OB Format'!D2087,'Team Data'!C:AB,17,FALSE),"")</f>
        <v/>
      </c>
      <c r="H2087" t="str">
        <f>IFERROR(VLOOKUP(D2087,'Team Data'!C:AB,7,FALSE),"")</f>
        <v/>
      </c>
      <c r="I2087" t="str">
        <f>IFERROR(VLOOKUP(D2087,'Team Data'!C:AB,14,FALSE),"")</f>
        <v/>
      </c>
      <c r="J2087" t="str">
        <f>IFERROR(VLOOKUP(D2087,'Team Data'!C:AB,8,FALSE),"")</f>
        <v/>
      </c>
      <c r="K2087" t="str">
        <f>IFERROR(VLOOKUP(D2087,'Team Data'!C:AB,9,FALSE),"")</f>
        <v/>
      </c>
      <c r="L2087" t="str">
        <f>IFERROR(VLOOKUP(D2087,'Team Data'!C:AB,10,FALSE),"")</f>
        <v/>
      </c>
      <c r="M2087" t="str">
        <f t="shared" si="66"/>
        <v/>
      </c>
      <c r="N2087" t="str">
        <f>IFERROR(VLOOKUP(D2087,'Team Data'!C:AB,23,FALSE),"")</f>
        <v/>
      </c>
      <c r="O2087" t="str">
        <f>IFERROR(VLOOKUP(D2087,'Team Data'!C:AB,22,FALSE),"")</f>
        <v/>
      </c>
      <c r="P2087" t="str">
        <f t="shared" si="67"/>
        <v/>
      </c>
      <c r="Q2087" t="str">
        <f>IFERROR(VLOOKUP(D2087,'Team Data'!C:AB,15,FALSE),"")</f>
        <v/>
      </c>
      <c r="R2087" t="str">
        <f>IFERROR(VLOOKUP('OB Format'!D2087,'Team Data'!C:AB,24,FALSE),"")</f>
        <v/>
      </c>
      <c r="S2087" t="str">
        <f>IFERROR(VLOOKUP('OB Format'!D2087,'Team Data'!C:AC,25,FALSE),"")</f>
        <v/>
      </c>
    </row>
    <row r="2088" spans="5:19" x14ac:dyDescent="0.25">
      <c r="E2088" t="str">
        <f>IFERROR(VLOOKUP(D2088,'Team Data'!C:AB,4,FALSE),"")</f>
        <v/>
      </c>
      <c r="F2088" t="str">
        <f>IFERROR(VLOOKUP(D2088,'Team Data'!C:AB,5,FALSE),"")</f>
        <v/>
      </c>
      <c r="G2088" t="str">
        <f>IFERROR(VLOOKUP('OB Format'!D2088,'Team Data'!C:AB,17,FALSE),"")</f>
        <v/>
      </c>
      <c r="H2088" t="str">
        <f>IFERROR(VLOOKUP(D2088,'Team Data'!C:AB,7,FALSE),"")</f>
        <v/>
      </c>
      <c r="I2088" t="str">
        <f>IFERROR(VLOOKUP(D2088,'Team Data'!C:AB,14,FALSE),"")</f>
        <v/>
      </c>
      <c r="J2088" t="str">
        <f>IFERROR(VLOOKUP(D2088,'Team Data'!C:AB,8,FALSE),"")</f>
        <v/>
      </c>
      <c r="K2088" t="str">
        <f>IFERROR(VLOOKUP(D2088,'Team Data'!C:AB,9,FALSE),"")</f>
        <v/>
      </c>
      <c r="L2088" t="str">
        <f>IFERROR(VLOOKUP(D2088,'Team Data'!C:AB,10,FALSE),"")</f>
        <v/>
      </c>
      <c r="M2088" t="str">
        <f t="shared" si="66"/>
        <v/>
      </c>
      <c r="N2088" t="str">
        <f>IFERROR(VLOOKUP(D2088,'Team Data'!C:AB,23,FALSE),"")</f>
        <v/>
      </c>
      <c r="O2088" t="str">
        <f>IFERROR(VLOOKUP(D2088,'Team Data'!C:AB,22,FALSE),"")</f>
        <v/>
      </c>
      <c r="P2088" t="str">
        <f t="shared" si="67"/>
        <v/>
      </c>
      <c r="Q2088" t="str">
        <f>IFERROR(VLOOKUP(D2088,'Team Data'!C:AB,15,FALSE),"")</f>
        <v/>
      </c>
      <c r="R2088" t="str">
        <f>IFERROR(VLOOKUP('OB Format'!D2088,'Team Data'!C:AB,24,FALSE),"")</f>
        <v/>
      </c>
      <c r="S2088" t="str">
        <f>IFERROR(VLOOKUP('OB Format'!D2088,'Team Data'!C:AC,25,FALSE),"")</f>
        <v/>
      </c>
    </row>
    <row r="2089" spans="5:19" x14ac:dyDescent="0.25">
      <c r="E2089" t="str">
        <f>IFERROR(VLOOKUP(D2089,'Team Data'!C:AB,4,FALSE),"")</f>
        <v/>
      </c>
      <c r="F2089" t="str">
        <f>IFERROR(VLOOKUP(D2089,'Team Data'!C:AB,5,FALSE),"")</f>
        <v/>
      </c>
      <c r="G2089" t="str">
        <f>IFERROR(VLOOKUP('OB Format'!D2089,'Team Data'!C:AB,17,FALSE),"")</f>
        <v/>
      </c>
      <c r="H2089" t="str">
        <f>IFERROR(VLOOKUP(D2089,'Team Data'!C:AB,7,FALSE),"")</f>
        <v/>
      </c>
      <c r="I2089" t="str">
        <f>IFERROR(VLOOKUP(D2089,'Team Data'!C:AB,14,FALSE),"")</f>
        <v/>
      </c>
      <c r="J2089" t="str">
        <f>IFERROR(VLOOKUP(D2089,'Team Data'!C:AB,8,FALSE),"")</f>
        <v/>
      </c>
      <c r="K2089" t="str">
        <f>IFERROR(VLOOKUP(D2089,'Team Data'!C:AB,9,FALSE),"")</f>
        <v/>
      </c>
      <c r="L2089" t="str">
        <f>IFERROR(VLOOKUP(D2089,'Team Data'!C:AB,10,FALSE),"")</f>
        <v/>
      </c>
      <c r="M2089" t="str">
        <f t="shared" si="66"/>
        <v/>
      </c>
      <c r="N2089" t="str">
        <f>IFERROR(VLOOKUP(D2089,'Team Data'!C:AB,23,FALSE),"")</f>
        <v/>
      </c>
      <c r="O2089" t="str">
        <f>IFERROR(VLOOKUP(D2089,'Team Data'!C:AB,22,FALSE),"")</f>
        <v/>
      </c>
      <c r="P2089" t="str">
        <f t="shared" si="67"/>
        <v/>
      </c>
      <c r="Q2089" t="str">
        <f>IFERROR(VLOOKUP(D2089,'Team Data'!C:AB,15,FALSE),"")</f>
        <v/>
      </c>
      <c r="R2089" t="str">
        <f>IFERROR(VLOOKUP('OB Format'!D2089,'Team Data'!C:AB,24,FALSE),"")</f>
        <v/>
      </c>
      <c r="S2089" t="str">
        <f>IFERROR(VLOOKUP('OB Format'!D2089,'Team Data'!C:AC,25,FALSE),"")</f>
        <v/>
      </c>
    </row>
    <row r="2090" spans="5:19" x14ac:dyDescent="0.25">
      <c r="E2090" t="str">
        <f>IFERROR(VLOOKUP(D2090,'Team Data'!C:AB,4,FALSE),"")</f>
        <v/>
      </c>
      <c r="F2090" t="str">
        <f>IFERROR(VLOOKUP(D2090,'Team Data'!C:AB,5,FALSE),"")</f>
        <v/>
      </c>
      <c r="G2090" t="str">
        <f>IFERROR(VLOOKUP('OB Format'!D2090,'Team Data'!C:AB,17,FALSE),"")</f>
        <v/>
      </c>
      <c r="H2090" t="str">
        <f>IFERROR(VLOOKUP(D2090,'Team Data'!C:AB,7,FALSE),"")</f>
        <v/>
      </c>
      <c r="I2090" t="str">
        <f>IFERROR(VLOOKUP(D2090,'Team Data'!C:AB,14,FALSE),"")</f>
        <v/>
      </c>
      <c r="J2090" t="str">
        <f>IFERROR(VLOOKUP(D2090,'Team Data'!C:AB,8,FALSE),"")</f>
        <v/>
      </c>
      <c r="K2090" t="str">
        <f>IFERROR(VLOOKUP(D2090,'Team Data'!C:AB,9,FALSE),"")</f>
        <v/>
      </c>
      <c r="L2090" t="str">
        <f>IFERROR(VLOOKUP(D2090,'Team Data'!C:AB,10,FALSE),"")</f>
        <v/>
      </c>
      <c r="M2090" t="str">
        <f t="shared" si="66"/>
        <v/>
      </c>
      <c r="N2090" t="str">
        <f>IFERROR(VLOOKUP(D2090,'Team Data'!C:AB,23,FALSE),"")</f>
        <v/>
      </c>
      <c r="O2090" t="str">
        <f>IFERROR(VLOOKUP(D2090,'Team Data'!C:AB,22,FALSE),"")</f>
        <v/>
      </c>
      <c r="P2090" t="str">
        <f t="shared" si="67"/>
        <v/>
      </c>
      <c r="Q2090" t="str">
        <f>IFERROR(VLOOKUP(D2090,'Team Data'!C:AB,15,FALSE),"")</f>
        <v/>
      </c>
      <c r="R2090" t="str">
        <f>IFERROR(VLOOKUP('OB Format'!D2090,'Team Data'!C:AB,24,FALSE),"")</f>
        <v/>
      </c>
      <c r="S2090" t="str">
        <f>IFERROR(VLOOKUP('OB Format'!D2090,'Team Data'!C:AC,25,FALSE),"")</f>
        <v/>
      </c>
    </row>
    <row r="2091" spans="5:19" x14ac:dyDescent="0.25">
      <c r="E2091" t="str">
        <f>IFERROR(VLOOKUP(D2091,'Team Data'!C:AB,4,FALSE),"")</f>
        <v/>
      </c>
      <c r="F2091" t="str">
        <f>IFERROR(VLOOKUP(D2091,'Team Data'!C:AB,5,FALSE),"")</f>
        <v/>
      </c>
      <c r="G2091" t="str">
        <f>IFERROR(VLOOKUP('OB Format'!D2091,'Team Data'!C:AB,17,FALSE),"")</f>
        <v/>
      </c>
      <c r="H2091" t="str">
        <f>IFERROR(VLOOKUP(D2091,'Team Data'!C:AB,7,FALSE),"")</f>
        <v/>
      </c>
      <c r="I2091" t="str">
        <f>IFERROR(VLOOKUP(D2091,'Team Data'!C:AB,14,FALSE),"")</f>
        <v/>
      </c>
      <c r="J2091" t="str">
        <f>IFERROR(VLOOKUP(D2091,'Team Data'!C:AB,8,FALSE),"")</f>
        <v/>
      </c>
      <c r="K2091" t="str">
        <f>IFERROR(VLOOKUP(D2091,'Team Data'!C:AB,9,FALSE),"")</f>
        <v/>
      </c>
      <c r="L2091" t="str">
        <f>IFERROR(VLOOKUP(D2091,'Team Data'!C:AB,10,FALSE),"")</f>
        <v/>
      </c>
      <c r="M2091" t="str">
        <f t="shared" si="66"/>
        <v/>
      </c>
      <c r="N2091" t="str">
        <f>IFERROR(VLOOKUP(D2091,'Team Data'!C:AB,23,FALSE),"")</f>
        <v/>
      </c>
      <c r="O2091" t="str">
        <f>IFERROR(VLOOKUP(D2091,'Team Data'!C:AB,22,FALSE),"")</f>
        <v/>
      </c>
      <c r="P2091" t="str">
        <f t="shared" si="67"/>
        <v/>
      </c>
      <c r="Q2091" t="str">
        <f>IFERROR(VLOOKUP(D2091,'Team Data'!C:AB,15,FALSE),"")</f>
        <v/>
      </c>
      <c r="R2091" t="str">
        <f>IFERROR(VLOOKUP('OB Format'!D2091,'Team Data'!C:AB,24,FALSE),"")</f>
        <v/>
      </c>
      <c r="S2091" t="str">
        <f>IFERROR(VLOOKUP('OB Format'!D2091,'Team Data'!C:AC,25,FALSE),"")</f>
        <v/>
      </c>
    </row>
    <row r="2092" spans="5:19" x14ac:dyDescent="0.25">
      <c r="E2092" t="str">
        <f>IFERROR(VLOOKUP(D2092,'Team Data'!C:AB,4,FALSE),"")</f>
        <v/>
      </c>
      <c r="F2092" t="str">
        <f>IFERROR(VLOOKUP(D2092,'Team Data'!C:AB,5,FALSE),"")</f>
        <v/>
      </c>
      <c r="G2092" t="str">
        <f>IFERROR(VLOOKUP('OB Format'!D2092,'Team Data'!C:AB,17,FALSE),"")</f>
        <v/>
      </c>
      <c r="H2092" t="str">
        <f>IFERROR(VLOOKUP(D2092,'Team Data'!C:AB,7,FALSE),"")</f>
        <v/>
      </c>
      <c r="I2092" t="str">
        <f>IFERROR(VLOOKUP(D2092,'Team Data'!C:AB,14,FALSE),"")</f>
        <v/>
      </c>
      <c r="J2092" t="str">
        <f>IFERROR(VLOOKUP(D2092,'Team Data'!C:AB,8,FALSE),"")</f>
        <v/>
      </c>
      <c r="K2092" t="str">
        <f>IFERROR(VLOOKUP(D2092,'Team Data'!C:AB,9,FALSE),"")</f>
        <v/>
      </c>
      <c r="L2092" t="str">
        <f>IFERROR(VLOOKUP(D2092,'Team Data'!C:AB,10,FALSE),"")</f>
        <v/>
      </c>
      <c r="M2092" t="str">
        <f t="shared" si="66"/>
        <v/>
      </c>
      <c r="N2092" t="str">
        <f>IFERROR(VLOOKUP(D2092,'Team Data'!C:AB,23,FALSE),"")</f>
        <v/>
      </c>
      <c r="O2092" t="str">
        <f>IFERROR(VLOOKUP(D2092,'Team Data'!C:AB,22,FALSE),"")</f>
        <v/>
      </c>
      <c r="P2092" t="str">
        <f t="shared" si="67"/>
        <v/>
      </c>
      <c r="Q2092" t="str">
        <f>IFERROR(VLOOKUP(D2092,'Team Data'!C:AB,15,FALSE),"")</f>
        <v/>
      </c>
      <c r="R2092" t="str">
        <f>IFERROR(VLOOKUP('OB Format'!D2092,'Team Data'!C:AB,24,FALSE),"")</f>
        <v/>
      </c>
      <c r="S2092" t="str">
        <f>IFERROR(VLOOKUP('OB Format'!D2092,'Team Data'!C:AC,25,FALSE),"")</f>
        <v/>
      </c>
    </row>
    <row r="2093" spans="5:19" x14ac:dyDescent="0.25">
      <c r="E2093" t="str">
        <f>IFERROR(VLOOKUP(D2093,'Team Data'!C:AB,4,FALSE),"")</f>
        <v/>
      </c>
      <c r="F2093" t="str">
        <f>IFERROR(VLOOKUP(D2093,'Team Data'!C:AB,5,FALSE),"")</f>
        <v/>
      </c>
      <c r="G2093" t="str">
        <f>IFERROR(VLOOKUP('OB Format'!D2093,'Team Data'!C:AB,17,FALSE),"")</f>
        <v/>
      </c>
      <c r="H2093" t="str">
        <f>IFERROR(VLOOKUP(D2093,'Team Data'!C:AB,7,FALSE),"")</f>
        <v/>
      </c>
      <c r="I2093" t="str">
        <f>IFERROR(VLOOKUP(D2093,'Team Data'!C:AB,14,FALSE),"")</f>
        <v/>
      </c>
      <c r="J2093" t="str">
        <f>IFERROR(VLOOKUP(D2093,'Team Data'!C:AB,8,FALSE),"")</f>
        <v/>
      </c>
      <c r="K2093" t="str">
        <f>IFERROR(VLOOKUP(D2093,'Team Data'!C:AB,9,FALSE),"")</f>
        <v/>
      </c>
      <c r="L2093" t="str">
        <f>IFERROR(VLOOKUP(D2093,'Team Data'!C:AB,10,FALSE),"")</f>
        <v/>
      </c>
      <c r="M2093" t="str">
        <f t="shared" si="66"/>
        <v/>
      </c>
      <c r="N2093" t="str">
        <f>IFERROR(VLOOKUP(D2093,'Team Data'!C:AB,23,FALSE),"")</f>
        <v/>
      </c>
      <c r="O2093" t="str">
        <f>IFERROR(VLOOKUP(D2093,'Team Data'!C:AB,22,FALSE),"")</f>
        <v/>
      </c>
      <c r="P2093" t="str">
        <f t="shared" si="67"/>
        <v/>
      </c>
      <c r="Q2093" t="str">
        <f>IFERROR(VLOOKUP(D2093,'Team Data'!C:AB,15,FALSE),"")</f>
        <v/>
      </c>
      <c r="R2093" t="str">
        <f>IFERROR(VLOOKUP('OB Format'!D2093,'Team Data'!C:AB,24,FALSE),"")</f>
        <v/>
      </c>
      <c r="S2093" t="str">
        <f>IFERROR(VLOOKUP('OB Format'!D2093,'Team Data'!C:AC,25,FALSE),"")</f>
        <v/>
      </c>
    </row>
    <row r="2094" spans="5:19" x14ac:dyDescent="0.25">
      <c r="E2094" t="str">
        <f>IFERROR(VLOOKUP(D2094,'Team Data'!C:AB,4,FALSE),"")</f>
        <v/>
      </c>
      <c r="F2094" t="str">
        <f>IFERROR(VLOOKUP(D2094,'Team Data'!C:AB,5,FALSE),"")</f>
        <v/>
      </c>
      <c r="G2094" t="str">
        <f>IFERROR(VLOOKUP('OB Format'!D2094,'Team Data'!C:AB,17,FALSE),"")</f>
        <v/>
      </c>
      <c r="H2094" t="str">
        <f>IFERROR(VLOOKUP(D2094,'Team Data'!C:AB,7,FALSE),"")</f>
        <v/>
      </c>
      <c r="I2094" t="str">
        <f>IFERROR(VLOOKUP(D2094,'Team Data'!C:AB,14,FALSE),"")</f>
        <v/>
      </c>
      <c r="J2094" t="str">
        <f>IFERROR(VLOOKUP(D2094,'Team Data'!C:AB,8,FALSE),"")</f>
        <v/>
      </c>
      <c r="K2094" t="str">
        <f>IFERROR(VLOOKUP(D2094,'Team Data'!C:AB,9,FALSE),"")</f>
        <v/>
      </c>
      <c r="L2094" t="str">
        <f>IFERROR(VLOOKUP(D2094,'Team Data'!C:AB,10,FALSE),"")</f>
        <v/>
      </c>
      <c r="M2094" t="str">
        <f t="shared" si="66"/>
        <v/>
      </c>
      <c r="N2094" t="str">
        <f>IFERROR(VLOOKUP(D2094,'Team Data'!C:AB,23,FALSE),"")</f>
        <v/>
      </c>
      <c r="O2094" t="str">
        <f>IFERROR(VLOOKUP(D2094,'Team Data'!C:AB,22,FALSE),"")</f>
        <v/>
      </c>
      <c r="P2094" t="str">
        <f t="shared" si="67"/>
        <v/>
      </c>
      <c r="Q2094" t="str">
        <f>IFERROR(VLOOKUP(D2094,'Team Data'!C:AB,15,FALSE),"")</f>
        <v/>
      </c>
      <c r="R2094" t="str">
        <f>IFERROR(VLOOKUP('OB Format'!D2094,'Team Data'!C:AB,24,FALSE),"")</f>
        <v/>
      </c>
      <c r="S2094" t="str">
        <f>IFERROR(VLOOKUP('OB Format'!D2094,'Team Data'!C:AC,25,FALSE),"")</f>
        <v/>
      </c>
    </row>
    <row r="2095" spans="5:19" x14ac:dyDescent="0.25">
      <c r="E2095" t="str">
        <f>IFERROR(VLOOKUP(D2095,'Team Data'!C:AB,4,FALSE),"")</f>
        <v/>
      </c>
      <c r="F2095" t="str">
        <f>IFERROR(VLOOKUP(D2095,'Team Data'!C:AB,5,FALSE),"")</f>
        <v/>
      </c>
      <c r="G2095" t="str">
        <f>IFERROR(VLOOKUP('OB Format'!D2095,'Team Data'!C:AB,17,FALSE),"")</f>
        <v/>
      </c>
      <c r="H2095" t="str">
        <f>IFERROR(VLOOKUP(D2095,'Team Data'!C:AB,7,FALSE),"")</f>
        <v/>
      </c>
      <c r="I2095" t="str">
        <f>IFERROR(VLOOKUP(D2095,'Team Data'!C:AB,14,FALSE),"")</f>
        <v/>
      </c>
      <c r="J2095" t="str">
        <f>IFERROR(VLOOKUP(D2095,'Team Data'!C:AB,8,FALSE),"")</f>
        <v/>
      </c>
      <c r="K2095" t="str">
        <f>IFERROR(VLOOKUP(D2095,'Team Data'!C:AB,9,FALSE),"")</f>
        <v/>
      </c>
      <c r="L2095" t="str">
        <f>IFERROR(VLOOKUP(D2095,'Team Data'!C:AB,10,FALSE),"")</f>
        <v/>
      </c>
      <c r="M2095" t="str">
        <f t="shared" si="66"/>
        <v/>
      </c>
      <c r="N2095" t="str">
        <f>IFERROR(VLOOKUP(D2095,'Team Data'!C:AB,23,FALSE),"")</f>
        <v/>
      </c>
      <c r="O2095" t="str">
        <f>IFERROR(VLOOKUP(D2095,'Team Data'!C:AB,22,FALSE),"")</f>
        <v/>
      </c>
      <c r="P2095" t="str">
        <f t="shared" si="67"/>
        <v/>
      </c>
      <c r="Q2095" t="str">
        <f>IFERROR(VLOOKUP(D2095,'Team Data'!C:AB,15,FALSE),"")</f>
        <v/>
      </c>
      <c r="R2095" t="str">
        <f>IFERROR(VLOOKUP('OB Format'!D2095,'Team Data'!C:AB,24,FALSE),"")</f>
        <v/>
      </c>
      <c r="S2095" t="str">
        <f>IFERROR(VLOOKUP('OB Format'!D2095,'Team Data'!C:AC,25,FALSE),"")</f>
        <v/>
      </c>
    </row>
    <row r="2096" spans="5:19" x14ac:dyDescent="0.25">
      <c r="E2096" t="str">
        <f>IFERROR(VLOOKUP(D2096,'Team Data'!C:AB,4,FALSE),"")</f>
        <v/>
      </c>
      <c r="F2096" t="str">
        <f>IFERROR(VLOOKUP(D2096,'Team Data'!C:AB,5,FALSE),"")</f>
        <v/>
      </c>
      <c r="G2096" t="str">
        <f>IFERROR(VLOOKUP('OB Format'!D2096,'Team Data'!C:AB,17,FALSE),"")</f>
        <v/>
      </c>
      <c r="H2096" t="str">
        <f>IFERROR(VLOOKUP(D2096,'Team Data'!C:AB,7,FALSE),"")</f>
        <v/>
      </c>
      <c r="I2096" t="str">
        <f>IFERROR(VLOOKUP(D2096,'Team Data'!C:AB,14,FALSE),"")</f>
        <v/>
      </c>
      <c r="J2096" t="str">
        <f>IFERROR(VLOOKUP(D2096,'Team Data'!C:AB,8,FALSE),"")</f>
        <v/>
      </c>
      <c r="K2096" t="str">
        <f>IFERROR(VLOOKUP(D2096,'Team Data'!C:AB,9,FALSE),"")</f>
        <v/>
      </c>
      <c r="L2096" t="str">
        <f>IFERROR(VLOOKUP(D2096,'Team Data'!C:AB,10,FALSE),"")</f>
        <v/>
      </c>
      <c r="M2096" t="str">
        <f t="shared" si="66"/>
        <v/>
      </c>
      <c r="N2096" t="str">
        <f>IFERROR(VLOOKUP(D2096,'Team Data'!C:AB,23,FALSE),"")</f>
        <v/>
      </c>
      <c r="O2096" t="str">
        <f>IFERROR(VLOOKUP(D2096,'Team Data'!C:AB,22,FALSE),"")</f>
        <v/>
      </c>
      <c r="P2096" t="str">
        <f t="shared" si="67"/>
        <v/>
      </c>
      <c r="Q2096" t="str">
        <f>IFERROR(VLOOKUP(D2096,'Team Data'!C:AB,15,FALSE),"")</f>
        <v/>
      </c>
      <c r="R2096" t="str">
        <f>IFERROR(VLOOKUP('OB Format'!D2096,'Team Data'!C:AB,24,FALSE),"")</f>
        <v/>
      </c>
      <c r="S2096" t="str">
        <f>IFERROR(VLOOKUP('OB Format'!D2096,'Team Data'!C:AC,25,FALSE),"")</f>
        <v/>
      </c>
    </row>
    <row r="2097" spans="5:19" x14ac:dyDescent="0.25">
      <c r="E2097" t="str">
        <f>IFERROR(VLOOKUP(D2097,'Team Data'!C:AB,4,FALSE),"")</f>
        <v/>
      </c>
      <c r="F2097" t="str">
        <f>IFERROR(VLOOKUP(D2097,'Team Data'!C:AB,5,FALSE),"")</f>
        <v/>
      </c>
      <c r="G2097" t="str">
        <f>IFERROR(VLOOKUP('OB Format'!D2097,'Team Data'!C:AB,17,FALSE),"")</f>
        <v/>
      </c>
      <c r="H2097" t="str">
        <f>IFERROR(VLOOKUP(D2097,'Team Data'!C:AB,7,FALSE),"")</f>
        <v/>
      </c>
      <c r="I2097" t="str">
        <f>IFERROR(VLOOKUP(D2097,'Team Data'!C:AB,14,FALSE),"")</f>
        <v/>
      </c>
      <c r="J2097" t="str">
        <f>IFERROR(VLOOKUP(D2097,'Team Data'!C:AB,8,FALSE),"")</f>
        <v/>
      </c>
      <c r="K2097" t="str">
        <f>IFERROR(VLOOKUP(D2097,'Team Data'!C:AB,9,FALSE),"")</f>
        <v/>
      </c>
      <c r="L2097" t="str">
        <f>IFERROR(VLOOKUP(D2097,'Team Data'!C:AB,10,FALSE),"")</f>
        <v/>
      </c>
      <c r="M2097" t="str">
        <f t="shared" si="66"/>
        <v/>
      </c>
      <c r="N2097" t="str">
        <f>IFERROR(VLOOKUP(D2097,'Team Data'!C:AB,23,FALSE),"")</f>
        <v/>
      </c>
      <c r="O2097" t="str">
        <f>IFERROR(VLOOKUP(D2097,'Team Data'!C:AB,22,FALSE),"")</f>
        <v/>
      </c>
      <c r="P2097" t="str">
        <f t="shared" si="67"/>
        <v/>
      </c>
      <c r="Q2097" t="str">
        <f>IFERROR(VLOOKUP(D2097,'Team Data'!C:AB,15,FALSE),"")</f>
        <v/>
      </c>
      <c r="R2097" t="str">
        <f>IFERROR(VLOOKUP('OB Format'!D2097,'Team Data'!C:AB,24,FALSE),"")</f>
        <v/>
      </c>
      <c r="S2097" t="str">
        <f>IFERROR(VLOOKUP('OB Format'!D2097,'Team Data'!C:AC,25,FALSE),"")</f>
        <v/>
      </c>
    </row>
    <row r="2098" spans="5:19" x14ac:dyDescent="0.25">
      <c r="E2098" t="str">
        <f>IFERROR(VLOOKUP(D2098,'Team Data'!C:AB,4,FALSE),"")</f>
        <v/>
      </c>
      <c r="F2098" t="str">
        <f>IFERROR(VLOOKUP(D2098,'Team Data'!C:AB,5,FALSE),"")</f>
        <v/>
      </c>
      <c r="G2098" t="str">
        <f>IFERROR(VLOOKUP('OB Format'!D2098,'Team Data'!C:AB,17,FALSE),"")</f>
        <v/>
      </c>
      <c r="H2098" t="str">
        <f>IFERROR(VLOOKUP(D2098,'Team Data'!C:AB,7,FALSE),"")</f>
        <v/>
      </c>
      <c r="I2098" t="str">
        <f>IFERROR(VLOOKUP(D2098,'Team Data'!C:AB,14,FALSE),"")</f>
        <v/>
      </c>
      <c r="J2098" t="str">
        <f>IFERROR(VLOOKUP(D2098,'Team Data'!C:AB,8,FALSE),"")</f>
        <v/>
      </c>
      <c r="K2098" t="str">
        <f>IFERROR(VLOOKUP(D2098,'Team Data'!C:AB,9,FALSE),"")</f>
        <v/>
      </c>
      <c r="L2098" t="str">
        <f>IFERROR(VLOOKUP(D2098,'Team Data'!C:AB,10,FALSE),"")</f>
        <v/>
      </c>
      <c r="M2098" t="str">
        <f t="shared" si="66"/>
        <v/>
      </c>
      <c r="N2098" t="str">
        <f>IFERROR(VLOOKUP(D2098,'Team Data'!C:AB,23,FALSE),"")</f>
        <v/>
      </c>
      <c r="O2098" t="str">
        <f>IFERROR(VLOOKUP(D2098,'Team Data'!C:AB,22,FALSE),"")</f>
        <v/>
      </c>
      <c r="P2098" t="str">
        <f t="shared" si="67"/>
        <v/>
      </c>
      <c r="Q2098" t="str">
        <f>IFERROR(VLOOKUP(D2098,'Team Data'!C:AB,15,FALSE),"")</f>
        <v/>
      </c>
      <c r="R2098" t="str">
        <f>IFERROR(VLOOKUP('OB Format'!D2098,'Team Data'!C:AB,24,FALSE),"")</f>
        <v/>
      </c>
      <c r="S2098" t="str">
        <f>IFERROR(VLOOKUP('OB Format'!D2098,'Team Data'!C:AC,25,FALSE),"")</f>
        <v/>
      </c>
    </row>
    <row r="2099" spans="5:19" x14ac:dyDescent="0.25">
      <c r="E2099" t="str">
        <f>IFERROR(VLOOKUP(D2099,'Team Data'!C:AB,4,FALSE),"")</f>
        <v/>
      </c>
      <c r="F2099" t="str">
        <f>IFERROR(VLOOKUP(D2099,'Team Data'!C:AB,5,FALSE),"")</f>
        <v/>
      </c>
      <c r="G2099" t="str">
        <f>IFERROR(VLOOKUP('OB Format'!D2099,'Team Data'!C:AB,17,FALSE),"")</f>
        <v/>
      </c>
      <c r="H2099" t="str">
        <f>IFERROR(VLOOKUP(D2099,'Team Data'!C:AB,7,FALSE),"")</f>
        <v/>
      </c>
      <c r="I2099" t="str">
        <f>IFERROR(VLOOKUP(D2099,'Team Data'!C:AB,14,FALSE),"")</f>
        <v/>
      </c>
      <c r="J2099" t="str">
        <f>IFERROR(VLOOKUP(D2099,'Team Data'!C:AB,8,FALSE),"")</f>
        <v/>
      </c>
      <c r="K2099" t="str">
        <f>IFERROR(VLOOKUP(D2099,'Team Data'!C:AB,9,FALSE),"")</f>
        <v/>
      </c>
      <c r="L2099" t="str">
        <f>IFERROR(VLOOKUP(D2099,'Team Data'!C:AB,10,FALSE),"")</f>
        <v/>
      </c>
      <c r="M2099" t="str">
        <f t="shared" si="66"/>
        <v/>
      </c>
      <c r="N2099" t="str">
        <f>IFERROR(VLOOKUP(D2099,'Team Data'!C:AB,23,FALSE),"")</f>
        <v/>
      </c>
      <c r="O2099" t="str">
        <f>IFERROR(VLOOKUP(D2099,'Team Data'!C:AB,22,FALSE),"")</f>
        <v/>
      </c>
      <c r="P2099" t="str">
        <f t="shared" si="67"/>
        <v/>
      </c>
      <c r="Q2099" t="str">
        <f>IFERROR(VLOOKUP(D2099,'Team Data'!C:AB,15,FALSE),"")</f>
        <v/>
      </c>
      <c r="R2099" t="str">
        <f>IFERROR(VLOOKUP('OB Format'!D2099,'Team Data'!C:AB,24,FALSE),"")</f>
        <v/>
      </c>
      <c r="S2099" t="str">
        <f>IFERROR(VLOOKUP('OB Format'!D2099,'Team Data'!C:AC,25,FALSE),"")</f>
        <v/>
      </c>
    </row>
    <row r="2100" spans="5:19" x14ac:dyDescent="0.25">
      <c r="E2100" t="str">
        <f>IFERROR(VLOOKUP(D2100,'Team Data'!C:AB,4,FALSE),"")</f>
        <v/>
      </c>
      <c r="F2100" t="str">
        <f>IFERROR(VLOOKUP(D2100,'Team Data'!C:AB,5,FALSE),"")</f>
        <v/>
      </c>
      <c r="G2100" t="str">
        <f>IFERROR(VLOOKUP('OB Format'!D2100,'Team Data'!C:AB,17,FALSE),"")</f>
        <v/>
      </c>
      <c r="H2100" t="str">
        <f>IFERROR(VLOOKUP(D2100,'Team Data'!C:AB,7,FALSE),"")</f>
        <v/>
      </c>
      <c r="I2100" t="str">
        <f>IFERROR(VLOOKUP(D2100,'Team Data'!C:AB,14,FALSE),"")</f>
        <v/>
      </c>
      <c r="J2100" t="str">
        <f>IFERROR(VLOOKUP(D2100,'Team Data'!C:AB,8,FALSE),"")</f>
        <v/>
      </c>
      <c r="K2100" t="str">
        <f>IFERROR(VLOOKUP(D2100,'Team Data'!C:AB,9,FALSE),"")</f>
        <v/>
      </c>
      <c r="L2100" t="str">
        <f>IFERROR(VLOOKUP(D2100,'Team Data'!C:AB,10,FALSE),"")</f>
        <v/>
      </c>
      <c r="M2100" t="str">
        <f t="shared" si="66"/>
        <v/>
      </c>
      <c r="N2100" t="str">
        <f>IFERROR(VLOOKUP(D2100,'Team Data'!C:AB,23,FALSE),"")</f>
        <v/>
      </c>
      <c r="O2100" t="str">
        <f>IFERROR(VLOOKUP(D2100,'Team Data'!C:AB,22,FALSE),"")</f>
        <v/>
      </c>
      <c r="P2100" t="str">
        <f t="shared" si="67"/>
        <v/>
      </c>
      <c r="Q2100" t="str">
        <f>IFERROR(VLOOKUP(D2100,'Team Data'!C:AB,15,FALSE),"")</f>
        <v/>
      </c>
      <c r="R2100" t="str">
        <f>IFERROR(VLOOKUP('OB Format'!D2100,'Team Data'!C:AB,24,FALSE),"")</f>
        <v/>
      </c>
      <c r="S2100" t="str">
        <f>IFERROR(VLOOKUP('OB Format'!D2100,'Team Data'!C:AC,25,FALSE),"")</f>
        <v/>
      </c>
    </row>
    <row r="2101" spans="5:19" x14ac:dyDescent="0.25">
      <c r="E2101" t="str">
        <f>IFERROR(VLOOKUP(D2101,'Team Data'!C:AB,4,FALSE),"")</f>
        <v/>
      </c>
      <c r="F2101" t="str">
        <f>IFERROR(VLOOKUP(D2101,'Team Data'!C:AB,5,FALSE),"")</f>
        <v/>
      </c>
      <c r="G2101" t="str">
        <f>IFERROR(VLOOKUP('OB Format'!D2101,'Team Data'!C:AB,17,FALSE),"")</f>
        <v/>
      </c>
      <c r="H2101" t="str">
        <f>IFERROR(VLOOKUP(D2101,'Team Data'!C:AB,7,FALSE),"")</f>
        <v/>
      </c>
      <c r="I2101" t="str">
        <f>IFERROR(VLOOKUP(D2101,'Team Data'!C:AB,14,FALSE),"")</f>
        <v/>
      </c>
      <c r="J2101" t="str">
        <f>IFERROR(VLOOKUP(D2101,'Team Data'!C:AB,8,FALSE),"")</f>
        <v/>
      </c>
      <c r="K2101" t="str">
        <f>IFERROR(VLOOKUP(D2101,'Team Data'!C:AB,9,FALSE),"")</f>
        <v/>
      </c>
      <c r="L2101" t="str">
        <f>IFERROR(VLOOKUP(D2101,'Team Data'!C:AB,10,FALSE),"")</f>
        <v/>
      </c>
      <c r="M2101" t="str">
        <f t="shared" si="66"/>
        <v/>
      </c>
      <c r="N2101" t="str">
        <f>IFERROR(VLOOKUP(D2101,'Team Data'!C:AB,23,FALSE),"")</f>
        <v/>
      </c>
      <c r="O2101" t="str">
        <f>IFERROR(VLOOKUP(D2101,'Team Data'!C:AB,22,FALSE),"")</f>
        <v/>
      </c>
      <c r="P2101" t="str">
        <f t="shared" si="67"/>
        <v/>
      </c>
      <c r="Q2101" t="str">
        <f>IFERROR(VLOOKUP(D2101,'Team Data'!C:AB,15,FALSE),"")</f>
        <v/>
      </c>
      <c r="R2101" t="str">
        <f>IFERROR(VLOOKUP('OB Format'!D2101,'Team Data'!C:AB,24,FALSE),"")</f>
        <v/>
      </c>
      <c r="S2101" t="str">
        <f>IFERROR(VLOOKUP('OB Format'!D2101,'Team Data'!C:AC,25,FALSE),"")</f>
        <v/>
      </c>
    </row>
    <row r="2102" spans="5:19" x14ac:dyDescent="0.25">
      <c r="E2102" t="str">
        <f>IFERROR(VLOOKUP(D2102,'Team Data'!C:AB,4,FALSE),"")</f>
        <v/>
      </c>
      <c r="F2102" t="str">
        <f>IFERROR(VLOOKUP(D2102,'Team Data'!C:AB,5,FALSE),"")</f>
        <v/>
      </c>
      <c r="G2102" t="str">
        <f>IFERROR(VLOOKUP('OB Format'!D2102,'Team Data'!C:AB,17,FALSE),"")</f>
        <v/>
      </c>
      <c r="H2102" t="str">
        <f>IFERROR(VLOOKUP(D2102,'Team Data'!C:AB,7,FALSE),"")</f>
        <v/>
      </c>
      <c r="I2102" t="str">
        <f>IFERROR(VLOOKUP(D2102,'Team Data'!C:AB,14,FALSE),"")</f>
        <v/>
      </c>
      <c r="J2102" t="str">
        <f>IFERROR(VLOOKUP(D2102,'Team Data'!C:AB,8,FALSE),"")</f>
        <v/>
      </c>
      <c r="K2102" t="str">
        <f>IFERROR(VLOOKUP(D2102,'Team Data'!C:AB,9,FALSE),"")</f>
        <v/>
      </c>
      <c r="L2102" t="str">
        <f>IFERROR(VLOOKUP(D2102,'Team Data'!C:AB,10,FALSE),"")</f>
        <v/>
      </c>
      <c r="M2102" t="str">
        <f t="shared" si="66"/>
        <v/>
      </c>
      <c r="N2102" t="str">
        <f>IFERROR(VLOOKUP(D2102,'Team Data'!C:AB,23,FALSE),"")</f>
        <v/>
      </c>
      <c r="O2102" t="str">
        <f>IFERROR(VLOOKUP(D2102,'Team Data'!C:AB,22,FALSE),"")</f>
        <v/>
      </c>
      <c r="P2102" t="str">
        <f t="shared" si="67"/>
        <v/>
      </c>
      <c r="Q2102" t="str">
        <f>IFERROR(VLOOKUP(D2102,'Team Data'!C:AB,15,FALSE),"")</f>
        <v/>
      </c>
      <c r="R2102" t="str">
        <f>IFERROR(VLOOKUP('OB Format'!D2102,'Team Data'!C:AB,24,FALSE),"")</f>
        <v/>
      </c>
      <c r="S2102" t="str">
        <f>IFERROR(VLOOKUP('OB Format'!D2102,'Team Data'!C:AC,25,FALSE),"")</f>
        <v/>
      </c>
    </row>
    <row r="2103" spans="5:19" x14ac:dyDescent="0.25">
      <c r="E2103" t="str">
        <f>IFERROR(VLOOKUP(D2103,'Team Data'!C:AB,4,FALSE),"")</f>
        <v/>
      </c>
      <c r="F2103" t="str">
        <f>IFERROR(VLOOKUP(D2103,'Team Data'!C:AB,5,FALSE),"")</f>
        <v/>
      </c>
      <c r="G2103" t="str">
        <f>IFERROR(VLOOKUP('OB Format'!D2103,'Team Data'!C:AB,17,FALSE),"")</f>
        <v/>
      </c>
      <c r="H2103" t="str">
        <f>IFERROR(VLOOKUP(D2103,'Team Data'!C:AB,7,FALSE),"")</f>
        <v/>
      </c>
      <c r="I2103" t="str">
        <f>IFERROR(VLOOKUP(D2103,'Team Data'!C:AB,14,FALSE),"")</f>
        <v/>
      </c>
      <c r="J2103" t="str">
        <f>IFERROR(VLOOKUP(D2103,'Team Data'!C:AB,8,FALSE),"")</f>
        <v/>
      </c>
      <c r="K2103" t="str">
        <f>IFERROR(VLOOKUP(D2103,'Team Data'!C:AB,9,FALSE),"")</f>
        <v/>
      </c>
      <c r="L2103" t="str">
        <f>IFERROR(VLOOKUP(D2103,'Team Data'!C:AB,10,FALSE),"")</f>
        <v/>
      </c>
      <c r="M2103" t="str">
        <f t="shared" si="66"/>
        <v/>
      </c>
      <c r="N2103" t="str">
        <f>IFERROR(VLOOKUP(D2103,'Team Data'!C:AB,23,FALSE),"")</f>
        <v/>
      </c>
      <c r="O2103" t="str">
        <f>IFERROR(VLOOKUP(D2103,'Team Data'!C:AB,22,FALSE),"")</f>
        <v/>
      </c>
      <c r="P2103" t="str">
        <f t="shared" si="67"/>
        <v/>
      </c>
      <c r="Q2103" t="str">
        <f>IFERROR(VLOOKUP(D2103,'Team Data'!C:AB,15,FALSE),"")</f>
        <v/>
      </c>
      <c r="R2103" t="str">
        <f>IFERROR(VLOOKUP('OB Format'!D2103,'Team Data'!C:AB,24,FALSE),"")</f>
        <v/>
      </c>
      <c r="S2103" t="str">
        <f>IFERROR(VLOOKUP('OB Format'!D2103,'Team Data'!C:AC,25,FALSE),"")</f>
        <v/>
      </c>
    </row>
    <row r="2104" spans="5:19" x14ac:dyDescent="0.25">
      <c r="E2104" t="str">
        <f>IFERROR(VLOOKUP(D2104,'Team Data'!C:AB,4,FALSE),"")</f>
        <v/>
      </c>
      <c r="F2104" t="str">
        <f>IFERROR(VLOOKUP(D2104,'Team Data'!C:AB,5,FALSE),"")</f>
        <v/>
      </c>
      <c r="G2104" t="str">
        <f>IFERROR(VLOOKUP('OB Format'!D2104,'Team Data'!C:AB,17,FALSE),"")</f>
        <v/>
      </c>
      <c r="H2104" t="str">
        <f>IFERROR(VLOOKUP(D2104,'Team Data'!C:AB,7,FALSE),"")</f>
        <v/>
      </c>
      <c r="I2104" t="str">
        <f>IFERROR(VLOOKUP(D2104,'Team Data'!C:AB,14,FALSE),"")</f>
        <v/>
      </c>
      <c r="J2104" t="str">
        <f>IFERROR(VLOOKUP(D2104,'Team Data'!C:AB,8,FALSE),"")</f>
        <v/>
      </c>
      <c r="K2104" t="str">
        <f>IFERROR(VLOOKUP(D2104,'Team Data'!C:AB,9,FALSE),"")</f>
        <v/>
      </c>
      <c r="L2104" t="str">
        <f>IFERROR(VLOOKUP(D2104,'Team Data'!C:AB,10,FALSE),"")</f>
        <v/>
      </c>
      <c r="M2104" t="str">
        <f t="shared" si="66"/>
        <v/>
      </c>
      <c r="N2104" t="str">
        <f>IFERROR(VLOOKUP(D2104,'Team Data'!C:AB,23,FALSE),"")</f>
        <v/>
      </c>
      <c r="O2104" t="str">
        <f>IFERROR(VLOOKUP(D2104,'Team Data'!C:AB,22,FALSE),"")</f>
        <v/>
      </c>
      <c r="P2104" t="str">
        <f t="shared" si="67"/>
        <v/>
      </c>
      <c r="Q2104" t="str">
        <f>IFERROR(VLOOKUP(D2104,'Team Data'!C:AB,15,FALSE),"")</f>
        <v/>
      </c>
      <c r="R2104" t="str">
        <f>IFERROR(VLOOKUP('OB Format'!D2104,'Team Data'!C:AB,24,FALSE),"")</f>
        <v/>
      </c>
      <c r="S2104" t="str">
        <f>IFERROR(VLOOKUP('OB Format'!D2104,'Team Data'!C:AC,25,FALSE),"")</f>
        <v/>
      </c>
    </row>
    <row r="2105" spans="5:19" x14ac:dyDescent="0.25">
      <c r="E2105" t="str">
        <f>IFERROR(VLOOKUP(D2105,'Team Data'!C:AB,4,FALSE),"")</f>
        <v/>
      </c>
      <c r="F2105" t="str">
        <f>IFERROR(VLOOKUP(D2105,'Team Data'!C:AB,5,FALSE),"")</f>
        <v/>
      </c>
      <c r="G2105" t="str">
        <f>IFERROR(VLOOKUP('OB Format'!D2105,'Team Data'!C:AB,17,FALSE),"")</f>
        <v/>
      </c>
      <c r="H2105" t="str">
        <f>IFERROR(VLOOKUP(D2105,'Team Data'!C:AB,7,FALSE),"")</f>
        <v/>
      </c>
      <c r="I2105" t="str">
        <f>IFERROR(VLOOKUP(D2105,'Team Data'!C:AB,14,FALSE),"")</f>
        <v/>
      </c>
      <c r="J2105" t="str">
        <f>IFERROR(VLOOKUP(D2105,'Team Data'!C:AB,8,FALSE),"")</f>
        <v/>
      </c>
      <c r="K2105" t="str">
        <f>IFERROR(VLOOKUP(D2105,'Team Data'!C:AB,9,FALSE),"")</f>
        <v/>
      </c>
      <c r="L2105" t="str">
        <f>IFERROR(VLOOKUP(D2105,'Team Data'!C:AB,10,FALSE),"")</f>
        <v/>
      </c>
      <c r="M2105" t="str">
        <f t="shared" si="66"/>
        <v/>
      </c>
      <c r="N2105" t="str">
        <f>IFERROR(VLOOKUP(D2105,'Team Data'!C:AB,23,FALSE),"")</f>
        <v/>
      </c>
      <c r="O2105" t="str">
        <f>IFERROR(VLOOKUP(D2105,'Team Data'!C:AB,22,FALSE),"")</f>
        <v/>
      </c>
      <c r="P2105" t="str">
        <f t="shared" si="67"/>
        <v/>
      </c>
      <c r="Q2105" t="str">
        <f>IFERROR(VLOOKUP(D2105,'Team Data'!C:AB,15,FALSE),"")</f>
        <v/>
      </c>
      <c r="R2105" t="str">
        <f>IFERROR(VLOOKUP('OB Format'!D2105,'Team Data'!C:AB,24,FALSE),"")</f>
        <v/>
      </c>
      <c r="S2105" t="str">
        <f>IFERROR(VLOOKUP('OB Format'!D2105,'Team Data'!C:AC,25,FALSE),"")</f>
        <v/>
      </c>
    </row>
    <row r="2106" spans="5:19" x14ac:dyDescent="0.25">
      <c r="E2106" t="str">
        <f>IFERROR(VLOOKUP(D2106,'Team Data'!C:AB,4,FALSE),"")</f>
        <v/>
      </c>
      <c r="F2106" t="str">
        <f>IFERROR(VLOOKUP(D2106,'Team Data'!C:AB,5,FALSE),"")</f>
        <v/>
      </c>
      <c r="G2106" t="str">
        <f>IFERROR(VLOOKUP('OB Format'!D2106,'Team Data'!C:AB,17,FALSE),"")</f>
        <v/>
      </c>
      <c r="H2106" t="str">
        <f>IFERROR(VLOOKUP(D2106,'Team Data'!C:AB,7,FALSE),"")</f>
        <v/>
      </c>
      <c r="I2106" t="str">
        <f>IFERROR(VLOOKUP(D2106,'Team Data'!C:AB,14,FALSE),"")</f>
        <v/>
      </c>
      <c r="J2106" t="str">
        <f>IFERROR(VLOOKUP(D2106,'Team Data'!C:AB,8,FALSE),"")</f>
        <v/>
      </c>
      <c r="K2106" t="str">
        <f>IFERROR(VLOOKUP(D2106,'Team Data'!C:AB,9,FALSE),"")</f>
        <v/>
      </c>
      <c r="L2106" t="str">
        <f>IFERROR(VLOOKUP(D2106,'Team Data'!C:AB,10,FALSE),"")</f>
        <v/>
      </c>
      <c r="M2106" t="str">
        <f t="shared" si="66"/>
        <v/>
      </c>
      <c r="N2106" t="str">
        <f>IFERROR(VLOOKUP(D2106,'Team Data'!C:AB,23,FALSE),"")</f>
        <v/>
      </c>
      <c r="O2106" t="str">
        <f>IFERROR(VLOOKUP(D2106,'Team Data'!C:AB,22,FALSE),"")</f>
        <v/>
      </c>
      <c r="P2106" t="str">
        <f t="shared" si="67"/>
        <v/>
      </c>
      <c r="Q2106" t="str">
        <f>IFERROR(VLOOKUP(D2106,'Team Data'!C:AB,15,FALSE),"")</f>
        <v/>
      </c>
      <c r="R2106" t="str">
        <f>IFERROR(VLOOKUP('OB Format'!D2106,'Team Data'!C:AB,24,FALSE),"")</f>
        <v/>
      </c>
      <c r="S2106" t="str">
        <f>IFERROR(VLOOKUP('OB Format'!D2106,'Team Data'!C:AC,25,FALSE),"")</f>
        <v/>
      </c>
    </row>
    <row r="2107" spans="5:19" x14ac:dyDescent="0.25">
      <c r="E2107" t="str">
        <f>IFERROR(VLOOKUP(D2107,'Team Data'!C:AB,4,FALSE),"")</f>
        <v/>
      </c>
      <c r="F2107" t="str">
        <f>IFERROR(VLOOKUP(D2107,'Team Data'!C:AB,5,FALSE),"")</f>
        <v/>
      </c>
      <c r="G2107" t="str">
        <f>IFERROR(VLOOKUP('OB Format'!D2107,'Team Data'!C:AB,17,FALSE),"")</f>
        <v/>
      </c>
      <c r="H2107" t="str">
        <f>IFERROR(VLOOKUP(D2107,'Team Data'!C:AB,7,FALSE),"")</f>
        <v/>
      </c>
      <c r="I2107" t="str">
        <f>IFERROR(VLOOKUP(D2107,'Team Data'!C:AB,14,FALSE),"")</f>
        <v/>
      </c>
      <c r="J2107" t="str">
        <f>IFERROR(VLOOKUP(D2107,'Team Data'!C:AB,8,FALSE),"")</f>
        <v/>
      </c>
      <c r="K2107" t="str">
        <f>IFERROR(VLOOKUP(D2107,'Team Data'!C:AB,9,FALSE),"")</f>
        <v/>
      </c>
      <c r="L2107" t="str">
        <f>IFERROR(VLOOKUP(D2107,'Team Data'!C:AB,10,FALSE),"")</f>
        <v/>
      </c>
      <c r="M2107" t="str">
        <f t="shared" si="66"/>
        <v/>
      </c>
      <c r="N2107" t="str">
        <f>IFERROR(VLOOKUP(D2107,'Team Data'!C:AB,23,FALSE),"")</f>
        <v/>
      </c>
      <c r="O2107" t="str">
        <f>IFERROR(VLOOKUP(D2107,'Team Data'!C:AB,22,FALSE),"")</f>
        <v/>
      </c>
      <c r="P2107" t="str">
        <f t="shared" si="67"/>
        <v/>
      </c>
      <c r="Q2107" t="str">
        <f>IFERROR(VLOOKUP(D2107,'Team Data'!C:AB,15,FALSE),"")</f>
        <v/>
      </c>
      <c r="R2107" t="str">
        <f>IFERROR(VLOOKUP('OB Format'!D2107,'Team Data'!C:AB,24,FALSE),"")</f>
        <v/>
      </c>
      <c r="S2107" t="str">
        <f>IFERROR(VLOOKUP('OB Format'!D2107,'Team Data'!C:AC,25,FALSE),"")</f>
        <v/>
      </c>
    </row>
    <row r="2108" spans="5:19" x14ac:dyDescent="0.25">
      <c r="E2108" t="str">
        <f>IFERROR(VLOOKUP(D2108,'Team Data'!C:AB,4,FALSE),"")</f>
        <v/>
      </c>
      <c r="F2108" t="str">
        <f>IFERROR(VLOOKUP(D2108,'Team Data'!C:AB,5,FALSE),"")</f>
        <v/>
      </c>
      <c r="G2108" t="str">
        <f>IFERROR(VLOOKUP('OB Format'!D2108,'Team Data'!C:AB,17,FALSE),"")</f>
        <v/>
      </c>
      <c r="H2108" t="str">
        <f>IFERROR(VLOOKUP(D2108,'Team Data'!C:AB,7,FALSE),"")</f>
        <v/>
      </c>
      <c r="I2108" t="str">
        <f>IFERROR(VLOOKUP(D2108,'Team Data'!C:AB,14,FALSE),"")</f>
        <v/>
      </c>
      <c r="J2108" t="str">
        <f>IFERROR(VLOOKUP(D2108,'Team Data'!C:AB,8,FALSE),"")</f>
        <v/>
      </c>
      <c r="K2108" t="str">
        <f>IFERROR(VLOOKUP(D2108,'Team Data'!C:AB,9,FALSE),"")</f>
        <v/>
      </c>
      <c r="L2108" t="str">
        <f>IFERROR(VLOOKUP(D2108,'Team Data'!C:AB,10,FALSE),"")</f>
        <v/>
      </c>
      <c r="M2108" t="str">
        <f t="shared" si="66"/>
        <v/>
      </c>
      <c r="N2108" t="str">
        <f>IFERROR(VLOOKUP(D2108,'Team Data'!C:AB,23,FALSE),"")</f>
        <v/>
      </c>
      <c r="O2108" t="str">
        <f>IFERROR(VLOOKUP(D2108,'Team Data'!C:AB,22,FALSE),"")</f>
        <v/>
      </c>
      <c r="P2108" t="str">
        <f t="shared" si="67"/>
        <v/>
      </c>
      <c r="Q2108" t="str">
        <f>IFERROR(VLOOKUP(D2108,'Team Data'!C:AB,15,FALSE),"")</f>
        <v/>
      </c>
      <c r="R2108" t="str">
        <f>IFERROR(VLOOKUP('OB Format'!D2108,'Team Data'!C:AB,24,FALSE),"")</f>
        <v/>
      </c>
      <c r="S2108" t="str">
        <f>IFERROR(VLOOKUP('OB Format'!D2108,'Team Data'!C:AC,25,FALSE),"")</f>
        <v/>
      </c>
    </row>
    <row r="2109" spans="5:19" x14ac:dyDescent="0.25">
      <c r="E2109" t="str">
        <f>IFERROR(VLOOKUP(D2109,'Team Data'!C:AB,4,FALSE),"")</f>
        <v/>
      </c>
      <c r="F2109" t="str">
        <f>IFERROR(VLOOKUP(D2109,'Team Data'!C:AB,5,FALSE),"")</f>
        <v/>
      </c>
      <c r="G2109" t="str">
        <f>IFERROR(VLOOKUP('OB Format'!D2109,'Team Data'!C:AB,17,FALSE),"")</f>
        <v/>
      </c>
      <c r="H2109" t="str">
        <f>IFERROR(VLOOKUP(D2109,'Team Data'!C:AB,7,FALSE),"")</f>
        <v/>
      </c>
      <c r="I2109" t="str">
        <f>IFERROR(VLOOKUP(D2109,'Team Data'!C:AB,14,FALSE),"")</f>
        <v/>
      </c>
      <c r="J2109" t="str">
        <f>IFERROR(VLOOKUP(D2109,'Team Data'!C:AB,8,FALSE),"")</f>
        <v/>
      </c>
      <c r="K2109" t="str">
        <f>IFERROR(VLOOKUP(D2109,'Team Data'!C:AB,9,FALSE),"")</f>
        <v/>
      </c>
      <c r="L2109" t="str">
        <f>IFERROR(VLOOKUP(D2109,'Team Data'!C:AB,10,FALSE),"")</f>
        <v/>
      </c>
      <c r="M2109" t="str">
        <f t="shared" si="66"/>
        <v/>
      </c>
      <c r="N2109" t="str">
        <f>IFERROR(VLOOKUP(D2109,'Team Data'!C:AB,23,FALSE),"")</f>
        <v/>
      </c>
      <c r="O2109" t="str">
        <f>IFERROR(VLOOKUP(D2109,'Team Data'!C:AB,22,FALSE),"")</f>
        <v/>
      </c>
      <c r="P2109" t="str">
        <f t="shared" si="67"/>
        <v/>
      </c>
      <c r="Q2109" t="str">
        <f>IFERROR(VLOOKUP(D2109,'Team Data'!C:AB,15,FALSE),"")</f>
        <v/>
      </c>
      <c r="R2109" t="str">
        <f>IFERROR(VLOOKUP('OB Format'!D2109,'Team Data'!C:AB,24,FALSE),"")</f>
        <v/>
      </c>
      <c r="S2109" t="str">
        <f>IFERROR(VLOOKUP('OB Format'!D2109,'Team Data'!C:AC,25,FALSE),"")</f>
        <v/>
      </c>
    </row>
    <row r="2110" spans="5:19" x14ac:dyDescent="0.25">
      <c r="E2110" t="str">
        <f>IFERROR(VLOOKUP(D2110,'Team Data'!C:AB,4,FALSE),"")</f>
        <v/>
      </c>
      <c r="F2110" t="str">
        <f>IFERROR(VLOOKUP(D2110,'Team Data'!C:AB,5,FALSE),"")</f>
        <v/>
      </c>
      <c r="G2110" t="str">
        <f>IFERROR(VLOOKUP('OB Format'!D2110,'Team Data'!C:AB,17,FALSE),"")</f>
        <v/>
      </c>
      <c r="H2110" t="str">
        <f>IFERROR(VLOOKUP(D2110,'Team Data'!C:AB,7,FALSE),"")</f>
        <v/>
      </c>
      <c r="I2110" t="str">
        <f>IFERROR(VLOOKUP(D2110,'Team Data'!C:AB,14,FALSE),"")</f>
        <v/>
      </c>
      <c r="J2110" t="str">
        <f>IFERROR(VLOOKUP(D2110,'Team Data'!C:AB,8,FALSE),"")</f>
        <v/>
      </c>
      <c r="K2110" t="str">
        <f>IFERROR(VLOOKUP(D2110,'Team Data'!C:AB,9,FALSE),"")</f>
        <v/>
      </c>
      <c r="L2110" t="str">
        <f>IFERROR(VLOOKUP(D2110,'Team Data'!C:AB,10,FALSE),"")</f>
        <v/>
      </c>
      <c r="M2110" t="str">
        <f t="shared" si="66"/>
        <v/>
      </c>
      <c r="N2110" t="str">
        <f>IFERROR(VLOOKUP(D2110,'Team Data'!C:AB,23,FALSE),"")</f>
        <v/>
      </c>
      <c r="O2110" t="str">
        <f>IFERROR(VLOOKUP(D2110,'Team Data'!C:AB,22,FALSE),"")</f>
        <v/>
      </c>
      <c r="P2110" t="str">
        <f t="shared" si="67"/>
        <v/>
      </c>
      <c r="Q2110" t="str">
        <f>IFERROR(VLOOKUP(D2110,'Team Data'!C:AB,15,FALSE),"")</f>
        <v/>
      </c>
      <c r="R2110" t="str">
        <f>IFERROR(VLOOKUP('OB Format'!D2110,'Team Data'!C:AB,24,FALSE),"")</f>
        <v/>
      </c>
      <c r="S2110" t="str">
        <f>IFERROR(VLOOKUP('OB Format'!D2110,'Team Data'!C:AC,25,FALSE),"")</f>
        <v/>
      </c>
    </row>
    <row r="2111" spans="5:19" x14ac:dyDescent="0.25">
      <c r="E2111" t="str">
        <f>IFERROR(VLOOKUP(D2111,'Team Data'!C:AB,4,FALSE),"")</f>
        <v/>
      </c>
      <c r="F2111" t="str">
        <f>IFERROR(VLOOKUP(D2111,'Team Data'!C:AB,5,FALSE),"")</f>
        <v/>
      </c>
      <c r="G2111" t="str">
        <f>IFERROR(VLOOKUP('OB Format'!D2111,'Team Data'!C:AB,17,FALSE),"")</f>
        <v/>
      </c>
      <c r="H2111" t="str">
        <f>IFERROR(VLOOKUP(D2111,'Team Data'!C:AB,7,FALSE),"")</f>
        <v/>
      </c>
      <c r="I2111" t="str">
        <f>IFERROR(VLOOKUP(D2111,'Team Data'!C:AB,14,FALSE),"")</f>
        <v/>
      </c>
      <c r="J2111" t="str">
        <f>IFERROR(VLOOKUP(D2111,'Team Data'!C:AB,8,FALSE),"")</f>
        <v/>
      </c>
      <c r="K2111" t="str">
        <f>IFERROR(VLOOKUP(D2111,'Team Data'!C:AB,9,FALSE),"")</f>
        <v/>
      </c>
      <c r="L2111" t="str">
        <f>IFERROR(VLOOKUP(D2111,'Team Data'!C:AB,10,FALSE),"")</f>
        <v/>
      </c>
      <c r="M2111" t="str">
        <f t="shared" si="66"/>
        <v/>
      </c>
      <c r="N2111" t="str">
        <f>IFERROR(VLOOKUP(D2111,'Team Data'!C:AB,23,FALSE),"")</f>
        <v/>
      </c>
      <c r="O2111" t="str">
        <f>IFERROR(VLOOKUP(D2111,'Team Data'!C:AB,22,FALSE),"")</f>
        <v/>
      </c>
      <c r="P2111" t="str">
        <f t="shared" si="67"/>
        <v/>
      </c>
      <c r="Q2111" t="str">
        <f>IFERROR(VLOOKUP(D2111,'Team Data'!C:AB,15,FALSE),"")</f>
        <v/>
      </c>
      <c r="R2111" t="str">
        <f>IFERROR(VLOOKUP('OB Format'!D2111,'Team Data'!C:AB,24,FALSE),"")</f>
        <v/>
      </c>
      <c r="S2111" t="str">
        <f>IFERROR(VLOOKUP('OB Format'!D2111,'Team Data'!C:AC,25,FALSE),"")</f>
        <v/>
      </c>
    </row>
    <row r="2112" spans="5:19" x14ac:dyDescent="0.25">
      <c r="E2112" t="str">
        <f>IFERROR(VLOOKUP(D2112,'Team Data'!C:AB,4,FALSE),"")</f>
        <v/>
      </c>
      <c r="F2112" t="str">
        <f>IFERROR(VLOOKUP(D2112,'Team Data'!C:AB,5,FALSE),"")</f>
        <v/>
      </c>
      <c r="G2112" t="str">
        <f>IFERROR(VLOOKUP('OB Format'!D2112,'Team Data'!C:AB,17,FALSE),"")</f>
        <v/>
      </c>
      <c r="H2112" t="str">
        <f>IFERROR(VLOOKUP(D2112,'Team Data'!C:AB,7,FALSE),"")</f>
        <v/>
      </c>
      <c r="I2112" t="str">
        <f>IFERROR(VLOOKUP(D2112,'Team Data'!C:AB,14,FALSE),"")</f>
        <v/>
      </c>
      <c r="J2112" t="str">
        <f>IFERROR(VLOOKUP(D2112,'Team Data'!C:AB,8,FALSE),"")</f>
        <v/>
      </c>
      <c r="K2112" t="str">
        <f>IFERROR(VLOOKUP(D2112,'Team Data'!C:AB,9,FALSE),"")</f>
        <v/>
      </c>
      <c r="L2112" t="str">
        <f>IFERROR(VLOOKUP(D2112,'Team Data'!C:AB,10,FALSE),"")</f>
        <v/>
      </c>
      <c r="M2112" t="str">
        <f t="shared" si="66"/>
        <v/>
      </c>
      <c r="N2112" t="str">
        <f>IFERROR(VLOOKUP(D2112,'Team Data'!C:AB,23,FALSE),"")</f>
        <v/>
      </c>
      <c r="O2112" t="str">
        <f>IFERROR(VLOOKUP(D2112,'Team Data'!C:AB,22,FALSE),"")</f>
        <v/>
      </c>
      <c r="P2112" t="str">
        <f t="shared" si="67"/>
        <v/>
      </c>
      <c r="Q2112" t="str">
        <f>IFERROR(VLOOKUP(D2112,'Team Data'!C:AB,15,FALSE),"")</f>
        <v/>
      </c>
      <c r="R2112" t="str">
        <f>IFERROR(VLOOKUP('OB Format'!D2112,'Team Data'!C:AB,24,FALSE),"")</f>
        <v/>
      </c>
      <c r="S2112" t="str">
        <f>IFERROR(VLOOKUP('OB Format'!D2112,'Team Data'!C:AC,25,FALSE),"")</f>
        <v/>
      </c>
    </row>
    <row r="2113" spans="5:19" x14ac:dyDescent="0.25">
      <c r="E2113" t="str">
        <f>IFERROR(VLOOKUP(D2113,'Team Data'!C:AB,4,FALSE),"")</f>
        <v/>
      </c>
      <c r="F2113" t="str">
        <f>IFERROR(VLOOKUP(D2113,'Team Data'!C:AB,5,FALSE),"")</f>
        <v/>
      </c>
      <c r="G2113" t="str">
        <f>IFERROR(VLOOKUP('OB Format'!D2113,'Team Data'!C:AB,17,FALSE),"")</f>
        <v/>
      </c>
      <c r="H2113" t="str">
        <f>IFERROR(VLOOKUP(D2113,'Team Data'!C:AB,7,FALSE),"")</f>
        <v/>
      </c>
      <c r="I2113" t="str">
        <f>IFERROR(VLOOKUP(D2113,'Team Data'!C:AB,14,FALSE),"")</f>
        <v/>
      </c>
      <c r="J2113" t="str">
        <f>IFERROR(VLOOKUP(D2113,'Team Data'!C:AB,8,FALSE),"")</f>
        <v/>
      </c>
      <c r="K2113" t="str">
        <f>IFERROR(VLOOKUP(D2113,'Team Data'!C:AB,9,FALSE),"")</f>
        <v/>
      </c>
      <c r="L2113" t="str">
        <f>IFERROR(VLOOKUP(D2113,'Team Data'!C:AB,10,FALSE),"")</f>
        <v/>
      </c>
      <c r="M2113" t="str">
        <f t="shared" si="66"/>
        <v/>
      </c>
      <c r="N2113" t="str">
        <f>IFERROR(VLOOKUP(D2113,'Team Data'!C:AB,23,FALSE),"")</f>
        <v/>
      </c>
      <c r="O2113" t="str">
        <f>IFERROR(VLOOKUP(D2113,'Team Data'!C:AB,22,FALSE),"")</f>
        <v/>
      </c>
      <c r="P2113" t="str">
        <f t="shared" si="67"/>
        <v/>
      </c>
      <c r="Q2113" t="str">
        <f>IFERROR(VLOOKUP(D2113,'Team Data'!C:AB,15,FALSE),"")</f>
        <v/>
      </c>
      <c r="R2113" t="str">
        <f>IFERROR(VLOOKUP('OB Format'!D2113,'Team Data'!C:AB,24,FALSE),"")</f>
        <v/>
      </c>
      <c r="S2113" t="str">
        <f>IFERROR(VLOOKUP('OB Format'!D2113,'Team Data'!C:AC,25,FALSE),"")</f>
        <v/>
      </c>
    </row>
    <row r="2114" spans="5:19" x14ac:dyDescent="0.25">
      <c r="E2114" t="str">
        <f>IFERROR(VLOOKUP(D2114,'Team Data'!C:AB,4,FALSE),"")</f>
        <v/>
      </c>
      <c r="F2114" t="str">
        <f>IFERROR(VLOOKUP(D2114,'Team Data'!C:AB,5,FALSE),"")</f>
        <v/>
      </c>
      <c r="G2114" t="str">
        <f>IFERROR(VLOOKUP('OB Format'!D2114,'Team Data'!C:AB,17,FALSE),"")</f>
        <v/>
      </c>
      <c r="H2114" t="str">
        <f>IFERROR(VLOOKUP(D2114,'Team Data'!C:AB,7,FALSE),"")</f>
        <v/>
      </c>
      <c r="I2114" t="str">
        <f>IFERROR(VLOOKUP(D2114,'Team Data'!C:AB,14,FALSE),"")</f>
        <v/>
      </c>
      <c r="J2114" t="str">
        <f>IFERROR(VLOOKUP(D2114,'Team Data'!C:AB,8,FALSE),"")</f>
        <v/>
      </c>
      <c r="K2114" t="str">
        <f>IFERROR(VLOOKUP(D2114,'Team Data'!C:AB,9,FALSE),"")</f>
        <v/>
      </c>
      <c r="L2114" t="str">
        <f>IFERROR(VLOOKUP(D2114,'Team Data'!C:AB,10,FALSE),"")</f>
        <v/>
      </c>
      <c r="M2114" t="str">
        <f t="shared" si="66"/>
        <v/>
      </c>
      <c r="N2114" t="str">
        <f>IFERROR(VLOOKUP(D2114,'Team Data'!C:AB,23,FALSE),"")</f>
        <v/>
      </c>
      <c r="O2114" t="str">
        <f>IFERROR(VLOOKUP(D2114,'Team Data'!C:AB,22,FALSE),"")</f>
        <v/>
      </c>
      <c r="P2114" t="str">
        <f t="shared" si="67"/>
        <v/>
      </c>
      <c r="Q2114" t="str">
        <f>IFERROR(VLOOKUP(D2114,'Team Data'!C:AB,15,FALSE),"")</f>
        <v/>
      </c>
      <c r="R2114" t="str">
        <f>IFERROR(VLOOKUP('OB Format'!D2114,'Team Data'!C:AB,24,FALSE),"")</f>
        <v/>
      </c>
      <c r="S2114" t="str">
        <f>IFERROR(VLOOKUP('OB Format'!D2114,'Team Data'!C:AC,25,FALSE),"")</f>
        <v/>
      </c>
    </row>
    <row r="2115" spans="5:19" x14ac:dyDescent="0.25">
      <c r="E2115" t="str">
        <f>IFERROR(VLOOKUP(D2115,'Team Data'!C:AB,4,FALSE),"")</f>
        <v/>
      </c>
      <c r="F2115" t="str">
        <f>IFERROR(VLOOKUP(D2115,'Team Data'!C:AB,5,FALSE),"")</f>
        <v/>
      </c>
      <c r="G2115" t="str">
        <f>IFERROR(VLOOKUP('OB Format'!D2115,'Team Data'!C:AB,17,FALSE),"")</f>
        <v/>
      </c>
      <c r="H2115" t="str">
        <f>IFERROR(VLOOKUP(D2115,'Team Data'!C:AB,7,FALSE),"")</f>
        <v/>
      </c>
      <c r="I2115" t="str">
        <f>IFERROR(VLOOKUP(D2115,'Team Data'!C:AB,14,FALSE),"")</f>
        <v/>
      </c>
      <c r="J2115" t="str">
        <f>IFERROR(VLOOKUP(D2115,'Team Data'!C:AB,8,FALSE),"")</f>
        <v/>
      </c>
      <c r="K2115" t="str">
        <f>IFERROR(VLOOKUP(D2115,'Team Data'!C:AB,9,FALSE),"")</f>
        <v/>
      </c>
      <c r="L2115" t="str">
        <f>IFERROR(VLOOKUP(D2115,'Team Data'!C:AB,10,FALSE),"")</f>
        <v/>
      </c>
      <c r="M2115" t="str">
        <f t="shared" si="66"/>
        <v/>
      </c>
      <c r="N2115" t="str">
        <f>IFERROR(VLOOKUP(D2115,'Team Data'!C:AB,23,FALSE),"")</f>
        <v/>
      </c>
      <c r="O2115" t="str">
        <f>IFERROR(VLOOKUP(D2115,'Team Data'!C:AB,22,FALSE),"")</f>
        <v/>
      </c>
      <c r="P2115" t="str">
        <f t="shared" si="67"/>
        <v/>
      </c>
      <c r="Q2115" t="str">
        <f>IFERROR(VLOOKUP(D2115,'Team Data'!C:AB,15,FALSE),"")</f>
        <v/>
      </c>
      <c r="R2115" t="str">
        <f>IFERROR(VLOOKUP('OB Format'!D2115,'Team Data'!C:AB,24,FALSE),"")</f>
        <v/>
      </c>
      <c r="S2115" t="str">
        <f>IFERROR(VLOOKUP('OB Format'!D2115,'Team Data'!C:AC,25,FALSE),"")</f>
        <v/>
      </c>
    </row>
    <row r="2116" spans="5:19" x14ac:dyDescent="0.25">
      <c r="E2116" t="str">
        <f>IFERROR(VLOOKUP(D2116,'Team Data'!C:AB,4,FALSE),"")</f>
        <v/>
      </c>
      <c r="F2116" t="str">
        <f>IFERROR(VLOOKUP(D2116,'Team Data'!C:AB,5,FALSE),"")</f>
        <v/>
      </c>
      <c r="G2116" t="str">
        <f>IFERROR(VLOOKUP('OB Format'!D2116,'Team Data'!C:AB,17,FALSE),"")</f>
        <v/>
      </c>
      <c r="H2116" t="str">
        <f>IFERROR(VLOOKUP(D2116,'Team Data'!C:AB,7,FALSE),"")</f>
        <v/>
      </c>
      <c r="I2116" t="str">
        <f>IFERROR(VLOOKUP(D2116,'Team Data'!C:AB,14,FALSE),"")</f>
        <v/>
      </c>
      <c r="J2116" t="str">
        <f>IFERROR(VLOOKUP(D2116,'Team Data'!C:AB,8,FALSE),"")</f>
        <v/>
      </c>
      <c r="K2116" t="str">
        <f>IFERROR(VLOOKUP(D2116,'Team Data'!C:AB,9,FALSE),"")</f>
        <v/>
      </c>
      <c r="L2116" t="str">
        <f>IFERROR(VLOOKUP(D2116,'Team Data'!C:AB,10,FALSE),"")</f>
        <v/>
      </c>
      <c r="M2116" t="str">
        <f t="shared" si="66"/>
        <v/>
      </c>
      <c r="N2116" t="str">
        <f>IFERROR(VLOOKUP(D2116,'Team Data'!C:AB,23,FALSE),"")</f>
        <v/>
      </c>
      <c r="O2116" t="str">
        <f>IFERROR(VLOOKUP(D2116,'Team Data'!C:AB,22,FALSE),"")</f>
        <v/>
      </c>
      <c r="P2116" t="str">
        <f t="shared" si="67"/>
        <v/>
      </c>
      <c r="Q2116" t="str">
        <f>IFERROR(VLOOKUP(D2116,'Team Data'!C:AB,15,FALSE),"")</f>
        <v/>
      </c>
      <c r="R2116" t="str">
        <f>IFERROR(VLOOKUP('OB Format'!D2116,'Team Data'!C:AB,24,FALSE),"")</f>
        <v/>
      </c>
      <c r="S2116" t="str">
        <f>IFERROR(VLOOKUP('OB Format'!D2116,'Team Data'!C:AC,25,FALSE),"")</f>
        <v/>
      </c>
    </row>
    <row r="2117" spans="5:19" x14ac:dyDescent="0.25">
      <c r="E2117" t="str">
        <f>IFERROR(VLOOKUP(D2117,'Team Data'!C:AB,4,FALSE),"")</f>
        <v/>
      </c>
      <c r="F2117" t="str">
        <f>IFERROR(VLOOKUP(D2117,'Team Data'!C:AB,5,FALSE),"")</f>
        <v/>
      </c>
      <c r="G2117" t="str">
        <f>IFERROR(VLOOKUP('OB Format'!D2117,'Team Data'!C:AB,17,FALSE),"")</f>
        <v/>
      </c>
      <c r="H2117" t="str">
        <f>IFERROR(VLOOKUP(D2117,'Team Data'!C:AB,7,FALSE),"")</f>
        <v/>
      </c>
      <c r="I2117" t="str">
        <f>IFERROR(VLOOKUP(D2117,'Team Data'!C:AB,14,FALSE),"")</f>
        <v/>
      </c>
      <c r="J2117" t="str">
        <f>IFERROR(VLOOKUP(D2117,'Team Data'!C:AB,8,FALSE),"")</f>
        <v/>
      </c>
      <c r="K2117" t="str">
        <f>IFERROR(VLOOKUP(D2117,'Team Data'!C:AB,9,FALSE),"")</f>
        <v/>
      </c>
      <c r="L2117" t="str">
        <f>IFERROR(VLOOKUP(D2117,'Team Data'!C:AB,10,FALSE),"")</f>
        <v/>
      </c>
      <c r="M2117" t="str">
        <f t="shared" si="66"/>
        <v/>
      </c>
      <c r="N2117" t="str">
        <f>IFERROR(VLOOKUP(D2117,'Team Data'!C:AB,23,FALSE),"")</f>
        <v/>
      </c>
      <c r="O2117" t="str">
        <f>IFERROR(VLOOKUP(D2117,'Team Data'!C:AB,22,FALSE),"")</f>
        <v/>
      </c>
      <c r="P2117" t="str">
        <f t="shared" si="67"/>
        <v/>
      </c>
      <c r="Q2117" t="str">
        <f>IFERROR(VLOOKUP(D2117,'Team Data'!C:AB,15,FALSE),"")</f>
        <v/>
      </c>
      <c r="R2117" t="str">
        <f>IFERROR(VLOOKUP('OB Format'!D2117,'Team Data'!C:AB,24,FALSE),"")</f>
        <v/>
      </c>
      <c r="S2117" t="str">
        <f>IFERROR(VLOOKUP('OB Format'!D2117,'Team Data'!C:AC,25,FALSE),"")</f>
        <v/>
      </c>
    </row>
    <row r="2118" spans="5:19" x14ac:dyDescent="0.25">
      <c r="E2118" t="str">
        <f>IFERROR(VLOOKUP(D2118,'Team Data'!C:AB,4,FALSE),"")</f>
        <v/>
      </c>
      <c r="F2118" t="str">
        <f>IFERROR(VLOOKUP(D2118,'Team Data'!C:AB,5,FALSE),"")</f>
        <v/>
      </c>
      <c r="G2118" t="str">
        <f>IFERROR(VLOOKUP('OB Format'!D2118,'Team Data'!C:AB,17,FALSE),"")</f>
        <v/>
      </c>
      <c r="H2118" t="str">
        <f>IFERROR(VLOOKUP(D2118,'Team Data'!C:AB,7,FALSE),"")</f>
        <v/>
      </c>
      <c r="I2118" t="str">
        <f>IFERROR(VLOOKUP(D2118,'Team Data'!C:AB,14,FALSE),"")</f>
        <v/>
      </c>
      <c r="J2118" t="str">
        <f>IFERROR(VLOOKUP(D2118,'Team Data'!C:AB,8,FALSE),"")</f>
        <v/>
      </c>
      <c r="K2118" t="str">
        <f>IFERROR(VLOOKUP(D2118,'Team Data'!C:AB,9,FALSE),"")</f>
        <v/>
      </c>
      <c r="L2118" t="str">
        <f>IFERROR(VLOOKUP(D2118,'Team Data'!C:AB,10,FALSE),"")</f>
        <v/>
      </c>
      <c r="M2118" t="str">
        <f t="shared" si="66"/>
        <v/>
      </c>
      <c r="N2118" t="str">
        <f>IFERROR(VLOOKUP(D2118,'Team Data'!C:AB,23,FALSE),"")</f>
        <v/>
      </c>
      <c r="O2118" t="str">
        <f>IFERROR(VLOOKUP(D2118,'Team Data'!C:AB,22,FALSE),"")</f>
        <v/>
      </c>
      <c r="P2118" t="str">
        <f t="shared" si="67"/>
        <v/>
      </c>
      <c r="Q2118" t="str">
        <f>IFERROR(VLOOKUP(D2118,'Team Data'!C:AB,15,FALSE),"")</f>
        <v/>
      </c>
      <c r="R2118" t="str">
        <f>IFERROR(VLOOKUP('OB Format'!D2118,'Team Data'!C:AB,24,FALSE),"")</f>
        <v/>
      </c>
      <c r="S2118" t="str">
        <f>IFERROR(VLOOKUP('OB Format'!D2118,'Team Data'!C:AC,25,FALSE),"")</f>
        <v/>
      </c>
    </row>
    <row r="2119" spans="5:19" x14ac:dyDescent="0.25">
      <c r="E2119" t="str">
        <f>IFERROR(VLOOKUP(D2119,'Team Data'!C:AB,4,FALSE),"")</f>
        <v/>
      </c>
      <c r="F2119" t="str">
        <f>IFERROR(VLOOKUP(D2119,'Team Data'!C:AB,5,FALSE),"")</f>
        <v/>
      </c>
      <c r="G2119" t="str">
        <f>IFERROR(VLOOKUP('OB Format'!D2119,'Team Data'!C:AB,17,FALSE),"")</f>
        <v/>
      </c>
      <c r="H2119" t="str">
        <f>IFERROR(VLOOKUP(D2119,'Team Data'!C:AB,7,FALSE),"")</f>
        <v/>
      </c>
      <c r="I2119" t="str">
        <f>IFERROR(VLOOKUP(D2119,'Team Data'!C:AB,14,FALSE),"")</f>
        <v/>
      </c>
      <c r="J2119" t="str">
        <f>IFERROR(VLOOKUP(D2119,'Team Data'!C:AB,8,FALSE),"")</f>
        <v/>
      </c>
      <c r="K2119" t="str">
        <f>IFERROR(VLOOKUP(D2119,'Team Data'!C:AB,9,FALSE),"")</f>
        <v/>
      </c>
      <c r="L2119" t="str">
        <f>IFERROR(VLOOKUP(D2119,'Team Data'!C:AB,10,FALSE),"")</f>
        <v/>
      </c>
      <c r="M2119" t="str">
        <f t="shared" si="66"/>
        <v/>
      </c>
      <c r="N2119" t="str">
        <f>IFERROR(VLOOKUP(D2119,'Team Data'!C:AB,23,FALSE),"")</f>
        <v/>
      </c>
      <c r="O2119" t="str">
        <f>IFERROR(VLOOKUP(D2119,'Team Data'!C:AB,22,FALSE),"")</f>
        <v/>
      </c>
      <c r="P2119" t="str">
        <f t="shared" si="67"/>
        <v/>
      </c>
      <c r="Q2119" t="str">
        <f>IFERROR(VLOOKUP(D2119,'Team Data'!C:AB,15,FALSE),"")</f>
        <v/>
      </c>
      <c r="R2119" t="str">
        <f>IFERROR(VLOOKUP('OB Format'!D2119,'Team Data'!C:AB,24,FALSE),"")</f>
        <v/>
      </c>
      <c r="S2119" t="str">
        <f>IFERROR(VLOOKUP('OB Format'!D2119,'Team Data'!C:AC,25,FALSE),"")</f>
        <v/>
      </c>
    </row>
    <row r="2120" spans="5:19" x14ac:dyDescent="0.25">
      <c r="E2120" t="str">
        <f>IFERROR(VLOOKUP(D2120,'Team Data'!C:AB,4,FALSE),"")</f>
        <v/>
      </c>
      <c r="F2120" t="str">
        <f>IFERROR(VLOOKUP(D2120,'Team Data'!C:AB,5,FALSE),"")</f>
        <v/>
      </c>
      <c r="G2120" t="str">
        <f>IFERROR(VLOOKUP('OB Format'!D2120,'Team Data'!C:AB,17,FALSE),"")</f>
        <v/>
      </c>
      <c r="H2120" t="str">
        <f>IFERROR(VLOOKUP(D2120,'Team Data'!C:AB,7,FALSE),"")</f>
        <v/>
      </c>
      <c r="I2120" t="str">
        <f>IFERROR(VLOOKUP(D2120,'Team Data'!C:AB,14,FALSE),"")</f>
        <v/>
      </c>
      <c r="J2120" t="str">
        <f>IFERROR(VLOOKUP(D2120,'Team Data'!C:AB,8,FALSE),"")</f>
        <v/>
      </c>
      <c r="K2120" t="str">
        <f>IFERROR(VLOOKUP(D2120,'Team Data'!C:AB,9,FALSE),"")</f>
        <v/>
      </c>
      <c r="L2120" t="str">
        <f>IFERROR(VLOOKUP(D2120,'Team Data'!C:AB,10,FALSE),"")</f>
        <v/>
      </c>
      <c r="M2120" t="str">
        <f t="shared" si="66"/>
        <v/>
      </c>
      <c r="N2120" t="str">
        <f>IFERROR(VLOOKUP(D2120,'Team Data'!C:AB,23,FALSE),"")</f>
        <v/>
      </c>
      <c r="O2120" t="str">
        <f>IFERROR(VLOOKUP(D2120,'Team Data'!C:AB,22,FALSE),"")</f>
        <v/>
      </c>
      <c r="P2120" t="str">
        <f t="shared" si="67"/>
        <v/>
      </c>
      <c r="Q2120" t="str">
        <f>IFERROR(VLOOKUP(D2120,'Team Data'!C:AB,15,FALSE),"")</f>
        <v/>
      </c>
      <c r="R2120" t="str">
        <f>IFERROR(VLOOKUP('OB Format'!D2120,'Team Data'!C:AB,24,FALSE),"")</f>
        <v/>
      </c>
      <c r="S2120" t="str">
        <f>IFERROR(VLOOKUP('OB Format'!D2120,'Team Data'!C:AC,25,FALSE),"")</f>
        <v/>
      </c>
    </row>
    <row r="2121" spans="5:19" x14ac:dyDescent="0.25">
      <c r="E2121" t="str">
        <f>IFERROR(VLOOKUP(D2121,'Team Data'!C:AB,4,FALSE),"")</f>
        <v/>
      </c>
      <c r="F2121" t="str">
        <f>IFERROR(VLOOKUP(D2121,'Team Data'!C:AB,5,FALSE),"")</f>
        <v/>
      </c>
      <c r="G2121" t="str">
        <f>IFERROR(VLOOKUP('OB Format'!D2121,'Team Data'!C:AB,17,FALSE),"")</f>
        <v/>
      </c>
      <c r="H2121" t="str">
        <f>IFERROR(VLOOKUP(D2121,'Team Data'!C:AB,7,FALSE),"")</f>
        <v/>
      </c>
      <c r="I2121" t="str">
        <f>IFERROR(VLOOKUP(D2121,'Team Data'!C:AB,14,FALSE),"")</f>
        <v/>
      </c>
      <c r="J2121" t="str">
        <f>IFERROR(VLOOKUP(D2121,'Team Data'!C:AB,8,FALSE),"")</f>
        <v/>
      </c>
      <c r="K2121" t="str">
        <f>IFERROR(VLOOKUP(D2121,'Team Data'!C:AB,9,FALSE),"")</f>
        <v/>
      </c>
      <c r="L2121" t="str">
        <f>IFERROR(VLOOKUP(D2121,'Team Data'!C:AB,10,FALSE),"")</f>
        <v/>
      </c>
      <c r="M2121" t="str">
        <f t="shared" si="66"/>
        <v/>
      </c>
      <c r="N2121" t="str">
        <f>IFERROR(VLOOKUP(D2121,'Team Data'!C:AB,23,FALSE),"")</f>
        <v/>
      </c>
      <c r="O2121" t="str">
        <f>IFERROR(VLOOKUP(D2121,'Team Data'!C:AB,22,FALSE),"")</f>
        <v/>
      </c>
      <c r="P2121" t="str">
        <f t="shared" si="67"/>
        <v/>
      </c>
      <c r="Q2121" t="str">
        <f>IFERROR(VLOOKUP(D2121,'Team Data'!C:AB,15,FALSE),"")</f>
        <v/>
      </c>
      <c r="R2121" t="str">
        <f>IFERROR(VLOOKUP('OB Format'!D2121,'Team Data'!C:AB,24,FALSE),"")</f>
        <v/>
      </c>
      <c r="S2121" t="str">
        <f>IFERROR(VLOOKUP('OB Format'!D2121,'Team Data'!C:AC,25,FALSE),"")</f>
        <v/>
      </c>
    </row>
    <row r="2122" spans="5:19" x14ac:dyDescent="0.25">
      <c r="E2122" t="str">
        <f>IFERROR(VLOOKUP(D2122,'Team Data'!C:AB,4,FALSE),"")</f>
        <v/>
      </c>
      <c r="F2122" t="str">
        <f>IFERROR(VLOOKUP(D2122,'Team Data'!C:AB,5,FALSE),"")</f>
        <v/>
      </c>
      <c r="G2122" t="str">
        <f>IFERROR(VLOOKUP('OB Format'!D2122,'Team Data'!C:AB,17,FALSE),"")</f>
        <v/>
      </c>
      <c r="H2122" t="str">
        <f>IFERROR(VLOOKUP(D2122,'Team Data'!C:AB,7,FALSE),"")</f>
        <v/>
      </c>
      <c r="I2122" t="str">
        <f>IFERROR(VLOOKUP(D2122,'Team Data'!C:AB,14,FALSE),"")</f>
        <v/>
      </c>
      <c r="J2122" t="str">
        <f>IFERROR(VLOOKUP(D2122,'Team Data'!C:AB,8,FALSE),"")</f>
        <v/>
      </c>
      <c r="K2122" t="str">
        <f>IFERROR(VLOOKUP(D2122,'Team Data'!C:AB,9,FALSE),"")</f>
        <v/>
      </c>
      <c r="L2122" t="str">
        <f>IFERROR(VLOOKUP(D2122,'Team Data'!C:AB,10,FALSE),"")</f>
        <v/>
      </c>
      <c r="M2122" t="str">
        <f t="shared" si="66"/>
        <v/>
      </c>
      <c r="N2122" t="str">
        <f>IFERROR(VLOOKUP(D2122,'Team Data'!C:AB,23,FALSE),"")</f>
        <v/>
      </c>
      <c r="O2122" t="str">
        <f>IFERROR(VLOOKUP(D2122,'Team Data'!C:AB,22,FALSE),"")</f>
        <v/>
      </c>
      <c r="P2122" t="str">
        <f t="shared" si="67"/>
        <v/>
      </c>
      <c r="Q2122" t="str">
        <f>IFERROR(VLOOKUP(D2122,'Team Data'!C:AB,15,FALSE),"")</f>
        <v/>
      </c>
      <c r="R2122" t="str">
        <f>IFERROR(VLOOKUP('OB Format'!D2122,'Team Data'!C:AB,24,FALSE),"")</f>
        <v/>
      </c>
      <c r="S2122" t="str">
        <f>IFERROR(VLOOKUP('OB Format'!D2122,'Team Data'!C:AC,25,FALSE),"")</f>
        <v/>
      </c>
    </row>
    <row r="2123" spans="5:19" x14ac:dyDescent="0.25">
      <c r="E2123" t="str">
        <f>IFERROR(VLOOKUP(D2123,'Team Data'!C:AB,4,FALSE),"")</f>
        <v/>
      </c>
      <c r="F2123" t="str">
        <f>IFERROR(VLOOKUP(D2123,'Team Data'!C:AB,5,FALSE),"")</f>
        <v/>
      </c>
      <c r="G2123" t="str">
        <f>IFERROR(VLOOKUP('OB Format'!D2123,'Team Data'!C:AB,17,FALSE),"")</f>
        <v/>
      </c>
      <c r="H2123" t="str">
        <f>IFERROR(VLOOKUP(D2123,'Team Data'!C:AB,7,FALSE),"")</f>
        <v/>
      </c>
      <c r="I2123" t="str">
        <f>IFERROR(VLOOKUP(D2123,'Team Data'!C:AB,14,FALSE),"")</f>
        <v/>
      </c>
      <c r="J2123" t="str">
        <f>IFERROR(VLOOKUP(D2123,'Team Data'!C:AB,8,FALSE),"")</f>
        <v/>
      </c>
      <c r="K2123" t="str">
        <f>IFERROR(VLOOKUP(D2123,'Team Data'!C:AB,9,FALSE),"")</f>
        <v/>
      </c>
      <c r="L2123" t="str">
        <f>IFERROR(VLOOKUP(D2123,'Team Data'!C:AB,10,FALSE),"")</f>
        <v/>
      </c>
      <c r="M2123" t="str">
        <f t="shared" si="66"/>
        <v/>
      </c>
      <c r="N2123" t="str">
        <f>IFERROR(VLOOKUP(D2123,'Team Data'!C:AB,23,FALSE),"")</f>
        <v/>
      </c>
      <c r="O2123" t="str">
        <f>IFERROR(VLOOKUP(D2123,'Team Data'!C:AB,22,FALSE),"")</f>
        <v/>
      </c>
      <c r="P2123" t="str">
        <f t="shared" si="67"/>
        <v/>
      </c>
      <c r="Q2123" t="str">
        <f>IFERROR(VLOOKUP(D2123,'Team Data'!C:AB,15,FALSE),"")</f>
        <v/>
      </c>
      <c r="R2123" t="str">
        <f>IFERROR(VLOOKUP('OB Format'!D2123,'Team Data'!C:AB,24,FALSE),"")</f>
        <v/>
      </c>
      <c r="S2123" t="str">
        <f>IFERROR(VLOOKUP('OB Format'!D2123,'Team Data'!C:AC,25,FALSE),"")</f>
        <v/>
      </c>
    </row>
    <row r="2124" spans="5:19" x14ac:dyDescent="0.25">
      <c r="E2124" t="str">
        <f>IFERROR(VLOOKUP(D2124,'Team Data'!C:AB,4,FALSE),"")</f>
        <v/>
      </c>
      <c r="F2124" t="str">
        <f>IFERROR(VLOOKUP(D2124,'Team Data'!C:AB,5,FALSE),"")</f>
        <v/>
      </c>
      <c r="G2124" t="str">
        <f>IFERROR(VLOOKUP('OB Format'!D2124,'Team Data'!C:AB,17,FALSE),"")</f>
        <v/>
      </c>
      <c r="H2124" t="str">
        <f>IFERROR(VLOOKUP(D2124,'Team Data'!C:AB,7,FALSE),"")</f>
        <v/>
      </c>
      <c r="I2124" t="str">
        <f>IFERROR(VLOOKUP(D2124,'Team Data'!C:AB,14,FALSE),"")</f>
        <v/>
      </c>
      <c r="J2124" t="str">
        <f>IFERROR(VLOOKUP(D2124,'Team Data'!C:AB,8,FALSE),"")</f>
        <v/>
      </c>
      <c r="K2124" t="str">
        <f>IFERROR(VLOOKUP(D2124,'Team Data'!C:AB,9,FALSE),"")</f>
        <v/>
      </c>
      <c r="L2124" t="str">
        <f>IFERROR(VLOOKUP(D2124,'Team Data'!C:AB,10,FALSE),"")</f>
        <v/>
      </c>
      <c r="M2124" t="str">
        <f t="shared" si="66"/>
        <v/>
      </c>
      <c r="N2124" t="str">
        <f>IFERROR(VLOOKUP(D2124,'Team Data'!C:AB,23,FALSE),"")</f>
        <v/>
      </c>
      <c r="O2124" t="str">
        <f>IFERROR(VLOOKUP(D2124,'Team Data'!C:AB,22,FALSE),"")</f>
        <v/>
      </c>
      <c r="P2124" t="str">
        <f t="shared" si="67"/>
        <v/>
      </c>
      <c r="Q2124" t="str">
        <f>IFERROR(VLOOKUP(D2124,'Team Data'!C:AB,15,FALSE),"")</f>
        <v/>
      </c>
      <c r="R2124" t="str">
        <f>IFERROR(VLOOKUP('OB Format'!D2124,'Team Data'!C:AB,24,FALSE),"")</f>
        <v/>
      </c>
      <c r="S2124" t="str">
        <f>IFERROR(VLOOKUP('OB Format'!D2124,'Team Data'!C:AC,25,FALSE),"")</f>
        <v/>
      </c>
    </row>
    <row r="2125" spans="5:19" x14ac:dyDescent="0.25">
      <c r="E2125" t="str">
        <f>IFERROR(VLOOKUP(D2125,'Team Data'!C:AB,4,FALSE),"")</f>
        <v/>
      </c>
      <c r="F2125" t="str">
        <f>IFERROR(VLOOKUP(D2125,'Team Data'!C:AB,5,FALSE),"")</f>
        <v/>
      </c>
      <c r="G2125" t="str">
        <f>IFERROR(VLOOKUP('OB Format'!D2125,'Team Data'!C:AB,17,FALSE),"")</f>
        <v/>
      </c>
      <c r="H2125" t="str">
        <f>IFERROR(VLOOKUP(D2125,'Team Data'!C:AB,7,FALSE),"")</f>
        <v/>
      </c>
      <c r="I2125" t="str">
        <f>IFERROR(VLOOKUP(D2125,'Team Data'!C:AB,14,FALSE),"")</f>
        <v/>
      </c>
      <c r="J2125" t="str">
        <f>IFERROR(VLOOKUP(D2125,'Team Data'!C:AB,8,FALSE),"")</f>
        <v/>
      </c>
      <c r="K2125" t="str">
        <f>IFERROR(VLOOKUP(D2125,'Team Data'!C:AB,9,FALSE),"")</f>
        <v/>
      </c>
      <c r="L2125" t="str">
        <f>IFERROR(VLOOKUP(D2125,'Team Data'!C:AB,10,FALSE),"")</f>
        <v/>
      </c>
      <c r="M2125" t="str">
        <f t="shared" ref="M2125:M2188" si="68">IFERROR(H2125-(J2125+L2125+K2125),"")</f>
        <v/>
      </c>
      <c r="N2125" t="str">
        <f>IFERROR(VLOOKUP(D2125,'Team Data'!C:AB,23,FALSE),"")</f>
        <v/>
      </c>
      <c r="O2125" t="str">
        <f>IFERROR(VLOOKUP(D2125,'Team Data'!C:AB,22,FALSE),"")</f>
        <v/>
      </c>
      <c r="P2125" t="str">
        <f t="shared" ref="P2125:P2188" si="69">IFERROR(E2125-(H2125+N2125+Q2125+I2125+O2125),"")</f>
        <v/>
      </c>
      <c r="Q2125" t="str">
        <f>IFERROR(VLOOKUP(D2125,'Team Data'!C:AB,15,FALSE),"")</f>
        <v/>
      </c>
      <c r="R2125" t="str">
        <f>IFERROR(VLOOKUP('OB Format'!D2125,'Team Data'!C:AB,24,FALSE),"")</f>
        <v/>
      </c>
      <c r="S2125" t="str">
        <f>IFERROR(VLOOKUP('OB Format'!D2125,'Team Data'!C:AC,25,FALSE),"")</f>
        <v/>
      </c>
    </row>
    <row r="2126" spans="5:19" x14ac:dyDescent="0.25">
      <c r="E2126" t="str">
        <f>IFERROR(VLOOKUP(D2126,'Team Data'!C:AB,4,FALSE),"")</f>
        <v/>
      </c>
      <c r="F2126" t="str">
        <f>IFERROR(VLOOKUP(D2126,'Team Data'!C:AB,5,FALSE),"")</f>
        <v/>
      </c>
      <c r="G2126" t="str">
        <f>IFERROR(VLOOKUP('OB Format'!D2126,'Team Data'!C:AB,17,FALSE),"")</f>
        <v/>
      </c>
      <c r="H2126" t="str">
        <f>IFERROR(VLOOKUP(D2126,'Team Data'!C:AB,7,FALSE),"")</f>
        <v/>
      </c>
      <c r="I2126" t="str">
        <f>IFERROR(VLOOKUP(D2126,'Team Data'!C:AB,14,FALSE),"")</f>
        <v/>
      </c>
      <c r="J2126" t="str">
        <f>IFERROR(VLOOKUP(D2126,'Team Data'!C:AB,8,FALSE),"")</f>
        <v/>
      </c>
      <c r="K2126" t="str">
        <f>IFERROR(VLOOKUP(D2126,'Team Data'!C:AB,9,FALSE),"")</f>
        <v/>
      </c>
      <c r="L2126" t="str">
        <f>IFERROR(VLOOKUP(D2126,'Team Data'!C:AB,10,FALSE),"")</f>
        <v/>
      </c>
      <c r="M2126" t="str">
        <f t="shared" si="68"/>
        <v/>
      </c>
      <c r="N2126" t="str">
        <f>IFERROR(VLOOKUP(D2126,'Team Data'!C:AB,23,FALSE),"")</f>
        <v/>
      </c>
      <c r="O2126" t="str">
        <f>IFERROR(VLOOKUP(D2126,'Team Data'!C:AB,22,FALSE),"")</f>
        <v/>
      </c>
      <c r="P2126" t="str">
        <f t="shared" si="69"/>
        <v/>
      </c>
      <c r="Q2126" t="str">
        <f>IFERROR(VLOOKUP(D2126,'Team Data'!C:AB,15,FALSE),"")</f>
        <v/>
      </c>
      <c r="R2126" t="str">
        <f>IFERROR(VLOOKUP('OB Format'!D2126,'Team Data'!C:AB,24,FALSE),"")</f>
        <v/>
      </c>
      <c r="S2126" t="str">
        <f>IFERROR(VLOOKUP('OB Format'!D2126,'Team Data'!C:AC,25,FALSE),"")</f>
        <v/>
      </c>
    </row>
    <row r="2127" spans="5:19" x14ac:dyDescent="0.25">
      <c r="E2127" t="str">
        <f>IFERROR(VLOOKUP(D2127,'Team Data'!C:AB,4,FALSE),"")</f>
        <v/>
      </c>
      <c r="F2127" t="str">
        <f>IFERROR(VLOOKUP(D2127,'Team Data'!C:AB,5,FALSE),"")</f>
        <v/>
      </c>
      <c r="G2127" t="str">
        <f>IFERROR(VLOOKUP('OB Format'!D2127,'Team Data'!C:AB,17,FALSE),"")</f>
        <v/>
      </c>
      <c r="H2127" t="str">
        <f>IFERROR(VLOOKUP(D2127,'Team Data'!C:AB,7,FALSE),"")</f>
        <v/>
      </c>
      <c r="I2127" t="str">
        <f>IFERROR(VLOOKUP(D2127,'Team Data'!C:AB,14,FALSE),"")</f>
        <v/>
      </c>
      <c r="J2127" t="str">
        <f>IFERROR(VLOOKUP(D2127,'Team Data'!C:AB,8,FALSE),"")</f>
        <v/>
      </c>
      <c r="K2127" t="str">
        <f>IFERROR(VLOOKUP(D2127,'Team Data'!C:AB,9,FALSE),"")</f>
        <v/>
      </c>
      <c r="L2127" t="str">
        <f>IFERROR(VLOOKUP(D2127,'Team Data'!C:AB,10,FALSE),"")</f>
        <v/>
      </c>
      <c r="M2127" t="str">
        <f t="shared" si="68"/>
        <v/>
      </c>
      <c r="N2127" t="str">
        <f>IFERROR(VLOOKUP(D2127,'Team Data'!C:AB,23,FALSE),"")</f>
        <v/>
      </c>
      <c r="O2127" t="str">
        <f>IFERROR(VLOOKUP(D2127,'Team Data'!C:AB,22,FALSE),"")</f>
        <v/>
      </c>
      <c r="P2127" t="str">
        <f t="shared" si="69"/>
        <v/>
      </c>
      <c r="Q2127" t="str">
        <f>IFERROR(VLOOKUP(D2127,'Team Data'!C:AB,15,FALSE),"")</f>
        <v/>
      </c>
      <c r="R2127" t="str">
        <f>IFERROR(VLOOKUP('OB Format'!D2127,'Team Data'!C:AB,24,FALSE),"")</f>
        <v/>
      </c>
      <c r="S2127" t="str">
        <f>IFERROR(VLOOKUP('OB Format'!D2127,'Team Data'!C:AC,25,FALSE),"")</f>
        <v/>
      </c>
    </row>
    <row r="2128" spans="5:19" x14ac:dyDescent="0.25">
      <c r="E2128" t="str">
        <f>IFERROR(VLOOKUP(D2128,'Team Data'!C:AB,4,FALSE),"")</f>
        <v/>
      </c>
      <c r="F2128" t="str">
        <f>IFERROR(VLOOKUP(D2128,'Team Data'!C:AB,5,FALSE),"")</f>
        <v/>
      </c>
      <c r="G2128" t="str">
        <f>IFERROR(VLOOKUP('OB Format'!D2128,'Team Data'!C:AB,17,FALSE),"")</f>
        <v/>
      </c>
      <c r="H2128" t="str">
        <f>IFERROR(VLOOKUP(D2128,'Team Data'!C:AB,7,FALSE),"")</f>
        <v/>
      </c>
      <c r="I2128" t="str">
        <f>IFERROR(VLOOKUP(D2128,'Team Data'!C:AB,14,FALSE),"")</f>
        <v/>
      </c>
      <c r="J2128" t="str">
        <f>IFERROR(VLOOKUP(D2128,'Team Data'!C:AB,8,FALSE),"")</f>
        <v/>
      </c>
      <c r="K2128" t="str">
        <f>IFERROR(VLOOKUP(D2128,'Team Data'!C:AB,9,FALSE),"")</f>
        <v/>
      </c>
      <c r="L2128" t="str">
        <f>IFERROR(VLOOKUP(D2128,'Team Data'!C:AB,10,FALSE),"")</f>
        <v/>
      </c>
      <c r="M2128" t="str">
        <f t="shared" si="68"/>
        <v/>
      </c>
      <c r="N2128" t="str">
        <f>IFERROR(VLOOKUP(D2128,'Team Data'!C:AB,23,FALSE),"")</f>
        <v/>
      </c>
      <c r="O2128" t="str">
        <f>IFERROR(VLOOKUP(D2128,'Team Data'!C:AB,22,FALSE),"")</f>
        <v/>
      </c>
      <c r="P2128" t="str">
        <f t="shared" si="69"/>
        <v/>
      </c>
      <c r="Q2128" t="str">
        <f>IFERROR(VLOOKUP(D2128,'Team Data'!C:AB,15,FALSE),"")</f>
        <v/>
      </c>
      <c r="R2128" t="str">
        <f>IFERROR(VLOOKUP('OB Format'!D2128,'Team Data'!C:AB,24,FALSE),"")</f>
        <v/>
      </c>
      <c r="S2128" t="str">
        <f>IFERROR(VLOOKUP('OB Format'!D2128,'Team Data'!C:AC,25,FALSE),"")</f>
        <v/>
      </c>
    </row>
    <row r="2129" spans="5:19" x14ac:dyDescent="0.25">
      <c r="E2129" t="str">
        <f>IFERROR(VLOOKUP(D2129,'Team Data'!C:AB,4,FALSE),"")</f>
        <v/>
      </c>
      <c r="F2129" t="str">
        <f>IFERROR(VLOOKUP(D2129,'Team Data'!C:AB,5,FALSE),"")</f>
        <v/>
      </c>
      <c r="G2129" t="str">
        <f>IFERROR(VLOOKUP('OB Format'!D2129,'Team Data'!C:AB,17,FALSE),"")</f>
        <v/>
      </c>
      <c r="H2129" t="str">
        <f>IFERROR(VLOOKUP(D2129,'Team Data'!C:AB,7,FALSE),"")</f>
        <v/>
      </c>
      <c r="I2129" t="str">
        <f>IFERROR(VLOOKUP(D2129,'Team Data'!C:AB,14,FALSE),"")</f>
        <v/>
      </c>
      <c r="J2129" t="str">
        <f>IFERROR(VLOOKUP(D2129,'Team Data'!C:AB,8,FALSE),"")</f>
        <v/>
      </c>
      <c r="K2129" t="str">
        <f>IFERROR(VLOOKUP(D2129,'Team Data'!C:AB,9,FALSE),"")</f>
        <v/>
      </c>
      <c r="L2129" t="str">
        <f>IFERROR(VLOOKUP(D2129,'Team Data'!C:AB,10,FALSE),"")</f>
        <v/>
      </c>
      <c r="M2129" t="str">
        <f t="shared" si="68"/>
        <v/>
      </c>
      <c r="N2129" t="str">
        <f>IFERROR(VLOOKUP(D2129,'Team Data'!C:AB,23,FALSE),"")</f>
        <v/>
      </c>
      <c r="O2129" t="str">
        <f>IFERROR(VLOOKUP(D2129,'Team Data'!C:AB,22,FALSE),"")</f>
        <v/>
      </c>
      <c r="P2129" t="str">
        <f t="shared" si="69"/>
        <v/>
      </c>
      <c r="Q2129" t="str">
        <f>IFERROR(VLOOKUP(D2129,'Team Data'!C:AB,15,FALSE),"")</f>
        <v/>
      </c>
      <c r="R2129" t="str">
        <f>IFERROR(VLOOKUP('OB Format'!D2129,'Team Data'!C:AB,24,FALSE),"")</f>
        <v/>
      </c>
      <c r="S2129" t="str">
        <f>IFERROR(VLOOKUP('OB Format'!D2129,'Team Data'!C:AC,25,FALSE),"")</f>
        <v/>
      </c>
    </row>
    <row r="2130" spans="5:19" x14ac:dyDescent="0.25">
      <c r="E2130" t="str">
        <f>IFERROR(VLOOKUP(D2130,'Team Data'!C:AB,4,FALSE),"")</f>
        <v/>
      </c>
      <c r="F2130" t="str">
        <f>IFERROR(VLOOKUP(D2130,'Team Data'!C:AB,5,FALSE),"")</f>
        <v/>
      </c>
      <c r="G2130" t="str">
        <f>IFERROR(VLOOKUP('OB Format'!D2130,'Team Data'!C:AB,17,FALSE),"")</f>
        <v/>
      </c>
      <c r="H2130" t="str">
        <f>IFERROR(VLOOKUP(D2130,'Team Data'!C:AB,7,FALSE),"")</f>
        <v/>
      </c>
      <c r="I2130" t="str">
        <f>IFERROR(VLOOKUP(D2130,'Team Data'!C:AB,14,FALSE),"")</f>
        <v/>
      </c>
      <c r="J2130" t="str">
        <f>IFERROR(VLOOKUP(D2130,'Team Data'!C:AB,8,FALSE),"")</f>
        <v/>
      </c>
      <c r="K2130" t="str">
        <f>IFERROR(VLOOKUP(D2130,'Team Data'!C:AB,9,FALSE),"")</f>
        <v/>
      </c>
      <c r="L2130" t="str">
        <f>IFERROR(VLOOKUP(D2130,'Team Data'!C:AB,10,FALSE),"")</f>
        <v/>
      </c>
      <c r="M2130" t="str">
        <f t="shared" si="68"/>
        <v/>
      </c>
      <c r="N2130" t="str">
        <f>IFERROR(VLOOKUP(D2130,'Team Data'!C:AB,23,FALSE),"")</f>
        <v/>
      </c>
      <c r="O2130" t="str">
        <f>IFERROR(VLOOKUP(D2130,'Team Data'!C:AB,22,FALSE),"")</f>
        <v/>
      </c>
      <c r="P2130" t="str">
        <f t="shared" si="69"/>
        <v/>
      </c>
      <c r="Q2130" t="str">
        <f>IFERROR(VLOOKUP(D2130,'Team Data'!C:AB,15,FALSE),"")</f>
        <v/>
      </c>
      <c r="R2130" t="str">
        <f>IFERROR(VLOOKUP('OB Format'!D2130,'Team Data'!C:AB,24,FALSE),"")</f>
        <v/>
      </c>
      <c r="S2130" t="str">
        <f>IFERROR(VLOOKUP('OB Format'!D2130,'Team Data'!C:AC,25,FALSE),"")</f>
        <v/>
      </c>
    </row>
    <row r="2131" spans="5:19" x14ac:dyDescent="0.25">
      <c r="E2131" t="str">
        <f>IFERROR(VLOOKUP(D2131,'Team Data'!C:AB,4,FALSE),"")</f>
        <v/>
      </c>
      <c r="F2131" t="str">
        <f>IFERROR(VLOOKUP(D2131,'Team Data'!C:AB,5,FALSE),"")</f>
        <v/>
      </c>
      <c r="G2131" t="str">
        <f>IFERROR(VLOOKUP('OB Format'!D2131,'Team Data'!C:AB,17,FALSE),"")</f>
        <v/>
      </c>
      <c r="H2131" t="str">
        <f>IFERROR(VLOOKUP(D2131,'Team Data'!C:AB,7,FALSE),"")</f>
        <v/>
      </c>
      <c r="I2131" t="str">
        <f>IFERROR(VLOOKUP(D2131,'Team Data'!C:AB,14,FALSE),"")</f>
        <v/>
      </c>
      <c r="J2131" t="str">
        <f>IFERROR(VLOOKUP(D2131,'Team Data'!C:AB,8,FALSE),"")</f>
        <v/>
      </c>
      <c r="K2131" t="str">
        <f>IFERROR(VLOOKUP(D2131,'Team Data'!C:AB,9,FALSE),"")</f>
        <v/>
      </c>
      <c r="L2131" t="str">
        <f>IFERROR(VLOOKUP(D2131,'Team Data'!C:AB,10,FALSE),"")</f>
        <v/>
      </c>
      <c r="M2131" t="str">
        <f t="shared" si="68"/>
        <v/>
      </c>
      <c r="N2131" t="str">
        <f>IFERROR(VLOOKUP(D2131,'Team Data'!C:AB,23,FALSE),"")</f>
        <v/>
      </c>
      <c r="O2131" t="str">
        <f>IFERROR(VLOOKUP(D2131,'Team Data'!C:AB,22,FALSE),"")</f>
        <v/>
      </c>
      <c r="P2131" t="str">
        <f t="shared" si="69"/>
        <v/>
      </c>
      <c r="Q2131" t="str">
        <f>IFERROR(VLOOKUP(D2131,'Team Data'!C:AB,15,FALSE),"")</f>
        <v/>
      </c>
      <c r="R2131" t="str">
        <f>IFERROR(VLOOKUP('OB Format'!D2131,'Team Data'!C:AB,24,FALSE),"")</f>
        <v/>
      </c>
      <c r="S2131" t="str">
        <f>IFERROR(VLOOKUP('OB Format'!D2131,'Team Data'!C:AC,25,FALSE),"")</f>
        <v/>
      </c>
    </row>
    <row r="2132" spans="5:19" x14ac:dyDescent="0.25">
      <c r="E2132" t="str">
        <f>IFERROR(VLOOKUP(D2132,'Team Data'!C:AB,4,FALSE),"")</f>
        <v/>
      </c>
      <c r="F2132" t="str">
        <f>IFERROR(VLOOKUP(D2132,'Team Data'!C:AB,5,FALSE),"")</f>
        <v/>
      </c>
      <c r="G2132" t="str">
        <f>IFERROR(VLOOKUP('OB Format'!D2132,'Team Data'!C:AB,17,FALSE),"")</f>
        <v/>
      </c>
      <c r="H2132" t="str">
        <f>IFERROR(VLOOKUP(D2132,'Team Data'!C:AB,7,FALSE),"")</f>
        <v/>
      </c>
      <c r="I2132" t="str">
        <f>IFERROR(VLOOKUP(D2132,'Team Data'!C:AB,14,FALSE),"")</f>
        <v/>
      </c>
      <c r="J2132" t="str">
        <f>IFERROR(VLOOKUP(D2132,'Team Data'!C:AB,8,FALSE),"")</f>
        <v/>
      </c>
      <c r="K2132" t="str">
        <f>IFERROR(VLOOKUP(D2132,'Team Data'!C:AB,9,FALSE),"")</f>
        <v/>
      </c>
      <c r="L2132" t="str">
        <f>IFERROR(VLOOKUP(D2132,'Team Data'!C:AB,10,FALSE),"")</f>
        <v/>
      </c>
      <c r="M2132" t="str">
        <f t="shared" si="68"/>
        <v/>
      </c>
      <c r="N2132" t="str">
        <f>IFERROR(VLOOKUP(D2132,'Team Data'!C:AB,23,FALSE),"")</f>
        <v/>
      </c>
      <c r="O2132" t="str">
        <f>IFERROR(VLOOKUP(D2132,'Team Data'!C:AB,22,FALSE),"")</f>
        <v/>
      </c>
      <c r="P2132" t="str">
        <f t="shared" si="69"/>
        <v/>
      </c>
      <c r="Q2132" t="str">
        <f>IFERROR(VLOOKUP(D2132,'Team Data'!C:AB,15,FALSE),"")</f>
        <v/>
      </c>
      <c r="R2132" t="str">
        <f>IFERROR(VLOOKUP('OB Format'!D2132,'Team Data'!C:AB,24,FALSE),"")</f>
        <v/>
      </c>
      <c r="S2132" t="str">
        <f>IFERROR(VLOOKUP('OB Format'!D2132,'Team Data'!C:AC,25,FALSE),"")</f>
        <v/>
      </c>
    </row>
    <row r="2133" spans="5:19" x14ac:dyDescent="0.25">
      <c r="E2133" t="str">
        <f>IFERROR(VLOOKUP(D2133,'Team Data'!C:AB,4,FALSE),"")</f>
        <v/>
      </c>
      <c r="F2133" t="str">
        <f>IFERROR(VLOOKUP(D2133,'Team Data'!C:AB,5,FALSE),"")</f>
        <v/>
      </c>
      <c r="G2133" t="str">
        <f>IFERROR(VLOOKUP('OB Format'!D2133,'Team Data'!C:AB,17,FALSE),"")</f>
        <v/>
      </c>
      <c r="H2133" t="str">
        <f>IFERROR(VLOOKUP(D2133,'Team Data'!C:AB,7,FALSE),"")</f>
        <v/>
      </c>
      <c r="I2133" t="str">
        <f>IFERROR(VLOOKUP(D2133,'Team Data'!C:AB,14,FALSE),"")</f>
        <v/>
      </c>
      <c r="J2133" t="str">
        <f>IFERROR(VLOOKUP(D2133,'Team Data'!C:AB,8,FALSE),"")</f>
        <v/>
      </c>
      <c r="K2133" t="str">
        <f>IFERROR(VLOOKUP(D2133,'Team Data'!C:AB,9,FALSE),"")</f>
        <v/>
      </c>
      <c r="L2133" t="str">
        <f>IFERROR(VLOOKUP(D2133,'Team Data'!C:AB,10,FALSE),"")</f>
        <v/>
      </c>
      <c r="M2133" t="str">
        <f t="shared" si="68"/>
        <v/>
      </c>
      <c r="N2133" t="str">
        <f>IFERROR(VLOOKUP(D2133,'Team Data'!C:AB,23,FALSE),"")</f>
        <v/>
      </c>
      <c r="O2133" t="str">
        <f>IFERROR(VLOOKUP(D2133,'Team Data'!C:AB,22,FALSE),"")</f>
        <v/>
      </c>
      <c r="P2133" t="str">
        <f t="shared" si="69"/>
        <v/>
      </c>
      <c r="Q2133" t="str">
        <f>IFERROR(VLOOKUP(D2133,'Team Data'!C:AB,15,FALSE),"")</f>
        <v/>
      </c>
      <c r="R2133" t="str">
        <f>IFERROR(VLOOKUP('OB Format'!D2133,'Team Data'!C:AB,24,FALSE),"")</f>
        <v/>
      </c>
      <c r="S2133" t="str">
        <f>IFERROR(VLOOKUP('OB Format'!D2133,'Team Data'!C:AC,25,FALSE),"")</f>
        <v/>
      </c>
    </row>
    <row r="2134" spans="5:19" x14ac:dyDescent="0.25">
      <c r="E2134" t="str">
        <f>IFERROR(VLOOKUP(D2134,'Team Data'!C:AB,4,FALSE),"")</f>
        <v/>
      </c>
      <c r="F2134" t="str">
        <f>IFERROR(VLOOKUP(D2134,'Team Data'!C:AB,5,FALSE),"")</f>
        <v/>
      </c>
      <c r="G2134" t="str">
        <f>IFERROR(VLOOKUP('OB Format'!D2134,'Team Data'!C:AB,17,FALSE),"")</f>
        <v/>
      </c>
      <c r="H2134" t="str">
        <f>IFERROR(VLOOKUP(D2134,'Team Data'!C:AB,7,FALSE),"")</f>
        <v/>
      </c>
      <c r="I2134" t="str">
        <f>IFERROR(VLOOKUP(D2134,'Team Data'!C:AB,14,FALSE),"")</f>
        <v/>
      </c>
      <c r="J2134" t="str">
        <f>IFERROR(VLOOKUP(D2134,'Team Data'!C:AB,8,FALSE),"")</f>
        <v/>
      </c>
      <c r="K2134" t="str">
        <f>IFERROR(VLOOKUP(D2134,'Team Data'!C:AB,9,FALSE),"")</f>
        <v/>
      </c>
      <c r="L2134" t="str">
        <f>IFERROR(VLOOKUP(D2134,'Team Data'!C:AB,10,FALSE),"")</f>
        <v/>
      </c>
      <c r="M2134" t="str">
        <f t="shared" si="68"/>
        <v/>
      </c>
      <c r="N2134" t="str">
        <f>IFERROR(VLOOKUP(D2134,'Team Data'!C:AB,23,FALSE),"")</f>
        <v/>
      </c>
      <c r="O2134" t="str">
        <f>IFERROR(VLOOKUP(D2134,'Team Data'!C:AB,22,FALSE),"")</f>
        <v/>
      </c>
      <c r="P2134" t="str">
        <f t="shared" si="69"/>
        <v/>
      </c>
      <c r="Q2134" t="str">
        <f>IFERROR(VLOOKUP(D2134,'Team Data'!C:AB,15,FALSE),"")</f>
        <v/>
      </c>
      <c r="R2134" t="str">
        <f>IFERROR(VLOOKUP('OB Format'!D2134,'Team Data'!C:AB,24,FALSE),"")</f>
        <v/>
      </c>
      <c r="S2134" t="str">
        <f>IFERROR(VLOOKUP('OB Format'!D2134,'Team Data'!C:AC,25,FALSE),"")</f>
        <v/>
      </c>
    </row>
    <row r="2135" spans="5:19" x14ac:dyDescent="0.25">
      <c r="E2135" t="str">
        <f>IFERROR(VLOOKUP(D2135,'Team Data'!C:AB,4,FALSE),"")</f>
        <v/>
      </c>
      <c r="F2135" t="str">
        <f>IFERROR(VLOOKUP(D2135,'Team Data'!C:AB,5,FALSE),"")</f>
        <v/>
      </c>
      <c r="G2135" t="str">
        <f>IFERROR(VLOOKUP('OB Format'!D2135,'Team Data'!C:AB,17,FALSE),"")</f>
        <v/>
      </c>
      <c r="H2135" t="str">
        <f>IFERROR(VLOOKUP(D2135,'Team Data'!C:AB,7,FALSE),"")</f>
        <v/>
      </c>
      <c r="I2135" t="str">
        <f>IFERROR(VLOOKUP(D2135,'Team Data'!C:AB,14,FALSE),"")</f>
        <v/>
      </c>
      <c r="J2135" t="str">
        <f>IFERROR(VLOOKUP(D2135,'Team Data'!C:AB,8,FALSE),"")</f>
        <v/>
      </c>
      <c r="K2135" t="str">
        <f>IFERROR(VLOOKUP(D2135,'Team Data'!C:AB,9,FALSE),"")</f>
        <v/>
      </c>
      <c r="L2135" t="str">
        <f>IFERROR(VLOOKUP(D2135,'Team Data'!C:AB,10,FALSE),"")</f>
        <v/>
      </c>
      <c r="M2135" t="str">
        <f t="shared" si="68"/>
        <v/>
      </c>
      <c r="N2135" t="str">
        <f>IFERROR(VLOOKUP(D2135,'Team Data'!C:AB,23,FALSE),"")</f>
        <v/>
      </c>
      <c r="O2135" t="str">
        <f>IFERROR(VLOOKUP(D2135,'Team Data'!C:AB,22,FALSE),"")</f>
        <v/>
      </c>
      <c r="P2135" t="str">
        <f t="shared" si="69"/>
        <v/>
      </c>
      <c r="Q2135" t="str">
        <f>IFERROR(VLOOKUP(D2135,'Team Data'!C:AB,15,FALSE),"")</f>
        <v/>
      </c>
      <c r="R2135" t="str">
        <f>IFERROR(VLOOKUP('OB Format'!D2135,'Team Data'!C:AB,24,FALSE),"")</f>
        <v/>
      </c>
      <c r="S2135" t="str">
        <f>IFERROR(VLOOKUP('OB Format'!D2135,'Team Data'!C:AC,25,FALSE),"")</f>
        <v/>
      </c>
    </row>
    <row r="2136" spans="5:19" x14ac:dyDescent="0.25">
      <c r="E2136" t="str">
        <f>IFERROR(VLOOKUP(D2136,'Team Data'!C:AB,4,FALSE),"")</f>
        <v/>
      </c>
      <c r="F2136" t="str">
        <f>IFERROR(VLOOKUP(D2136,'Team Data'!C:AB,5,FALSE),"")</f>
        <v/>
      </c>
      <c r="G2136" t="str">
        <f>IFERROR(VLOOKUP('OB Format'!D2136,'Team Data'!C:AB,17,FALSE),"")</f>
        <v/>
      </c>
      <c r="H2136" t="str">
        <f>IFERROR(VLOOKUP(D2136,'Team Data'!C:AB,7,FALSE),"")</f>
        <v/>
      </c>
      <c r="I2136" t="str">
        <f>IFERROR(VLOOKUP(D2136,'Team Data'!C:AB,14,FALSE),"")</f>
        <v/>
      </c>
      <c r="J2136" t="str">
        <f>IFERROR(VLOOKUP(D2136,'Team Data'!C:AB,8,FALSE),"")</f>
        <v/>
      </c>
      <c r="K2136" t="str">
        <f>IFERROR(VLOOKUP(D2136,'Team Data'!C:AB,9,FALSE),"")</f>
        <v/>
      </c>
      <c r="L2136" t="str">
        <f>IFERROR(VLOOKUP(D2136,'Team Data'!C:AB,10,FALSE),"")</f>
        <v/>
      </c>
      <c r="M2136" t="str">
        <f t="shared" si="68"/>
        <v/>
      </c>
      <c r="N2136" t="str">
        <f>IFERROR(VLOOKUP(D2136,'Team Data'!C:AB,23,FALSE),"")</f>
        <v/>
      </c>
      <c r="O2136" t="str">
        <f>IFERROR(VLOOKUP(D2136,'Team Data'!C:AB,22,FALSE),"")</f>
        <v/>
      </c>
      <c r="P2136" t="str">
        <f t="shared" si="69"/>
        <v/>
      </c>
      <c r="Q2136" t="str">
        <f>IFERROR(VLOOKUP(D2136,'Team Data'!C:AB,15,FALSE),"")</f>
        <v/>
      </c>
      <c r="R2136" t="str">
        <f>IFERROR(VLOOKUP('OB Format'!D2136,'Team Data'!C:AB,24,FALSE),"")</f>
        <v/>
      </c>
      <c r="S2136" t="str">
        <f>IFERROR(VLOOKUP('OB Format'!D2136,'Team Data'!C:AC,25,FALSE),"")</f>
        <v/>
      </c>
    </row>
    <row r="2137" spans="5:19" x14ac:dyDescent="0.25">
      <c r="E2137" t="str">
        <f>IFERROR(VLOOKUP(D2137,'Team Data'!C:AB,4,FALSE),"")</f>
        <v/>
      </c>
      <c r="F2137" t="str">
        <f>IFERROR(VLOOKUP(D2137,'Team Data'!C:AB,5,FALSE),"")</f>
        <v/>
      </c>
      <c r="G2137" t="str">
        <f>IFERROR(VLOOKUP('OB Format'!D2137,'Team Data'!C:AB,17,FALSE),"")</f>
        <v/>
      </c>
      <c r="H2137" t="str">
        <f>IFERROR(VLOOKUP(D2137,'Team Data'!C:AB,7,FALSE),"")</f>
        <v/>
      </c>
      <c r="I2137" t="str">
        <f>IFERROR(VLOOKUP(D2137,'Team Data'!C:AB,14,FALSE),"")</f>
        <v/>
      </c>
      <c r="J2137" t="str">
        <f>IFERROR(VLOOKUP(D2137,'Team Data'!C:AB,8,FALSE),"")</f>
        <v/>
      </c>
      <c r="K2137" t="str">
        <f>IFERROR(VLOOKUP(D2137,'Team Data'!C:AB,9,FALSE),"")</f>
        <v/>
      </c>
      <c r="L2137" t="str">
        <f>IFERROR(VLOOKUP(D2137,'Team Data'!C:AB,10,FALSE),"")</f>
        <v/>
      </c>
      <c r="M2137" t="str">
        <f t="shared" si="68"/>
        <v/>
      </c>
      <c r="N2137" t="str">
        <f>IFERROR(VLOOKUP(D2137,'Team Data'!C:AB,23,FALSE),"")</f>
        <v/>
      </c>
      <c r="O2137" t="str">
        <f>IFERROR(VLOOKUP(D2137,'Team Data'!C:AB,22,FALSE),"")</f>
        <v/>
      </c>
      <c r="P2137" t="str">
        <f t="shared" si="69"/>
        <v/>
      </c>
      <c r="Q2137" t="str">
        <f>IFERROR(VLOOKUP(D2137,'Team Data'!C:AB,15,FALSE),"")</f>
        <v/>
      </c>
      <c r="R2137" t="str">
        <f>IFERROR(VLOOKUP('OB Format'!D2137,'Team Data'!C:AB,24,FALSE),"")</f>
        <v/>
      </c>
      <c r="S2137" t="str">
        <f>IFERROR(VLOOKUP('OB Format'!D2137,'Team Data'!C:AC,25,FALSE),"")</f>
        <v/>
      </c>
    </row>
    <row r="2138" spans="5:19" x14ac:dyDescent="0.25">
      <c r="E2138" t="str">
        <f>IFERROR(VLOOKUP(D2138,'Team Data'!C:AB,4,FALSE),"")</f>
        <v/>
      </c>
      <c r="F2138" t="str">
        <f>IFERROR(VLOOKUP(D2138,'Team Data'!C:AB,5,FALSE),"")</f>
        <v/>
      </c>
      <c r="G2138" t="str">
        <f>IFERROR(VLOOKUP('OB Format'!D2138,'Team Data'!C:AB,17,FALSE),"")</f>
        <v/>
      </c>
      <c r="H2138" t="str">
        <f>IFERROR(VLOOKUP(D2138,'Team Data'!C:AB,7,FALSE),"")</f>
        <v/>
      </c>
      <c r="I2138" t="str">
        <f>IFERROR(VLOOKUP(D2138,'Team Data'!C:AB,14,FALSE),"")</f>
        <v/>
      </c>
      <c r="J2138" t="str">
        <f>IFERROR(VLOOKUP(D2138,'Team Data'!C:AB,8,FALSE),"")</f>
        <v/>
      </c>
      <c r="K2138" t="str">
        <f>IFERROR(VLOOKUP(D2138,'Team Data'!C:AB,9,FALSE),"")</f>
        <v/>
      </c>
      <c r="L2138" t="str">
        <f>IFERROR(VLOOKUP(D2138,'Team Data'!C:AB,10,FALSE),"")</f>
        <v/>
      </c>
      <c r="M2138" t="str">
        <f t="shared" si="68"/>
        <v/>
      </c>
      <c r="N2138" t="str">
        <f>IFERROR(VLOOKUP(D2138,'Team Data'!C:AB,23,FALSE),"")</f>
        <v/>
      </c>
      <c r="O2138" t="str">
        <f>IFERROR(VLOOKUP(D2138,'Team Data'!C:AB,22,FALSE),"")</f>
        <v/>
      </c>
      <c r="P2138" t="str">
        <f t="shared" si="69"/>
        <v/>
      </c>
      <c r="Q2138" t="str">
        <f>IFERROR(VLOOKUP(D2138,'Team Data'!C:AB,15,FALSE),"")</f>
        <v/>
      </c>
      <c r="R2138" t="str">
        <f>IFERROR(VLOOKUP('OB Format'!D2138,'Team Data'!C:AB,24,FALSE),"")</f>
        <v/>
      </c>
      <c r="S2138" t="str">
        <f>IFERROR(VLOOKUP('OB Format'!D2138,'Team Data'!C:AC,25,FALSE),"")</f>
        <v/>
      </c>
    </row>
    <row r="2139" spans="5:19" x14ac:dyDescent="0.25">
      <c r="E2139" t="str">
        <f>IFERROR(VLOOKUP(D2139,'Team Data'!C:AB,4,FALSE),"")</f>
        <v/>
      </c>
      <c r="F2139" t="str">
        <f>IFERROR(VLOOKUP(D2139,'Team Data'!C:AB,5,FALSE),"")</f>
        <v/>
      </c>
      <c r="G2139" t="str">
        <f>IFERROR(VLOOKUP('OB Format'!D2139,'Team Data'!C:AB,17,FALSE),"")</f>
        <v/>
      </c>
      <c r="H2139" t="str">
        <f>IFERROR(VLOOKUP(D2139,'Team Data'!C:AB,7,FALSE),"")</f>
        <v/>
      </c>
      <c r="I2139" t="str">
        <f>IFERROR(VLOOKUP(D2139,'Team Data'!C:AB,14,FALSE),"")</f>
        <v/>
      </c>
      <c r="J2139" t="str">
        <f>IFERROR(VLOOKUP(D2139,'Team Data'!C:AB,8,FALSE),"")</f>
        <v/>
      </c>
      <c r="K2139" t="str">
        <f>IFERROR(VLOOKUP(D2139,'Team Data'!C:AB,9,FALSE),"")</f>
        <v/>
      </c>
      <c r="L2139" t="str">
        <f>IFERROR(VLOOKUP(D2139,'Team Data'!C:AB,10,FALSE),"")</f>
        <v/>
      </c>
      <c r="M2139" t="str">
        <f t="shared" si="68"/>
        <v/>
      </c>
      <c r="N2139" t="str">
        <f>IFERROR(VLOOKUP(D2139,'Team Data'!C:AB,23,FALSE),"")</f>
        <v/>
      </c>
      <c r="O2139" t="str">
        <f>IFERROR(VLOOKUP(D2139,'Team Data'!C:AB,22,FALSE),"")</f>
        <v/>
      </c>
      <c r="P2139" t="str">
        <f t="shared" si="69"/>
        <v/>
      </c>
      <c r="Q2139" t="str">
        <f>IFERROR(VLOOKUP(D2139,'Team Data'!C:AB,15,FALSE),"")</f>
        <v/>
      </c>
      <c r="R2139" t="str">
        <f>IFERROR(VLOOKUP('OB Format'!D2139,'Team Data'!C:AB,24,FALSE),"")</f>
        <v/>
      </c>
      <c r="S2139" t="str">
        <f>IFERROR(VLOOKUP('OB Format'!D2139,'Team Data'!C:AC,25,FALSE),"")</f>
        <v/>
      </c>
    </row>
    <row r="2140" spans="5:19" x14ac:dyDescent="0.25">
      <c r="E2140" t="str">
        <f>IFERROR(VLOOKUP(D2140,'Team Data'!C:AB,4,FALSE),"")</f>
        <v/>
      </c>
      <c r="F2140" t="str">
        <f>IFERROR(VLOOKUP(D2140,'Team Data'!C:AB,5,FALSE),"")</f>
        <v/>
      </c>
      <c r="G2140" t="str">
        <f>IFERROR(VLOOKUP('OB Format'!D2140,'Team Data'!C:AB,17,FALSE),"")</f>
        <v/>
      </c>
      <c r="H2140" t="str">
        <f>IFERROR(VLOOKUP(D2140,'Team Data'!C:AB,7,FALSE),"")</f>
        <v/>
      </c>
      <c r="I2140" t="str">
        <f>IFERROR(VLOOKUP(D2140,'Team Data'!C:AB,14,FALSE),"")</f>
        <v/>
      </c>
      <c r="J2140" t="str">
        <f>IFERROR(VLOOKUP(D2140,'Team Data'!C:AB,8,FALSE),"")</f>
        <v/>
      </c>
      <c r="K2140" t="str">
        <f>IFERROR(VLOOKUP(D2140,'Team Data'!C:AB,9,FALSE),"")</f>
        <v/>
      </c>
      <c r="L2140" t="str">
        <f>IFERROR(VLOOKUP(D2140,'Team Data'!C:AB,10,FALSE),"")</f>
        <v/>
      </c>
      <c r="M2140" t="str">
        <f t="shared" si="68"/>
        <v/>
      </c>
      <c r="N2140" t="str">
        <f>IFERROR(VLOOKUP(D2140,'Team Data'!C:AB,23,FALSE),"")</f>
        <v/>
      </c>
      <c r="O2140" t="str">
        <f>IFERROR(VLOOKUP(D2140,'Team Data'!C:AB,22,FALSE),"")</f>
        <v/>
      </c>
      <c r="P2140" t="str">
        <f t="shared" si="69"/>
        <v/>
      </c>
      <c r="Q2140" t="str">
        <f>IFERROR(VLOOKUP(D2140,'Team Data'!C:AB,15,FALSE),"")</f>
        <v/>
      </c>
      <c r="R2140" t="str">
        <f>IFERROR(VLOOKUP('OB Format'!D2140,'Team Data'!C:AB,24,FALSE),"")</f>
        <v/>
      </c>
      <c r="S2140" t="str">
        <f>IFERROR(VLOOKUP('OB Format'!D2140,'Team Data'!C:AC,25,FALSE),"")</f>
        <v/>
      </c>
    </row>
    <row r="2141" spans="5:19" x14ac:dyDescent="0.25">
      <c r="E2141" t="str">
        <f>IFERROR(VLOOKUP(D2141,'Team Data'!C:AB,4,FALSE),"")</f>
        <v/>
      </c>
      <c r="F2141" t="str">
        <f>IFERROR(VLOOKUP(D2141,'Team Data'!C:AB,5,FALSE),"")</f>
        <v/>
      </c>
      <c r="G2141" t="str">
        <f>IFERROR(VLOOKUP('OB Format'!D2141,'Team Data'!C:AB,17,FALSE),"")</f>
        <v/>
      </c>
      <c r="H2141" t="str">
        <f>IFERROR(VLOOKUP(D2141,'Team Data'!C:AB,7,FALSE),"")</f>
        <v/>
      </c>
      <c r="I2141" t="str">
        <f>IFERROR(VLOOKUP(D2141,'Team Data'!C:AB,14,FALSE),"")</f>
        <v/>
      </c>
      <c r="J2141" t="str">
        <f>IFERROR(VLOOKUP(D2141,'Team Data'!C:AB,8,FALSE),"")</f>
        <v/>
      </c>
      <c r="K2141" t="str">
        <f>IFERROR(VLOOKUP(D2141,'Team Data'!C:AB,9,FALSE),"")</f>
        <v/>
      </c>
      <c r="L2141" t="str">
        <f>IFERROR(VLOOKUP(D2141,'Team Data'!C:AB,10,FALSE),"")</f>
        <v/>
      </c>
      <c r="M2141" t="str">
        <f t="shared" si="68"/>
        <v/>
      </c>
      <c r="N2141" t="str">
        <f>IFERROR(VLOOKUP(D2141,'Team Data'!C:AB,23,FALSE),"")</f>
        <v/>
      </c>
      <c r="O2141" t="str">
        <f>IFERROR(VLOOKUP(D2141,'Team Data'!C:AB,22,FALSE),"")</f>
        <v/>
      </c>
      <c r="P2141" t="str">
        <f t="shared" si="69"/>
        <v/>
      </c>
      <c r="Q2141" t="str">
        <f>IFERROR(VLOOKUP(D2141,'Team Data'!C:AB,15,FALSE),"")</f>
        <v/>
      </c>
      <c r="R2141" t="str">
        <f>IFERROR(VLOOKUP('OB Format'!D2141,'Team Data'!C:AB,24,FALSE),"")</f>
        <v/>
      </c>
      <c r="S2141" t="str">
        <f>IFERROR(VLOOKUP('OB Format'!D2141,'Team Data'!C:AC,25,FALSE),"")</f>
        <v/>
      </c>
    </row>
    <row r="2142" spans="5:19" x14ac:dyDescent="0.25">
      <c r="E2142" t="str">
        <f>IFERROR(VLOOKUP(D2142,'Team Data'!C:AB,4,FALSE),"")</f>
        <v/>
      </c>
      <c r="F2142" t="str">
        <f>IFERROR(VLOOKUP(D2142,'Team Data'!C:AB,5,FALSE),"")</f>
        <v/>
      </c>
      <c r="G2142" t="str">
        <f>IFERROR(VLOOKUP('OB Format'!D2142,'Team Data'!C:AB,17,FALSE),"")</f>
        <v/>
      </c>
      <c r="H2142" t="str">
        <f>IFERROR(VLOOKUP(D2142,'Team Data'!C:AB,7,FALSE),"")</f>
        <v/>
      </c>
      <c r="I2142" t="str">
        <f>IFERROR(VLOOKUP(D2142,'Team Data'!C:AB,14,FALSE),"")</f>
        <v/>
      </c>
      <c r="J2142" t="str">
        <f>IFERROR(VLOOKUP(D2142,'Team Data'!C:AB,8,FALSE),"")</f>
        <v/>
      </c>
      <c r="K2142" t="str">
        <f>IFERROR(VLOOKUP(D2142,'Team Data'!C:AB,9,FALSE),"")</f>
        <v/>
      </c>
      <c r="L2142" t="str">
        <f>IFERROR(VLOOKUP(D2142,'Team Data'!C:AB,10,FALSE),"")</f>
        <v/>
      </c>
      <c r="M2142" t="str">
        <f t="shared" si="68"/>
        <v/>
      </c>
      <c r="N2142" t="str">
        <f>IFERROR(VLOOKUP(D2142,'Team Data'!C:AB,23,FALSE),"")</f>
        <v/>
      </c>
      <c r="O2142" t="str">
        <f>IFERROR(VLOOKUP(D2142,'Team Data'!C:AB,22,FALSE),"")</f>
        <v/>
      </c>
      <c r="P2142" t="str">
        <f t="shared" si="69"/>
        <v/>
      </c>
      <c r="Q2142" t="str">
        <f>IFERROR(VLOOKUP(D2142,'Team Data'!C:AB,15,FALSE),"")</f>
        <v/>
      </c>
      <c r="R2142" t="str">
        <f>IFERROR(VLOOKUP('OB Format'!D2142,'Team Data'!C:AB,24,FALSE),"")</f>
        <v/>
      </c>
      <c r="S2142" t="str">
        <f>IFERROR(VLOOKUP('OB Format'!D2142,'Team Data'!C:AC,25,FALSE),"")</f>
        <v/>
      </c>
    </row>
    <row r="2143" spans="5:19" x14ac:dyDescent="0.25">
      <c r="E2143" t="str">
        <f>IFERROR(VLOOKUP(D2143,'Team Data'!C:AB,4,FALSE),"")</f>
        <v/>
      </c>
      <c r="F2143" t="str">
        <f>IFERROR(VLOOKUP(D2143,'Team Data'!C:AB,5,FALSE),"")</f>
        <v/>
      </c>
      <c r="G2143" t="str">
        <f>IFERROR(VLOOKUP('OB Format'!D2143,'Team Data'!C:AB,17,FALSE),"")</f>
        <v/>
      </c>
      <c r="H2143" t="str">
        <f>IFERROR(VLOOKUP(D2143,'Team Data'!C:AB,7,FALSE),"")</f>
        <v/>
      </c>
      <c r="I2143" t="str">
        <f>IFERROR(VLOOKUP(D2143,'Team Data'!C:AB,14,FALSE),"")</f>
        <v/>
      </c>
      <c r="J2143" t="str">
        <f>IFERROR(VLOOKUP(D2143,'Team Data'!C:AB,8,FALSE),"")</f>
        <v/>
      </c>
      <c r="K2143" t="str">
        <f>IFERROR(VLOOKUP(D2143,'Team Data'!C:AB,9,FALSE),"")</f>
        <v/>
      </c>
      <c r="L2143" t="str">
        <f>IFERROR(VLOOKUP(D2143,'Team Data'!C:AB,10,FALSE),"")</f>
        <v/>
      </c>
      <c r="M2143" t="str">
        <f t="shared" si="68"/>
        <v/>
      </c>
      <c r="N2143" t="str">
        <f>IFERROR(VLOOKUP(D2143,'Team Data'!C:AB,23,FALSE),"")</f>
        <v/>
      </c>
      <c r="O2143" t="str">
        <f>IFERROR(VLOOKUP(D2143,'Team Data'!C:AB,22,FALSE),"")</f>
        <v/>
      </c>
      <c r="P2143" t="str">
        <f t="shared" si="69"/>
        <v/>
      </c>
      <c r="Q2143" t="str">
        <f>IFERROR(VLOOKUP(D2143,'Team Data'!C:AB,15,FALSE),"")</f>
        <v/>
      </c>
      <c r="R2143" t="str">
        <f>IFERROR(VLOOKUP('OB Format'!D2143,'Team Data'!C:AB,24,FALSE),"")</f>
        <v/>
      </c>
      <c r="S2143" t="str">
        <f>IFERROR(VLOOKUP('OB Format'!D2143,'Team Data'!C:AC,25,FALSE),"")</f>
        <v/>
      </c>
    </row>
    <row r="2144" spans="5:19" x14ac:dyDescent="0.25">
      <c r="E2144" t="str">
        <f>IFERROR(VLOOKUP(D2144,'Team Data'!C:AB,4,FALSE),"")</f>
        <v/>
      </c>
      <c r="F2144" t="str">
        <f>IFERROR(VLOOKUP(D2144,'Team Data'!C:AB,5,FALSE),"")</f>
        <v/>
      </c>
      <c r="G2144" t="str">
        <f>IFERROR(VLOOKUP('OB Format'!D2144,'Team Data'!C:AB,17,FALSE),"")</f>
        <v/>
      </c>
      <c r="H2144" t="str">
        <f>IFERROR(VLOOKUP(D2144,'Team Data'!C:AB,7,FALSE),"")</f>
        <v/>
      </c>
      <c r="I2144" t="str">
        <f>IFERROR(VLOOKUP(D2144,'Team Data'!C:AB,14,FALSE),"")</f>
        <v/>
      </c>
      <c r="J2144" t="str">
        <f>IFERROR(VLOOKUP(D2144,'Team Data'!C:AB,8,FALSE),"")</f>
        <v/>
      </c>
      <c r="K2144" t="str">
        <f>IFERROR(VLOOKUP(D2144,'Team Data'!C:AB,9,FALSE),"")</f>
        <v/>
      </c>
      <c r="L2144" t="str">
        <f>IFERROR(VLOOKUP(D2144,'Team Data'!C:AB,10,FALSE),"")</f>
        <v/>
      </c>
      <c r="M2144" t="str">
        <f t="shared" si="68"/>
        <v/>
      </c>
      <c r="N2144" t="str">
        <f>IFERROR(VLOOKUP(D2144,'Team Data'!C:AB,23,FALSE),"")</f>
        <v/>
      </c>
      <c r="O2144" t="str">
        <f>IFERROR(VLOOKUP(D2144,'Team Data'!C:AB,22,FALSE),"")</f>
        <v/>
      </c>
      <c r="P2144" t="str">
        <f t="shared" si="69"/>
        <v/>
      </c>
      <c r="Q2144" t="str">
        <f>IFERROR(VLOOKUP(D2144,'Team Data'!C:AB,15,FALSE),"")</f>
        <v/>
      </c>
      <c r="R2144" t="str">
        <f>IFERROR(VLOOKUP('OB Format'!D2144,'Team Data'!C:AB,24,FALSE),"")</f>
        <v/>
      </c>
      <c r="S2144" t="str">
        <f>IFERROR(VLOOKUP('OB Format'!D2144,'Team Data'!C:AC,25,FALSE),"")</f>
        <v/>
      </c>
    </row>
    <row r="2145" spans="5:19" x14ac:dyDescent="0.25">
      <c r="E2145" t="str">
        <f>IFERROR(VLOOKUP(D2145,'Team Data'!C:AB,4,FALSE),"")</f>
        <v/>
      </c>
      <c r="F2145" t="str">
        <f>IFERROR(VLOOKUP(D2145,'Team Data'!C:AB,5,FALSE),"")</f>
        <v/>
      </c>
      <c r="G2145" t="str">
        <f>IFERROR(VLOOKUP('OB Format'!D2145,'Team Data'!C:AB,17,FALSE),"")</f>
        <v/>
      </c>
      <c r="H2145" t="str">
        <f>IFERROR(VLOOKUP(D2145,'Team Data'!C:AB,7,FALSE),"")</f>
        <v/>
      </c>
      <c r="I2145" t="str">
        <f>IFERROR(VLOOKUP(D2145,'Team Data'!C:AB,14,FALSE),"")</f>
        <v/>
      </c>
      <c r="J2145" t="str">
        <f>IFERROR(VLOOKUP(D2145,'Team Data'!C:AB,8,FALSE),"")</f>
        <v/>
      </c>
      <c r="K2145" t="str">
        <f>IFERROR(VLOOKUP(D2145,'Team Data'!C:AB,9,FALSE),"")</f>
        <v/>
      </c>
      <c r="L2145" t="str">
        <f>IFERROR(VLOOKUP(D2145,'Team Data'!C:AB,10,FALSE),"")</f>
        <v/>
      </c>
      <c r="M2145" t="str">
        <f t="shared" si="68"/>
        <v/>
      </c>
      <c r="N2145" t="str">
        <f>IFERROR(VLOOKUP(D2145,'Team Data'!C:AB,23,FALSE),"")</f>
        <v/>
      </c>
      <c r="O2145" t="str">
        <f>IFERROR(VLOOKUP(D2145,'Team Data'!C:AB,22,FALSE),"")</f>
        <v/>
      </c>
      <c r="P2145" t="str">
        <f t="shared" si="69"/>
        <v/>
      </c>
      <c r="Q2145" t="str">
        <f>IFERROR(VLOOKUP(D2145,'Team Data'!C:AB,15,FALSE),"")</f>
        <v/>
      </c>
      <c r="R2145" t="str">
        <f>IFERROR(VLOOKUP('OB Format'!D2145,'Team Data'!C:AB,24,FALSE),"")</f>
        <v/>
      </c>
      <c r="S2145" t="str">
        <f>IFERROR(VLOOKUP('OB Format'!D2145,'Team Data'!C:AC,25,FALSE),"")</f>
        <v/>
      </c>
    </row>
    <row r="2146" spans="5:19" x14ac:dyDescent="0.25">
      <c r="E2146" t="str">
        <f>IFERROR(VLOOKUP(D2146,'Team Data'!C:AB,4,FALSE),"")</f>
        <v/>
      </c>
      <c r="F2146" t="str">
        <f>IFERROR(VLOOKUP(D2146,'Team Data'!C:AB,5,FALSE),"")</f>
        <v/>
      </c>
      <c r="G2146" t="str">
        <f>IFERROR(VLOOKUP('OB Format'!D2146,'Team Data'!C:AB,17,FALSE),"")</f>
        <v/>
      </c>
      <c r="H2146" t="str">
        <f>IFERROR(VLOOKUP(D2146,'Team Data'!C:AB,7,FALSE),"")</f>
        <v/>
      </c>
      <c r="I2146" t="str">
        <f>IFERROR(VLOOKUP(D2146,'Team Data'!C:AB,14,FALSE),"")</f>
        <v/>
      </c>
      <c r="J2146" t="str">
        <f>IFERROR(VLOOKUP(D2146,'Team Data'!C:AB,8,FALSE),"")</f>
        <v/>
      </c>
      <c r="K2146" t="str">
        <f>IFERROR(VLOOKUP(D2146,'Team Data'!C:AB,9,FALSE),"")</f>
        <v/>
      </c>
      <c r="L2146" t="str">
        <f>IFERROR(VLOOKUP(D2146,'Team Data'!C:AB,10,FALSE),"")</f>
        <v/>
      </c>
      <c r="M2146" t="str">
        <f t="shared" si="68"/>
        <v/>
      </c>
      <c r="N2146" t="str">
        <f>IFERROR(VLOOKUP(D2146,'Team Data'!C:AB,23,FALSE),"")</f>
        <v/>
      </c>
      <c r="O2146" t="str">
        <f>IFERROR(VLOOKUP(D2146,'Team Data'!C:AB,22,FALSE),"")</f>
        <v/>
      </c>
      <c r="P2146" t="str">
        <f t="shared" si="69"/>
        <v/>
      </c>
      <c r="Q2146" t="str">
        <f>IFERROR(VLOOKUP(D2146,'Team Data'!C:AB,15,FALSE),"")</f>
        <v/>
      </c>
      <c r="R2146" t="str">
        <f>IFERROR(VLOOKUP('OB Format'!D2146,'Team Data'!C:AB,24,FALSE),"")</f>
        <v/>
      </c>
      <c r="S2146" t="str">
        <f>IFERROR(VLOOKUP('OB Format'!D2146,'Team Data'!C:AC,25,FALSE),"")</f>
        <v/>
      </c>
    </row>
    <row r="2147" spans="5:19" x14ac:dyDescent="0.25">
      <c r="E2147" t="str">
        <f>IFERROR(VLOOKUP(D2147,'Team Data'!C:AB,4,FALSE),"")</f>
        <v/>
      </c>
      <c r="F2147" t="str">
        <f>IFERROR(VLOOKUP(D2147,'Team Data'!C:AB,5,FALSE),"")</f>
        <v/>
      </c>
      <c r="G2147" t="str">
        <f>IFERROR(VLOOKUP('OB Format'!D2147,'Team Data'!C:AB,17,FALSE),"")</f>
        <v/>
      </c>
      <c r="H2147" t="str">
        <f>IFERROR(VLOOKUP(D2147,'Team Data'!C:AB,7,FALSE),"")</f>
        <v/>
      </c>
      <c r="I2147" t="str">
        <f>IFERROR(VLOOKUP(D2147,'Team Data'!C:AB,14,FALSE),"")</f>
        <v/>
      </c>
      <c r="J2147" t="str">
        <f>IFERROR(VLOOKUP(D2147,'Team Data'!C:AB,8,FALSE),"")</f>
        <v/>
      </c>
      <c r="K2147" t="str">
        <f>IFERROR(VLOOKUP(D2147,'Team Data'!C:AB,9,FALSE),"")</f>
        <v/>
      </c>
      <c r="L2147" t="str">
        <f>IFERROR(VLOOKUP(D2147,'Team Data'!C:AB,10,FALSE),"")</f>
        <v/>
      </c>
      <c r="M2147" t="str">
        <f t="shared" si="68"/>
        <v/>
      </c>
      <c r="N2147" t="str">
        <f>IFERROR(VLOOKUP(D2147,'Team Data'!C:AB,23,FALSE),"")</f>
        <v/>
      </c>
      <c r="O2147" t="str">
        <f>IFERROR(VLOOKUP(D2147,'Team Data'!C:AB,22,FALSE),"")</f>
        <v/>
      </c>
      <c r="P2147" t="str">
        <f t="shared" si="69"/>
        <v/>
      </c>
      <c r="Q2147" t="str">
        <f>IFERROR(VLOOKUP(D2147,'Team Data'!C:AB,15,FALSE),"")</f>
        <v/>
      </c>
      <c r="R2147" t="str">
        <f>IFERROR(VLOOKUP('OB Format'!D2147,'Team Data'!C:AB,24,FALSE),"")</f>
        <v/>
      </c>
      <c r="S2147" t="str">
        <f>IFERROR(VLOOKUP('OB Format'!D2147,'Team Data'!C:AC,25,FALSE),"")</f>
        <v/>
      </c>
    </row>
    <row r="2148" spans="5:19" x14ac:dyDescent="0.25">
      <c r="E2148" t="str">
        <f>IFERROR(VLOOKUP(D2148,'Team Data'!C:AB,4,FALSE),"")</f>
        <v/>
      </c>
      <c r="F2148" t="str">
        <f>IFERROR(VLOOKUP(D2148,'Team Data'!C:AB,5,FALSE),"")</f>
        <v/>
      </c>
      <c r="G2148" t="str">
        <f>IFERROR(VLOOKUP('OB Format'!D2148,'Team Data'!C:AB,17,FALSE),"")</f>
        <v/>
      </c>
      <c r="H2148" t="str">
        <f>IFERROR(VLOOKUP(D2148,'Team Data'!C:AB,7,FALSE),"")</f>
        <v/>
      </c>
      <c r="I2148" t="str">
        <f>IFERROR(VLOOKUP(D2148,'Team Data'!C:AB,14,FALSE),"")</f>
        <v/>
      </c>
      <c r="J2148" t="str">
        <f>IFERROR(VLOOKUP(D2148,'Team Data'!C:AB,8,FALSE),"")</f>
        <v/>
      </c>
      <c r="K2148" t="str">
        <f>IFERROR(VLOOKUP(D2148,'Team Data'!C:AB,9,FALSE),"")</f>
        <v/>
      </c>
      <c r="L2148" t="str">
        <f>IFERROR(VLOOKUP(D2148,'Team Data'!C:AB,10,FALSE),"")</f>
        <v/>
      </c>
      <c r="M2148" t="str">
        <f t="shared" si="68"/>
        <v/>
      </c>
      <c r="N2148" t="str">
        <f>IFERROR(VLOOKUP(D2148,'Team Data'!C:AB,23,FALSE),"")</f>
        <v/>
      </c>
      <c r="O2148" t="str">
        <f>IFERROR(VLOOKUP(D2148,'Team Data'!C:AB,22,FALSE),"")</f>
        <v/>
      </c>
      <c r="P2148" t="str">
        <f t="shared" si="69"/>
        <v/>
      </c>
      <c r="Q2148" t="str">
        <f>IFERROR(VLOOKUP(D2148,'Team Data'!C:AB,15,FALSE),"")</f>
        <v/>
      </c>
      <c r="R2148" t="str">
        <f>IFERROR(VLOOKUP('OB Format'!D2148,'Team Data'!C:AB,24,FALSE),"")</f>
        <v/>
      </c>
      <c r="S2148" t="str">
        <f>IFERROR(VLOOKUP('OB Format'!D2148,'Team Data'!C:AC,25,FALSE),"")</f>
        <v/>
      </c>
    </row>
    <row r="2149" spans="5:19" x14ac:dyDescent="0.25">
      <c r="E2149" t="str">
        <f>IFERROR(VLOOKUP(D2149,'Team Data'!C:AB,4,FALSE),"")</f>
        <v/>
      </c>
      <c r="F2149" t="str">
        <f>IFERROR(VLOOKUP(D2149,'Team Data'!C:AB,5,FALSE),"")</f>
        <v/>
      </c>
      <c r="G2149" t="str">
        <f>IFERROR(VLOOKUP('OB Format'!D2149,'Team Data'!C:AB,17,FALSE),"")</f>
        <v/>
      </c>
      <c r="H2149" t="str">
        <f>IFERROR(VLOOKUP(D2149,'Team Data'!C:AB,7,FALSE),"")</f>
        <v/>
      </c>
      <c r="I2149" t="str">
        <f>IFERROR(VLOOKUP(D2149,'Team Data'!C:AB,14,FALSE),"")</f>
        <v/>
      </c>
      <c r="J2149" t="str">
        <f>IFERROR(VLOOKUP(D2149,'Team Data'!C:AB,8,FALSE),"")</f>
        <v/>
      </c>
      <c r="K2149" t="str">
        <f>IFERROR(VLOOKUP(D2149,'Team Data'!C:AB,9,FALSE),"")</f>
        <v/>
      </c>
      <c r="L2149" t="str">
        <f>IFERROR(VLOOKUP(D2149,'Team Data'!C:AB,10,FALSE),"")</f>
        <v/>
      </c>
      <c r="M2149" t="str">
        <f t="shared" si="68"/>
        <v/>
      </c>
      <c r="N2149" t="str">
        <f>IFERROR(VLOOKUP(D2149,'Team Data'!C:AB,23,FALSE),"")</f>
        <v/>
      </c>
      <c r="O2149" t="str">
        <f>IFERROR(VLOOKUP(D2149,'Team Data'!C:AB,22,FALSE),"")</f>
        <v/>
      </c>
      <c r="P2149" t="str">
        <f t="shared" si="69"/>
        <v/>
      </c>
      <c r="Q2149" t="str">
        <f>IFERROR(VLOOKUP(D2149,'Team Data'!C:AB,15,FALSE),"")</f>
        <v/>
      </c>
      <c r="R2149" t="str">
        <f>IFERROR(VLOOKUP('OB Format'!D2149,'Team Data'!C:AB,24,FALSE),"")</f>
        <v/>
      </c>
      <c r="S2149" t="str">
        <f>IFERROR(VLOOKUP('OB Format'!D2149,'Team Data'!C:AC,25,FALSE),"")</f>
        <v/>
      </c>
    </row>
    <row r="2150" spans="5:19" x14ac:dyDescent="0.25">
      <c r="E2150" t="str">
        <f>IFERROR(VLOOKUP(D2150,'Team Data'!C:AB,4,FALSE),"")</f>
        <v/>
      </c>
      <c r="F2150" t="str">
        <f>IFERROR(VLOOKUP(D2150,'Team Data'!C:AB,5,FALSE),"")</f>
        <v/>
      </c>
      <c r="G2150" t="str">
        <f>IFERROR(VLOOKUP('OB Format'!D2150,'Team Data'!C:AB,17,FALSE),"")</f>
        <v/>
      </c>
      <c r="H2150" t="str">
        <f>IFERROR(VLOOKUP(D2150,'Team Data'!C:AB,7,FALSE),"")</f>
        <v/>
      </c>
      <c r="I2150" t="str">
        <f>IFERROR(VLOOKUP(D2150,'Team Data'!C:AB,14,FALSE),"")</f>
        <v/>
      </c>
      <c r="J2150" t="str">
        <f>IFERROR(VLOOKUP(D2150,'Team Data'!C:AB,8,FALSE),"")</f>
        <v/>
      </c>
      <c r="K2150" t="str">
        <f>IFERROR(VLOOKUP(D2150,'Team Data'!C:AB,9,FALSE),"")</f>
        <v/>
      </c>
      <c r="L2150" t="str">
        <f>IFERROR(VLOOKUP(D2150,'Team Data'!C:AB,10,FALSE),"")</f>
        <v/>
      </c>
      <c r="M2150" t="str">
        <f t="shared" si="68"/>
        <v/>
      </c>
      <c r="N2150" t="str">
        <f>IFERROR(VLOOKUP(D2150,'Team Data'!C:AB,23,FALSE),"")</f>
        <v/>
      </c>
      <c r="O2150" t="str">
        <f>IFERROR(VLOOKUP(D2150,'Team Data'!C:AB,22,FALSE),"")</f>
        <v/>
      </c>
      <c r="P2150" t="str">
        <f t="shared" si="69"/>
        <v/>
      </c>
      <c r="Q2150" t="str">
        <f>IFERROR(VLOOKUP(D2150,'Team Data'!C:AB,15,FALSE),"")</f>
        <v/>
      </c>
      <c r="R2150" t="str">
        <f>IFERROR(VLOOKUP('OB Format'!D2150,'Team Data'!C:AB,24,FALSE),"")</f>
        <v/>
      </c>
      <c r="S2150" t="str">
        <f>IFERROR(VLOOKUP('OB Format'!D2150,'Team Data'!C:AC,25,FALSE),"")</f>
        <v/>
      </c>
    </row>
    <row r="2151" spans="5:19" x14ac:dyDescent="0.25">
      <c r="E2151" t="str">
        <f>IFERROR(VLOOKUP(D2151,'Team Data'!C:AB,4,FALSE),"")</f>
        <v/>
      </c>
      <c r="F2151" t="str">
        <f>IFERROR(VLOOKUP(D2151,'Team Data'!C:AB,5,FALSE),"")</f>
        <v/>
      </c>
      <c r="G2151" t="str">
        <f>IFERROR(VLOOKUP('OB Format'!D2151,'Team Data'!C:AB,17,FALSE),"")</f>
        <v/>
      </c>
      <c r="H2151" t="str">
        <f>IFERROR(VLOOKUP(D2151,'Team Data'!C:AB,7,FALSE),"")</f>
        <v/>
      </c>
      <c r="I2151" t="str">
        <f>IFERROR(VLOOKUP(D2151,'Team Data'!C:AB,14,FALSE),"")</f>
        <v/>
      </c>
      <c r="J2151" t="str">
        <f>IFERROR(VLOOKUP(D2151,'Team Data'!C:AB,8,FALSE),"")</f>
        <v/>
      </c>
      <c r="K2151" t="str">
        <f>IFERROR(VLOOKUP(D2151,'Team Data'!C:AB,9,FALSE),"")</f>
        <v/>
      </c>
      <c r="L2151" t="str">
        <f>IFERROR(VLOOKUP(D2151,'Team Data'!C:AB,10,FALSE),"")</f>
        <v/>
      </c>
      <c r="M2151" t="str">
        <f t="shared" si="68"/>
        <v/>
      </c>
      <c r="N2151" t="str">
        <f>IFERROR(VLOOKUP(D2151,'Team Data'!C:AB,23,FALSE),"")</f>
        <v/>
      </c>
      <c r="O2151" t="str">
        <f>IFERROR(VLOOKUP(D2151,'Team Data'!C:AB,22,FALSE),"")</f>
        <v/>
      </c>
      <c r="P2151" t="str">
        <f t="shared" si="69"/>
        <v/>
      </c>
      <c r="Q2151" t="str">
        <f>IFERROR(VLOOKUP(D2151,'Team Data'!C:AB,15,FALSE),"")</f>
        <v/>
      </c>
      <c r="R2151" t="str">
        <f>IFERROR(VLOOKUP('OB Format'!D2151,'Team Data'!C:AB,24,FALSE),"")</f>
        <v/>
      </c>
      <c r="S2151" t="str">
        <f>IFERROR(VLOOKUP('OB Format'!D2151,'Team Data'!C:AC,25,FALSE),"")</f>
        <v/>
      </c>
    </row>
    <row r="2152" spans="5:19" x14ac:dyDescent="0.25">
      <c r="E2152" t="str">
        <f>IFERROR(VLOOKUP(D2152,'Team Data'!C:AB,4,FALSE),"")</f>
        <v/>
      </c>
      <c r="F2152" t="str">
        <f>IFERROR(VLOOKUP(D2152,'Team Data'!C:AB,5,FALSE),"")</f>
        <v/>
      </c>
      <c r="G2152" t="str">
        <f>IFERROR(VLOOKUP('OB Format'!D2152,'Team Data'!C:AB,17,FALSE),"")</f>
        <v/>
      </c>
      <c r="H2152" t="str">
        <f>IFERROR(VLOOKUP(D2152,'Team Data'!C:AB,7,FALSE),"")</f>
        <v/>
      </c>
      <c r="I2152" t="str">
        <f>IFERROR(VLOOKUP(D2152,'Team Data'!C:AB,14,FALSE),"")</f>
        <v/>
      </c>
      <c r="J2152" t="str">
        <f>IFERROR(VLOOKUP(D2152,'Team Data'!C:AB,8,FALSE),"")</f>
        <v/>
      </c>
      <c r="K2152" t="str">
        <f>IFERROR(VLOOKUP(D2152,'Team Data'!C:AB,9,FALSE),"")</f>
        <v/>
      </c>
      <c r="L2152" t="str">
        <f>IFERROR(VLOOKUP(D2152,'Team Data'!C:AB,10,FALSE),"")</f>
        <v/>
      </c>
      <c r="M2152" t="str">
        <f t="shared" si="68"/>
        <v/>
      </c>
      <c r="N2152" t="str">
        <f>IFERROR(VLOOKUP(D2152,'Team Data'!C:AB,23,FALSE),"")</f>
        <v/>
      </c>
      <c r="O2152" t="str">
        <f>IFERROR(VLOOKUP(D2152,'Team Data'!C:AB,22,FALSE),"")</f>
        <v/>
      </c>
      <c r="P2152" t="str">
        <f t="shared" si="69"/>
        <v/>
      </c>
      <c r="Q2152" t="str">
        <f>IFERROR(VLOOKUP(D2152,'Team Data'!C:AB,15,FALSE),"")</f>
        <v/>
      </c>
      <c r="R2152" t="str">
        <f>IFERROR(VLOOKUP('OB Format'!D2152,'Team Data'!C:AB,24,FALSE),"")</f>
        <v/>
      </c>
      <c r="S2152" t="str">
        <f>IFERROR(VLOOKUP('OB Format'!D2152,'Team Data'!C:AC,25,FALSE),"")</f>
        <v/>
      </c>
    </row>
    <row r="2153" spans="5:19" x14ac:dyDescent="0.25">
      <c r="E2153" t="str">
        <f>IFERROR(VLOOKUP(D2153,'Team Data'!C:AB,4,FALSE),"")</f>
        <v/>
      </c>
      <c r="F2153" t="str">
        <f>IFERROR(VLOOKUP(D2153,'Team Data'!C:AB,5,FALSE),"")</f>
        <v/>
      </c>
      <c r="G2153" t="str">
        <f>IFERROR(VLOOKUP('OB Format'!D2153,'Team Data'!C:AB,17,FALSE),"")</f>
        <v/>
      </c>
      <c r="H2153" t="str">
        <f>IFERROR(VLOOKUP(D2153,'Team Data'!C:AB,7,FALSE),"")</f>
        <v/>
      </c>
      <c r="I2153" t="str">
        <f>IFERROR(VLOOKUP(D2153,'Team Data'!C:AB,14,FALSE),"")</f>
        <v/>
      </c>
      <c r="J2153" t="str">
        <f>IFERROR(VLOOKUP(D2153,'Team Data'!C:AB,8,FALSE),"")</f>
        <v/>
      </c>
      <c r="K2153" t="str">
        <f>IFERROR(VLOOKUP(D2153,'Team Data'!C:AB,9,FALSE),"")</f>
        <v/>
      </c>
      <c r="L2153" t="str">
        <f>IFERROR(VLOOKUP(D2153,'Team Data'!C:AB,10,FALSE),"")</f>
        <v/>
      </c>
      <c r="M2153" t="str">
        <f t="shared" si="68"/>
        <v/>
      </c>
      <c r="N2153" t="str">
        <f>IFERROR(VLOOKUP(D2153,'Team Data'!C:AB,23,FALSE),"")</f>
        <v/>
      </c>
      <c r="O2153" t="str">
        <f>IFERROR(VLOOKUP(D2153,'Team Data'!C:AB,22,FALSE),"")</f>
        <v/>
      </c>
      <c r="P2153" t="str">
        <f t="shared" si="69"/>
        <v/>
      </c>
      <c r="Q2153" t="str">
        <f>IFERROR(VLOOKUP(D2153,'Team Data'!C:AB,15,FALSE),"")</f>
        <v/>
      </c>
      <c r="R2153" t="str">
        <f>IFERROR(VLOOKUP('OB Format'!D2153,'Team Data'!C:AB,24,FALSE),"")</f>
        <v/>
      </c>
      <c r="S2153" t="str">
        <f>IFERROR(VLOOKUP('OB Format'!D2153,'Team Data'!C:AC,25,FALSE),"")</f>
        <v/>
      </c>
    </row>
    <row r="2154" spans="5:19" x14ac:dyDescent="0.25">
      <c r="E2154" t="str">
        <f>IFERROR(VLOOKUP(D2154,'Team Data'!C:AB,4,FALSE),"")</f>
        <v/>
      </c>
      <c r="F2154" t="str">
        <f>IFERROR(VLOOKUP(D2154,'Team Data'!C:AB,5,FALSE),"")</f>
        <v/>
      </c>
      <c r="G2154" t="str">
        <f>IFERROR(VLOOKUP('OB Format'!D2154,'Team Data'!C:AB,17,FALSE),"")</f>
        <v/>
      </c>
      <c r="H2154" t="str">
        <f>IFERROR(VLOOKUP(D2154,'Team Data'!C:AB,7,FALSE),"")</f>
        <v/>
      </c>
      <c r="I2154" t="str">
        <f>IFERROR(VLOOKUP(D2154,'Team Data'!C:AB,14,FALSE),"")</f>
        <v/>
      </c>
      <c r="J2154" t="str">
        <f>IFERROR(VLOOKUP(D2154,'Team Data'!C:AB,8,FALSE),"")</f>
        <v/>
      </c>
      <c r="K2154" t="str">
        <f>IFERROR(VLOOKUP(D2154,'Team Data'!C:AB,9,FALSE),"")</f>
        <v/>
      </c>
      <c r="L2154" t="str">
        <f>IFERROR(VLOOKUP(D2154,'Team Data'!C:AB,10,FALSE),"")</f>
        <v/>
      </c>
      <c r="M2154" t="str">
        <f t="shared" si="68"/>
        <v/>
      </c>
      <c r="N2154" t="str">
        <f>IFERROR(VLOOKUP(D2154,'Team Data'!C:AB,23,FALSE),"")</f>
        <v/>
      </c>
      <c r="O2154" t="str">
        <f>IFERROR(VLOOKUP(D2154,'Team Data'!C:AB,22,FALSE),"")</f>
        <v/>
      </c>
      <c r="P2154" t="str">
        <f t="shared" si="69"/>
        <v/>
      </c>
      <c r="Q2154" t="str">
        <f>IFERROR(VLOOKUP(D2154,'Team Data'!C:AB,15,FALSE),"")</f>
        <v/>
      </c>
      <c r="R2154" t="str">
        <f>IFERROR(VLOOKUP('OB Format'!D2154,'Team Data'!C:AB,24,FALSE),"")</f>
        <v/>
      </c>
      <c r="S2154" t="str">
        <f>IFERROR(VLOOKUP('OB Format'!D2154,'Team Data'!C:AC,25,FALSE),"")</f>
        <v/>
      </c>
    </row>
    <row r="2155" spans="5:19" x14ac:dyDescent="0.25">
      <c r="E2155" t="str">
        <f>IFERROR(VLOOKUP(D2155,'Team Data'!C:AB,4,FALSE),"")</f>
        <v/>
      </c>
      <c r="F2155" t="str">
        <f>IFERROR(VLOOKUP(D2155,'Team Data'!C:AB,5,FALSE),"")</f>
        <v/>
      </c>
      <c r="G2155" t="str">
        <f>IFERROR(VLOOKUP('OB Format'!D2155,'Team Data'!C:AB,17,FALSE),"")</f>
        <v/>
      </c>
      <c r="H2155" t="str">
        <f>IFERROR(VLOOKUP(D2155,'Team Data'!C:AB,7,FALSE),"")</f>
        <v/>
      </c>
      <c r="I2155" t="str">
        <f>IFERROR(VLOOKUP(D2155,'Team Data'!C:AB,14,FALSE),"")</f>
        <v/>
      </c>
      <c r="J2155" t="str">
        <f>IFERROR(VLOOKUP(D2155,'Team Data'!C:AB,8,FALSE),"")</f>
        <v/>
      </c>
      <c r="K2155" t="str">
        <f>IFERROR(VLOOKUP(D2155,'Team Data'!C:AB,9,FALSE),"")</f>
        <v/>
      </c>
      <c r="L2155" t="str">
        <f>IFERROR(VLOOKUP(D2155,'Team Data'!C:AB,10,FALSE),"")</f>
        <v/>
      </c>
      <c r="M2155" t="str">
        <f t="shared" si="68"/>
        <v/>
      </c>
      <c r="N2155" t="str">
        <f>IFERROR(VLOOKUP(D2155,'Team Data'!C:AB,23,FALSE),"")</f>
        <v/>
      </c>
      <c r="O2155" t="str">
        <f>IFERROR(VLOOKUP(D2155,'Team Data'!C:AB,22,FALSE),"")</f>
        <v/>
      </c>
      <c r="P2155" t="str">
        <f t="shared" si="69"/>
        <v/>
      </c>
      <c r="Q2155" t="str">
        <f>IFERROR(VLOOKUP(D2155,'Team Data'!C:AB,15,FALSE),"")</f>
        <v/>
      </c>
      <c r="R2155" t="str">
        <f>IFERROR(VLOOKUP('OB Format'!D2155,'Team Data'!C:AB,24,FALSE),"")</f>
        <v/>
      </c>
      <c r="S2155" t="str">
        <f>IFERROR(VLOOKUP('OB Format'!D2155,'Team Data'!C:AC,25,FALSE),"")</f>
        <v/>
      </c>
    </row>
    <row r="2156" spans="5:19" x14ac:dyDescent="0.25">
      <c r="E2156" t="str">
        <f>IFERROR(VLOOKUP(D2156,'Team Data'!C:AB,4,FALSE),"")</f>
        <v/>
      </c>
      <c r="F2156" t="str">
        <f>IFERROR(VLOOKUP(D2156,'Team Data'!C:AB,5,FALSE),"")</f>
        <v/>
      </c>
      <c r="G2156" t="str">
        <f>IFERROR(VLOOKUP('OB Format'!D2156,'Team Data'!C:AB,17,FALSE),"")</f>
        <v/>
      </c>
      <c r="H2156" t="str">
        <f>IFERROR(VLOOKUP(D2156,'Team Data'!C:AB,7,FALSE),"")</f>
        <v/>
      </c>
      <c r="I2156" t="str">
        <f>IFERROR(VLOOKUP(D2156,'Team Data'!C:AB,14,FALSE),"")</f>
        <v/>
      </c>
      <c r="J2156" t="str">
        <f>IFERROR(VLOOKUP(D2156,'Team Data'!C:AB,8,FALSE),"")</f>
        <v/>
      </c>
      <c r="K2156" t="str">
        <f>IFERROR(VLOOKUP(D2156,'Team Data'!C:AB,9,FALSE),"")</f>
        <v/>
      </c>
      <c r="L2156" t="str">
        <f>IFERROR(VLOOKUP(D2156,'Team Data'!C:AB,10,FALSE),"")</f>
        <v/>
      </c>
      <c r="M2156" t="str">
        <f t="shared" si="68"/>
        <v/>
      </c>
      <c r="N2156" t="str">
        <f>IFERROR(VLOOKUP(D2156,'Team Data'!C:AB,23,FALSE),"")</f>
        <v/>
      </c>
      <c r="O2156" t="str">
        <f>IFERROR(VLOOKUP(D2156,'Team Data'!C:AB,22,FALSE),"")</f>
        <v/>
      </c>
      <c r="P2156" t="str">
        <f t="shared" si="69"/>
        <v/>
      </c>
      <c r="Q2156" t="str">
        <f>IFERROR(VLOOKUP(D2156,'Team Data'!C:AB,15,FALSE),"")</f>
        <v/>
      </c>
      <c r="R2156" t="str">
        <f>IFERROR(VLOOKUP('OB Format'!D2156,'Team Data'!C:AB,24,FALSE),"")</f>
        <v/>
      </c>
      <c r="S2156" t="str">
        <f>IFERROR(VLOOKUP('OB Format'!D2156,'Team Data'!C:AC,25,FALSE),"")</f>
        <v/>
      </c>
    </row>
    <row r="2157" spans="5:19" x14ac:dyDescent="0.25">
      <c r="E2157" t="str">
        <f>IFERROR(VLOOKUP(D2157,'Team Data'!C:AB,4,FALSE),"")</f>
        <v/>
      </c>
      <c r="F2157" t="str">
        <f>IFERROR(VLOOKUP(D2157,'Team Data'!C:AB,5,FALSE),"")</f>
        <v/>
      </c>
      <c r="G2157" t="str">
        <f>IFERROR(VLOOKUP('OB Format'!D2157,'Team Data'!C:AB,17,FALSE),"")</f>
        <v/>
      </c>
      <c r="H2157" t="str">
        <f>IFERROR(VLOOKUP(D2157,'Team Data'!C:AB,7,FALSE),"")</f>
        <v/>
      </c>
      <c r="I2157" t="str">
        <f>IFERROR(VLOOKUP(D2157,'Team Data'!C:AB,14,FALSE),"")</f>
        <v/>
      </c>
      <c r="J2157" t="str">
        <f>IFERROR(VLOOKUP(D2157,'Team Data'!C:AB,8,FALSE),"")</f>
        <v/>
      </c>
      <c r="K2157" t="str">
        <f>IFERROR(VLOOKUP(D2157,'Team Data'!C:AB,9,FALSE),"")</f>
        <v/>
      </c>
      <c r="L2157" t="str">
        <f>IFERROR(VLOOKUP(D2157,'Team Data'!C:AB,10,FALSE),"")</f>
        <v/>
      </c>
      <c r="M2157" t="str">
        <f t="shared" si="68"/>
        <v/>
      </c>
      <c r="N2157" t="str">
        <f>IFERROR(VLOOKUP(D2157,'Team Data'!C:AB,23,FALSE),"")</f>
        <v/>
      </c>
      <c r="O2157" t="str">
        <f>IFERROR(VLOOKUP(D2157,'Team Data'!C:AB,22,FALSE),"")</f>
        <v/>
      </c>
      <c r="P2157" t="str">
        <f t="shared" si="69"/>
        <v/>
      </c>
      <c r="Q2157" t="str">
        <f>IFERROR(VLOOKUP(D2157,'Team Data'!C:AB,15,FALSE),"")</f>
        <v/>
      </c>
      <c r="R2157" t="str">
        <f>IFERROR(VLOOKUP('OB Format'!D2157,'Team Data'!C:AB,24,FALSE),"")</f>
        <v/>
      </c>
      <c r="S2157" t="str">
        <f>IFERROR(VLOOKUP('OB Format'!D2157,'Team Data'!C:AC,25,FALSE),"")</f>
        <v/>
      </c>
    </row>
    <row r="2158" spans="5:19" x14ac:dyDescent="0.25">
      <c r="E2158" t="str">
        <f>IFERROR(VLOOKUP(D2158,'Team Data'!C:AB,4,FALSE),"")</f>
        <v/>
      </c>
      <c r="F2158" t="str">
        <f>IFERROR(VLOOKUP(D2158,'Team Data'!C:AB,5,FALSE),"")</f>
        <v/>
      </c>
      <c r="G2158" t="str">
        <f>IFERROR(VLOOKUP('OB Format'!D2158,'Team Data'!C:AB,17,FALSE),"")</f>
        <v/>
      </c>
      <c r="H2158" t="str">
        <f>IFERROR(VLOOKUP(D2158,'Team Data'!C:AB,7,FALSE),"")</f>
        <v/>
      </c>
      <c r="I2158" t="str">
        <f>IFERROR(VLOOKUP(D2158,'Team Data'!C:AB,14,FALSE),"")</f>
        <v/>
      </c>
      <c r="J2158" t="str">
        <f>IFERROR(VLOOKUP(D2158,'Team Data'!C:AB,8,FALSE),"")</f>
        <v/>
      </c>
      <c r="K2158" t="str">
        <f>IFERROR(VLOOKUP(D2158,'Team Data'!C:AB,9,FALSE),"")</f>
        <v/>
      </c>
      <c r="L2158" t="str">
        <f>IFERROR(VLOOKUP(D2158,'Team Data'!C:AB,10,FALSE),"")</f>
        <v/>
      </c>
      <c r="M2158" t="str">
        <f t="shared" si="68"/>
        <v/>
      </c>
      <c r="N2158" t="str">
        <f>IFERROR(VLOOKUP(D2158,'Team Data'!C:AB,23,FALSE),"")</f>
        <v/>
      </c>
      <c r="O2158" t="str">
        <f>IFERROR(VLOOKUP(D2158,'Team Data'!C:AB,22,FALSE),"")</f>
        <v/>
      </c>
      <c r="P2158" t="str">
        <f t="shared" si="69"/>
        <v/>
      </c>
      <c r="Q2158" t="str">
        <f>IFERROR(VLOOKUP(D2158,'Team Data'!C:AB,15,FALSE),"")</f>
        <v/>
      </c>
      <c r="R2158" t="str">
        <f>IFERROR(VLOOKUP('OB Format'!D2158,'Team Data'!C:AB,24,FALSE),"")</f>
        <v/>
      </c>
      <c r="S2158" t="str">
        <f>IFERROR(VLOOKUP('OB Format'!D2158,'Team Data'!C:AC,25,FALSE),"")</f>
        <v/>
      </c>
    </row>
    <row r="2159" spans="5:19" x14ac:dyDescent="0.25">
      <c r="E2159" t="str">
        <f>IFERROR(VLOOKUP(D2159,'Team Data'!C:AB,4,FALSE),"")</f>
        <v/>
      </c>
      <c r="F2159" t="str">
        <f>IFERROR(VLOOKUP(D2159,'Team Data'!C:AB,5,FALSE),"")</f>
        <v/>
      </c>
      <c r="G2159" t="str">
        <f>IFERROR(VLOOKUP('OB Format'!D2159,'Team Data'!C:AB,17,FALSE),"")</f>
        <v/>
      </c>
      <c r="H2159" t="str">
        <f>IFERROR(VLOOKUP(D2159,'Team Data'!C:AB,7,FALSE),"")</f>
        <v/>
      </c>
      <c r="I2159" t="str">
        <f>IFERROR(VLOOKUP(D2159,'Team Data'!C:AB,14,FALSE),"")</f>
        <v/>
      </c>
      <c r="J2159" t="str">
        <f>IFERROR(VLOOKUP(D2159,'Team Data'!C:AB,8,FALSE),"")</f>
        <v/>
      </c>
      <c r="K2159" t="str">
        <f>IFERROR(VLOOKUP(D2159,'Team Data'!C:AB,9,FALSE),"")</f>
        <v/>
      </c>
      <c r="L2159" t="str">
        <f>IFERROR(VLOOKUP(D2159,'Team Data'!C:AB,10,FALSE),"")</f>
        <v/>
      </c>
      <c r="M2159" t="str">
        <f t="shared" si="68"/>
        <v/>
      </c>
      <c r="N2159" t="str">
        <f>IFERROR(VLOOKUP(D2159,'Team Data'!C:AB,23,FALSE),"")</f>
        <v/>
      </c>
      <c r="O2159" t="str">
        <f>IFERROR(VLOOKUP(D2159,'Team Data'!C:AB,22,FALSE),"")</f>
        <v/>
      </c>
      <c r="P2159" t="str">
        <f t="shared" si="69"/>
        <v/>
      </c>
      <c r="Q2159" t="str">
        <f>IFERROR(VLOOKUP(D2159,'Team Data'!C:AB,15,FALSE),"")</f>
        <v/>
      </c>
      <c r="R2159" t="str">
        <f>IFERROR(VLOOKUP('OB Format'!D2159,'Team Data'!C:AB,24,FALSE),"")</f>
        <v/>
      </c>
      <c r="S2159" t="str">
        <f>IFERROR(VLOOKUP('OB Format'!D2159,'Team Data'!C:AC,25,FALSE),"")</f>
        <v/>
      </c>
    </row>
    <row r="2160" spans="5:19" x14ac:dyDescent="0.25">
      <c r="E2160" t="str">
        <f>IFERROR(VLOOKUP(D2160,'Team Data'!C:AB,4,FALSE),"")</f>
        <v/>
      </c>
      <c r="F2160" t="str">
        <f>IFERROR(VLOOKUP(D2160,'Team Data'!C:AB,5,FALSE),"")</f>
        <v/>
      </c>
      <c r="G2160" t="str">
        <f>IFERROR(VLOOKUP('OB Format'!D2160,'Team Data'!C:AB,17,FALSE),"")</f>
        <v/>
      </c>
      <c r="H2160" t="str">
        <f>IFERROR(VLOOKUP(D2160,'Team Data'!C:AB,7,FALSE),"")</f>
        <v/>
      </c>
      <c r="I2160" t="str">
        <f>IFERROR(VLOOKUP(D2160,'Team Data'!C:AB,14,FALSE),"")</f>
        <v/>
      </c>
      <c r="J2160" t="str">
        <f>IFERROR(VLOOKUP(D2160,'Team Data'!C:AB,8,FALSE),"")</f>
        <v/>
      </c>
      <c r="K2160" t="str">
        <f>IFERROR(VLOOKUP(D2160,'Team Data'!C:AB,9,FALSE),"")</f>
        <v/>
      </c>
      <c r="L2160" t="str">
        <f>IFERROR(VLOOKUP(D2160,'Team Data'!C:AB,10,FALSE),"")</f>
        <v/>
      </c>
      <c r="M2160" t="str">
        <f t="shared" si="68"/>
        <v/>
      </c>
      <c r="N2160" t="str">
        <f>IFERROR(VLOOKUP(D2160,'Team Data'!C:AB,23,FALSE),"")</f>
        <v/>
      </c>
      <c r="O2160" t="str">
        <f>IFERROR(VLOOKUP(D2160,'Team Data'!C:AB,22,FALSE),"")</f>
        <v/>
      </c>
      <c r="P2160" t="str">
        <f t="shared" si="69"/>
        <v/>
      </c>
      <c r="Q2160" t="str">
        <f>IFERROR(VLOOKUP(D2160,'Team Data'!C:AB,15,FALSE),"")</f>
        <v/>
      </c>
      <c r="R2160" t="str">
        <f>IFERROR(VLOOKUP('OB Format'!D2160,'Team Data'!C:AB,24,FALSE),"")</f>
        <v/>
      </c>
      <c r="S2160" t="str">
        <f>IFERROR(VLOOKUP('OB Format'!D2160,'Team Data'!C:AC,25,FALSE),"")</f>
        <v/>
      </c>
    </row>
    <row r="2161" spans="5:19" x14ac:dyDescent="0.25">
      <c r="E2161" t="str">
        <f>IFERROR(VLOOKUP(D2161,'Team Data'!C:AB,4,FALSE),"")</f>
        <v/>
      </c>
      <c r="F2161" t="str">
        <f>IFERROR(VLOOKUP(D2161,'Team Data'!C:AB,5,FALSE),"")</f>
        <v/>
      </c>
      <c r="G2161" t="str">
        <f>IFERROR(VLOOKUP('OB Format'!D2161,'Team Data'!C:AB,17,FALSE),"")</f>
        <v/>
      </c>
      <c r="H2161" t="str">
        <f>IFERROR(VLOOKUP(D2161,'Team Data'!C:AB,7,FALSE),"")</f>
        <v/>
      </c>
      <c r="I2161" t="str">
        <f>IFERROR(VLOOKUP(D2161,'Team Data'!C:AB,14,FALSE),"")</f>
        <v/>
      </c>
      <c r="J2161" t="str">
        <f>IFERROR(VLOOKUP(D2161,'Team Data'!C:AB,8,FALSE),"")</f>
        <v/>
      </c>
      <c r="K2161" t="str">
        <f>IFERROR(VLOOKUP(D2161,'Team Data'!C:AB,9,FALSE),"")</f>
        <v/>
      </c>
      <c r="L2161" t="str">
        <f>IFERROR(VLOOKUP(D2161,'Team Data'!C:AB,10,FALSE),"")</f>
        <v/>
      </c>
      <c r="M2161" t="str">
        <f t="shared" si="68"/>
        <v/>
      </c>
      <c r="N2161" t="str">
        <f>IFERROR(VLOOKUP(D2161,'Team Data'!C:AB,23,FALSE),"")</f>
        <v/>
      </c>
      <c r="O2161" t="str">
        <f>IFERROR(VLOOKUP(D2161,'Team Data'!C:AB,22,FALSE),"")</f>
        <v/>
      </c>
      <c r="P2161" t="str">
        <f t="shared" si="69"/>
        <v/>
      </c>
      <c r="Q2161" t="str">
        <f>IFERROR(VLOOKUP(D2161,'Team Data'!C:AB,15,FALSE),"")</f>
        <v/>
      </c>
      <c r="R2161" t="str">
        <f>IFERROR(VLOOKUP('OB Format'!D2161,'Team Data'!C:AB,24,FALSE),"")</f>
        <v/>
      </c>
      <c r="S2161" t="str">
        <f>IFERROR(VLOOKUP('OB Format'!D2161,'Team Data'!C:AC,25,FALSE),"")</f>
        <v/>
      </c>
    </row>
    <row r="2162" spans="5:19" x14ac:dyDescent="0.25">
      <c r="E2162" t="str">
        <f>IFERROR(VLOOKUP(D2162,'Team Data'!C:AB,4,FALSE),"")</f>
        <v/>
      </c>
      <c r="F2162" t="str">
        <f>IFERROR(VLOOKUP(D2162,'Team Data'!C:AB,5,FALSE),"")</f>
        <v/>
      </c>
      <c r="G2162" t="str">
        <f>IFERROR(VLOOKUP('OB Format'!D2162,'Team Data'!C:AB,17,FALSE),"")</f>
        <v/>
      </c>
      <c r="H2162" t="str">
        <f>IFERROR(VLOOKUP(D2162,'Team Data'!C:AB,7,FALSE),"")</f>
        <v/>
      </c>
      <c r="I2162" t="str">
        <f>IFERROR(VLOOKUP(D2162,'Team Data'!C:AB,14,FALSE),"")</f>
        <v/>
      </c>
      <c r="J2162" t="str">
        <f>IFERROR(VLOOKUP(D2162,'Team Data'!C:AB,8,FALSE),"")</f>
        <v/>
      </c>
      <c r="K2162" t="str">
        <f>IFERROR(VLOOKUP(D2162,'Team Data'!C:AB,9,FALSE),"")</f>
        <v/>
      </c>
      <c r="L2162" t="str">
        <f>IFERROR(VLOOKUP(D2162,'Team Data'!C:AB,10,FALSE),"")</f>
        <v/>
      </c>
      <c r="M2162" t="str">
        <f t="shared" si="68"/>
        <v/>
      </c>
      <c r="N2162" t="str">
        <f>IFERROR(VLOOKUP(D2162,'Team Data'!C:AB,23,FALSE),"")</f>
        <v/>
      </c>
      <c r="O2162" t="str">
        <f>IFERROR(VLOOKUP(D2162,'Team Data'!C:AB,22,FALSE),"")</f>
        <v/>
      </c>
      <c r="P2162" t="str">
        <f t="shared" si="69"/>
        <v/>
      </c>
      <c r="Q2162" t="str">
        <f>IFERROR(VLOOKUP(D2162,'Team Data'!C:AB,15,FALSE),"")</f>
        <v/>
      </c>
      <c r="R2162" t="str">
        <f>IFERROR(VLOOKUP('OB Format'!D2162,'Team Data'!C:AB,24,FALSE),"")</f>
        <v/>
      </c>
      <c r="S2162" t="str">
        <f>IFERROR(VLOOKUP('OB Format'!D2162,'Team Data'!C:AC,25,FALSE),"")</f>
        <v/>
      </c>
    </row>
    <row r="2163" spans="5:19" x14ac:dyDescent="0.25">
      <c r="E2163" t="str">
        <f>IFERROR(VLOOKUP(D2163,'Team Data'!C:AB,4,FALSE),"")</f>
        <v/>
      </c>
      <c r="F2163" t="str">
        <f>IFERROR(VLOOKUP(D2163,'Team Data'!C:AB,5,FALSE),"")</f>
        <v/>
      </c>
      <c r="G2163" t="str">
        <f>IFERROR(VLOOKUP('OB Format'!D2163,'Team Data'!C:AB,17,FALSE),"")</f>
        <v/>
      </c>
      <c r="H2163" t="str">
        <f>IFERROR(VLOOKUP(D2163,'Team Data'!C:AB,7,FALSE),"")</f>
        <v/>
      </c>
      <c r="I2163" t="str">
        <f>IFERROR(VLOOKUP(D2163,'Team Data'!C:AB,14,FALSE),"")</f>
        <v/>
      </c>
      <c r="J2163" t="str">
        <f>IFERROR(VLOOKUP(D2163,'Team Data'!C:AB,8,FALSE),"")</f>
        <v/>
      </c>
      <c r="K2163" t="str">
        <f>IFERROR(VLOOKUP(D2163,'Team Data'!C:AB,9,FALSE),"")</f>
        <v/>
      </c>
      <c r="L2163" t="str">
        <f>IFERROR(VLOOKUP(D2163,'Team Data'!C:AB,10,FALSE),"")</f>
        <v/>
      </c>
      <c r="M2163" t="str">
        <f t="shared" si="68"/>
        <v/>
      </c>
      <c r="N2163" t="str">
        <f>IFERROR(VLOOKUP(D2163,'Team Data'!C:AB,23,FALSE),"")</f>
        <v/>
      </c>
      <c r="O2163" t="str">
        <f>IFERROR(VLOOKUP(D2163,'Team Data'!C:AB,22,FALSE),"")</f>
        <v/>
      </c>
      <c r="P2163" t="str">
        <f t="shared" si="69"/>
        <v/>
      </c>
      <c r="Q2163" t="str">
        <f>IFERROR(VLOOKUP(D2163,'Team Data'!C:AB,15,FALSE),"")</f>
        <v/>
      </c>
      <c r="R2163" t="str">
        <f>IFERROR(VLOOKUP('OB Format'!D2163,'Team Data'!C:AB,24,FALSE),"")</f>
        <v/>
      </c>
      <c r="S2163" t="str">
        <f>IFERROR(VLOOKUP('OB Format'!D2163,'Team Data'!C:AC,25,FALSE),"")</f>
        <v/>
      </c>
    </row>
    <row r="2164" spans="5:19" x14ac:dyDescent="0.25">
      <c r="E2164" t="str">
        <f>IFERROR(VLOOKUP(D2164,'Team Data'!C:AB,4,FALSE),"")</f>
        <v/>
      </c>
      <c r="F2164" t="str">
        <f>IFERROR(VLOOKUP(D2164,'Team Data'!C:AB,5,FALSE),"")</f>
        <v/>
      </c>
      <c r="G2164" t="str">
        <f>IFERROR(VLOOKUP('OB Format'!D2164,'Team Data'!C:AB,17,FALSE),"")</f>
        <v/>
      </c>
      <c r="H2164" t="str">
        <f>IFERROR(VLOOKUP(D2164,'Team Data'!C:AB,7,FALSE),"")</f>
        <v/>
      </c>
      <c r="I2164" t="str">
        <f>IFERROR(VLOOKUP(D2164,'Team Data'!C:AB,14,FALSE),"")</f>
        <v/>
      </c>
      <c r="J2164" t="str">
        <f>IFERROR(VLOOKUP(D2164,'Team Data'!C:AB,8,FALSE),"")</f>
        <v/>
      </c>
      <c r="K2164" t="str">
        <f>IFERROR(VLOOKUP(D2164,'Team Data'!C:AB,9,FALSE),"")</f>
        <v/>
      </c>
      <c r="L2164" t="str">
        <f>IFERROR(VLOOKUP(D2164,'Team Data'!C:AB,10,FALSE),"")</f>
        <v/>
      </c>
      <c r="M2164" t="str">
        <f t="shared" si="68"/>
        <v/>
      </c>
      <c r="N2164" t="str">
        <f>IFERROR(VLOOKUP(D2164,'Team Data'!C:AB,23,FALSE),"")</f>
        <v/>
      </c>
      <c r="O2164" t="str">
        <f>IFERROR(VLOOKUP(D2164,'Team Data'!C:AB,22,FALSE),"")</f>
        <v/>
      </c>
      <c r="P2164" t="str">
        <f t="shared" si="69"/>
        <v/>
      </c>
      <c r="Q2164" t="str">
        <f>IFERROR(VLOOKUP(D2164,'Team Data'!C:AB,15,FALSE),"")</f>
        <v/>
      </c>
      <c r="R2164" t="str">
        <f>IFERROR(VLOOKUP('OB Format'!D2164,'Team Data'!C:AB,24,FALSE),"")</f>
        <v/>
      </c>
      <c r="S2164" t="str">
        <f>IFERROR(VLOOKUP('OB Format'!D2164,'Team Data'!C:AC,25,FALSE),"")</f>
        <v/>
      </c>
    </row>
    <row r="2165" spans="5:19" x14ac:dyDescent="0.25">
      <c r="E2165" t="str">
        <f>IFERROR(VLOOKUP(D2165,'Team Data'!C:AB,4,FALSE),"")</f>
        <v/>
      </c>
      <c r="F2165" t="str">
        <f>IFERROR(VLOOKUP(D2165,'Team Data'!C:AB,5,FALSE),"")</f>
        <v/>
      </c>
      <c r="G2165" t="str">
        <f>IFERROR(VLOOKUP('OB Format'!D2165,'Team Data'!C:AB,17,FALSE),"")</f>
        <v/>
      </c>
      <c r="H2165" t="str">
        <f>IFERROR(VLOOKUP(D2165,'Team Data'!C:AB,7,FALSE),"")</f>
        <v/>
      </c>
      <c r="I2165" t="str">
        <f>IFERROR(VLOOKUP(D2165,'Team Data'!C:AB,14,FALSE),"")</f>
        <v/>
      </c>
      <c r="J2165" t="str">
        <f>IFERROR(VLOOKUP(D2165,'Team Data'!C:AB,8,FALSE),"")</f>
        <v/>
      </c>
      <c r="K2165" t="str">
        <f>IFERROR(VLOOKUP(D2165,'Team Data'!C:AB,9,FALSE),"")</f>
        <v/>
      </c>
      <c r="L2165" t="str">
        <f>IFERROR(VLOOKUP(D2165,'Team Data'!C:AB,10,FALSE),"")</f>
        <v/>
      </c>
      <c r="M2165" t="str">
        <f t="shared" si="68"/>
        <v/>
      </c>
      <c r="N2165" t="str">
        <f>IFERROR(VLOOKUP(D2165,'Team Data'!C:AB,23,FALSE),"")</f>
        <v/>
      </c>
      <c r="O2165" t="str">
        <f>IFERROR(VLOOKUP(D2165,'Team Data'!C:AB,22,FALSE),"")</f>
        <v/>
      </c>
      <c r="P2165" t="str">
        <f t="shared" si="69"/>
        <v/>
      </c>
      <c r="Q2165" t="str">
        <f>IFERROR(VLOOKUP(D2165,'Team Data'!C:AB,15,FALSE),"")</f>
        <v/>
      </c>
      <c r="R2165" t="str">
        <f>IFERROR(VLOOKUP('OB Format'!D2165,'Team Data'!C:AB,24,FALSE),"")</f>
        <v/>
      </c>
      <c r="S2165" t="str">
        <f>IFERROR(VLOOKUP('OB Format'!D2165,'Team Data'!C:AC,25,FALSE),"")</f>
        <v/>
      </c>
    </row>
    <row r="2166" spans="5:19" x14ac:dyDescent="0.25">
      <c r="E2166" t="str">
        <f>IFERROR(VLOOKUP(D2166,'Team Data'!C:AB,4,FALSE),"")</f>
        <v/>
      </c>
      <c r="F2166" t="str">
        <f>IFERROR(VLOOKUP(D2166,'Team Data'!C:AB,5,FALSE),"")</f>
        <v/>
      </c>
      <c r="G2166" t="str">
        <f>IFERROR(VLOOKUP('OB Format'!D2166,'Team Data'!C:AB,17,FALSE),"")</f>
        <v/>
      </c>
      <c r="H2166" t="str">
        <f>IFERROR(VLOOKUP(D2166,'Team Data'!C:AB,7,FALSE),"")</f>
        <v/>
      </c>
      <c r="I2166" t="str">
        <f>IFERROR(VLOOKUP(D2166,'Team Data'!C:AB,14,FALSE),"")</f>
        <v/>
      </c>
      <c r="J2166" t="str">
        <f>IFERROR(VLOOKUP(D2166,'Team Data'!C:AB,8,FALSE),"")</f>
        <v/>
      </c>
      <c r="K2166" t="str">
        <f>IFERROR(VLOOKUP(D2166,'Team Data'!C:AB,9,FALSE),"")</f>
        <v/>
      </c>
      <c r="L2166" t="str">
        <f>IFERROR(VLOOKUP(D2166,'Team Data'!C:AB,10,FALSE),"")</f>
        <v/>
      </c>
      <c r="M2166" t="str">
        <f t="shared" si="68"/>
        <v/>
      </c>
      <c r="N2166" t="str">
        <f>IFERROR(VLOOKUP(D2166,'Team Data'!C:AB,23,FALSE),"")</f>
        <v/>
      </c>
      <c r="O2166" t="str">
        <f>IFERROR(VLOOKUP(D2166,'Team Data'!C:AB,22,FALSE),"")</f>
        <v/>
      </c>
      <c r="P2166" t="str">
        <f t="shared" si="69"/>
        <v/>
      </c>
      <c r="Q2166" t="str">
        <f>IFERROR(VLOOKUP(D2166,'Team Data'!C:AB,15,FALSE),"")</f>
        <v/>
      </c>
      <c r="R2166" t="str">
        <f>IFERROR(VLOOKUP('OB Format'!D2166,'Team Data'!C:AB,24,FALSE),"")</f>
        <v/>
      </c>
      <c r="S2166" t="str">
        <f>IFERROR(VLOOKUP('OB Format'!D2166,'Team Data'!C:AC,25,FALSE),"")</f>
        <v/>
      </c>
    </row>
    <row r="2167" spans="5:19" x14ac:dyDescent="0.25">
      <c r="E2167" t="str">
        <f>IFERROR(VLOOKUP(D2167,'Team Data'!C:AB,4,FALSE),"")</f>
        <v/>
      </c>
      <c r="F2167" t="str">
        <f>IFERROR(VLOOKUP(D2167,'Team Data'!C:AB,5,FALSE),"")</f>
        <v/>
      </c>
      <c r="G2167" t="str">
        <f>IFERROR(VLOOKUP('OB Format'!D2167,'Team Data'!C:AB,17,FALSE),"")</f>
        <v/>
      </c>
      <c r="H2167" t="str">
        <f>IFERROR(VLOOKUP(D2167,'Team Data'!C:AB,7,FALSE),"")</f>
        <v/>
      </c>
      <c r="I2167" t="str">
        <f>IFERROR(VLOOKUP(D2167,'Team Data'!C:AB,14,FALSE),"")</f>
        <v/>
      </c>
      <c r="J2167" t="str">
        <f>IFERROR(VLOOKUP(D2167,'Team Data'!C:AB,8,FALSE),"")</f>
        <v/>
      </c>
      <c r="K2167" t="str">
        <f>IFERROR(VLOOKUP(D2167,'Team Data'!C:AB,9,FALSE),"")</f>
        <v/>
      </c>
      <c r="L2167" t="str">
        <f>IFERROR(VLOOKUP(D2167,'Team Data'!C:AB,10,FALSE),"")</f>
        <v/>
      </c>
      <c r="M2167" t="str">
        <f t="shared" si="68"/>
        <v/>
      </c>
      <c r="N2167" t="str">
        <f>IFERROR(VLOOKUP(D2167,'Team Data'!C:AB,23,FALSE),"")</f>
        <v/>
      </c>
      <c r="O2167" t="str">
        <f>IFERROR(VLOOKUP(D2167,'Team Data'!C:AB,22,FALSE),"")</f>
        <v/>
      </c>
      <c r="P2167" t="str">
        <f t="shared" si="69"/>
        <v/>
      </c>
      <c r="Q2167" t="str">
        <f>IFERROR(VLOOKUP(D2167,'Team Data'!C:AB,15,FALSE),"")</f>
        <v/>
      </c>
      <c r="R2167" t="str">
        <f>IFERROR(VLOOKUP('OB Format'!D2167,'Team Data'!C:AB,24,FALSE),"")</f>
        <v/>
      </c>
      <c r="S2167" t="str">
        <f>IFERROR(VLOOKUP('OB Format'!D2167,'Team Data'!C:AC,25,FALSE),"")</f>
        <v/>
      </c>
    </row>
    <row r="2168" spans="5:19" x14ac:dyDescent="0.25">
      <c r="E2168" t="str">
        <f>IFERROR(VLOOKUP(D2168,'Team Data'!C:AB,4,FALSE),"")</f>
        <v/>
      </c>
      <c r="F2168" t="str">
        <f>IFERROR(VLOOKUP(D2168,'Team Data'!C:AB,5,FALSE),"")</f>
        <v/>
      </c>
      <c r="G2168" t="str">
        <f>IFERROR(VLOOKUP('OB Format'!D2168,'Team Data'!C:AB,17,FALSE),"")</f>
        <v/>
      </c>
      <c r="H2168" t="str">
        <f>IFERROR(VLOOKUP(D2168,'Team Data'!C:AB,7,FALSE),"")</f>
        <v/>
      </c>
      <c r="I2168" t="str">
        <f>IFERROR(VLOOKUP(D2168,'Team Data'!C:AB,14,FALSE),"")</f>
        <v/>
      </c>
      <c r="J2168" t="str">
        <f>IFERROR(VLOOKUP(D2168,'Team Data'!C:AB,8,FALSE),"")</f>
        <v/>
      </c>
      <c r="K2168" t="str">
        <f>IFERROR(VLOOKUP(D2168,'Team Data'!C:AB,9,FALSE),"")</f>
        <v/>
      </c>
      <c r="L2168" t="str">
        <f>IFERROR(VLOOKUP(D2168,'Team Data'!C:AB,10,FALSE),"")</f>
        <v/>
      </c>
      <c r="M2168" t="str">
        <f t="shared" si="68"/>
        <v/>
      </c>
      <c r="N2168" t="str">
        <f>IFERROR(VLOOKUP(D2168,'Team Data'!C:AB,23,FALSE),"")</f>
        <v/>
      </c>
      <c r="O2168" t="str">
        <f>IFERROR(VLOOKUP(D2168,'Team Data'!C:AB,22,FALSE),"")</f>
        <v/>
      </c>
      <c r="P2168" t="str">
        <f t="shared" si="69"/>
        <v/>
      </c>
      <c r="Q2168" t="str">
        <f>IFERROR(VLOOKUP(D2168,'Team Data'!C:AB,15,FALSE),"")</f>
        <v/>
      </c>
      <c r="R2168" t="str">
        <f>IFERROR(VLOOKUP('OB Format'!D2168,'Team Data'!C:AB,24,FALSE),"")</f>
        <v/>
      </c>
      <c r="S2168" t="str">
        <f>IFERROR(VLOOKUP('OB Format'!D2168,'Team Data'!C:AC,25,FALSE),"")</f>
        <v/>
      </c>
    </row>
    <row r="2169" spans="5:19" x14ac:dyDescent="0.25">
      <c r="E2169" t="str">
        <f>IFERROR(VLOOKUP(D2169,'Team Data'!C:AB,4,FALSE),"")</f>
        <v/>
      </c>
      <c r="F2169" t="str">
        <f>IFERROR(VLOOKUP(D2169,'Team Data'!C:AB,5,FALSE),"")</f>
        <v/>
      </c>
      <c r="G2169" t="str">
        <f>IFERROR(VLOOKUP('OB Format'!D2169,'Team Data'!C:AB,17,FALSE),"")</f>
        <v/>
      </c>
      <c r="H2169" t="str">
        <f>IFERROR(VLOOKUP(D2169,'Team Data'!C:AB,7,FALSE),"")</f>
        <v/>
      </c>
      <c r="I2169" t="str">
        <f>IFERROR(VLOOKUP(D2169,'Team Data'!C:AB,14,FALSE),"")</f>
        <v/>
      </c>
      <c r="J2169" t="str">
        <f>IFERROR(VLOOKUP(D2169,'Team Data'!C:AB,8,FALSE),"")</f>
        <v/>
      </c>
      <c r="K2169" t="str">
        <f>IFERROR(VLOOKUP(D2169,'Team Data'!C:AB,9,FALSE),"")</f>
        <v/>
      </c>
      <c r="L2169" t="str">
        <f>IFERROR(VLOOKUP(D2169,'Team Data'!C:AB,10,FALSE),"")</f>
        <v/>
      </c>
      <c r="M2169" t="str">
        <f t="shared" si="68"/>
        <v/>
      </c>
      <c r="N2169" t="str">
        <f>IFERROR(VLOOKUP(D2169,'Team Data'!C:AB,23,FALSE),"")</f>
        <v/>
      </c>
      <c r="O2169" t="str">
        <f>IFERROR(VLOOKUP(D2169,'Team Data'!C:AB,22,FALSE),"")</f>
        <v/>
      </c>
      <c r="P2169" t="str">
        <f t="shared" si="69"/>
        <v/>
      </c>
      <c r="Q2169" t="str">
        <f>IFERROR(VLOOKUP(D2169,'Team Data'!C:AB,15,FALSE),"")</f>
        <v/>
      </c>
      <c r="R2169" t="str">
        <f>IFERROR(VLOOKUP('OB Format'!D2169,'Team Data'!C:AB,24,FALSE),"")</f>
        <v/>
      </c>
      <c r="S2169" t="str">
        <f>IFERROR(VLOOKUP('OB Format'!D2169,'Team Data'!C:AC,25,FALSE),"")</f>
        <v/>
      </c>
    </row>
    <row r="2170" spans="5:19" x14ac:dyDescent="0.25">
      <c r="E2170" t="str">
        <f>IFERROR(VLOOKUP(D2170,'Team Data'!C:AB,4,FALSE),"")</f>
        <v/>
      </c>
      <c r="F2170" t="str">
        <f>IFERROR(VLOOKUP(D2170,'Team Data'!C:AB,5,FALSE),"")</f>
        <v/>
      </c>
      <c r="G2170" t="str">
        <f>IFERROR(VLOOKUP('OB Format'!D2170,'Team Data'!C:AB,17,FALSE),"")</f>
        <v/>
      </c>
      <c r="H2170" t="str">
        <f>IFERROR(VLOOKUP(D2170,'Team Data'!C:AB,7,FALSE),"")</f>
        <v/>
      </c>
      <c r="I2170" t="str">
        <f>IFERROR(VLOOKUP(D2170,'Team Data'!C:AB,14,FALSE),"")</f>
        <v/>
      </c>
      <c r="J2170" t="str">
        <f>IFERROR(VLOOKUP(D2170,'Team Data'!C:AB,8,FALSE),"")</f>
        <v/>
      </c>
      <c r="K2170" t="str">
        <f>IFERROR(VLOOKUP(D2170,'Team Data'!C:AB,9,FALSE),"")</f>
        <v/>
      </c>
      <c r="L2170" t="str">
        <f>IFERROR(VLOOKUP(D2170,'Team Data'!C:AB,10,FALSE),"")</f>
        <v/>
      </c>
      <c r="M2170" t="str">
        <f t="shared" si="68"/>
        <v/>
      </c>
      <c r="N2170" t="str">
        <f>IFERROR(VLOOKUP(D2170,'Team Data'!C:AB,23,FALSE),"")</f>
        <v/>
      </c>
      <c r="O2170" t="str">
        <f>IFERROR(VLOOKUP(D2170,'Team Data'!C:AB,22,FALSE),"")</f>
        <v/>
      </c>
      <c r="P2170" t="str">
        <f t="shared" si="69"/>
        <v/>
      </c>
      <c r="Q2170" t="str">
        <f>IFERROR(VLOOKUP(D2170,'Team Data'!C:AB,15,FALSE),"")</f>
        <v/>
      </c>
      <c r="R2170" t="str">
        <f>IFERROR(VLOOKUP('OB Format'!D2170,'Team Data'!C:AB,24,FALSE),"")</f>
        <v/>
      </c>
      <c r="S2170" t="str">
        <f>IFERROR(VLOOKUP('OB Format'!D2170,'Team Data'!C:AC,25,FALSE),"")</f>
        <v/>
      </c>
    </row>
    <row r="2171" spans="5:19" x14ac:dyDescent="0.25">
      <c r="E2171" t="str">
        <f>IFERROR(VLOOKUP(D2171,'Team Data'!C:AB,4,FALSE),"")</f>
        <v/>
      </c>
      <c r="F2171" t="str">
        <f>IFERROR(VLOOKUP(D2171,'Team Data'!C:AB,5,FALSE),"")</f>
        <v/>
      </c>
      <c r="G2171" t="str">
        <f>IFERROR(VLOOKUP('OB Format'!D2171,'Team Data'!C:AB,17,FALSE),"")</f>
        <v/>
      </c>
      <c r="H2171" t="str">
        <f>IFERROR(VLOOKUP(D2171,'Team Data'!C:AB,7,FALSE),"")</f>
        <v/>
      </c>
      <c r="I2171" t="str">
        <f>IFERROR(VLOOKUP(D2171,'Team Data'!C:AB,14,FALSE),"")</f>
        <v/>
      </c>
      <c r="J2171" t="str">
        <f>IFERROR(VLOOKUP(D2171,'Team Data'!C:AB,8,FALSE),"")</f>
        <v/>
      </c>
      <c r="K2171" t="str">
        <f>IFERROR(VLOOKUP(D2171,'Team Data'!C:AB,9,FALSE),"")</f>
        <v/>
      </c>
      <c r="L2171" t="str">
        <f>IFERROR(VLOOKUP(D2171,'Team Data'!C:AB,10,FALSE),"")</f>
        <v/>
      </c>
      <c r="M2171" t="str">
        <f t="shared" si="68"/>
        <v/>
      </c>
      <c r="N2171" t="str">
        <f>IFERROR(VLOOKUP(D2171,'Team Data'!C:AB,23,FALSE),"")</f>
        <v/>
      </c>
      <c r="O2171" t="str">
        <f>IFERROR(VLOOKUP(D2171,'Team Data'!C:AB,22,FALSE),"")</f>
        <v/>
      </c>
      <c r="P2171" t="str">
        <f t="shared" si="69"/>
        <v/>
      </c>
      <c r="Q2171" t="str">
        <f>IFERROR(VLOOKUP(D2171,'Team Data'!C:AB,15,FALSE),"")</f>
        <v/>
      </c>
      <c r="R2171" t="str">
        <f>IFERROR(VLOOKUP('OB Format'!D2171,'Team Data'!C:AB,24,FALSE),"")</f>
        <v/>
      </c>
      <c r="S2171" t="str">
        <f>IFERROR(VLOOKUP('OB Format'!D2171,'Team Data'!C:AC,25,FALSE),"")</f>
        <v/>
      </c>
    </row>
    <row r="2172" spans="5:19" x14ac:dyDescent="0.25">
      <c r="E2172" t="str">
        <f>IFERROR(VLOOKUP(D2172,'Team Data'!C:AB,4,FALSE),"")</f>
        <v/>
      </c>
      <c r="F2172" t="str">
        <f>IFERROR(VLOOKUP(D2172,'Team Data'!C:AB,5,FALSE),"")</f>
        <v/>
      </c>
      <c r="G2172" t="str">
        <f>IFERROR(VLOOKUP('OB Format'!D2172,'Team Data'!C:AB,17,FALSE),"")</f>
        <v/>
      </c>
      <c r="H2172" t="str">
        <f>IFERROR(VLOOKUP(D2172,'Team Data'!C:AB,7,FALSE),"")</f>
        <v/>
      </c>
      <c r="I2172" t="str">
        <f>IFERROR(VLOOKUP(D2172,'Team Data'!C:AB,14,FALSE),"")</f>
        <v/>
      </c>
      <c r="J2172" t="str">
        <f>IFERROR(VLOOKUP(D2172,'Team Data'!C:AB,8,FALSE),"")</f>
        <v/>
      </c>
      <c r="K2172" t="str">
        <f>IFERROR(VLOOKUP(D2172,'Team Data'!C:AB,9,FALSE),"")</f>
        <v/>
      </c>
      <c r="L2172" t="str">
        <f>IFERROR(VLOOKUP(D2172,'Team Data'!C:AB,10,FALSE),"")</f>
        <v/>
      </c>
      <c r="M2172" t="str">
        <f t="shared" si="68"/>
        <v/>
      </c>
      <c r="N2172" t="str">
        <f>IFERROR(VLOOKUP(D2172,'Team Data'!C:AB,23,FALSE),"")</f>
        <v/>
      </c>
      <c r="O2172" t="str">
        <f>IFERROR(VLOOKUP(D2172,'Team Data'!C:AB,22,FALSE),"")</f>
        <v/>
      </c>
      <c r="P2172" t="str">
        <f t="shared" si="69"/>
        <v/>
      </c>
      <c r="Q2172" t="str">
        <f>IFERROR(VLOOKUP(D2172,'Team Data'!C:AB,15,FALSE),"")</f>
        <v/>
      </c>
      <c r="R2172" t="str">
        <f>IFERROR(VLOOKUP('OB Format'!D2172,'Team Data'!C:AB,24,FALSE),"")</f>
        <v/>
      </c>
      <c r="S2172" t="str">
        <f>IFERROR(VLOOKUP('OB Format'!D2172,'Team Data'!C:AC,25,FALSE),"")</f>
        <v/>
      </c>
    </row>
    <row r="2173" spans="5:19" x14ac:dyDescent="0.25">
      <c r="E2173" t="str">
        <f>IFERROR(VLOOKUP(D2173,'Team Data'!C:AB,4,FALSE),"")</f>
        <v/>
      </c>
      <c r="F2173" t="str">
        <f>IFERROR(VLOOKUP(D2173,'Team Data'!C:AB,5,FALSE),"")</f>
        <v/>
      </c>
      <c r="G2173" t="str">
        <f>IFERROR(VLOOKUP('OB Format'!D2173,'Team Data'!C:AB,17,FALSE),"")</f>
        <v/>
      </c>
      <c r="H2173" t="str">
        <f>IFERROR(VLOOKUP(D2173,'Team Data'!C:AB,7,FALSE),"")</f>
        <v/>
      </c>
      <c r="I2173" t="str">
        <f>IFERROR(VLOOKUP(D2173,'Team Data'!C:AB,14,FALSE),"")</f>
        <v/>
      </c>
      <c r="J2173" t="str">
        <f>IFERROR(VLOOKUP(D2173,'Team Data'!C:AB,8,FALSE),"")</f>
        <v/>
      </c>
      <c r="K2173" t="str">
        <f>IFERROR(VLOOKUP(D2173,'Team Data'!C:AB,9,FALSE),"")</f>
        <v/>
      </c>
      <c r="L2173" t="str">
        <f>IFERROR(VLOOKUP(D2173,'Team Data'!C:AB,10,FALSE),"")</f>
        <v/>
      </c>
      <c r="M2173" t="str">
        <f t="shared" si="68"/>
        <v/>
      </c>
      <c r="N2173" t="str">
        <f>IFERROR(VLOOKUP(D2173,'Team Data'!C:AB,23,FALSE),"")</f>
        <v/>
      </c>
      <c r="O2173" t="str">
        <f>IFERROR(VLOOKUP(D2173,'Team Data'!C:AB,22,FALSE),"")</f>
        <v/>
      </c>
      <c r="P2173" t="str">
        <f t="shared" si="69"/>
        <v/>
      </c>
      <c r="Q2173" t="str">
        <f>IFERROR(VLOOKUP(D2173,'Team Data'!C:AB,15,FALSE),"")</f>
        <v/>
      </c>
      <c r="R2173" t="str">
        <f>IFERROR(VLOOKUP('OB Format'!D2173,'Team Data'!C:AB,24,FALSE),"")</f>
        <v/>
      </c>
      <c r="S2173" t="str">
        <f>IFERROR(VLOOKUP('OB Format'!D2173,'Team Data'!C:AC,25,FALSE),"")</f>
        <v/>
      </c>
    </row>
    <row r="2174" spans="5:19" x14ac:dyDescent="0.25">
      <c r="E2174" t="str">
        <f>IFERROR(VLOOKUP(D2174,'Team Data'!C:AB,4,FALSE),"")</f>
        <v/>
      </c>
      <c r="F2174" t="str">
        <f>IFERROR(VLOOKUP(D2174,'Team Data'!C:AB,5,FALSE),"")</f>
        <v/>
      </c>
      <c r="G2174" t="str">
        <f>IFERROR(VLOOKUP('OB Format'!D2174,'Team Data'!C:AB,17,FALSE),"")</f>
        <v/>
      </c>
      <c r="H2174" t="str">
        <f>IFERROR(VLOOKUP(D2174,'Team Data'!C:AB,7,FALSE),"")</f>
        <v/>
      </c>
      <c r="I2174" t="str">
        <f>IFERROR(VLOOKUP(D2174,'Team Data'!C:AB,14,FALSE),"")</f>
        <v/>
      </c>
      <c r="J2174" t="str">
        <f>IFERROR(VLOOKUP(D2174,'Team Data'!C:AB,8,FALSE),"")</f>
        <v/>
      </c>
      <c r="K2174" t="str">
        <f>IFERROR(VLOOKUP(D2174,'Team Data'!C:AB,9,FALSE),"")</f>
        <v/>
      </c>
      <c r="L2174" t="str">
        <f>IFERROR(VLOOKUP(D2174,'Team Data'!C:AB,10,FALSE),"")</f>
        <v/>
      </c>
      <c r="M2174" t="str">
        <f t="shared" si="68"/>
        <v/>
      </c>
      <c r="N2174" t="str">
        <f>IFERROR(VLOOKUP(D2174,'Team Data'!C:AB,23,FALSE),"")</f>
        <v/>
      </c>
      <c r="O2174" t="str">
        <f>IFERROR(VLOOKUP(D2174,'Team Data'!C:AB,22,FALSE),"")</f>
        <v/>
      </c>
      <c r="P2174" t="str">
        <f t="shared" si="69"/>
        <v/>
      </c>
      <c r="Q2174" t="str">
        <f>IFERROR(VLOOKUP(D2174,'Team Data'!C:AB,15,FALSE),"")</f>
        <v/>
      </c>
      <c r="R2174" t="str">
        <f>IFERROR(VLOOKUP('OB Format'!D2174,'Team Data'!C:AB,24,FALSE),"")</f>
        <v/>
      </c>
      <c r="S2174" t="str">
        <f>IFERROR(VLOOKUP('OB Format'!D2174,'Team Data'!C:AC,25,FALSE),"")</f>
        <v/>
      </c>
    </row>
    <row r="2175" spans="5:19" x14ac:dyDescent="0.25">
      <c r="E2175" t="str">
        <f>IFERROR(VLOOKUP(D2175,'Team Data'!C:AB,4,FALSE),"")</f>
        <v/>
      </c>
      <c r="F2175" t="str">
        <f>IFERROR(VLOOKUP(D2175,'Team Data'!C:AB,5,FALSE),"")</f>
        <v/>
      </c>
      <c r="G2175" t="str">
        <f>IFERROR(VLOOKUP('OB Format'!D2175,'Team Data'!C:AB,17,FALSE),"")</f>
        <v/>
      </c>
      <c r="H2175" t="str">
        <f>IFERROR(VLOOKUP(D2175,'Team Data'!C:AB,7,FALSE),"")</f>
        <v/>
      </c>
      <c r="I2175" t="str">
        <f>IFERROR(VLOOKUP(D2175,'Team Data'!C:AB,14,FALSE),"")</f>
        <v/>
      </c>
      <c r="J2175" t="str">
        <f>IFERROR(VLOOKUP(D2175,'Team Data'!C:AB,8,FALSE),"")</f>
        <v/>
      </c>
      <c r="K2175" t="str">
        <f>IFERROR(VLOOKUP(D2175,'Team Data'!C:AB,9,FALSE),"")</f>
        <v/>
      </c>
      <c r="L2175" t="str">
        <f>IFERROR(VLOOKUP(D2175,'Team Data'!C:AB,10,FALSE),"")</f>
        <v/>
      </c>
      <c r="M2175" t="str">
        <f t="shared" si="68"/>
        <v/>
      </c>
      <c r="N2175" t="str">
        <f>IFERROR(VLOOKUP(D2175,'Team Data'!C:AB,23,FALSE),"")</f>
        <v/>
      </c>
      <c r="O2175" t="str">
        <f>IFERROR(VLOOKUP(D2175,'Team Data'!C:AB,22,FALSE),"")</f>
        <v/>
      </c>
      <c r="P2175" t="str">
        <f t="shared" si="69"/>
        <v/>
      </c>
      <c r="Q2175" t="str">
        <f>IFERROR(VLOOKUP(D2175,'Team Data'!C:AB,15,FALSE),"")</f>
        <v/>
      </c>
      <c r="R2175" t="str">
        <f>IFERROR(VLOOKUP('OB Format'!D2175,'Team Data'!C:AB,24,FALSE),"")</f>
        <v/>
      </c>
      <c r="S2175" t="str">
        <f>IFERROR(VLOOKUP('OB Format'!D2175,'Team Data'!C:AC,25,FALSE),"")</f>
        <v/>
      </c>
    </row>
    <row r="2176" spans="5:19" x14ac:dyDescent="0.25">
      <c r="E2176" t="str">
        <f>IFERROR(VLOOKUP(D2176,'Team Data'!C:AB,4,FALSE),"")</f>
        <v/>
      </c>
      <c r="F2176" t="str">
        <f>IFERROR(VLOOKUP(D2176,'Team Data'!C:AB,5,FALSE),"")</f>
        <v/>
      </c>
      <c r="G2176" t="str">
        <f>IFERROR(VLOOKUP('OB Format'!D2176,'Team Data'!C:AB,17,FALSE),"")</f>
        <v/>
      </c>
      <c r="H2176" t="str">
        <f>IFERROR(VLOOKUP(D2176,'Team Data'!C:AB,7,FALSE),"")</f>
        <v/>
      </c>
      <c r="I2176" t="str">
        <f>IFERROR(VLOOKUP(D2176,'Team Data'!C:AB,14,FALSE),"")</f>
        <v/>
      </c>
      <c r="J2176" t="str">
        <f>IFERROR(VLOOKUP(D2176,'Team Data'!C:AB,8,FALSE),"")</f>
        <v/>
      </c>
      <c r="K2176" t="str">
        <f>IFERROR(VLOOKUP(D2176,'Team Data'!C:AB,9,FALSE),"")</f>
        <v/>
      </c>
      <c r="L2176" t="str">
        <f>IFERROR(VLOOKUP(D2176,'Team Data'!C:AB,10,FALSE),"")</f>
        <v/>
      </c>
      <c r="M2176" t="str">
        <f t="shared" si="68"/>
        <v/>
      </c>
      <c r="N2176" t="str">
        <f>IFERROR(VLOOKUP(D2176,'Team Data'!C:AB,23,FALSE),"")</f>
        <v/>
      </c>
      <c r="O2176" t="str">
        <f>IFERROR(VLOOKUP(D2176,'Team Data'!C:AB,22,FALSE),"")</f>
        <v/>
      </c>
      <c r="P2176" t="str">
        <f t="shared" si="69"/>
        <v/>
      </c>
      <c r="Q2176" t="str">
        <f>IFERROR(VLOOKUP(D2176,'Team Data'!C:AB,15,FALSE),"")</f>
        <v/>
      </c>
      <c r="R2176" t="str">
        <f>IFERROR(VLOOKUP('OB Format'!D2176,'Team Data'!C:AB,24,FALSE),"")</f>
        <v/>
      </c>
      <c r="S2176" t="str">
        <f>IFERROR(VLOOKUP('OB Format'!D2176,'Team Data'!C:AC,25,FALSE),"")</f>
        <v/>
      </c>
    </row>
    <row r="2177" spans="5:19" x14ac:dyDescent="0.25">
      <c r="E2177" t="str">
        <f>IFERROR(VLOOKUP(D2177,'Team Data'!C:AB,4,FALSE),"")</f>
        <v/>
      </c>
      <c r="F2177" t="str">
        <f>IFERROR(VLOOKUP(D2177,'Team Data'!C:AB,5,FALSE),"")</f>
        <v/>
      </c>
      <c r="G2177" t="str">
        <f>IFERROR(VLOOKUP('OB Format'!D2177,'Team Data'!C:AB,17,FALSE),"")</f>
        <v/>
      </c>
      <c r="H2177" t="str">
        <f>IFERROR(VLOOKUP(D2177,'Team Data'!C:AB,7,FALSE),"")</f>
        <v/>
      </c>
      <c r="I2177" t="str">
        <f>IFERROR(VLOOKUP(D2177,'Team Data'!C:AB,14,FALSE),"")</f>
        <v/>
      </c>
      <c r="J2177" t="str">
        <f>IFERROR(VLOOKUP(D2177,'Team Data'!C:AB,8,FALSE),"")</f>
        <v/>
      </c>
      <c r="K2177" t="str">
        <f>IFERROR(VLOOKUP(D2177,'Team Data'!C:AB,9,FALSE),"")</f>
        <v/>
      </c>
      <c r="L2177" t="str">
        <f>IFERROR(VLOOKUP(D2177,'Team Data'!C:AB,10,FALSE),"")</f>
        <v/>
      </c>
      <c r="M2177" t="str">
        <f t="shared" si="68"/>
        <v/>
      </c>
      <c r="N2177" t="str">
        <f>IFERROR(VLOOKUP(D2177,'Team Data'!C:AB,23,FALSE),"")</f>
        <v/>
      </c>
      <c r="O2177" t="str">
        <f>IFERROR(VLOOKUP(D2177,'Team Data'!C:AB,22,FALSE),"")</f>
        <v/>
      </c>
      <c r="P2177" t="str">
        <f t="shared" si="69"/>
        <v/>
      </c>
      <c r="Q2177" t="str">
        <f>IFERROR(VLOOKUP(D2177,'Team Data'!C:AB,15,FALSE),"")</f>
        <v/>
      </c>
      <c r="R2177" t="str">
        <f>IFERROR(VLOOKUP('OB Format'!D2177,'Team Data'!C:AB,24,FALSE),"")</f>
        <v/>
      </c>
      <c r="S2177" t="str">
        <f>IFERROR(VLOOKUP('OB Format'!D2177,'Team Data'!C:AC,25,FALSE),"")</f>
        <v/>
      </c>
    </row>
    <row r="2178" spans="5:19" x14ac:dyDescent="0.25">
      <c r="E2178" t="str">
        <f>IFERROR(VLOOKUP(D2178,'Team Data'!C:AB,4,FALSE),"")</f>
        <v/>
      </c>
      <c r="F2178" t="str">
        <f>IFERROR(VLOOKUP(D2178,'Team Data'!C:AB,5,FALSE),"")</f>
        <v/>
      </c>
      <c r="G2178" t="str">
        <f>IFERROR(VLOOKUP('OB Format'!D2178,'Team Data'!C:AB,17,FALSE),"")</f>
        <v/>
      </c>
      <c r="H2178" t="str">
        <f>IFERROR(VLOOKUP(D2178,'Team Data'!C:AB,7,FALSE),"")</f>
        <v/>
      </c>
      <c r="I2178" t="str">
        <f>IFERROR(VLOOKUP(D2178,'Team Data'!C:AB,14,FALSE),"")</f>
        <v/>
      </c>
      <c r="J2178" t="str">
        <f>IFERROR(VLOOKUP(D2178,'Team Data'!C:AB,8,FALSE),"")</f>
        <v/>
      </c>
      <c r="K2178" t="str">
        <f>IFERROR(VLOOKUP(D2178,'Team Data'!C:AB,9,FALSE),"")</f>
        <v/>
      </c>
      <c r="L2178" t="str">
        <f>IFERROR(VLOOKUP(D2178,'Team Data'!C:AB,10,FALSE),"")</f>
        <v/>
      </c>
      <c r="M2178" t="str">
        <f t="shared" si="68"/>
        <v/>
      </c>
      <c r="N2178" t="str">
        <f>IFERROR(VLOOKUP(D2178,'Team Data'!C:AB,23,FALSE),"")</f>
        <v/>
      </c>
      <c r="O2178" t="str">
        <f>IFERROR(VLOOKUP(D2178,'Team Data'!C:AB,22,FALSE),"")</f>
        <v/>
      </c>
      <c r="P2178" t="str">
        <f t="shared" si="69"/>
        <v/>
      </c>
      <c r="Q2178" t="str">
        <f>IFERROR(VLOOKUP(D2178,'Team Data'!C:AB,15,FALSE),"")</f>
        <v/>
      </c>
      <c r="R2178" t="str">
        <f>IFERROR(VLOOKUP('OB Format'!D2178,'Team Data'!C:AB,24,FALSE),"")</f>
        <v/>
      </c>
      <c r="S2178" t="str">
        <f>IFERROR(VLOOKUP('OB Format'!D2178,'Team Data'!C:AC,25,FALSE),"")</f>
        <v/>
      </c>
    </row>
    <row r="2179" spans="5:19" x14ac:dyDescent="0.25">
      <c r="E2179" t="str">
        <f>IFERROR(VLOOKUP(D2179,'Team Data'!C:AB,4,FALSE),"")</f>
        <v/>
      </c>
      <c r="F2179" t="str">
        <f>IFERROR(VLOOKUP(D2179,'Team Data'!C:AB,5,FALSE),"")</f>
        <v/>
      </c>
      <c r="G2179" t="str">
        <f>IFERROR(VLOOKUP('OB Format'!D2179,'Team Data'!C:AB,17,FALSE),"")</f>
        <v/>
      </c>
      <c r="H2179" t="str">
        <f>IFERROR(VLOOKUP(D2179,'Team Data'!C:AB,7,FALSE),"")</f>
        <v/>
      </c>
      <c r="I2179" t="str">
        <f>IFERROR(VLOOKUP(D2179,'Team Data'!C:AB,14,FALSE),"")</f>
        <v/>
      </c>
      <c r="J2179" t="str">
        <f>IFERROR(VLOOKUP(D2179,'Team Data'!C:AB,8,FALSE),"")</f>
        <v/>
      </c>
      <c r="K2179" t="str">
        <f>IFERROR(VLOOKUP(D2179,'Team Data'!C:AB,9,FALSE),"")</f>
        <v/>
      </c>
      <c r="L2179" t="str">
        <f>IFERROR(VLOOKUP(D2179,'Team Data'!C:AB,10,FALSE),"")</f>
        <v/>
      </c>
      <c r="M2179" t="str">
        <f t="shared" si="68"/>
        <v/>
      </c>
      <c r="N2179" t="str">
        <f>IFERROR(VLOOKUP(D2179,'Team Data'!C:AB,23,FALSE),"")</f>
        <v/>
      </c>
      <c r="O2179" t="str">
        <f>IFERROR(VLOOKUP(D2179,'Team Data'!C:AB,22,FALSE),"")</f>
        <v/>
      </c>
      <c r="P2179" t="str">
        <f t="shared" si="69"/>
        <v/>
      </c>
      <c r="Q2179" t="str">
        <f>IFERROR(VLOOKUP(D2179,'Team Data'!C:AB,15,FALSE),"")</f>
        <v/>
      </c>
      <c r="R2179" t="str">
        <f>IFERROR(VLOOKUP('OB Format'!D2179,'Team Data'!C:AB,24,FALSE),"")</f>
        <v/>
      </c>
      <c r="S2179" t="str">
        <f>IFERROR(VLOOKUP('OB Format'!D2179,'Team Data'!C:AC,25,FALSE),"")</f>
        <v/>
      </c>
    </row>
    <row r="2180" spans="5:19" x14ac:dyDescent="0.25">
      <c r="E2180" t="str">
        <f>IFERROR(VLOOKUP(D2180,'Team Data'!C:AB,4,FALSE),"")</f>
        <v/>
      </c>
      <c r="F2180" t="str">
        <f>IFERROR(VLOOKUP(D2180,'Team Data'!C:AB,5,FALSE),"")</f>
        <v/>
      </c>
      <c r="G2180" t="str">
        <f>IFERROR(VLOOKUP('OB Format'!D2180,'Team Data'!C:AB,17,FALSE),"")</f>
        <v/>
      </c>
      <c r="H2180" t="str">
        <f>IFERROR(VLOOKUP(D2180,'Team Data'!C:AB,7,FALSE),"")</f>
        <v/>
      </c>
      <c r="I2180" t="str">
        <f>IFERROR(VLOOKUP(D2180,'Team Data'!C:AB,14,FALSE),"")</f>
        <v/>
      </c>
      <c r="J2180" t="str">
        <f>IFERROR(VLOOKUP(D2180,'Team Data'!C:AB,8,FALSE),"")</f>
        <v/>
      </c>
      <c r="K2180" t="str">
        <f>IFERROR(VLOOKUP(D2180,'Team Data'!C:AB,9,FALSE),"")</f>
        <v/>
      </c>
      <c r="L2180" t="str">
        <f>IFERROR(VLOOKUP(D2180,'Team Data'!C:AB,10,FALSE),"")</f>
        <v/>
      </c>
      <c r="M2180" t="str">
        <f t="shared" si="68"/>
        <v/>
      </c>
      <c r="N2180" t="str">
        <f>IFERROR(VLOOKUP(D2180,'Team Data'!C:AB,23,FALSE),"")</f>
        <v/>
      </c>
      <c r="O2180" t="str">
        <f>IFERROR(VLOOKUP(D2180,'Team Data'!C:AB,22,FALSE),"")</f>
        <v/>
      </c>
      <c r="P2180" t="str">
        <f t="shared" si="69"/>
        <v/>
      </c>
      <c r="Q2180" t="str">
        <f>IFERROR(VLOOKUP(D2180,'Team Data'!C:AB,15,FALSE),"")</f>
        <v/>
      </c>
      <c r="R2180" t="str">
        <f>IFERROR(VLOOKUP('OB Format'!D2180,'Team Data'!C:AB,24,FALSE),"")</f>
        <v/>
      </c>
      <c r="S2180" t="str">
        <f>IFERROR(VLOOKUP('OB Format'!D2180,'Team Data'!C:AC,25,FALSE),"")</f>
        <v/>
      </c>
    </row>
    <row r="2181" spans="5:19" x14ac:dyDescent="0.25">
      <c r="E2181" t="str">
        <f>IFERROR(VLOOKUP(D2181,'Team Data'!C:AB,4,FALSE),"")</f>
        <v/>
      </c>
      <c r="F2181" t="str">
        <f>IFERROR(VLOOKUP(D2181,'Team Data'!C:AB,5,FALSE),"")</f>
        <v/>
      </c>
      <c r="G2181" t="str">
        <f>IFERROR(VLOOKUP('OB Format'!D2181,'Team Data'!C:AB,17,FALSE),"")</f>
        <v/>
      </c>
      <c r="H2181" t="str">
        <f>IFERROR(VLOOKUP(D2181,'Team Data'!C:AB,7,FALSE),"")</f>
        <v/>
      </c>
      <c r="I2181" t="str">
        <f>IFERROR(VLOOKUP(D2181,'Team Data'!C:AB,14,FALSE),"")</f>
        <v/>
      </c>
      <c r="J2181" t="str">
        <f>IFERROR(VLOOKUP(D2181,'Team Data'!C:AB,8,FALSE),"")</f>
        <v/>
      </c>
      <c r="K2181" t="str">
        <f>IFERROR(VLOOKUP(D2181,'Team Data'!C:AB,9,FALSE),"")</f>
        <v/>
      </c>
      <c r="L2181" t="str">
        <f>IFERROR(VLOOKUP(D2181,'Team Data'!C:AB,10,FALSE),"")</f>
        <v/>
      </c>
      <c r="M2181" t="str">
        <f t="shared" si="68"/>
        <v/>
      </c>
      <c r="N2181" t="str">
        <f>IFERROR(VLOOKUP(D2181,'Team Data'!C:AB,23,FALSE),"")</f>
        <v/>
      </c>
      <c r="O2181" t="str">
        <f>IFERROR(VLOOKUP(D2181,'Team Data'!C:AB,22,FALSE),"")</f>
        <v/>
      </c>
      <c r="P2181" t="str">
        <f t="shared" si="69"/>
        <v/>
      </c>
      <c r="Q2181" t="str">
        <f>IFERROR(VLOOKUP(D2181,'Team Data'!C:AB,15,FALSE),"")</f>
        <v/>
      </c>
      <c r="R2181" t="str">
        <f>IFERROR(VLOOKUP('OB Format'!D2181,'Team Data'!C:AB,24,FALSE),"")</f>
        <v/>
      </c>
      <c r="S2181" t="str">
        <f>IFERROR(VLOOKUP('OB Format'!D2181,'Team Data'!C:AC,25,FALSE),"")</f>
        <v/>
      </c>
    </row>
    <row r="2182" spans="5:19" x14ac:dyDescent="0.25">
      <c r="E2182" t="str">
        <f>IFERROR(VLOOKUP(D2182,'Team Data'!C:AB,4,FALSE),"")</f>
        <v/>
      </c>
      <c r="F2182" t="str">
        <f>IFERROR(VLOOKUP(D2182,'Team Data'!C:AB,5,FALSE),"")</f>
        <v/>
      </c>
      <c r="G2182" t="str">
        <f>IFERROR(VLOOKUP('OB Format'!D2182,'Team Data'!C:AB,17,FALSE),"")</f>
        <v/>
      </c>
      <c r="H2182" t="str">
        <f>IFERROR(VLOOKUP(D2182,'Team Data'!C:AB,7,FALSE),"")</f>
        <v/>
      </c>
      <c r="I2182" t="str">
        <f>IFERROR(VLOOKUP(D2182,'Team Data'!C:AB,14,FALSE),"")</f>
        <v/>
      </c>
      <c r="J2182" t="str">
        <f>IFERROR(VLOOKUP(D2182,'Team Data'!C:AB,8,FALSE),"")</f>
        <v/>
      </c>
      <c r="K2182" t="str">
        <f>IFERROR(VLOOKUP(D2182,'Team Data'!C:AB,9,FALSE),"")</f>
        <v/>
      </c>
      <c r="L2182" t="str">
        <f>IFERROR(VLOOKUP(D2182,'Team Data'!C:AB,10,FALSE),"")</f>
        <v/>
      </c>
      <c r="M2182" t="str">
        <f t="shared" si="68"/>
        <v/>
      </c>
      <c r="N2182" t="str">
        <f>IFERROR(VLOOKUP(D2182,'Team Data'!C:AB,23,FALSE),"")</f>
        <v/>
      </c>
      <c r="O2182" t="str">
        <f>IFERROR(VLOOKUP(D2182,'Team Data'!C:AB,22,FALSE),"")</f>
        <v/>
      </c>
      <c r="P2182" t="str">
        <f t="shared" si="69"/>
        <v/>
      </c>
      <c r="Q2182" t="str">
        <f>IFERROR(VLOOKUP(D2182,'Team Data'!C:AB,15,FALSE),"")</f>
        <v/>
      </c>
      <c r="R2182" t="str">
        <f>IFERROR(VLOOKUP('OB Format'!D2182,'Team Data'!C:AB,24,FALSE),"")</f>
        <v/>
      </c>
      <c r="S2182" t="str">
        <f>IFERROR(VLOOKUP('OB Format'!D2182,'Team Data'!C:AC,25,FALSE),"")</f>
        <v/>
      </c>
    </row>
    <row r="2183" spans="5:19" x14ac:dyDescent="0.25">
      <c r="E2183" t="str">
        <f>IFERROR(VLOOKUP(D2183,'Team Data'!C:AB,4,FALSE),"")</f>
        <v/>
      </c>
      <c r="F2183" t="str">
        <f>IFERROR(VLOOKUP(D2183,'Team Data'!C:AB,5,FALSE),"")</f>
        <v/>
      </c>
      <c r="G2183" t="str">
        <f>IFERROR(VLOOKUP('OB Format'!D2183,'Team Data'!C:AB,17,FALSE),"")</f>
        <v/>
      </c>
      <c r="H2183" t="str">
        <f>IFERROR(VLOOKUP(D2183,'Team Data'!C:AB,7,FALSE),"")</f>
        <v/>
      </c>
      <c r="I2183" t="str">
        <f>IFERROR(VLOOKUP(D2183,'Team Data'!C:AB,14,FALSE),"")</f>
        <v/>
      </c>
      <c r="J2183" t="str">
        <f>IFERROR(VLOOKUP(D2183,'Team Data'!C:AB,8,FALSE),"")</f>
        <v/>
      </c>
      <c r="K2183" t="str">
        <f>IFERROR(VLOOKUP(D2183,'Team Data'!C:AB,9,FALSE),"")</f>
        <v/>
      </c>
      <c r="L2183" t="str">
        <f>IFERROR(VLOOKUP(D2183,'Team Data'!C:AB,10,FALSE),"")</f>
        <v/>
      </c>
      <c r="M2183" t="str">
        <f t="shared" si="68"/>
        <v/>
      </c>
      <c r="N2183" t="str">
        <f>IFERROR(VLOOKUP(D2183,'Team Data'!C:AB,23,FALSE),"")</f>
        <v/>
      </c>
      <c r="O2183" t="str">
        <f>IFERROR(VLOOKUP(D2183,'Team Data'!C:AB,22,FALSE),"")</f>
        <v/>
      </c>
      <c r="P2183" t="str">
        <f t="shared" si="69"/>
        <v/>
      </c>
      <c r="Q2183" t="str">
        <f>IFERROR(VLOOKUP(D2183,'Team Data'!C:AB,15,FALSE),"")</f>
        <v/>
      </c>
      <c r="R2183" t="str">
        <f>IFERROR(VLOOKUP('OB Format'!D2183,'Team Data'!C:AB,24,FALSE),"")</f>
        <v/>
      </c>
      <c r="S2183" t="str">
        <f>IFERROR(VLOOKUP('OB Format'!D2183,'Team Data'!C:AC,25,FALSE),"")</f>
        <v/>
      </c>
    </row>
    <row r="2184" spans="5:19" x14ac:dyDescent="0.25">
      <c r="E2184" t="str">
        <f>IFERROR(VLOOKUP(D2184,'Team Data'!C:AB,4,FALSE),"")</f>
        <v/>
      </c>
      <c r="F2184" t="str">
        <f>IFERROR(VLOOKUP(D2184,'Team Data'!C:AB,5,FALSE),"")</f>
        <v/>
      </c>
      <c r="G2184" t="str">
        <f>IFERROR(VLOOKUP('OB Format'!D2184,'Team Data'!C:AB,17,FALSE),"")</f>
        <v/>
      </c>
      <c r="H2184" t="str">
        <f>IFERROR(VLOOKUP(D2184,'Team Data'!C:AB,7,FALSE),"")</f>
        <v/>
      </c>
      <c r="I2184" t="str">
        <f>IFERROR(VLOOKUP(D2184,'Team Data'!C:AB,14,FALSE),"")</f>
        <v/>
      </c>
      <c r="J2184" t="str">
        <f>IFERROR(VLOOKUP(D2184,'Team Data'!C:AB,8,FALSE),"")</f>
        <v/>
      </c>
      <c r="K2184" t="str">
        <f>IFERROR(VLOOKUP(D2184,'Team Data'!C:AB,9,FALSE),"")</f>
        <v/>
      </c>
      <c r="L2184" t="str">
        <f>IFERROR(VLOOKUP(D2184,'Team Data'!C:AB,10,FALSE),"")</f>
        <v/>
      </c>
      <c r="M2184" t="str">
        <f t="shared" si="68"/>
        <v/>
      </c>
      <c r="N2184" t="str">
        <f>IFERROR(VLOOKUP(D2184,'Team Data'!C:AB,23,FALSE),"")</f>
        <v/>
      </c>
      <c r="O2184" t="str">
        <f>IFERROR(VLOOKUP(D2184,'Team Data'!C:AB,22,FALSE),"")</f>
        <v/>
      </c>
      <c r="P2184" t="str">
        <f t="shared" si="69"/>
        <v/>
      </c>
      <c r="Q2184" t="str">
        <f>IFERROR(VLOOKUP(D2184,'Team Data'!C:AB,15,FALSE),"")</f>
        <v/>
      </c>
      <c r="R2184" t="str">
        <f>IFERROR(VLOOKUP('OB Format'!D2184,'Team Data'!C:AB,24,FALSE),"")</f>
        <v/>
      </c>
      <c r="S2184" t="str">
        <f>IFERROR(VLOOKUP('OB Format'!D2184,'Team Data'!C:AC,25,FALSE),"")</f>
        <v/>
      </c>
    </row>
    <row r="2185" spans="5:19" x14ac:dyDescent="0.25">
      <c r="E2185" t="str">
        <f>IFERROR(VLOOKUP(D2185,'Team Data'!C:AB,4,FALSE),"")</f>
        <v/>
      </c>
      <c r="F2185" t="str">
        <f>IFERROR(VLOOKUP(D2185,'Team Data'!C:AB,5,FALSE),"")</f>
        <v/>
      </c>
      <c r="G2185" t="str">
        <f>IFERROR(VLOOKUP('OB Format'!D2185,'Team Data'!C:AB,17,FALSE),"")</f>
        <v/>
      </c>
      <c r="H2185" t="str">
        <f>IFERROR(VLOOKUP(D2185,'Team Data'!C:AB,7,FALSE),"")</f>
        <v/>
      </c>
      <c r="I2185" t="str">
        <f>IFERROR(VLOOKUP(D2185,'Team Data'!C:AB,14,FALSE),"")</f>
        <v/>
      </c>
      <c r="J2185" t="str">
        <f>IFERROR(VLOOKUP(D2185,'Team Data'!C:AB,8,FALSE),"")</f>
        <v/>
      </c>
      <c r="K2185" t="str">
        <f>IFERROR(VLOOKUP(D2185,'Team Data'!C:AB,9,FALSE),"")</f>
        <v/>
      </c>
      <c r="L2185" t="str">
        <f>IFERROR(VLOOKUP(D2185,'Team Data'!C:AB,10,FALSE),"")</f>
        <v/>
      </c>
      <c r="M2185" t="str">
        <f t="shared" si="68"/>
        <v/>
      </c>
      <c r="N2185" t="str">
        <f>IFERROR(VLOOKUP(D2185,'Team Data'!C:AB,23,FALSE),"")</f>
        <v/>
      </c>
      <c r="O2185" t="str">
        <f>IFERROR(VLOOKUP(D2185,'Team Data'!C:AB,22,FALSE),"")</f>
        <v/>
      </c>
      <c r="P2185" t="str">
        <f t="shared" si="69"/>
        <v/>
      </c>
      <c r="Q2185" t="str">
        <f>IFERROR(VLOOKUP(D2185,'Team Data'!C:AB,15,FALSE),"")</f>
        <v/>
      </c>
      <c r="R2185" t="str">
        <f>IFERROR(VLOOKUP('OB Format'!D2185,'Team Data'!C:AB,24,FALSE),"")</f>
        <v/>
      </c>
      <c r="S2185" t="str">
        <f>IFERROR(VLOOKUP('OB Format'!D2185,'Team Data'!C:AC,25,FALSE),"")</f>
        <v/>
      </c>
    </row>
    <row r="2186" spans="5:19" x14ac:dyDescent="0.25">
      <c r="E2186" t="str">
        <f>IFERROR(VLOOKUP(D2186,'Team Data'!C:AB,4,FALSE),"")</f>
        <v/>
      </c>
      <c r="F2186" t="str">
        <f>IFERROR(VLOOKUP(D2186,'Team Data'!C:AB,5,FALSE),"")</f>
        <v/>
      </c>
      <c r="G2186" t="str">
        <f>IFERROR(VLOOKUP('OB Format'!D2186,'Team Data'!C:AB,17,FALSE),"")</f>
        <v/>
      </c>
      <c r="H2186" t="str">
        <f>IFERROR(VLOOKUP(D2186,'Team Data'!C:AB,7,FALSE),"")</f>
        <v/>
      </c>
      <c r="I2186" t="str">
        <f>IFERROR(VLOOKUP(D2186,'Team Data'!C:AB,14,FALSE),"")</f>
        <v/>
      </c>
      <c r="J2186" t="str">
        <f>IFERROR(VLOOKUP(D2186,'Team Data'!C:AB,8,FALSE),"")</f>
        <v/>
      </c>
      <c r="K2186" t="str">
        <f>IFERROR(VLOOKUP(D2186,'Team Data'!C:AB,9,FALSE),"")</f>
        <v/>
      </c>
      <c r="L2186" t="str">
        <f>IFERROR(VLOOKUP(D2186,'Team Data'!C:AB,10,FALSE),"")</f>
        <v/>
      </c>
      <c r="M2186" t="str">
        <f t="shared" si="68"/>
        <v/>
      </c>
      <c r="N2186" t="str">
        <f>IFERROR(VLOOKUP(D2186,'Team Data'!C:AB,23,FALSE),"")</f>
        <v/>
      </c>
      <c r="O2186" t="str">
        <f>IFERROR(VLOOKUP(D2186,'Team Data'!C:AB,22,FALSE),"")</f>
        <v/>
      </c>
      <c r="P2186" t="str">
        <f t="shared" si="69"/>
        <v/>
      </c>
      <c r="Q2186" t="str">
        <f>IFERROR(VLOOKUP(D2186,'Team Data'!C:AB,15,FALSE),"")</f>
        <v/>
      </c>
      <c r="R2186" t="str">
        <f>IFERROR(VLOOKUP('OB Format'!D2186,'Team Data'!C:AB,24,FALSE),"")</f>
        <v/>
      </c>
      <c r="S2186" t="str">
        <f>IFERROR(VLOOKUP('OB Format'!D2186,'Team Data'!C:AC,25,FALSE),"")</f>
        <v/>
      </c>
    </row>
    <row r="2187" spans="5:19" x14ac:dyDescent="0.25">
      <c r="E2187" t="str">
        <f>IFERROR(VLOOKUP(D2187,'Team Data'!C:AB,4,FALSE),"")</f>
        <v/>
      </c>
      <c r="F2187" t="str">
        <f>IFERROR(VLOOKUP(D2187,'Team Data'!C:AB,5,FALSE),"")</f>
        <v/>
      </c>
      <c r="G2187" t="str">
        <f>IFERROR(VLOOKUP('OB Format'!D2187,'Team Data'!C:AB,17,FALSE),"")</f>
        <v/>
      </c>
      <c r="H2187" t="str">
        <f>IFERROR(VLOOKUP(D2187,'Team Data'!C:AB,7,FALSE),"")</f>
        <v/>
      </c>
      <c r="I2187" t="str">
        <f>IFERROR(VLOOKUP(D2187,'Team Data'!C:AB,14,FALSE),"")</f>
        <v/>
      </c>
      <c r="J2187" t="str">
        <f>IFERROR(VLOOKUP(D2187,'Team Data'!C:AB,8,FALSE),"")</f>
        <v/>
      </c>
      <c r="K2187" t="str">
        <f>IFERROR(VLOOKUP(D2187,'Team Data'!C:AB,9,FALSE),"")</f>
        <v/>
      </c>
      <c r="L2187" t="str">
        <f>IFERROR(VLOOKUP(D2187,'Team Data'!C:AB,10,FALSE),"")</f>
        <v/>
      </c>
      <c r="M2187" t="str">
        <f t="shared" si="68"/>
        <v/>
      </c>
      <c r="N2187" t="str">
        <f>IFERROR(VLOOKUP(D2187,'Team Data'!C:AB,23,FALSE),"")</f>
        <v/>
      </c>
      <c r="O2187" t="str">
        <f>IFERROR(VLOOKUP(D2187,'Team Data'!C:AB,22,FALSE),"")</f>
        <v/>
      </c>
      <c r="P2187" t="str">
        <f t="shared" si="69"/>
        <v/>
      </c>
      <c r="Q2187" t="str">
        <f>IFERROR(VLOOKUP(D2187,'Team Data'!C:AB,15,FALSE),"")</f>
        <v/>
      </c>
      <c r="R2187" t="str">
        <f>IFERROR(VLOOKUP('OB Format'!D2187,'Team Data'!C:AB,24,FALSE),"")</f>
        <v/>
      </c>
      <c r="S2187" t="str">
        <f>IFERROR(VLOOKUP('OB Format'!D2187,'Team Data'!C:AC,25,FALSE),"")</f>
        <v/>
      </c>
    </row>
    <row r="2188" spans="5:19" x14ac:dyDescent="0.25">
      <c r="E2188" t="str">
        <f>IFERROR(VLOOKUP(D2188,'Team Data'!C:AB,4,FALSE),"")</f>
        <v/>
      </c>
      <c r="F2188" t="str">
        <f>IFERROR(VLOOKUP(D2188,'Team Data'!C:AB,5,FALSE),"")</f>
        <v/>
      </c>
      <c r="G2188" t="str">
        <f>IFERROR(VLOOKUP('OB Format'!D2188,'Team Data'!C:AB,17,FALSE),"")</f>
        <v/>
      </c>
      <c r="H2188" t="str">
        <f>IFERROR(VLOOKUP(D2188,'Team Data'!C:AB,7,FALSE),"")</f>
        <v/>
      </c>
      <c r="I2188" t="str">
        <f>IFERROR(VLOOKUP(D2188,'Team Data'!C:AB,14,FALSE),"")</f>
        <v/>
      </c>
      <c r="J2188" t="str">
        <f>IFERROR(VLOOKUP(D2188,'Team Data'!C:AB,8,FALSE),"")</f>
        <v/>
      </c>
      <c r="K2188" t="str">
        <f>IFERROR(VLOOKUP(D2188,'Team Data'!C:AB,9,FALSE),"")</f>
        <v/>
      </c>
      <c r="L2188" t="str">
        <f>IFERROR(VLOOKUP(D2188,'Team Data'!C:AB,10,FALSE),"")</f>
        <v/>
      </c>
      <c r="M2188" t="str">
        <f t="shared" si="68"/>
        <v/>
      </c>
      <c r="N2188" t="str">
        <f>IFERROR(VLOOKUP(D2188,'Team Data'!C:AB,23,FALSE),"")</f>
        <v/>
      </c>
      <c r="O2188" t="str">
        <f>IFERROR(VLOOKUP(D2188,'Team Data'!C:AB,22,FALSE),"")</f>
        <v/>
      </c>
      <c r="P2188" t="str">
        <f t="shared" si="69"/>
        <v/>
      </c>
      <c r="Q2188" t="str">
        <f>IFERROR(VLOOKUP(D2188,'Team Data'!C:AB,15,FALSE),"")</f>
        <v/>
      </c>
      <c r="R2188" t="str">
        <f>IFERROR(VLOOKUP('OB Format'!D2188,'Team Data'!C:AB,24,FALSE),"")</f>
        <v/>
      </c>
      <c r="S2188" t="str">
        <f>IFERROR(VLOOKUP('OB Format'!D2188,'Team Data'!C:AC,25,FALSE),"")</f>
        <v/>
      </c>
    </row>
    <row r="2189" spans="5:19" x14ac:dyDescent="0.25">
      <c r="E2189" t="str">
        <f>IFERROR(VLOOKUP(D2189,'Team Data'!C:AB,4,FALSE),"")</f>
        <v/>
      </c>
      <c r="F2189" t="str">
        <f>IFERROR(VLOOKUP(D2189,'Team Data'!C:AB,5,FALSE),"")</f>
        <v/>
      </c>
      <c r="G2189" t="str">
        <f>IFERROR(VLOOKUP('OB Format'!D2189,'Team Data'!C:AB,17,FALSE),"")</f>
        <v/>
      </c>
      <c r="H2189" t="str">
        <f>IFERROR(VLOOKUP(D2189,'Team Data'!C:AB,7,FALSE),"")</f>
        <v/>
      </c>
      <c r="I2189" t="str">
        <f>IFERROR(VLOOKUP(D2189,'Team Data'!C:AB,14,FALSE),"")</f>
        <v/>
      </c>
      <c r="J2189" t="str">
        <f>IFERROR(VLOOKUP(D2189,'Team Data'!C:AB,8,FALSE),"")</f>
        <v/>
      </c>
      <c r="K2189" t="str">
        <f>IFERROR(VLOOKUP(D2189,'Team Data'!C:AB,9,FALSE),"")</f>
        <v/>
      </c>
      <c r="L2189" t="str">
        <f>IFERROR(VLOOKUP(D2189,'Team Data'!C:AB,10,FALSE),"")</f>
        <v/>
      </c>
      <c r="M2189" t="str">
        <f t="shared" ref="M2189:M2252" si="70">IFERROR(H2189-(J2189+L2189+K2189),"")</f>
        <v/>
      </c>
      <c r="N2189" t="str">
        <f>IFERROR(VLOOKUP(D2189,'Team Data'!C:AB,23,FALSE),"")</f>
        <v/>
      </c>
      <c r="O2189" t="str">
        <f>IFERROR(VLOOKUP(D2189,'Team Data'!C:AB,22,FALSE),"")</f>
        <v/>
      </c>
      <c r="P2189" t="str">
        <f t="shared" ref="P2189:P2252" si="71">IFERROR(E2189-(H2189+N2189+Q2189+I2189+O2189),"")</f>
        <v/>
      </c>
      <c r="Q2189" t="str">
        <f>IFERROR(VLOOKUP(D2189,'Team Data'!C:AB,15,FALSE),"")</f>
        <v/>
      </c>
      <c r="R2189" t="str">
        <f>IFERROR(VLOOKUP('OB Format'!D2189,'Team Data'!C:AB,24,FALSE),"")</f>
        <v/>
      </c>
      <c r="S2189" t="str">
        <f>IFERROR(VLOOKUP('OB Format'!D2189,'Team Data'!C:AC,25,FALSE),"")</f>
        <v/>
      </c>
    </row>
    <row r="2190" spans="5:19" x14ac:dyDescent="0.25">
      <c r="E2190" t="str">
        <f>IFERROR(VLOOKUP(D2190,'Team Data'!C:AB,4,FALSE),"")</f>
        <v/>
      </c>
      <c r="F2190" t="str">
        <f>IFERROR(VLOOKUP(D2190,'Team Data'!C:AB,5,FALSE),"")</f>
        <v/>
      </c>
      <c r="G2190" t="str">
        <f>IFERROR(VLOOKUP('OB Format'!D2190,'Team Data'!C:AB,17,FALSE),"")</f>
        <v/>
      </c>
      <c r="H2190" t="str">
        <f>IFERROR(VLOOKUP(D2190,'Team Data'!C:AB,7,FALSE),"")</f>
        <v/>
      </c>
      <c r="I2190" t="str">
        <f>IFERROR(VLOOKUP(D2190,'Team Data'!C:AB,14,FALSE),"")</f>
        <v/>
      </c>
      <c r="J2190" t="str">
        <f>IFERROR(VLOOKUP(D2190,'Team Data'!C:AB,8,FALSE),"")</f>
        <v/>
      </c>
      <c r="K2190" t="str">
        <f>IFERROR(VLOOKUP(D2190,'Team Data'!C:AB,9,FALSE),"")</f>
        <v/>
      </c>
      <c r="L2190" t="str">
        <f>IFERROR(VLOOKUP(D2190,'Team Data'!C:AB,10,FALSE),"")</f>
        <v/>
      </c>
      <c r="M2190" t="str">
        <f t="shared" si="70"/>
        <v/>
      </c>
      <c r="N2190" t="str">
        <f>IFERROR(VLOOKUP(D2190,'Team Data'!C:AB,23,FALSE),"")</f>
        <v/>
      </c>
      <c r="O2190" t="str">
        <f>IFERROR(VLOOKUP(D2190,'Team Data'!C:AB,22,FALSE),"")</f>
        <v/>
      </c>
      <c r="P2190" t="str">
        <f t="shared" si="71"/>
        <v/>
      </c>
      <c r="Q2190" t="str">
        <f>IFERROR(VLOOKUP(D2190,'Team Data'!C:AB,15,FALSE),"")</f>
        <v/>
      </c>
      <c r="R2190" t="str">
        <f>IFERROR(VLOOKUP('OB Format'!D2190,'Team Data'!C:AB,24,FALSE),"")</f>
        <v/>
      </c>
      <c r="S2190" t="str">
        <f>IFERROR(VLOOKUP('OB Format'!D2190,'Team Data'!C:AC,25,FALSE),"")</f>
        <v/>
      </c>
    </row>
    <row r="2191" spans="5:19" x14ac:dyDescent="0.25">
      <c r="E2191" t="str">
        <f>IFERROR(VLOOKUP(D2191,'Team Data'!C:AB,4,FALSE),"")</f>
        <v/>
      </c>
      <c r="F2191" t="str">
        <f>IFERROR(VLOOKUP(D2191,'Team Data'!C:AB,5,FALSE),"")</f>
        <v/>
      </c>
      <c r="G2191" t="str">
        <f>IFERROR(VLOOKUP('OB Format'!D2191,'Team Data'!C:AB,17,FALSE),"")</f>
        <v/>
      </c>
      <c r="H2191" t="str">
        <f>IFERROR(VLOOKUP(D2191,'Team Data'!C:AB,7,FALSE),"")</f>
        <v/>
      </c>
      <c r="I2191" t="str">
        <f>IFERROR(VLOOKUP(D2191,'Team Data'!C:AB,14,FALSE),"")</f>
        <v/>
      </c>
      <c r="J2191" t="str">
        <f>IFERROR(VLOOKUP(D2191,'Team Data'!C:AB,8,FALSE),"")</f>
        <v/>
      </c>
      <c r="K2191" t="str">
        <f>IFERROR(VLOOKUP(D2191,'Team Data'!C:AB,9,FALSE),"")</f>
        <v/>
      </c>
      <c r="L2191" t="str">
        <f>IFERROR(VLOOKUP(D2191,'Team Data'!C:AB,10,FALSE),"")</f>
        <v/>
      </c>
      <c r="M2191" t="str">
        <f t="shared" si="70"/>
        <v/>
      </c>
      <c r="N2191" t="str">
        <f>IFERROR(VLOOKUP(D2191,'Team Data'!C:AB,23,FALSE),"")</f>
        <v/>
      </c>
      <c r="O2191" t="str">
        <f>IFERROR(VLOOKUP(D2191,'Team Data'!C:AB,22,FALSE),"")</f>
        <v/>
      </c>
      <c r="P2191" t="str">
        <f t="shared" si="71"/>
        <v/>
      </c>
      <c r="Q2191" t="str">
        <f>IFERROR(VLOOKUP(D2191,'Team Data'!C:AB,15,FALSE),"")</f>
        <v/>
      </c>
      <c r="R2191" t="str">
        <f>IFERROR(VLOOKUP('OB Format'!D2191,'Team Data'!C:AB,24,FALSE),"")</f>
        <v/>
      </c>
      <c r="S2191" t="str">
        <f>IFERROR(VLOOKUP('OB Format'!D2191,'Team Data'!C:AC,25,FALSE),"")</f>
        <v/>
      </c>
    </row>
    <row r="2192" spans="5:19" x14ac:dyDescent="0.25">
      <c r="E2192" t="str">
        <f>IFERROR(VLOOKUP(D2192,'Team Data'!C:AB,4,FALSE),"")</f>
        <v/>
      </c>
      <c r="F2192" t="str">
        <f>IFERROR(VLOOKUP(D2192,'Team Data'!C:AB,5,FALSE),"")</f>
        <v/>
      </c>
      <c r="G2192" t="str">
        <f>IFERROR(VLOOKUP('OB Format'!D2192,'Team Data'!C:AB,17,FALSE),"")</f>
        <v/>
      </c>
      <c r="H2192" t="str">
        <f>IFERROR(VLOOKUP(D2192,'Team Data'!C:AB,7,FALSE),"")</f>
        <v/>
      </c>
      <c r="I2192" t="str">
        <f>IFERROR(VLOOKUP(D2192,'Team Data'!C:AB,14,FALSE),"")</f>
        <v/>
      </c>
      <c r="J2192" t="str">
        <f>IFERROR(VLOOKUP(D2192,'Team Data'!C:AB,8,FALSE),"")</f>
        <v/>
      </c>
      <c r="K2192" t="str">
        <f>IFERROR(VLOOKUP(D2192,'Team Data'!C:AB,9,FALSE),"")</f>
        <v/>
      </c>
      <c r="L2192" t="str">
        <f>IFERROR(VLOOKUP(D2192,'Team Data'!C:AB,10,FALSE),"")</f>
        <v/>
      </c>
      <c r="M2192" t="str">
        <f t="shared" si="70"/>
        <v/>
      </c>
      <c r="N2192" t="str">
        <f>IFERROR(VLOOKUP(D2192,'Team Data'!C:AB,23,FALSE),"")</f>
        <v/>
      </c>
      <c r="O2192" t="str">
        <f>IFERROR(VLOOKUP(D2192,'Team Data'!C:AB,22,FALSE),"")</f>
        <v/>
      </c>
      <c r="P2192" t="str">
        <f t="shared" si="71"/>
        <v/>
      </c>
      <c r="Q2192" t="str">
        <f>IFERROR(VLOOKUP(D2192,'Team Data'!C:AB,15,FALSE),"")</f>
        <v/>
      </c>
      <c r="R2192" t="str">
        <f>IFERROR(VLOOKUP('OB Format'!D2192,'Team Data'!C:AB,24,FALSE),"")</f>
        <v/>
      </c>
      <c r="S2192" t="str">
        <f>IFERROR(VLOOKUP('OB Format'!D2192,'Team Data'!C:AC,25,FALSE),"")</f>
        <v/>
      </c>
    </row>
    <row r="2193" spans="5:19" x14ac:dyDescent="0.25">
      <c r="E2193" t="str">
        <f>IFERROR(VLOOKUP(D2193,'Team Data'!C:AB,4,FALSE),"")</f>
        <v/>
      </c>
      <c r="F2193" t="str">
        <f>IFERROR(VLOOKUP(D2193,'Team Data'!C:AB,5,FALSE),"")</f>
        <v/>
      </c>
      <c r="G2193" t="str">
        <f>IFERROR(VLOOKUP('OB Format'!D2193,'Team Data'!C:AB,17,FALSE),"")</f>
        <v/>
      </c>
      <c r="H2193" t="str">
        <f>IFERROR(VLOOKUP(D2193,'Team Data'!C:AB,7,FALSE),"")</f>
        <v/>
      </c>
      <c r="I2193" t="str">
        <f>IFERROR(VLOOKUP(D2193,'Team Data'!C:AB,14,FALSE),"")</f>
        <v/>
      </c>
      <c r="J2193" t="str">
        <f>IFERROR(VLOOKUP(D2193,'Team Data'!C:AB,8,FALSE),"")</f>
        <v/>
      </c>
      <c r="K2193" t="str">
        <f>IFERROR(VLOOKUP(D2193,'Team Data'!C:AB,9,FALSE),"")</f>
        <v/>
      </c>
      <c r="L2193" t="str">
        <f>IFERROR(VLOOKUP(D2193,'Team Data'!C:AB,10,FALSE),"")</f>
        <v/>
      </c>
      <c r="M2193" t="str">
        <f t="shared" si="70"/>
        <v/>
      </c>
      <c r="N2193" t="str">
        <f>IFERROR(VLOOKUP(D2193,'Team Data'!C:AB,23,FALSE),"")</f>
        <v/>
      </c>
      <c r="O2193" t="str">
        <f>IFERROR(VLOOKUP(D2193,'Team Data'!C:AB,22,FALSE),"")</f>
        <v/>
      </c>
      <c r="P2193" t="str">
        <f t="shared" si="71"/>
        <v/>
      </c>
      <c r="Q2193" t="str">
        <f>IFERROR(VLOOKUP(D2193,'Team Data'!C:AB,15,FALSE),"")</f>
        <v/>
      </c>
      <c r="R2193" t="str">
        <f>IFERROR(VLOOKUP('OB Format'!D2193,'Team Data'!C:AB,24,FALSE),"")</f>
        <v/>
      </c>
      <c r="S2193" t="str">
        <f>IFERROR(VLOOKUP('OB Format'!D2193,'Team Data'!C:AC,25,FALSE),"")</f>
        <v/>
      </c>
    </row>
    <row r="2194" spans="5:19" x14ac:dyDescent="0.25">
      <c r="E2194" t="str">
        <f>IFERROR(VLOOKUP(D2194,'Team Data'!C:AB,4,FALSE),"")</f>
        <v/>
      </c>
      <c r="F2194" t="str">
        <f>IFERROR(VLOOKUP(D2194,'Team Data'!C:AB,5,FALSE),"")</f>
        <v/>
      </c>
      <c r="G2194" t="str">
        <f>IFERROR(VLOOKUP('OB Format'!D2194,'Team Data'!C:AB,17,FALSE),"")</f>
        <v/>
      </c>
      <c r="H2194" t="str">
        <f>IFERROR(VLOOKUP(D2194,'Team Data'!C:AB,7,FALSE),"")</f>
        <v/>
      </c>
      <c r="I2194" t="str">
        <f>IFERROR(VLOOKUP(D2194,'Team Data'!C:AB,14,FALSE),"")</f>
        <v/>
      </c>
      <c r="J2194" t="str">
        <f>IFERROR(VLOOKUP(D2194,'Team Data'!C:AB,8,FALSE),"")</f>
        <v/>
      </c>
      <c r="K2194" t="str">
        <f>IFERROR(VLOOKUP(D2194,'Team Data'!C:AB,9,FALSE),"")</f>
        <v/>
      </c>
      <c r="L2194" t="str">
        <f>IFERROR(VLOOKUP(D2194,'Team Data'!C:AB,10,FALSE),"")</f>
        <v/>
      </c>
      <c r="M2194" t="str">
        <f t="shared" si="70"/>
        <v/>
      </c>
      <c r="N2194" t="str">
        <f>IFERROR(VLOOKUP(D2194,'Team Data'!C:AB,23,FALSE),"")</f>
        <v/>
      </c>
      <c r="O2194" t="str">
        <f>IFERROR(VLOOKUP(D2194,'Team Data'!C:AB,22,FALSE),"")</f>
        <v/>
      </c>
      <c r="P2194" t="str">
        <f t="shared" si="71"/>
        <v/>
      </c>
      <c r="Q2194" t="str">
        <f>IFERROR(VLOOKUP(D2194,'Team Data'!C:AB,15,FALSE),"")</f>
        <v/>
      </c>
      <c r="R2194" t="str">
        <f>IFERROR(VLOOKUP('OB Format'!D2194,'Team Data'!C:AB,24,FALSE),"")</f>
        <v/>
      </c>
      <c r="S2194" t="str">
        <f>IFERROR(VLOOKUP('OB Format'!D2194,'Team Data'!C:AC,25,FALSE),"")</f>
        <v/>
      </c>
    </row>
    <row r="2195" spans="5:19" x14ac:dyDescent="0.25">
      <c r="E2195" t="str">
        <f>IFERROR(VLOOKUP(D2195,'Team Data'!C:AB,4,FALSE),"")</f>
        <v/>
      </c>
      <c r="F2195" t="str">
        <f>IFERROR(VLOOKUP(D2195,'Team Data'!C:AB,5,FALSE),"")</f>
        <v/>
      </c>
      <c r="G2195" t="str">
        <f>IFERROR(VLOOKUP('OB Format'!D2195,'Team Data'!C:AB,17,FALSE),"")</f>
        <v/>
      </c>
      <c r="H2195" t="str">
        <f>IFERROR(VLOOKUP(D2195,'Team Data'!C:AB,7,FALSE),"")</f>
        <v/>
      </c>
      <c r="I2195" t="str">
        <f>IFERROR(VLOOKUP(D2195,'Team Data'!C:AB,14,FALSE),"")</f>
        <v/>
      </c>
      <c r="J2195" t="str">
        <f>IFERROR(VLOOKUP(D2195,'Team Data'!C:AB,8,FALSE),"")</f>
        <v/>
      </c>
      <c r="K2195" t="str">
        <f>IFERROR(VLOOKUP(D2195,'Team Data'!C:AB,9,FALSE),"")</f>
        <v/>
      </c>
      <c r="L2195" t="str">
        <f>IFERROR(VLOOKUP(D2195,'Team Data'!C:AB,10,FALSE),"")</f>
        <v/>
      </c>
      <c r="M2195" t="str">
        <f t="shared" si="70"/>
        <v/>
      </c>
      <c r="N2195" t="str">
        <f>IFERROR(VLOOKUP(D2195,'Team Data'!C:AB,23,FALSE),"")</f>
        <v/>
      </c>
      <c r="O2195" t="str">
        <f>IFERROR(VLOOKUP(D2195,'Team Data'!C:AB,22,FALSE),"")</f>
        <v/>
      </c>
      <c r="P2195" t="str">
        <f t="shared" si="71"/>
        <v/>
      </c>
      <c r="Q2195" t="str">
        <f>IFERROR(VLOOKUP(D2195,'Team Data'!C:AB,15,FALSE),"")</f>
        <v/>
      </c>
      <c r="R2195" t="str">
        <f>IFERROR(VLOOKUP('OB Format'!D2195,'Team Data'!C:AB,24,FALSE),"")</f>
        <v/>
      </c>
      <c r="S2195" t="str">
        <f>IFERROR(VLOOKUP('OB Format'!D2195,'Team Data'!C:AC,25,FALSE),"")</f>
        <v/>
      </c>
    </row>
    <row r="2196" spans="5:19" x14ac:dyDescent="0.25">
      <c r="E2196" t="str">
        <f>IFERROR(VLOOKUP(D2196,'Team Data'!C:AB,4,FALSE),"")</f>
        <v/>
      </c>
      <c r="F2196" t="str">
        <f>IFERROR(VLOOKUP(D2196,'Team Data'!C:AB,5,FALSE),"")</f>
        <v/>
      </c>
      <c r="G2196" t="str">
        <f>IFERROR(VLOOKUP('OB Format'!D2196,'Team Data'!C:AB,17,FALSE),"")</f>
        <v/>
      </c>
      <c r="H2196" t="str">
        <f>IFERROR(VLOOKUP(D2196,'Team Data'!C:AB,7,FALSE),"")</f>
        <v/>
      </c>
      <c r="I2196" t="str">
        <f>IFERROR(VLOOKUP(D2196,'Team Data'!C:AB,14,FALSE),"")</f>
        <v/>
      </c>
      <c r="J2196" t="str">
        <f>IFERROR(VLOOKUP(D2196,'Team Data'!C:AB,8,FALSE),"")</f>
        <v/>
      </c>
      <c r="K2196" t="str">
        <f>IFERROR(VLOOKUP(D2196,'Team Data'!C:AB,9,FALSE),"")</f>
        <v/>
      </c>
      <c r="L2196" t="str">
        <f>IFERROR(VLOOKUP(D2196,'Team Data'!C:AB,10,FALSE),"")</f>
        <v/>
      </c>
      <c r="M2196" t="str">
        <f t="shared" si="70"/>
        <v/>
      </c>
      <c r="N2196" t="str">
        <f>IFERROR(VLOOKUP(D2196,'Team Data'!C:AB,23,FALSE),"")</f>
        <v/>
      </c>
      <c r="O2196" t="str">
        <f>IFERROR(VLOOKUP(D2196,'Team Data'!C:AB,22,FALSE),"")</f>
        <v/>
      </c>
      <c r="P2196" t="str">
        <f t="shared" si="71"/>
        <v/>
      </c>
      <c r="Q2196" t="str">
        <f>IFERROR(VLOOKUP(D2196,'Team Data'!C:AB,15,FALSE),"")</f>
        <v/>
      </c>
      <c r="R2196" t="str">
        <f>IFERROR(VLOOKUP('OB Format'!D2196,'Team Data'!C:AB,24,FALSE),"")</f>
        <v/>
      </c>
      <c r="S2196" t="str">
        <f>IFERROR(VLOOKUP('OB Format'!D2196,'Team Data'!C:AC,25,FALSE),"")</f>
        <v/>
      </c>
    </row>
    <row r="2197" spans="5:19" x14ac:dyDescent="0.25">
      <c r="E2197" t="str">
        <f>IFERROR(VLOOKUP(D2197,'Team Data'!C:AB,4,FALSE),"")</f>
        <v/>
      </c>
      <c r="F2197" t="str">
        <f>IFERROR(VLOOKUP(D2197,'Team Data'!C:AB,5,FALSE),"")</f>
        <v/>
      </c>
      <c r="G2197" t="str">
        <f>IFERROR(VLOOKUP('OB Format'!D2197,'Team Data'!C:AB,17,FALSE),"")</f>
        <v/>
      </c>
      <c r="H2197" t="str">
        <f>IFERROR(VLOOKUP(D2197,'Team Data'!C:AB,7,FALSE),"")</f>
        <v/>
      </c>
      <c r="I2197" t="str">
        <f>IFERROR(VLOOKUP(D2197,'Team Data'!C:AB,14,FALSE),"")</f>
        <v/>
      </c>
      <c r="J2197" t="str">
        <f>IFERROR(VLOOKUP(D2197,'Team Data'!C:AB,8,FALSE),"")</f>
        <v/>
      </c>
      <c r="K2197" t="str">
        <f>IFERROR(VLOOKUP(D2197,'Team Data'!C:AB,9,FALSE),"")</f>
        <v/>
      </c>
      <c r="L2197" t="str">
        <f>IFERROR(VLOOKUP(D2197,'Team Data'!C:AB,10,FALSE),"")</f>
        <v/>
      </c>
      <c r="M2197" t="str">
        <f t="shared" si="70"/>
        <v/>
      </c>
      <c r="N2197" t="str">
        <f>IFERROR(VLOOKUP(D2197,'Team Data'!C:AB,23,FALSE),"")</f>
        <v/>
      </c>
      <c r="O2197" t="str">
        <f>IFERROR(VLOOKUP(D2197,'Team Data'!C:AB,22,FALSE),"")</f>
        <v/>
      </c>
      <c r="P2197" t="str">
        <f t="shared" si="71"/>
        <v/>
      </c>
      <c r="Q2197" t="str">
        <f>IFERROR(VLOOKUP(D2197,'Team Data'!C:AB,15,FALSE),"")</f>
        <v/>
      </c>
      <c r="R2197" t="str">
        <f>IFERROR(VLOOKUP('OB Format'!D2197,'Team Data'!C:AB,24,FALSE),"")</f>
        <v/>
      </c>
      <c r="S2197" t="str">
        <f>IFERROR(VLOOKUP('OB Format'!D2197,'Team Data'!C:AC,25,FALSE),"")</f>
        <v/>
      </c>
    </row>
    <row r="2198" spans="5:19" x14ac:dyDescent="0.25">
      <c r="E2198" t="str">
        <f>IFERROR(VLOOKUP(D2198,'Team Data'!C:AB,4,FALSE),"")</f>
        <v/>
      </c>
      <c r="F2198" t="str">
        <f>IFERROR(VLOOKUP(D2198,'Team Data'!C:AB,5,FALSE),"")</f>
        <v/>
      </c>
      <c r="G2198" t="str">
        <f>IFERROR(VLOOKUP('OB Format'!D2198,'Team Data'!C:AB,17,FALSE),"")</f>
        <v/>
      </c>
      <c r="H2198" t="str">
        <f>IFERROR(VLOOKUP(D2198,'Team Data'!C:AB,7,FALSE),"")</f>
        <v/>
      </c>
      <c r="I2198" t="str">
        <f>IFERROR(VLOOKUP(D2198,'Team Data'!C:AB,14,FALSE),"")</f>
        <v/>
      </c>
      <c r="J2198" t="str">
        <f>IFERROR(VLOOKUP(D2198,'Team Data'!C:AB,8,FALSE),"")</f>
        <v/>
      </c>
      <c r="K2198" t="str">
        <f>IFERROR(VLOOKUP(D2198,'Team Data'!C:AB,9,FALSE),"")</f>
        <v/>
      </c>
      <c r="L2198" t="str">
        <f>IFERROR(VLOOKUP(D2198,'Team Data'!C:AB,10,FALSE),"")</f>
        <v/>
      </c>
      <c r="M2198" t="str">
        <f t="shared" si="70"/>
        <v/>
      </c>
      <c r="N2198" t="str">
        <f>IFERROR(VLOOKUP(D2198,'Team Data'!C:AB,23,FALSE),"")</f>
        <v/>
      </c>
      <c r="O2198" t="str">
        <f>IFERROR(VLOOKUP(D2198,'Team Data'!C:AB,22,FALSE),"")</f>
        <v/>
      </c>
      <c r="P2198" t="str">
        <f t="shared" si="71"/>
        <v/>
      </c>
      <c r="Q2198" t="str">
        <f>IFERROR(VLOOKUP(D2198,'Team Data'!C:AB,15,FALSE),"")</f>
        <v/>
      </c>
      <c r="R2198" t="str">
        <f>IFERROR(VLOOKUP('OB Format'!D2198,'Team Data'!C:AB,24,FALSE),"")</f>
        <v/>
      </c>
      <c r="S2198" t="str">
        <f>IFERROR(VLOOKUP('OB Format'!D2198,'Team Data'!C:AC,25,FALSE),"")</f>
        <v/>
      </c>
    </row>
    <row r="2199" spans="5:19" x14ac:dyDescent="0.25">
      <c r="E2199" t="str">
        <f>IFERROR(VLOOKUP(D2199,'Team Data'!C:AB,4,FALSE),"")</f>
        <v/>
      </c>
      <c r="F2199" t="str">
        <f>IFERROR(VLOOKUP(D2199,'Team Data'!C:AB,5,FALSE),"")</f>
        <v/>
      </c>
      <c r="G2199" t="str">
        <f>IFERROR(VLOOKUP('OB Format'!D2199,'Team Data'!C:AB,17,FALSE),"")</f>
        <v/>
      </c>
      <c r="H2199" t="str">
        <f>IFERROR(VLOOKUP(D2199,'Team Data'!C:AB,7,FALSE),"")</f>
        <v/>
      </c>
      <c r="I2199" t="str">
        <f>IFERROR(VLOOKUP(D2199,'Team Data'!C:AB,14,FALSE),"")</f>
        <v/>
      </c>
      <c r="J2199" t="str">
        <f>IFERROR(VLOOKUP(D2199,'Team Data'!C:AB,8,FALSE),"")</f>
        <v/>
      </c>
      <c r="K2199" t="str">
        <f>IFERROR(VLOOKUP(D2199,'Team Data'!C:AB,9,FALSE),"")</f>
        <v/>
      </c>
      <c r="L2199" t="str">
        <f>IFERROR(VLOOKUP(D2199,'Team Data'!C:AB,10,FALSE),"")</f>
        <v/>
      </c>
      <c r="M2199" t="str">
        <f t="shared" si="70"/>
        <v/>
      </c>
      <c r="N2199" t="str">
        <f>IFERROR(VLOOKUP(D2199,'Team Data'!C:AB,23,FALSE),"")</f>
        <v/>
      </c>
      <c r="O2199" t="str">
        <f>IFERROR(VLOOKUP(D2199,'Team Data'!C:AB,22,FALSE),"")</f>
        <v/>
      </c>
      <c r="P2199" t="str">
        <f t="shared" si="71"/>
        <v/>
      </c>
      <c r="Q2199" t="str">
        <f>IFERROR(VLOOKUP(D2199,'Team Data'!C:AB,15,FALSE),"")</f>
        <v/>
      </c>
      <c r="R2199" t="str">
        <f>IFERROR(VLOOKUP('OB Format'!D2199,'Team Data'!C:AB,24,FALSE),"")</f>
        <v/>
      </c>
      <c r="S2199" t="str">
        <f>IFERROR(VLOOKUP('OB Format'!D2199,'Team Data'!C:AC,25,FALSE),"")</f>
        <v/>
      </c>
    </row>
    <row r="2200" spans="5:19" x14ac:dyDescent="0.25">
      <c r="E2200" t="str">
        <f>IFERROR(VLOOKUP(D2200,'Team Data'!C:AB,4,FALSE),"")</f>
        <v/>
      </c>
      <c r="F2200" t="str">
        <f>IFERROR(VLOOKUP(D2200,'Team Data'!C:AB,5,FALSE),"")</f>
        <v/>
      </c>
      <c r="G2200" t="str">
        <f>IFERROR(VLOOKUP('OB Format'!D2200,'Team Data'!C:AB,17,FALSE),"")</f>
        <v/>
      </c>
      <c r="H2200" t="str">
        <f>IFERROR(VLOOKUP(D2200,'Team Data'!C:AB,7,FALSE),"")</f>
        <v/>
      </c>
      <c r="I2200" t="str">
        <f>IFERROR(VLOOKUP(D2200,'Team Data'!C:AB,14,FALSE),"")</f>
        <v/>
      </c>
      <c r="J2200" t="str">
        <f>IFERROR(VLOOKUP(D2200,'Team Data'!C:AB,8,FALSE),"")</f>
        <v/>
      </c>
      <c r="K2200" t="str">
        <f>IFERROR(VLOOKUP(D2200,'Team Data'!C:AB,9,FALSE),"")</f>
        <v/>
      </c>
      <c r="L2200" t="str">
        <f>IFERROR(VLOOKUP(D2200,'Team Data'!C:AB,10,FALSE),"")</f>
        <v/>
      </c>
      <c r="M2200" t="str">
        <f t="shared" si="70"/>
        <v/>
      </c>
      <c r="N2200" t="str">
        <f>IFERROR(VLOOKUP(D2200,'Team Data'!C:AB,23,FALSE),"")</f>
        <v/>
      </c>
      <c r="O2200" t="str">
        <f>IFERROR(VLOOKUP(D2200,'Team Data'!C:AB,22,FALSE),"")</f>
        <v/>
      </c>
      <c r="P2200" t="str">
        <f t="shared" si="71"/>
        <v/>
      </c>
      <c r="Q2200" t="str">
        <f>IFERROR(VLOOKUP(D2200,'Team Data'!C:AB,15,FALSE),"")</f>
        <v/>
      </c>
      <c r="R2200" t="str">
        <f>IFERROR(VLOOKUP('OB Format'!D2200,'Team Data'!C:AB,24,FALSE),"")</f>
        <v/>
      </c>
      <c r="S2200" t="str">
        <f>IFERROR(VLOOKUP('OB Format'!D2200,'Team Data'!C:AC,25,FALSE),"")</f>
        <v/>
      </c>
    </row>
    <row r="2201" spans="5:19" x14ac:dyDescent="0.25">
      <c r="E2201" t="str">
        <f>IFERROR(VLOOKUP(D2201,'Team Data'!C:AB,4,FALSE),"")</f>
        <v/>
      </c>
      <c r="F2201" t="str">
        <f>IFERROR(VLOOKUP(D2201,'Team Data'!C:AB,5,FALSE),"")</f>
        <v/>
      </c>
      <c r="G2201" t="str">
        <f>IFERROR(VLOOKUP('OB Format'!D2201,'Team Data'!C:AB,17,FALSE),"")</f>
        <v/>
      </c>
      <c r="H2201" t="str">
        <f>IFERROR(VLOOKUP(D2201,'Team Data'!C:AB,7,FALSE),"")</f>
        <v/>
      </c>
      <c r="I2201" t="str">
        <f>IFERROR(VLOOKUP(D2201,'Team Data'!C:AB,14,FALSE),"")</f>
        <v/>
      </c>
      <c r="J2201" t="str">
        <f>IFERROR(VLOOKUP(D2201,'Team Data'!C:AB,8,FALSE),"")</f>
        <v/>
      </c>
      <c r="K2201" t="str">
        <f>IFERROR(VLOOKUP(D2201,'Team Data'!C:AB,9,FALSE),"")</f>
        <v/>
      </c>
      <c r="L2201" t="str">
        <f>IFERROR(VLOOKUP(D2201,'Team Data'!C:AB,10,FALSE),"")</f>
        <v/>
      </c>
      <c r="M2201" t="str">
        <f t="shared" si="70"/>
        <v/>
      </c>
      <c r="N2201" t="str">
        <f>IFERROR(VLOOKUP(D2201,'Team Data'!C:AB,23,FALSE),"")</f>
        <v/>
      </c>
      <c r="O2201" t="str">
        <f>IFERROR(VLOOKUP(D2201,'Team Data'!C:AB,22,FALSE),"")</f>
        <v/>
      </c>
      <c r="P2201" t="str">
        <f t="shared" si="71"/>
        <v/>
      </c>
      <c r="Q2201" t="str">
        <f>IFERROR(VLOOKUP(D2201,'Team Data'!C:AB,15,FALSE),"")</f>
        <v/>
      </c>
      <c r="R2201" t="str">
        <f>IFERROR(VLOOKUP('OB Format'!D2201,'Team Data'!C:AB,24,FALSE),"")</f>
        <v/>
      </c>
      <c r="S2201" t="str">
        <f>IFERROR(VLOOKUP('OB Format'!D2201,'Team Data'!C:AC,25,FALSE),"")</f>
        <v/>
      </c>
    </row>
    <row r="2202" spans="5:19" x14ac:dyDescent="0.25">
      <c r="E2202" t="str">
        <f>IFERROR(VLOOKUP(D2202,'Team Data'!C:AB,4,FALSE),"")</f>
        <v/>
      </c>
      <c r="F2202" t="str">
        <f>IFERROR(VLOOKUP(D2202,'Team Data'!C:AB,5,FALSE),"")</f>
        <v/>
      </c>
      <c r="G2202" t="str">
        <f>IFERROR(VLOOKUP('OB Format'!D2202,'Team Data'!C:AB,17,FALSE),"")</f>
        <v/>
      </c>
      <c r="H2202" t="str">
        <f>IFERROR(VLOOKUP(D2202,'Team Data'!C:AB,7,FALSE),"")</f>
        <v/>
      </c>
      <c r="I2202" t="str">
        <f>IFERROR(VLOOKUP(D2202,'Team Data'!C:AB,14,FALSE),"")</f>
        <v/>
      </c>
      <c r="J2202" t="str">
        <f>IFERROR(VLOOKUP(D2202,'Team Data'!C:AB,8,FALSE),"")</f>
        <v/>
      </c>
      <c r="K2202" t="str">
        <f>IFERROR(VLOOKUP(D2202,'Team Data'!C:AB,9,FALSE),"")</f>
        <v/>
      </c>
      <c r="L2202" t="str">
        <f>IFERROR(VLOOKUP(D2202,'Team Data'!C:AB,10,FALSE),"")</f>
        <v/>
      </c>
      <c r="M2202" t="str">
        <f t="shared" si="70"/>
        <v/>
      </c>
      <c r="N2202" t="str">
        <f>IFERROR(VLOOKUP(D2202,'Team Data'!C:AB,23,FALSE),"")</f>
        <v/>
      </c>
      <c r="O2202" t="str">
        <f>IFERROR(VLOOKUP(D2202,'Team Data'!C:AB,22,FALSE),"")</f>
        <v/>
      </c>
      <c r="P2202" t="str">
        <f t="shared" si="71"/>
        <v/>
      </c>
      <c r="Q2202" t="str">
        <f>IFERROR(VLOOKUP(D2202,'Team Data'!C:AB,15,FALSE),"")</f>
        <v/>
      </c>
      <c r="R2202" t="str">
        <f>IFERROR(VLOOKUP('OB Format'!D2202,'Team Data'!C:AB,24,FALSE),"")</f>
        <v/>
      </c>
      <c r="S2202" t="str">
        <f>IFERROR(VLOOKUP('OB Format'!D2202,'Team Data'!C:AC,25,FALSE),"")</f>
        <v/>
      </c>
    </row>
    <row r="2203" spans="5:19" x14ac:dyDescent="0.25">
      <c r="E2203" t="str">
        <f>IFERROR(VLOOKUP(D2203,'Team Data'!C:AB,4,FALSE),"")</f>
        <v/>
      </c>
      <c r="F2203" t="str">
        <f>IFERROR(VLOOKUP(D2203,'Team Data'!C:AB,5,FALSE),"")</f>
        <v/>
      </c>
      <c r="G2203" t="str">
        <f>IFERROR(VLOOKUP('OB Format'!D2203,'Team Data'!C:AB,17,FALSE),"")</f>
        <v/>
      </c>
      <c r="H2203" t="str">
        <f>IFERROR(VLOOKUP(D2203,'Team Data'!C:AB,7,FALSE),"")</f>
        <v/>
      </c>
      <c r="I2203" t="str">
        <f>IFERROR(VLOOKUP(D2203,'Team Data'!C:AB,14,FALSE),"")</f>
        <v/>
      </c>
      <c r="J2203" t="str">
        <f>IFERROR(VLOOKUP(D2203,'Team Data'!C:AB,8,FALSE),"")</f>
        <v/>
      </c>
      <c r="K2203" t="str">
        <f>IFERROR(VLOOKUP(D2203,'Team Data'!C:AB,9,FALSE),"")</f>
        <v/>
      </c>
      <c r="L2203" t="str">
        <f>IFERROR(VLOOKUP(D2203,'Team Data'!C:AB,10,FALSE),"")</f>
        <v/>
      </c>
      <c r="M2203" t="str">
        <f t="shared" si="70"/>
        <v/>
      </c>
      <c r="N2203" t="str">
        <f>IFERROR(VLOOKUP(D2203,'Team Data'!C:AB,23,FALSE),"")</f>
        <v/>
      </c>
      <c r="O2203" t="str">
        <f>IFERROR(VLOOKUP(D2203,'Team Data'!C:AB,22,FALSE),"")</f>
        <v/>
      </c>
      <c r="P2203" t="str">
        <f t="shared" si="71"/>
        <v/>
      </c>
      <c r="Q2203" t="str">
        <f>IFERROR(VLOOKUP(D2203,'Team Data'!C:AB,15,FALSE),"")</f>
        <v/>
      </c>
      <c r="R2203" t="str">
        <f>IFERROR(VLOOKUP('OB Format'!D2203,'Team Data'!C:AB,24,FALSE),"")</f>
        <v/>
      </c>
      <c r="S2203" t="str">
        <f>IFERROR(VLOOKUP('OB Format'!D2203,'Team Data'!C:AC,25,FALSE),"")</f>
        <v/>
      </c>
    </row>
    <row r="2204" spans="5:19" x14ac:dyDescent="0.25">
      <c r="E2204" t="str">
        <f>IFERROR(VLOOKUP(D2204,'Team Data'!C:AB,4,FALSE),"")</f>
        <v/>
      </c>
      <c r="F2204" t="str">
        <f>IFERROR(VLOOKUP(D2204,'Team Data'!C:AB,5,FALSE),"")</f>
        <v/>
      </c>
      <c r="G2204" t="str">
        <f>IFERROR(VLOOKUP('OB Format'!D2204,'Team Data'!C:AB,17,FALSE),"")</f>
        <v/>
      </c>
      <c r="H2204" t="str">
        <f>IFERROR(VLOOKUP(D2204,'Team Data'!C:AB,7,FALSE),"")</f>
        <v/>
      </c>
      <c r="I2204" t="str">
        <f>IFERROR(VLOOKUP(D2204,'Team Data'!C:AB,14,FALSE),"")</f>
        <v/>
      </c>
      <c r="J2204" t="str">
        <f>IFERROR(VLOOKUP(D2204,'Team Data'!C:AB,8,FALSE),"")</f>
        <v/>
      </c>
      <c r="K2204" t="str">
        <f>IFERROR(VLOOKUP(D2204,'Team Data'!C:AB,9,FALSE),"")</f>
        <v/>
      </c>
      <c r="L2204" t="str">
        <f>IFERROR(VLOOKUP(D2204,'Team Data'!C:AB,10,FALSE),"")</f>
        <v/>
      </c>
      <c r="M2204" t="str">
        <f t="shared" si="70"/>
        <v/>
      </c>
      <c r="N2204" t="str">
        <f>IFERROR(VLOOKUP(D2204,'Team Data'!C:AB,23,FALSE),"")</f>
        <v/>
      </c>
      <c r="O2204" t="str">
        <f>IFERROR(VLOOKUP(D2204,'Team Data'!C:AB,22,FALSE),"")</f>
        <v/>
      </c>
      <c r="P2204" t="str">
        <f t="shared" si="71"/>
        <v/>
      </c>
      <c r="Q2204" t="str">
        <f>IFERROR(VLOOKUP(D2204,'Team Data'!C:AB,15,FALSE),"")</f>
        <v/>
      </c>
      <c r="R2204" t="str">
        <f>IFERROR(VLOOKUP('OB Format'!D2204,'Team Data'!C:AB,24,FALSE),"")</f>
        <v/>
      </c>
      <c r="S2204" t="str">
        <f>IFERROR(VLOOKUP('OB Format'!D2204,'Team Data'!C:AC,25,FALSE),"")</f>
        <v/>
      </c>
    </row>
    <row r="2205" spans="5:19" x14ac:dyDescent="0.25">
      <c r="E2205" t="str">
        <f>IFERROR(VLOOKUP(D2205,'Team Data'!C:AB,4,FALSE),"")</f>
        <v/>
      </c>
      <c r="F2205" t="str">
        <f>IFERROR(VLOOKUP(D2205,'Team Data'!C:AB,5,FALSE),"")</f>
        <v/>
      </c>
      <c r="G2205" t="str">
        <f>IFERROR(VLOOKUP('OB Format'!D2205,'Team Data'!C:AB,17,FALSE),"")</f>
        <v/>
      </c>
      <c r="H2205" t="str">
        <f>IFERROR(VLOOKUP(D2205,'Team Data'!C:AB,7,FALSE),"")</f>
        <v/>
      </c>
      <c r="I2205" t="str">
        <f>IFERROR(VLOOKUP(D2205,'Team Data'!C:AB,14,FALSE),"")</f>
        <v/>
      </c>
      <c r="J2205" t="str">
        <f>IFERROR(VLOOKUP(D2205,'Team Data'!C:AB,8,FALSE),"")</f>
        <v/>
      </c>
      <c r="K2205" t="str">
        <f>IFERROR(VLOOKUP(D2205,'Team Data'!C:AB,9,FALSE),"")</f>
        <v/>
      </c>
      <c r="L2205" t="str">
        <f>IFERROR(VLOOKUP(D2205,'Team Data'!C:AB,10,FALSE),"")</f>
        <v/>
      </c>
      <c r="M2205" t="str">
        <f t="shared" si="70"/>
        <v/>
      </c>
      <c r="N2205" t="str">
        <f>IFERROR(VLOOKUP(D2205,'Team Data'!C:AB,23,FALSE),"")</f>
        <v/>
      </c>
      <c r="O2205" t="str">
        <f>IFERROR(VLOOKUP(D2205,'Team Data'!C:AB,22,FALSE),"")</f>
        <v/>
      </c>
      <c r="P2205" t="str">
        <f t="shared" si="71"/>
        <v/>
      </c>
      <c r="Q2205" t="str">
        <f>IFERROR(VLOOKUP(D2205,'Team Data'!C:AB,15,FALSE),"")</f>
        <v/>
      </c>
      <c r="R2205" t="str">
        <f>IFERROR(VLOOKUP('OB Format'!D2205,'Team Data'!C:AB,24,FALSE),"")</f>
        <v/>
      </c>
      <c r="S2205" t="str">
        <f>IFERROR(VLOOKUP('OB Format'!D2205,'Team Data'!C:AC,25,FALSE),"")</f>
        <v/>
      </c>
    </row>
    <row r="2206" spans="5:19" x14ac:dyDescent="0.25">
      <c r="E2206" t="str">
        <f>IFERROR(VLOOKUP(D2206,'Team Data'!C:AB,4,FALSE),"")</f>
        <v/>
      </c>
      <c r="F2206" t="str">
        <f>IFERROR(VLOOKUP(D2206,'Team Data'!C:AB,5,FALSE),"")</f>
        <v/>
      </c>
      <c r="G2206" t="str">
        <f>IFERROR(VLOOKUP('OB Format'!D2206,'Team Data'!C:AB,17,FALSE),"")</f>
        <v/>
      </c>
      <c r="H2206" t="str">
        <f>IFERROR(VLOOKUP(D2206,'Team Data'!C:AB,7,FALSE),"")</f>
        <v/>
      </c>
      <c r="I2206" t="str">
        <f>IFERROR(VLOOKUP(D2206,'Team Data'!C:AB,14,FALSE),"")</f>
        <v/>
      </c>
      <c r="J2206" t="str">
        <f>IFERROR(VLOOKUP(D2206,'Team Data'!C:AB,8,FALSE),"")</f>
        <v/>
      </c>
      <c r="K2206" t="str">
        <f>IFERROR(VLOOKUP(D2206,'Team Data'!C:AB,9,FALSE),"")</f>
        <v/>
      </c>
      <c r="L2206" t="str">
        <f>IFERROR(VLOOKUP(D2206,'Team Data'!C:AB,10,FALSE),"")</f>
        <v/>
      </c>
      <c r="M2206" t="str">
        <f t="shared" si="70"/>
        <v/>
      </c>
      <c r="N2206" t="str">
        <f>IFERROR(VLOOKUP(D2206,'Team Data'!C:AB,23,FALSE),"")</f>
        <v/>
      </c>
      <c r="O2206" t="str">
        <f>IFERROR(VLOOKUP(D2206,'Team Data'!C:AB,22,FALSE),"")</f>
        <v/>
      </c>
      <c r="P2206" t="str">
        <f t="shared" si="71"/>
        <v/>
      </c>
      <c r="Q2206" t="str">
        <f>IFERROR(VLOOKUP(D2206,'Team Data'!C:AB,15,FALSE),"")</f>
        <v/>
      </c>
      <c r="R2206" t="str">
        <f>IFERROR(VLOOKUP('OB Format'!D2206,'Team Data'!C:AB,24,FALSE),"")</f>
        <v/>
      </c>
      <c r="S2206" t="str">
        <f>IFERROR(VLOOKUP('OB Format'!D2206,'Team Data'!C:AC,25,FALSE),"")</f>
        <v/>
      </c>
    </row>
    <row r="2207" spans="5:19" x14ac:dyDescent="0.25">
      <c r="E2207" t="str">
        <f>IFERROR(VLOOKUP(D2207,'Team Data'!C:AB,4,FALSE),"")</f>
        <v/>
      </c>
      <c r="F2207" t="str">
        <f>IFERROR(VLOOKUP(D2207,'Team Data'!C:AB,5,FALSE),"")</f>
        <v/>
      </c>
      <c r="G2207" t="str">
        <f>IFERROR(VLOOKUP('OB Format'!D2207,'Team Data'!C:AB,17,FALSE),"")</f>
        <v/>
      </c>
      <c r="H2207" t="str">
        <f>IFERROR(VLOOKUP(D2207,'Team Data'!C:AB,7,FALSE),"")</f>
        <v/>
      </c>
      <c r="I2207" t="str">
        <f>IFERROR(VLOOKUP(D2207,'Team Data'!C:AB,14,FALSE),"")</f>
        <v/>
      </c>
      <c r="J2207" t="str">
        <f>IFERROR(VLOOKUP(D2207,'Team Data'!C:AB,8,FALSE),"")</f>
        <v/>
      </c>
      <c r="K2207" t="str">
        <f>IFERROR(VLOOKUP(D2207,'Team Data'!C:AB,9,FALSE),"")</f>
        <v/>
      </c>
      <c r="L2207" t="str">
        <f>IFERROR(VLOOKUP(D2207,'Team Data'!C:AB,10,FALSE),"")</f>
        <v/>
      </c>
      <c r="M2207" t="str">
        <f t="shared" si="70"/>
        <v/>
      </c>
      <c r="N2207" t="str">
        <f>IFERROR(VLOOKUP(D2207,'Team Data'!C:AB,23,FALSE),"")</f>
        <v/>
      </c>
      <c r="O2207" t="str">
        <f>IFERROR(VLOOKUP(D2207,'Team Data'!C:AB,22,FALSE),"")</f>
        <v/>
      </c>
      <c r="P2207" t="str">
        <f t="shared" si="71"/>
        <v/>
      </c>
      <c r="Q2207" t="str">
        <f>IFERROR(VLOOKUP(D2207,'Team Data'!C:AB,15,FALSE),"")</f>
        <v/>
      </c>
      <c r="R2207" t="str">
        <f>IFERROR(VLOOKUP('OB Format'!D2207,'Team Data'!C:AB,24,FALSE),"")</f>
        <v/>
      </c>
      <c r="S2207" t="str">
        <f>IFERROR(VLOOKUP('OB Format'!D2207,'Team Data'!C:AC,25,FALSE),"")</f>
        <v/>
      </c>
    </row>
    <row r="2208" spans="5:19" x14ac:dyDescent="0.25">
      <c r="E2208" t="str">
        <f>IFERROR(VLOOKUP(D2208,'Team Data'!C:AB,4,FALSE),"")</f>
        <v/>
      </c>
      <c r="F2208" t="str">
        <f>IFERROR(VLOOKUP(D2208,'Team Data'!C:AB,5,FALSE),"")</f>
        <v/>
      </c>
      <c r="G2208" t="str">
        <f>IFERROR(VLOOKUP('OB Format'!D2208,'Team Data'!C:AB,17,FALSE),"")</f>
        <v/>
      </c>
      <c r="H2208" t="str">
        <f>IFERROR(VLOOKUP(D2208,'Team Data'!C:AB,7,FALSE),"")</f>
        <v/>
      </c>
      <c r="I2208" t="str">
        <f>IFERROR(VLOOKUP(D2208,'Team Data'!C:AB,14,FALSE),"")</f>
        <v/>
      </c>
      <c r="J2208" t="str">
        <f>IFERROR(VLOOKUP(D2208,'Team Data'!C:AB,8,FALSE),"")</f>
        <v/>
      </c>
      <c r="K2208" t="str">
        <f>IFERROR(VLOOKUP(D2208,'Team Data'!C:AB,9,FALSE),"")</f>
        <v/>
      </c>
      <c r="L2208" t="str">
        <f>IFERROR(VLOOKUP(D2208,'Team Data'!C:AB,10,FALSE),"")</f>
        <v/>
      </c>
      <c r="M2208" t="str">
        <f t="shared" si="70"/>
        <v/>
      </c>
      <c r="N2208" t="str">
        <f>IFERROR(VLOOKUP(D2208,'Team Data'!C:AB,23,FALSE),"")</f>
        <v/>
      </c>
      <c r="O2208" t="str">
        <f>IFERROR(VLOOKUP(D2208,'Team Data'!C:AB,22,FALSE),"")</f>
        <v/>
      </c>
      <c r="P2208" t="str">
        <f t="shared" si="71"/>
        <v/>
      </c>
      <c r="Q2208" t="str">
        <f>IFERROR(VLOOKUP(D2208,'Team Data'!C:AB,15,FALSE),"")</f>
        <v/>
      </c>
      <c r="R2208" t="str">
        <f>IFERROR(VLOOKUP('OB Format'!D2208,'Team Data'!C:AB,24,FALSE),"")</f>
        <v/>
      </c>
      <c r="S2208" t="str">
        <f>IFERROR(VLOOKUP('OB Format'!D2208,'Team Data'!C:AC,25,FALSE),"")</f>
        <v/>
      </c>
    </row>
    <row r="2209" spans="5:19" x14ac:dyDescent="0.25">
      <c r="E2209" t="str">
        <f>IFERROR(VLOOKUP(D2209,'Team Data'!C:AB,4,FALSE),"")</f>
        <v/>
      </c>
      <c r="F2209" t="str">
        <f>IFERROR(VLOOKUP(D2209,'Team Data'!C:AB,5,FALSE),"")</f>
        <v/>
      </c>
      <c r="G2209" t="str">
        <f>IFERROR(VLOOKUP('OB Format'!D2209,'Team Data'!C:AB,17,FALSE),"")</f>
        <v/>
      </c>
      <c r="H2209" t="str">
        <f>IFERROR(VLOOKUP(D2209,'Team Data'!C:AB,7,FALSE),"")</f>
        <v/>
      </c>
      <c r="I2209" t="str">
        <f>IFERROR(VLOOKUP(D2209,'Team Data'!C:AB,14,FALSE),"")</f>
        <v/>
      </c>
      <c r="J2209" t="str">
        <f>IFERROR(VLOOKUP(D2209,'Team Data'!C:AB,8,FALSE),"")</f>
        <v/>
      </c>
      <c r="K2209" t="str">
        <f>IFERROR(VLOOKUP(D2209,'Team Data'!C:AB,9,FALSE),"")</f>
        <v/>
      </c>
      <c r="L2209" t="str">
        <f>IFERROR(VLOOKUP(D2209,'Team Data'!C:AB,10,FALSE),"")</f>
        <v/>
      </c>
      <c r="M2209" t="str">
        <f t="shared" si="70"/>
        <v/>
      </c>
      <c r="N2209" t="str">
        <f>IFERROR(VLOOKUP(D2209,'Team Data'!C:AB,23,FALSE),"")</f>
        <v/>
      </c>
      <c r="O2209" t="str">
        <f>IFERROR(VLOOKUP(D2209,'Team Data'!C:AB,22,FALSE),"")</f>
        <v/>
      </c>
      <c r="P2209" t="str">
        <f t="shared" si="71"/>
        <v/>
      </c>
      <c r="Q2209" t="str">
        <f>IFERROR(VLOOKUP(D2209,'Team Data'!C:AB,15,FALSE),"")</f>
        <v/>
      </c>
      <c r="R2209" t="str">
        <f>IFERROR(VLOOKUP('OB Format'!D2209,'Team Data'!C:AB,24,FALSE),"")</f>
        <v/>
      </c>
      <c r="S2209" t="str">
        <f>IFERROR(VLOOKUP('OB Format'!D2209,'Team Data'!C:AC,25,FALSE),"")</f>
        <v/>
      </c>
    </row>
    <row r="2210" spans="5:19" x14ac:dyDescent="0.25">
      <c r="E2210" t="str">
        <f>IFERROR(VLOOKUP(D2210,'Team Data'!C:AB,4,FALSE),"")</f>
        <v/>
      </c>
      <c r="F2210" t="str">
        <f>IFERROR(VLOOKUP(D2210,'Team Data'!C:AB,5,FALSE),"")</f>
        <v/>
      </c>
      <c r="G2210" t="str">
        <f>IFERROR(VLOOKUP('OB Format'!D2210,'Team Data'!C:AB,17,FALSE),"")</f>
        <v/>
      </c>
      <c r="H2210" t="str">
        <f>IFERROR(VLOOKUP(D2210,'Team Data'!C:AB,7,FALSE),"")</f>
        <v/>
      </c>
      <c r="I2210" t="str">
        <f>IFERROR(VLOOKUP(D2210,'Team Data'!C:AB,14,FALSE),"")</f>
        <v/>
      </c>
      <c r="J2210" t="str">
        <f>IFERROR(VLOOKUP(D2210,'Team Data'!C:AB,8,FALSE),"")</f>
        <v/>
      </c>
      <c r="K2210" t="str">
        <f>IFERROR(VLOOKUP(D2210,'Team Data'!C:AB,9,FALSE),"")</f>
        <v/>
      </c>
      <c r="L2210" t="str">
        <f>IFERROR(VLOOKUP(D2210,'Team Data'!C:AB,10,FALSE),"")</f>
        <v/>
      </c>
      <c r="M2210" t="str">
        <f t="shared" si="70"/>
        <v/>
      </c>
      <c r="N2210" t="str">
        <f>IFERROR(VLOOKUP(D2210,'Team Data'!C:AB,23,FALSE),"")</f>
        <v/>
      </c>
      <c r="O2210" t="str">
        <f>IFERROR(VLOOKUP(D2210,'Team Data'!C:AB,22,FALSE),"")</f>
        <v/>
      </c>
      <c r="P2210" t="str">
        <f t="shared" si="71"/>
        <v/>
      </c>
      <c r="Q2210" t="str">
        <f>IFERROR(VLOOKUP(D2210,'Team Data'!C:AB,15,FALSE),"")</f>
        <v/>
      </c>
      <c r="R2210" t="str">
        <f>IFERROR(VLOOKUP('OB Format'!D2210,'Team Data'!C:AB,24,FALSE),"")</f>
        <v/>
      </c>
      <c r="S2210" t="str">
        <f>IFERROR(VLOOKUP('OB Format'!D2210,'Team Data'!C:AC,25,FALSE),"")</f>
        <v/>
      </c>
    </row>
    <row r="2211" spans="5:19" x14ac:dyDescent="0.25">
      <c r="E2211" t="str">
        <f>IFERROR(VLOOKUP(D2211,'Team Data'!C:AB,4,FALSE),"")</f>
        <v/>
      </c>
      <c r="F2211" t="str">
        <f>IFERROR(VLOOKUP(D2211,'Team Data'!C:AB,5,FALSE),"")</f>
        <v/>
      </c>
      <c r="G2211" t="str">
        <f>IFERROR(VLOOKUP('OB Format'!D2211,'Team Data'!C:AB,17,FALSE),"")</f>
        <v/>
      </c>
      <c r="H2211" t="str">
        <f>IFERROR(VLOOKUP(D2211,'Team Data'!C:AB,7,FALSE),"")</f>
        <v/>
      </c>
      <c r="I2211" t="str">
        <f>IFERROR(VLOOKUP(D2211,'Team Data'!C:AB,14,FALSE),"")</f>
        <v/>
      </c>
      <c r="J2211" t="str">
        <f>IFERROR(VLOOKUP(D2211,'Team Data'!C:AB,8,FALSE),"")</f>
        <v/>
      </c>
      <c r="K2211" t="str">
        <f>IFERROR(VLOOKUP(D2211,'Team Data'!C:AB,9,FALSE),"")</f>
        <v/>
      </c>
      <c r="L2211" t="str">
        <f>IFERROR(VLOOKUP(D2211,'Team Data'!C:AB,10,FALSE),"")</f>
        <v/>
      </c>
      <c r="M2211" t="str">
        <f t="shared" si="70"/>
        <v/>
      </c>
      <c r="N2211" t="str">
        <f>IFERROR(VLOOKUP(D2211,'Team Data'!C:AB,23,FALSE),"")</f>
        <v/>
      </c>
      <c r="O2211" t="str">
        <f>IFERROR(VLOOKUP(D2211,'Team Data'!C:AB,22,FALSE),"")</f>
        <v/>
      </c>
      <c r="P2211" t="str">
        <f t="shared" si="71"/>
        <v/>
      </c>
      <c r="Q2211" t="str">
        <f>IFERROR(VLOOKUP(D2211,'Team Data'!C:AB,15,FALSE),"")</f>
        <v/>
      </c>
      <c r="R2211" t="str">
        <f>IFERROR(VLOOKUP('OB Format'!D2211,'Team Data'!C:AB,24,FALSE),"")</f>
        <v/>
      </c>
      <c r="S2211" t="str">
        <f>IFERROR(VLOOKUP('OB Format'!D2211,'Team Data'!C:AC,25,FALSE),"")</f>
        <v/>
      </c>
    </row>
    <row r="2212" spans="5:19" x14ac:dyDescent="0.25">
      <c r="E2212" t="str">
        <f>IFERROR(VLOOKUP(D2212,'Team Data'!C:AB,4,FALSE),"")</f>
        <v/>
      </c>
      <c r="F2212" t="str">
        <f>IFERROR(VLOOKUP(D2212,'Team Data'!C:AB,5,FALSE),"")</f>
        <v/>
      </c>
      <c r="G2212" t="str">
        <f>IFERROR(VLOOKUP('OB Format'!D2212,'Team Data'!C:AB,17,FALSE),"")</f>
        <v/>
      </c>
      <c r="H2212" t="str">
        <f>IFERROR(VLOOKUP(D2212,'Team Data'!C:AB,7,FALSE),"")</f>
        <v/>
      </c>
      <c r="I2212" t="str">
        <f>IFERROR(VLOOKUP(D2212,'Team Data'!C:AB,14,FALSE),"")</f>
        <v/>
      </c>
      <c r="J2212" t="str">
        <f>IFERROR(VLOOKUP(D2212,'Team Data'!C:AB,8,FALSE),"")</f>
        <v/>
      </c>
      <c r="K2212" t="str">
        <f>IFERROR(VLOOKUP(D2212,'Team Data'!C:AB,9,FALSE),"")</f>
        <v/>
      </c>
      <c r="L2212" t="str">
        <f>IFERROR(VLOOKUP(D2212,'Team Data'!C:AB,10,FALSE),"")</f>
        <v/>
      </c>
      <c r="M2212" t="str">
        <f t="shared" si="70"/>
        <v/>
      </c>
      <c r="N2212" t="str">
        <f>IFERROR(VLOOKUP(D2212,'Team Data'!C:AB,23,FALSE),"")</f>
        <v/>
      </c>
      <c r="O2212" t="str">
        <f>IFERROR(VLOOKUP(D2212,'Team Data'!C:AB,22,FALSE),"")</f>
        <v/>
      </c>
      <c r="P2212" t="str">
        <f t="shared" si="71"/>
        <v/>
      </c>
      <c r="Q2212" t="str">
        <f>IFERROR(VLOOKUP(D2212,'Team Data'!C:AB,15,FALSE),"")</f>
        <v/>
      </c>
      <c r="R2212" t="str">
        <f>IFERROR(VLOOKUP('OB Format'!D2212,'Team Data'!C:AB,24,FALSE),"")</f>
        <v/>
      </c>
      <c r="S2212" t="str">
        <f>IFERROR(VLOOKUP('OB Format'!D2212,'Team Data'!C:AC,25,FALSE),"")</f>
        <v/>
      </c>
    </row>
    <row r="2213" spans="5:19" x14ac:dyDescent="0.25">
      <c r="E2213" t="str">
        <f>IFERROR(VLOOKUP(D2213,'Team Data'!C:AB,4,FALSE),"")</f>
        <v/>
      </c>
      <c r="F2213" t="str">
        <f>IFERROR(VLOOKUP(D2213,'Team Data'!C:AB,5,FALSE),"")</f>
        <v/>
      </c>
      <c r="G2213" t="str">
        <f>IFERROR(VLOOKUP('OB Format'!D2213,'Team Data'!C:AB,17,FALSE),"")</f>
        <v/>
      </c>
      <c r="H2213" t="str">
        <f>IFERROR(VLOOKUP(D2213,'Team Data'!C:AB,7,FALSE),"")</f>
        <v/>
      </c>
      <c r="I2213" t="str">
        <f>IFERROR(VLOOKUP(D2213,'Team Data'!C:AB,14,FALSE),"")</f>
        <v/>
      </c>
      <c r="J2213" t="str">
        <f>IFERROR(VLOOKUP(D2213,'Team Data'!C:AB,8,FALSE),"")</f>
        <v/>
      </c>
      <c r="K2213" t="str">
        <f>IFERROR(VLOOKUP(D2213,'Team Data'!C:AB,9,FALSE),"")</f>
        <v/>
      </c>
      <c r="L2213" t="str">
        <f>IFERROR(VLOOKUP(D2213,'Team Data'!C:AB,10,FALSE),"")</f>
        <v/>
      </c>
      <c r="M2213" t="str">
        <f t="shared" si="70"/>
        <v/>
      </c>
      <c r="N2213" t="str">
        <f>IFERROR(VLOOKUP(D2213,'Team Data'!C:AB,23,FALSE),"")</f>
        <v/>
      </c>
      <c r="O2213" t="str">
        <f>IFERROR(VLOOKUP(D2213,'Team Data'!C:AB,22,FALSE),"")</f>
        <v/>
      </c>
      <c r="P2213" t="str">
        <f t="shared" si="71"/>
        <v/>
      </c>
      <c r="Q2213" t="str">
        <f>IFERROR(VLOOKUP(D2213,'Team Data'!C:AB,15,FALSE),"")</f>
        <v/>
      </c>
      <c r="R2213" t="str">
        <f>IFERROR(VLOOKUP('OB Format'!D2213,'Team Data'!C:AB,24,FALSE),"")</f>
        <v/>
      </c>
      <c r="S2213" t="str">
        <f>IFERROR(VLOOKUP('OB Format'!D2213,'Team Data'!C:AC,25,FALSE),"")</f>
        <v/>
      </c>
    </row>
    <row r="2214" spans="5:19" x14ac:dyDescent="0.25">
      <c r="E2214" t="str">
        <f>IFERROR(VLOOKUP(D2214,'Team Data'!C:AB,4,FALSE),"")</f>
        <v/>
      </c>
      <c r="F2214" t="str">
        <f>IFERROR(VLOOKUP(D2214,'Team Data'!C:AB,5,FALSE),"")</f>
        <v/>
      </c>
      <c r="G2214" t="str">
        <f>IFERROR(VLOOKUP('OB Format'!D2214,'Team Data'!C:AB,17,FALSE),"")</f>
        <v/>
      </c>
      <c r="H2214" t="str">
        <f>IFERROR(VLOOKUP(D2214,'Team Data'!C:AB,7,FALSE),"")</f>
        <v/>
      </c>
      <c r="I2214" t="str">
        <f>IFERROR(VLOOKUP(D2214,'Team Data'!C:AB,14,FALSE),"")</f>
        <v/>
      </c>
      <c r="J2214" t="str">
        <f>IFERROR(VLOOKUP(D2214,'Team Data'!C:AB,8,FALSE),"")</f>
        <v/>
      </c>
      <c r="K2214" t="str">
        <f>IFERROR(VLOOKUP(D2214,'Team Data'!C:AB,9,FALSE),"")</f>
        <v/>
      </c>
      <c r="L2214" t="str">
        <f>IFERROR(VLOOKUP(D2214,'Team Data'!C:AB,10,FALSE),"")</f>
        <v/>
      </c>
      <c r="M2214" t="str">
        <f t="shared" si="70"/>
        <v/>
      </c>
      <c r="N2214" t="str">
        <f>IFERROR(VLOOKUP(D2214,'Team Data'!C:AB,23,FALSE),"")</f>
        <v/>
      </c>
      <c r="O2214" t="str">
        <f>IFERROR(VLOOKUP(D2214,'Team Data'!C:AB,22,FALSE),"")</f>
        <v/>
      </c>
      <c r="P2214" t="str">
        <f t="shared" si="71"/>
        <v/>
      </c>
      <c r="Q2214" t="str">
        <f>IFERROR(VLOOKUP(D2214,'Team Data'!C:AB,15,FALSE),"")</f>
        <v/>
      </c>
      <c r="R2214" t="str">
        <f>IFERROR(VLOOKUP('OB Format'!D2214,'Team Data'!C:AB,24,FALSE),"")</f>
        <v/>
      </c>
      <c r="S2214" t="str">
        <f>IFERROR(VLOOKUP('OB Format'!D2214,'Team Data'!C:AC,25,FALSE),"")</f>
        <v/>
      </c>
    </row>
    <row r="2215" spans="5:19" x14ac:dyDescent="0.25">
      <c r="E2215" t="str">
        <f>IFERROR(VLOOKUP(D2215,'Team Data'!C:AB,4,FALSE),"")</f>
        <v/>
      </c>
      <c r="F2215" t="str">
        <f>IFERROR(VLOOKUP(D2215,'Team Data'!C:AB,5,FALSE),"")</f>
        <v/>
      </c>
      <c r="G2215" t="str">
        <f>IFERROR(VLOOKUP('OB Format'!D2215,'Team Data'!C:AB,17,FALSE),"")</f>
        <v/>
      </c>
      <c r="H2215" t="str">
        <f>IFERROR(VLOOKUP(D2215,'Team Data'!C:AB,7,FALSE),"")</f>
        <v/>
      </c>
      <c r="I2215" t="str">
        <f>IFERROR(VLOOKUP(D2215,'Team Data'!C:AB,14,FALSE),"")</f>
        <v/>
      </c>
      <c r="J2215" t="str">
        <f>IFERROR(VLOOKUP(D2215,'Team Data'!C:AB,8,FALSE),"")</f>
        <v/>
      </c>
      <c r="K2215" t="str">
        <f>IFERROR(VLOOKUP(D2215,'Team Data'!C:AB,9,FALSE),"")</f>
        <v/>
      </c>
      <c r="L2215" t="str">
        <f>IFERROR(VLOOKUP(D2215,'Team Data'!C:AB,10,FALSE),"")</f>
        <v/>
      </c>
      <c r="M2215" t="str">
        <f t="shared" si="70"/>
        <v/>
      </c>
      <c r="N2215" t="str">
        <f>IFERROR(VLOOKUP(D2215,'Team Data'!C:AB,23,FALSE),"")</f>
        <v/>
      </c>
      <c r="O2215" t="str">
        <f>IFERROR(VLOOKUP(D2215,'Team Data'!C:AB,22,FALSE),"")</f>
        <v/>
      </c>
      <c r="P2215" t="str">
        <f t="shared" si="71"/>
        <v/>
      </c>
      <c r="Q2215" t="str">
        <f>IFERROR(VLOOKUP(D2215,'Team Data'!C:AB,15,FALSE),"")</f>
        <v/>
      </c>
      <c r="R2215" t="str">
        <f>IFERROR(VLOOKUP('OB Format'!D2215,'Team Data'!C:AB,24,FALSE),"")</f>
        <v/>
      </c>
      <c r="S2215" t="str">
        <f>IFERROR(VLOOKUP('OB Format'!D2215,'Team Data'!C:AC,25,FALSE),"")</f>
        <v/>
      </c>
    </row>
    <row r="2216" spans="5:19" x14ac:dyDescent="0.25">
      <c r="E2216" t="str">
        <f>IFERROR(VLOOKUP(D2216,'Team Data'!C:AB,4,FALSE),"")</f>
        <v/>
      </c>
      <c r="F2216" t="str">
        <f>IFERROR(VLOOKUP(D2216,'Team Data'!C:AB,5,FALSE),"")</f>
        <v/>
      </c>
      <c r="G2216" t="str">
        <f>IFERROR(VLOOKUP('OB Format'!D2216,'Team Data'!C:AB,17,FALSE),"")</f>
        <v/>
      </c>
      <c r="H2216" t="str">
        <f>IFERROR(VLOOKUP(D2216,'Team Data'!C:AB,7,FALSE),"")</f>
        <v/>
      </c>
      <c r="I2216" t="str">
        <f>IFERROR(VLOOKUP(D2216,'Team Data'!C:AB,14,FALSE),"")</f>
        <v/>
      </c>
      <c r="J2216" t="str">
        <f>IFERROR(VLOOKUP(D2216,'Team Data'!C:AB,8,FALSE),"")</f>
        <v/>
      </c>
      <c r="K2216" t="str">
        <f>IFERROR(VLOOKUP(D2216,'Team Data'!C:AB,9,FALSE),"")</f>
        <v/>
      </c>
      <c r="L2216" t="str">
        <f>IFERROR(VLOOKUP(D2216,'Team Data'!C:AB,10,FALSE),"")</f>
        <v/>
      </c>
      <c r="M2216" t="str">
        <f t="shared" si="70"/>
        <v/>
      </c>
      <c r="N2216" t="str">
        <f>IFERROR(VLOOKUP(D2216,'Team Data'!C:AB,23,FALSE),"")</f>
        <v/>
      </c>
      <c r="O2216" t="str">
        <f>IFERROR(VLOOKUP(D2216,'Team Data'!C:AB,22,FALSE),"")</f>
        <v/>
      </c>
      <c r="P2216" t="str">
        <f t="shared" si="71"/>
        <v/>
      </c>
      <c r="Q2216" t="str">
        <f>IFERROR(VLOOKUP(D2216,'Team Data'!C:AB,15,FALSE),"")</f>
        <v/>
      </c>
      <c r="R2216" t="str">
        <f>IFERROR(VLOOKUP('OB Format'!D2216,'Team Data'!C:AB,24,FALSE),"")</f>
        <v/>
      </c>
      <c r="S2216" t="str">
        <f>IFERROR(VLOOKUP('OB Format'!D2216,'Team Data'!C:AC,25,FALSE),"")</f>
        <v/>
      </c>
    </row>
    <row r="2217" spans="5:19" x14ac:dyDescent="0.25">
      <c r="E2217" t="str">
        <f>IFERROR(VLOOKUP(D2217,'Team Data'!C:AB,4,FALSE),"")</f>
        <v/>
      </c>
      <c r="F2217" t="str">
        <f>IFERROR(VLOOKUP(D2217,'Team Data'!C:AB,5,FALSE),"")</f>
        <v/>
      </c>
      <c r="G2217" t="str">
        <f>IFERROR(VLOOKUP('OB Format'!D2217,'Team Data'!C:AB,17,FALSE),"")</f>
        <v/>
      </c>
      <c r="H2217" t="str">
        <f>IFERROR(VLOOKUP(D2217,'Team Data'!C:AB,7,FALSE),"")</f>
        <v/>
      </c>
      <c r="I2217" t="str">
        <f>IFERROR(VLOOKUP(D2217,'Team Data'!C:AB,14,FALSE),"")</f>
        <v/>
      </c>
      <c r="J2217" t="str">
        <f>IFERROR(VLOOKUP(D2217,'Team Data'!C:AB,8,FALSE),"")</f>
        <v/>
      </c>
      <c r="K2217" t="str">
        <f>IFERROR(VLOOKUP(D2217,'Team Data'!C:AB,9,FALSE),"")</f>
        <v/>
      </c>
      <c r="L2217" t="str">
        <f>IFERROR(VLOOKUP(D2217,'Team Data'!C:AB,10,FALSE),"")</f>
        <v/>
      </c>
      <c r="M2217" t="str">
        <f t="shared" si="70"/>
        <v/>
      </c>
      <c r="N2217" t="str">
        <f>IFERROR(VLOOKUP(D2217,'Team Data'!C:AB,23,FALSE),"")</f>
        <v/>
      </c>
      <c r="O2217" t="str">
        <f>IFERROR(VLOOKUP(D2217,'Team Data'!C:AB,22,FALSE),"")</f>
        <v/>
      </c>
      <c r="P2217" t="str">
        <f t="shared" si="71"/>
        <v/>
      </c>
      <c r="Q2217" t="str">
        <f>IFERROR(VLOOKUP(D2217,'Team Data'!C:AB,15,FALSE),"")</f>
        <v/>
      </c>
      <c r="R2217" t="str">
        <f>IFERROR(VLOOKUP('OB Format'!D2217,'Team Data'!C:AB,24,FALSE),"")</f>
        <v/>
      </c>
      <c r="S2217" t="str">
        <f>IFERROR(VLOOKUP('OB Format'!D2217,'Team Data'!C:AC,25,FALSE),"")</f>
        <v/>
      </c>
    </row>
    <row r="2218" spans="5:19" x14ac:dyDescent="0.25">
      <c r="E2218" t="str">
        <f>IFERROR(VLOOKUP(D2218,'Team Data'!C:AB,4,FALSE),"")</f>
        <v/>
      </c>
      <c r="F2218" t="str">
        <f>IFERROR(VLOOKUP(D2218,'Team Data'!C:AB,5,FALSE),"")</f>
        <v/>
      </c>
      <c r="G2218" t="str">
        <f>IFERROR(VLOOKUP('OB Format'!D2218,'Team Data'!C:AB,17,FALSE),"")</f>
        <v/>
      </c>
      <c r="H2218" t="str">
        <f>IFERROR(VLOOKUP(D2218,'Team Data'!C:AB,7,FALSE),"")</f>
        <v/>
      </c>
      <c r="I2218" t="str">
        <f>IFERROR(VLOOKUP(D2218,'Team Data'!C:AB,14,FALSE),"")</f>
        <v/>
      </c>
      <c r="J2218" t="str">
        <f>IFERROR(VLOOKUP(D2218,'Team Data'!C:AB,8,FALSE),"")</f>
        <v/>
      </c>
      <c r="K2218" t="str">
        <f>IFERROR(VLOOKUP(D2218,'Team Data'!C:AB,9,FALSE),"")</f>
        <v/>
      </c>
      <c r="L2218" t="str">
        <f>IFERROR(VLOOKUP(D2218,'Team Data'!C:AB,10,FALSE),"")</f>
        <v/>
      </c>
      <c r="M2218" t="str">
        <f t="shared" si="70"/>
        <v/>
      </c>
      <c r="N2218" t="str">
        <f>IFERROR(VLOOKUP(D2218,'Team Data'!C:AB,23,FALSE),"")</f>
        <v/>
      </c>
      <c r="O2218" t="str">
        <f>IFERROR(VLOOKUP(D2218,'Team Data'!C:AB,22,FALSE),"")</f>
        <v/>
      </c>
      <c r="P2218" t="str">
        <f t="shared" si="71"/>
        <v/>
      </c>
      <c r="Q2218" t="str">
        <f>IFERROR(VLOOKUP(D2218,'Team Data'!C:AB,15,FALSE),"")</f>
        <v/>
      </c>
      <c r="R2218" t="str">
        <f>IFERROR(VLOOKUP('OB Format'!D2218,'Team Data'!C:AB,24,FALSE),"")</f>
        <v/>
      </c>
      <c r="S2218" t="str">
        <f>IFERROR(VLOOKUP('OB Format'!D2218,'Team Data'!C:AC,25,FALSE),"")</f>
        <v/>
      </c>
    </row>
    <row r="2219" spans="5:19" x14ac:dyDescent="0.25">
      <c r="E2219" t="str">
        <f>IFERROR(VLOOKUP(D2219,'Team Data'!C:AB,4,FALSE),"")</f>
        <v/>
      </c>
      <c r="F2219" t="str">
        <f>IFERROR(VLOOKUP(D2219,'Team Data'!C:AB,5,FALSE),"")</f>
        <v/>
      </c>
      <c r="G2219" t="str">
        <f>IFERROR(VLOOKUP('OB Format'!D2219,'Team Data'!C:AB,17,FALSE),"")</f>
        <v/>
      </c>
      <c r="H2219" t="str">
        <f>IFERROR(VLOOKUP(D2219,'Team Data'!C:AB,7,FALSE),"")</f>
        <v/>
      </c>
      <c r="I2219" t="str">
        <f>IFERROR(VLOOKUP(D2219,'Team Data'!C:AB,14,FALSE),"")</f>
        <v/>
      </c>
      <c r="J2219" t="str">
        <f>IFERROR(VLOOKUP(D2219,'Team Data'!C:AB,8,FALSE),"")</f>
        <v/>
      </c>
      <c r="K2219" t="str">
        <f>IFERROR(VLOOKUP(D2219,'Team Data'!C:AB,9,FALSE),"")</f>
        <v/>
      </c>
      <c r="L2219" t="str">
        <f>IFERROR(VLOOKUP(D2219,'Team Data'!C:AB,10,FALSE),"")</f>
        <v/>
      </c>
      <c r="M2219" t="str">
        <f t="shared" si="70"/>
        <v/>
      </c>
      <c r="N2219" t="str">
        <f>IFERROR(VLOOKUP(D2219,'Team Data'!C:AB,23,FALSE),"")</f>
        <v/>
      </c>
      <c r="O2219" t="str">
        <f>IFERROR(VLOOKUP(D2219,'Team Data'!C:AB,22,FALSE),"")</f>
        <v/>
      </c>
      <c r="P2219" t="str">
        <f t="shared" si="71"/>
        <v/>
      </c>
      <c r="Q2219" t="str">
        <f>IFERROR(VLOOKUP(D2219,'Team Data'!C:AB,15,FALSE),"")</f>
        <v/>
      </c>
      <c r="R2219" t="str">
        <f>IFERROR(VLOOKUP('OB Format'!D2219,'Team Data'!C:AB,24,FALSE),"")</f>
        <v/>
      </c>
      <c r="S2219" t="str">
        <f>IFERROR(VLOOKUP('OB Format'!D2219,'Team Data'!C:AC,25,FALSE),"")</f>
        <v/>
      </c>
    </row>
    <row r="2220" spans="5:19" x14ac:dyDescent="0.25">
      <c r="E2220" t="str">
        <f>IFERROR(VLOOKUP(D2220,'Team Data'!C:AB,4,FALSE),"")</f>
        <v/>
      </c>
      <c r="F2220" t="str">
        <f>IFERROR(VLOOKUP(D2220,'Team Data'!C:AB,5,FALSE),"")</f>
        <v/>
      </c>
      <c r="G2220" t="str">
        <f>IFERROR(VLOOKUP('OB Format'!D2220,'Team Data'!C:AB,17,FALSE),"")</f>
        <v/>
      </c>
      <c r="H2220" t="str">
        <f>IFERROR(VLOOKUP(D2220,'Team Data'!C:AB,7,FALSE),"")</f>
        <v/>
      </c>
      <c r="I2220" t="str">
        <f>IFERROR(VLOOKUP(D2220,'Team Data'!C:AB,14,FALSE),"")</f>
        <v/>
      </c>
      <c r="J2220" t="str">
        <f>IFERROR(VLOOKUP(D2220,'Team Data'!C:AB,8,FALSE),"")</f>
        <v/>
      </c>
      <c r="K2220" t="str">
        <f>IFERROR(VLOOKUP(D2220,'Team Data'!C:AB,9,FALSE),"")</f>
        <v/>
      </c>
      <c r="L2220" t="str">
        <f>IFERROR(VLOOKUP(D2220,'Team Data'!C:AB,10,FALSE),"")</f>
        <v/>
      </c>
      <c r="M2220" t="str">
        <f t="shared" si="70"/>
        <v/>
      </c>
      <c r="N2220" t="str">
        <f>IFERROR(VLOOKUP(D2220,'Team Data'!C:AB,23,FALSE),"")</f>
        <v/>
      </c>
      <c r="O2220" t="str">
        <f>IFERROR(VLOOKUP(D2220,'Team Data'!C:AB,22,FALSE),"")</f>
        <v/>
      </c>
      <c r="P2220" t="str">
        <f t="shared" si="71"/>
        <v/>
      </c>
      <c r="Q2220" t="str">
        <f>IFERROR(VLOOKUP(D2220,'Team Data'!C:AB,15,FALSE),"")</f>
        <v/>
      </c>
      <c r="R2220" t="str">
        <f>IFERROR(VLOOKUP('OB Format'!D2220,'Team Data'!C:AB,24,FALSE),"")</f>
        <v/>
      </c>
      <c r="S2220" t="str">
        <f>IFERROR(VLOOKUP('OB Format'!D2220,'Team Data'!C:AC,25,FALSE),"")</f>
        <v/>
      </c>
    </row>
    <row r="2221" spans="5:19" x14ac:dyDescent="0.25">
      <c r="E2221" t="str">
        <f>IFERROR(VLOOKUP(D2221,'Team Data'!C:AB,4,FALSE),"")</f>
        <v/>
      </c>
      <c r="F2221" t="str">
        <f>IFERROR(VLOOKUP(D2221,'Team Data'!C:AB,5,FALSE),"")</f>
        <v/>
      </c>
      <c r="G2221" t="str">
        <f>IFERROR(VLOOKUP('OB Format'!D2221,'Team Data'!C:AB,17,FALSE),"")</f>
        <v/>
      </c>
      <c r="H2221" t="str">
        <f>IFERROR(VLOOKUP(D2221,'Team Data'!C:AB,7,FALSE),"")</f>
        <v/>
      </c>
      <c r="I2221" t="str">
        <f>IFERROR(VLOOKUP(D2221,'Team Data'!C:AB,14,FALSE),"")</f>
        <v/>
      </c>
      <c r="J2221" t="str">
        <f>IFERROR(VLOOKUP(D2221,'Team Data'!C:AB,8,FALSE),"")</f>
        <v/>
      </c>
      <c r="K2221" t="str">
        <f>IFERROR(VLOOKUP(D2221,'Team Data'!C:AB,9,FALSE),"")</f>
        <v/>
      </c>
      <c r="L2221" t="str">
        <f>IFERROR(VLOOKUP(D2221,'Team Data'!C:AB,10,FALSE),"")</f>
        <v/>
      </c>
      <c r="M2221" t="str">
        <f t="shared" si="70"/>
        <v/>
      </c>
      <c r="N2221" t="str">
        <f>IFERROR(VLOOKUP(D2221,'Team Data'!C:AB,23,FALSE),"")</f>
        <v/>
      </c>
      <c r="O2221" t="str">
        <f>IFERROR(VLOOKUP(D2221,'Team Data'!C:AB,22,FALSE),"")</f>
        <v/>
      </c>
      <c r="P2221" t="str">
        <f t="shared" si="71"/>
        <v/>
      </c>
      <c r="Q2221" t="str">
        <f>IFERROR(VLOOKUP(D2221,'Team Data'!C:AB,15,FALSE),"")</f>
        <v/>
      </c>
      <c r="R2221" t="str">
        <f>IFERROR(VLOOKUP('OB Format'!D2221,'Team Data'!C:AB,24,FALSE),"")</f>
        <v/>
      </c>
      <c r="S2221" t="str">
        <f>IFERROR(VLOOKUP('OB Format'!D2221,'Team Data'!C:AC,25,FALSE),"")</f>
        <v/>
      </c>
    </row>
    <row r="2222" spans="5:19" x14ac:dyDescent="0.25">
      <c r="E2222" t="str">
        <f>IFERROR(VLOOKUP(D2222,'Team Data'!C:AB,4,FALSE),"")</f>
        <v/>
      </c>
      <c r="F2222" t="str">
        <f>IFERROR(VLOOKUP(D2222,'Team Data'!C:AB,5,FALSE),"")</f>
        <v/>
      </c>
      <c r="G2222" t="str">
        <f>IFERROR(VLOOKUP('OB Format'!D2222,'Team Data'!C:AB,17,FALSE),"")</f>
        <v/>
      </c>
      <c r="H2222" t="str">
        <f>IFERROR(VLOOKUP(D2222,'Team Data'!C:AB,7,FALSE),"")</f>
        <v/>
      </c>
      <c r="I2222" t="str">
        <f>IFERROR(VLOOKUP(D2222,'Team Data'!C:AB,14,FALSE),"")</f>
        <v/>
      </c>
      <c r="J2222" t="str">
        <f>IFERROR(VLOOKUP(D2222,'Team Data'!C:AB,8,FALSE),"")</f>
        <v/>
      </c>
      <c r="K2222" t="str">
        <f>IFERROR(VLOOKUP(D2222,'Team Data'!C:AB,9,FALSE),"")</f>
        <v/>
      </c>
      <c r="L2222" t="str">
        <f>IFERROR(VLOOKUP(D2222,'Team Data'!C:AB,10,FALSE),"")</f>
        <v/>
      </c>
      <c r="M2222" t="str">
        <f t="shared" si="70"/>
        <v/>
      </c>
      <c r="N2222" t="str">
        <f>IFERROR(VLOOKUP(D2222,'Team Data'!C:AB,23,FALSE),"")</f>
        <v/>
      </c>
      <c r="O2222" t="str">
        <f>IFERROR(VLOOKUP(D2222,'Team Data'!C:AB,22,FALSE),"")</f>
        <v/>
      </c>
      <c r="P2222" t="str">
        <f t="shared" si="71"/>
        <v/>
      </c>
      <c r="Q2222" t="str">
        <f>IFERROR(VLOOKUP(D2222,'Team Data'!C:AB,15,FALSE),"")</f>
        <v/>
      </c>
      <c r="R2222" t="str">
        <f>IFERROR(VLOOKUP('OB Format'!D2222,'Team Data'!C:AB,24,FALSE),"")</f>
        <v/>
      </c>
      <c r="S2222" t="str">
        <f>IFERROR(VLOOKUP('OB Format'!D2222,'Team Data'!C:AC,25,FALSE),"")</f>
        <v/>
      </c>
    </row>
    <row r="2223" spans="5:19" x14ac:dyDescent="0.25">
      <c r="E2223" t="str">
        <f>IFERROR(VLOOKUP(D2223,'Team Data'!C:AB,4,FALSE),"")</f>
        <v/>
      </c>
      <c r="F2223" t="str">
        <f>IFERROR(VLOOKUP(D2223,'Team Data'!C:AB,5,FALSE),"")</f>
        <v/>
      </c>
      <c r="G2223" t="str">
        <f>IFERROR(VLOOKUP('OB Format'!D2223,'Team Data'!C:AB,17,FALSE),"")</f>
        <v/>
      </c>
      <c r="H2223" t="str">
        <f>IFERROR(VLOOKUP(D2223,'Team Data'!C:AB,7,FALSE),"")</f>
        <v/>
      </c>
      <c r="I2223" t="str">
        <f>IFERROR(VLOOKUP(D2223,'Team Data'!C:AB,14,FALSE),"")</f>
        <v/>
      </c>
      <c r="J2223" t="str">
        <f>IFERROR(VLOOKUP(D2223,'Team Data'!C:AB,8,FALSE),"")</f>
        <v/>
      </c>
      <c r="K2223" t="str">
        <f>IFERROR(VLOOKUP(D2223,'Team Data'!C:AB,9,FALSE),"")</f>
        <v/>
      </c>
      <c r="L2223" t="str">
        <f>IFERROR(VLOOKUP(D2223,'Team Data'!C:AB,10,FALSE),"")</f>
        <v/>
      </c>
      <c r="M2223" t="str">
        <f t="shared" si="70"/>
        <v/>
      </c>
      <c r="N2223" t="str">
        <f>IFERROR(VLOOKUP(D2223,'Team Data'!C:AB,23,FALSE),"")</f>
        <v/>
      </c>
      <c r="O2223" t="str">
        <f>IFERROR(VLOOKUP(D2223,'Team Data'!C:AB,22,FALSE),"")</f>
        <v/>
      </c>
      <c r="P2223" t="str">
        <f t="shared" si="71"/>
        <v/>
      </c>
      <c r="Q2223" t="str">
        <f>IFERROR(VLOOKUP(D2223,'Team Data'!C:AB,15,FALSE),"")</f>
        <v/>
      </c>
      <c r="R2223" t="str">
        <f>IFERROR(VLOOKUP('OB Format'!D2223,'Team Data'!C:AB,24,FALSE),"")</f>
        <v/>
      </c>
      <c r="S2223" t="str">
        <f>IFERROR(VLOOKUP('OB Format'!D2223,'Team Data'!C:AC,25,FALSE),"")</f>
        <v/>
      </c>
    </row>
    <row r="2224" spans="5:19" x14ac:dyDescent="0.25">
      <c r="E2224" t="str">
        <f>IFERROR(VLOOKUP(D2224,'Team Data'!C:AB,4,FALSE),"")</f>
        <v/>
      </c>
      <c r="F2224" t="str">
        <f>IFERROR(VLOOKUP(D2224,'Team Data'!C:AB,5,FALSE),"")</f>
        <v/>
      </c>
      <c r="G2224" t="str">
        <f>IFERROR(VLOOKUP('OB Format'!D2224,'Team Data'!C:AB,17,FALSE),"")</f>
        <v/>
      </c>
      <c r="H2224" t="str">
        <f>IFERROR(VLOOKUP(D2224,'Team Data'!C:AB,7,FALSE),"")</f>
        <v/>
      </c>
      <c r="I2224" t="str">
        <f>IFERROR(VLOOKUP(D2224,'Team Data'!C:AB,14,FALSE),"")</f>
        <v/>
      </c>
      <c r="J2224" t="str">
        <f>IFERROR(VLOOKUP(D2224,'Team Data'!C:AB,8,FALSE),"")</f>
        <v/>
      </c>
      <c r="K2224" t="str">
        <f>IFERROR(VLOOKUP(D2224,'Team Data'!C:AB,9,FALSE),"")</f>
        <v/>
      </c>
      <c r="L2224" t="str">
        <f>IFERROR(VLOOKUP(D2224,'Team Data'!C:AB,10,FALSE),"")</f>
        <v/>
      </c>
      <c r="M2224" t="str">
        <f t="shared" si="70"/>
        <v/>
      </c>
      <c r="N2224" t="str">
        <f>IFERROR(VLOOKUP(D2224,'Team Data'!C:AB,23,FALSE),"")</f>
        <v/>
      </c>
      <c r="O2224" t="str">
        <f>IFERROR(VLOOKUP(D2224,'Team Data'!C:AB,22,FALSE),"")</f>
        <v/>
      </c>
      <c r="P2224" t="str">
        <f t="shared" si="71"/>
        <v/>
      </c>
      <c r="Q2224" t="str">
        <f>IFERROR(VLOOKUP(D2224,'Team Data'!C:AB,15,FALSE),"")</f>
        <v/>
      </c>
      <c r="R2224" t="str">
        <f>IFERROR(VLOOKUP('OB Format'!D2224,'Team Data'!C:AB,24,FALSE),"")</f>
        <v/>
      </c>
      <c r="S2224" t="str">
        <f>IFERROR(VLOOKUP('OB Format'!D2224,'Team Data'!C:AC,25,FALSE),"")</f>
        <v/>
      </c>
    </row>
    <row r="2225" spans="5:19" x14ac:dyDescent="0.25">
      <c r="E2225" t="str">
        <f>IFERROR(VLOOKUP(D2225,'Team Data'!C:AB,4,FALSE),"")</f>
        <v/>
      </c>
      <c r="F2225" t="str">
        <f>IFERROR(VLOOKUP(D2225,'Team Data'!C:AB,5,FALSE),"")</f>
        <v/>
      </c>
      <c r="G2225" t="str">
        <f>IFERROR(VLOOKUP('OB Format'!D2225,'Team Data'!C:AB,17,FALSE),"")</f>
        <v/>
      </c>
      <c r="H2225" t="str">
        <f>IFERROR(VLOOKUP(D2225,'Team Data'!C:AB,7,FALSE),"")</f>
        <v/>
      </c>
      <c r="I2225" t="str">
        <f>IFERROR(VLOOKUP(D2225,'Team Data'!C:AB,14,FALSE),"")</f>
        <v/>
      </c>
      <c r="J2225" t="str">
        <f>IFERROR(VLOOKUP(D2225,'Team Data'!C:AB,8,FALSE),"")</f>
        <v/>
      </c>
      <c r="K2225" t="str">
        <f>IFERROR(VLOOKUP(D2225,'Team Data'!C:AB,9,FALSE),"")</f>
        <v/>
      </c>
      <c r="L2225" t="str">
        <f>IFERROR(VLOOKUP(D2225,'Team Data'!C:AB,10,FALSE),"")</f>
        <v/>
      </c>
      <c r="M2225" t="str">
        <f t="shared" si="70"/>
        <v/>
      </c>
      <c r="N2225" t="str">
        <f>IFERROR(VLOOKUP(D2225,'Team Data'!C:AB,23,FALSE),"")</f>
        <v/>
      </c>
      <c r="O2225" t="str">
        <f>IFERROR(VLOOKUP(D2225,'Team Data'!C:AB,22,FALSE),"")</f>
        <v/>
      </c>
      <c r="P2225" t="str">
        <f t="shared" si="71"/>
        <v/>
      </c>
      <c r="Q2225" t="str">
        <f>IFERROR(VLOOKUP(D2225,'Team Data'!C:AB,15,FALSE),"")</f>
        <v/>
      </c>
      <c r="R2225" t="str">
        <f>IFERROR(VLOOKUP('OB Format'!D2225,'Team Data'!C:AB,24,FALSE),"")</f>
        <v/>
      </c>
      <c r="S2225" t="str">
        <f>IFERROR(VLOOKUP('OB Format'!D2225,'Team Data'!C:AC,25,FALSE),"")</f>
        <v/>
      </c>
    </row>
    <row r="2226" spans="5:19" x14ac:dyDescent="0.25">
      <c r="E2226" t="str">
        <f>IFERROR(VLOOKUP(D2226,'Team Data'!C:AB,4,FALSE),"")</f>
        <v/>
      </c>
      <c r="F2226" t="str">
        <f>IFERROR(VLOOKUP(D2226,'Team Data'!C:AB,5,FALSE),"")</f>
        <v/>
      </c>
      <c r="G2226" t="str">
        <f>IFERROR(VLOOKUP('OB Format'!D2226,'Team Data'!C:AB,17,FALSE),"")</f>
        <v/>
      </c>
      <c r="H2226" t="str">
        <f>IFERROR(VLOOKUP(D2226,'Team Data'!C:AB,7,FALSE),"")</f>
        <v/>
      </c>
      <c r="I2226" t="str">
        <f>IFERROR(VLOOKUP(D2226,'Team Data'!C:AB,14,FALSE),"")</f>
        <v/>
      </c>
      <c r="J2226" t="str">
        <f>IFERROR(VLOOKUP(D2226,'Team Data'!C:AB,8,FALSE),"")</f>
        <v/>
      </c>
      <c r="K2226" t="str">
        <f>IFERROR(VLOOKUP(D2226,'Team Data'!C:AB,9,FALSE),"")</f>
        <v/>
      </c>
      <c r="L2226" t="str">
        <f>IFERROR(VLOOKUP(D2226,'Team Data'!C:AB,10,FALSE),"")</f>
        <v/>
      </c>
      <c r="M2226" t="str">
        <f t="shared" si="70"/>
        <v/>
      </c>
      <c r="N2226" t="str">
        <f>IFERROR(VLOOKUP(D2226,'Team Data'!C:AB,23,FALSE),"")</f>
        <v/>
      </c>
      <c r="O2226" t="str">
        <f>IFERROR(VLOOKUP(D2226,'Team Data'!C:AB,22,FALSE),"")</f>
        <v/>
      </c>
      <c r="P2226" t="str">
        <f t="shared" si="71"/>
        <v/>
      </c>
      <c r="Q2226" t="str">
        <f>IFERROR(VLOOKUP(D2226,'Team Data'!C:AB,15,FALSE),"")</f>
        <v/>
      </c>
      <c r="R2226" t="str">
        <f>IFERROR(VLOOKUP('OB Format'!D2226,'Team Data'!C:AB,24,FALSE),"")</f>
        <v/>
      </c>
      <c r="S2226" t="str">
        <f>IFERROR(VLOOKUP('OB Format'!D2226,'Team Data'!C:AC,25,FALSE),"")</f>
        <v/>
      </c>
    </row>
    <row r="2227" spans="5:19" x14ac:dyDescent="0.25">
      <c r="E2227" t="str">
        <f>IFERROR(VLOOKUP(D2227,'Team Data'!C:AB,4,FALSE),"")</f>
        <v/>
      </c>
      <c r="F2227" t="str">
        <f>IFERROR(VLOOKUP(D2227,'Team Data'!C:AB,5,FALSE),"")</f>
        <v/>
      </c>
      <c r="G2227" t="str">
        <f>IFERROR(VLOOKUP('OB Format'!D2227,'Team Data'!C:AB,17,FALSE),"")</f>
        <v/>
      </c>
      <c r="H2227" t="str">
        <f>IFERROR(VLOOKUP(D2227,'Team Data'!C:AB,7,FALSE),"")</f>
        <v/>
      </c>
      <c r="I2227" t="str">
        <f>IFERROR(VLOOKUP(D2227,'Team Data'!C:AB,14,FALSE),"")</f>
        <v/>
      </c>
      <c r="J2227" t="str">
        <f>IFERROR(VLOOKUP(D2227,'Team Data'!C:AB,8,FALSE),"")</f>
        <v/>
      </c>
      <c r="K2227" t="str">
        <f>IFERROR(VLOOKUP(D2227,'Team Data'!C:AB,9,FALSE),"")</f>
        <v/>
      </c>
      <c r="L2227" t="str">
        <f>IFERROR(VLOOKUP(D2227,'Team Data'!C:AB,10,FALSE),"")</f>
        <v/>
      </c>
      <c r="M2227" t="str">
        <f t="shared" si="70"/>
        <v/>
      </c>
      <c r="N2227" t="str">
        <f>IFERROR(VLOOKUP(D2227,'Team Data'!C:AB,23,FALSE),"")</f>
        <v/>
      </c>
      <c r="O2227" t="str">
        <f>IFERROR(VLOOKUP(D2227,'Team Data'!C:AB,22,FALSE),"")</f>
        <v/>
      </c>
      <c r="P2227" t="str">
        <f t="shared" si="71"/>
        <v/>
      </c>
      <c r="Q2227" t="str">
        <f>IFERROR(VLOOKUP(D2227,'Team Data'!C:AB,15,FALSE),"")</f>
        <v/>
      </c>
      <c r="R2227" t="str">
        <f>IFERROR(VLOOKUP('OB Format'!D2227,'Team Data'!C:AB,24,FALSE),"")</f>
        <v/>
      </c>
      <c r="S2227" t="str">
        <f>IFERROR(VLOOKUP('OB Format'!D2227,'Team Data'!C:AC,25,FALSE),"")</f>
        <v/>
      </c>
    </row>
    <row r="2228" spans="5:19" x14ac:dyDescent="0.25">
      <c r="E2228" t="str">
        <f>IFERROR(VLOOKUP(D2228,'Team Data'!C:AB,4,FALSE),"")</f>
        <v/>
      </c>
      <c r="F2228" t="str">
        <f>IFERROR(VLOOKUP(D2228,'Team Data'!C:AB,5,FALSE),"")</f>
        <v/>
      </c>
      <c r="G2228" t="str">
        <f>IFERROR(VLOOKUP('OB Format'!D2228,'Team Data'!C:AB,17,FALSE),"")</f>
        <v/>
      </c>
      <c r="H2228" t="str">
        <f>IFERROR(VLOOKUP(D2228,'Team Data'!C:AB,7,FALSE),"")</f>
        <v/>
      </c>
      <c r="I2228" t="str">
        <f>IFERROR(VLOOKUP(D2228,'Team Data'!C:AB,14,FALSE),"")</f>
        <v/>
      </c>
      <c r="J2228" t="str">
        <f>IFERROR(VLOOKUP(D2228,'Team Data'!C:AB,8,FALSE),"")</f>
        <v/>
      </c>
      <c r="K2228" t="str">
        <f>IFERROR(VLOOKUP(D2228,'Team Data'!C:AB,9,FALSE),"")</f>
        <v/>
      </c>
      <c r="L2228" t="str">
        <f>IFERROR(VLOOKUP(D2228,'Team Data'!C:AB,10,FALSE),"")</f>
        <v/>
      </c>
      <c r="M2228" t="str">
        <f t="shared" si="70"/>
        <v/>
      </c>
      <c r="N2228" t="str">
        <f>IFERROR(VLOOKUP(D2228,'Team Data'!C:AB,23,FALSE),"")</f>
        <v/>
      </c>
      <c r="O2228" t="str">
        <f>IFERROR(VLOOKUP(D2228,'Team Data'!C:AB,22,FALSE),"")</f>
        <v/>
      </c>
      <c r="P2228" t="str">
        <f t="shared" si="71"/>
        <v/>
      </c>
      <c r="Q2228" t="str">
        <f>IFERROR(VLOOKUP(D2228,'Team Data'!C:AB,15,FALSE),"")</f>
        <v/>
      </c>
      <c r="R2228" t="str">
        <f>IFERROR(VLOOKUP('OB Format'!D2228,'Team Data'!C:AB,24,FALSE),"")</f>
        <v/>
      </c>
      <c r="S2228" t="str">
        <f>IFERROR(VLOOKUP('OB Format'!D2228,'Team Data'!C:AC,25,FALSE),"")</f>
        <v/>
      </c>
    </row>
    <row r="2229" spans="5:19" x14ac:dyDescent="0.25">
      <c r="E2229" t="str">
        <f>IFERROR(VLOOKUP(D2229,'Team Data'!C:AB,4,FALSE),"")</f>
        <v/>
      </c>
      <c r="F2229" t="str">
        <f>IFERROR(VLOOKUP(D2229,'Team Data'!C:AB,5,FALSE),"")</f>
        <v/>
      </c>
      <c r="G2229" t="str">
        <f>IFERROR(VLOOKUP('OB Format'!D2229,'Team Data'!C:AB,17,FALSE),"")</f>
        <v/>
      </c>
      <c r="H2229" t="str">
        <f>IFERROR(VLOOKUP(D2229,'Team Data'!C:AB,7,FALSE),"")</f>
        <v/>
      </c>
      <c r="I2229" t="str">
        <f>IFERROR(VLOOKUP(D2229,'Team Data'!C:AB,14,FALSE),"")</f>
        <v/>
      </c>
      <c r="J2229" t="str">
        <f>IFERROR(VLOOKUP(D2229,'Team Data'!C:AB,8,FALSE),"")</f>
        <v/>
      </c>
      <c r="K2229" t="str">
        <f>IFERROR(VLOOKUP(D2229,'Team Data'!C:AB,9,FALSE),"")</f>
        <v/>
      </c>
      <c r="L2229" t="str">
        <f>IFERROR(VLOOKUP(D2229,'Team Data'!C:AB,10,FALSE),"")</f>
        <v/>
      </c>
      <c r="M2229" t="str">
        <f t="shared" si="70"/>
        <v/>
      </c>
      <c r="N2229" t="str">
        <f>IFERROR(VLOOKUP(D2229,'Team Data'!C:AB,23,FALSE),"")</f>
        <v/>
      </c>
      <c r="O2229" t="str">
        <f>IFERROR(VLOOKUP(D2229,'Team Data'!C:AB,22,FALSE),"")</f>
        <v/>
      </c>
      <c r="P2229" t="str">
        <f t="shared" si="71"/>
        <v/>
      </c>
      <c r="Q2229" t="str">
        <f>IFERROR(VLOOKUP(D2229,'Team Data'!C:AB,15,FALSE),"")</f>
        <v/>
      </c>
      <c r="R2229" t="str">
        <f>IFERROR(VLOOKUP('OB Format'!D2229,'Team Data'!C:AB,24,FALSE),"")</f>
        <v/>
      </c>
      <c r="S2229" t="str">
        <f>IFERROR(VLOOKUP('OB Format'!D2229,'Team Data'!C:AC,25,FALSE),"")</f>
        <v/>
      </c>
    </row>
    <row r="2230" spans="5:19" x14ac:dyDescent="0.25">
      <c r="E2230" t="str">
        <f>IFERROR(VLOOKUP(D2230,'Team Data'!C:AB,4,FALSE),"")</f>
        <v/>
      </c>
      <c r="F2230" t="str">
        <f>IFERROR(VLOOKUP(D2230,'Team Data'!C:AB,5,FALSE),"")</f>
        <v/>
      </c>
      <c r="G2230" t="str">
        <f>IFERROR(VLOOKUP('OB Format'!D2230,'Team Data'!C:AB,17,FALSE),"")</f>
        <v/>
      </c>
      <c r="H2230" t="str">
        <f>IFERROR(VLOOKUP(D2230,'Team Data'!C:AB,7,FALSE),"")</f>
        <v/>
      </c>
      <c r="I2230" t="str">
        <f>IFERROR(VLOOKUP(D2230,'Team Data'!C:AB,14,FALSE),"")</f>
        <v/>
      </c>
      <c r="J2230" t="str">
        <f>IFERROR(VLOOKUP(D2230,'Team Data'!C:AB,8,FALSE),"")</f>
        <v/>
      </c>
      <c r="K2230" t="str">
        <f>IFERROR(VLOOKUP(D2230,'Team Data'!C:AB,9,FALSE),"")</f>
        <v/>
      </c>
      <c r="L2230" t="str">
        <f>IFERROR(VLOOKUP(D2230,'Team Data'!C:AB,10,FALSE),"")</f>
        <v/>
      </c>
      <c r="M2230" t="str">
        <f t="shared" si="70"/>
        <v/>
      </c>
      <c r="N2230" t="str">
        <f>IFERROR(VLOOKUP(D2230,'Team Data'!C:AB,23,FALSE),"")</f>
        <v/>
      </c>
      <c r="O2230" t="str">
        <f>IFERROR(VLOOKUP(D2230,'Team Data'!C:AB,22,FALSE),"")</f>
        <v/>
      </c>
      <c r="P2230" t="str">
        <f t="shared" si="71"/>
        <v/>
      </c>
      <c r="Q2230" t="str">
        <f>IFERROR(VLOOKUP(D2230,'Team Data'!C:AB,15,FALSE),"")</f>
        <v/>
      </c>
      <c r="R2230" t="str">
        <f>IFERROR(VLOOKUP('OB Format'!D2230,'Team Data'!C:AB,24,FALSE),"")</f>
        <v/>
      </c>
      <c r="S2230" t="str">
        <f>IFERROR(VLOOKUP('OB Format'!D2230,'Team Data'!C:AC,25,FALSE),"")</f>
        <v/>
      </c>
    </row>
    <row r="2231" spans="5:19" x14ac:dyDescent="0.25">
      <c r="E2231" t="str">
        <f>IFERROR(VLOOKUP(D2231,'Team Data'!C:AB,4,FALSE),"")</f>
        <v/>
      </c>
      <c r="F2231" t="str">
        <f>IFERROR(VLOOKUP(D2231,'Team Data'!C:AB,5,FALSE),"")</f>
        <v/>
      </c>
      <c r="G2231" t="str">
        <f>IFERROR(VLOOKUP('OB Format'!D2231,'Team Data'!C:AB,17,FALSE),"")</f>
        <v/>
      </c>
      <c r="H2231" t="str">
        <f>IFERROR(VLOOKUP(D2231,'Team Data'!C:AB,7,FALSE),"")</f>
        <v/>
      </c>
      <c r="I2231" t="str">
        <f>IFERROR(VLOOKUP(D2231,'Team Data'!C:AB,14,FALSE),"")</f>
        <v/>
      </c>
      <c r="J2231" t="str">
        <f>IFERROR(VLOOKUP(D2231,'Team Data'!C:AB,8,FALSE),"")</f>
        <v/>
      </c>
      <c r="K2231" t="str">
        <f>IFERROR(VLOOKUP(D2231,'Team Data'!C:AB,9,FALSE),"")</f>
        <v/>
      </c>
      <c r="L2231" t="str">
        <f>IFERROR(VLOOKUP(D2231,'Team Data'!C:AB,10,FALSE),"")</f>
        <v/>
      </c>
      <c r="M2231" t="str">
        <f t="shared" si="70"/>
        <v/>
      </c>
      <c r="N2231" t="str">
        <f>IFERROR(VLOOKUP(D2231,'Team Data'!C:AB,23,FALSE),"")</f>
        <v/>
      </c>
      <c r="O2231" t="str">
        <f>IFERROR(VLOOKUP(D2231,'Team Data'!C:AB,22,FALSE),"")</f>
        <v/>
      </c>
      <c r="P2231" t="str">
        <f t="shared" si="71"/>
        <v/>
      </c>
      <c r="Q2231" t="str">
        <f>IFERROR(VLOOKUP(D2231,'Team Data'!C:AB,15,FALSE),"")</f>
        <v/>
      </c>
      <c r="R2231" t="str">
        <f>IFERROR(VLOOKUP('OB Format'!D2231,'Team Data'!C:AB,24,FALSE),"")</f>
        <v/>
      </c>
      <c r="S2231" t="str">
        <f>IFERROR(VLOOKUP('OB Format'!D2231,'Team Data'!C:AC,25,FALSE),"")</f>
        <v/>
      </c>
    </row>
    <row r="2232" spans="5:19" x14ac:dyDescent="0.25">
      <c r="E2232" t="str">
        <f>IFERROR(VLOOKUP(D2232,'Team Data'!C:AB,4,FALSE),"")</f>
        <v/>
      </c>
      <c r="F2232" t="str">
        <f>IFERROR(VLOOKUP(D2232,'Team Data'!C:AB,5,FALSE),"")</f>
        <v/>
      </c>
      <c r="G2232" t="str">
        <f>IFERROR(VLOOKUP('OB Format'!D2232,'Team Data'!C:AB,17,FALSE),"")</f>
        <v/>
      </c>
      <c r="H2232" t="str">
        <f>IFERROR(VLOOKUP(D2232,'Team Data'!C:AB,7,FALSE),"")</f>
        <v/>
      </c>
      <c r="I2232" t="str">
        <f>IFERROR(VLOOKUP(D2232,'Team Data'!C:AB,14,FALSE),"")</f>
        <v/>
      </c>
      <c r="J2232" t="str">
        <f>IFERROR(VLOOKUP(D2232,'Team Data'!C:AB,8,FALSE),"")</f>
        <v/>
      </c>
      <c r="K2232" t="str">
        <f>IFERROR(VLOOKUP(D2232,'Team Data'!C:AB,9,FALSE),"")</f>
        <v/>
      </c>
      <c r="L2232" t="str">
        <f>IFERROR(VLOOKUP(D2232,'Team Data'!C:AB,10,FALSE),"")</f>
        <v/>
      </c>
      <c r="M2232" t="str">
        <f t="shared" si="70"/>
        <v/>
      </c>
      <c r="N2232" t="str">
        <f>IFERROR(VLOOKUP(D2232,'Team Data'!C:AB,23,FALSE),"")</f>
        <v/>
      </c>
      <c r="O2232" t="str">
        <f>IFERROR(VLOOKUP(D2232,'Team Data'!C:AB,22,FALSE),"")</f>
        <v/>
      </c>
      <c r="P2232" t="str">
        <f t="shared" si="71"/>
        <v/>
      </c>
      <c r="Q2232" t="str">
        <f>IFERROR(VLOOKUP(D2232,'Team Data'!C:AB,15,FALSE),"")</f>
        <v/>
      </c>
      <c r="R2232" t="str">
        <f>IFERROR(VLOOKUP('OB Format'!D2232,'Team Data'!C:AB,24,FALSE),"")</f>
        <v/>
      </c>
      <c r="S2232" t="str">
        <f>IFERROR(VLOOKUP('OB Format'!D2232,'Team Data'!C:AC,25,FALSE),"")</f>
        <v/>
      </c>
    </row>
    <row r="2233" spans="5:19" x14ac:dyDescent="0.25">
      <c r="E2233" t="str">
        <f>IFERROR(VLOOKUP(D2233,'Team Data'!C:AB,4,FALSE),"")</f>
        <v/>
      </c>
      <c r="F2233" t="str">
        <f>IFERROR(VLOOKUP(D2233,'Team Data'!C:AB,5,FALSE),"")</f>
        <v/>
      </c>
      <c r="G2233" t="str">
        <f>IFERROR(VLOOKUP('OB Format'!D2233,'Team Data'!C:AB,17,FALSE),"")</f>
        <v/>
      </c>
      <c r="H2233" t="str">
        <f>IFERROR(VLOOKUP(D2233,'Team Data'!C:AB,7,FALSE),"")</f>
        <v/>
      </c>
      <c r="I2233" t="str">
        <f>IFERROR(VLOOKUP(D2233,'Team Data'!C:AB,14,FALSE),"")</f>
        <v/>
      </c>
      <c r="J2233" t="str">
        <f>IFERROR(VLOOKUP(D2233,'Team Data'!C:AB,8,FALSE),"")</f>
        <v/>
      </c>
      <c r="K2233" t="str">
        <f>IFERROR(VLOOKUP(D2233,'Team Data'!C:AB,9,FALSE),"")</f>
        <v/>
      </c>
      <c r="L2233" t="str">
        <f>IFERROR(VLOOKUP(D2233,'Team Data'!C:AB,10,FALSE),"")</f>
        <v/>
      </c>
      <c r="M2233" t="str">
        <f t="shared" si="70"/>
        <v/>
      </c>
      <c r="N2233" t="str">
        <f>IFERROR(VLOOKUP(D2233,'Team Data'!C:AB,23,FALSE),"")</f>
        <v/>
      </c>
      <c r="O2233" t="str">
        <f>IFERROR(VLOOKUP(D2233,'Team Data'!C:AB,22,FALSE),"")</f>
        <v/>
      </c>
      <c r="P2233" t="str">
        <f t="shared" si="71"/>
        <v/>
      </c>
      <c r="Q2233" t="str">
        <f>IFERROR(VLOOKUP(D2233,'Team Data'!C:AB,15,FALSE),"")</f>
        <v/>
      </c>
      <c r="R2233" t="str">
        <f>IFERROR(VLOOKUP('OB Format'!D2233,'Team Data'!C:AB,24,FALSE),"")</f>
        <v/>
      </c>
      <c r="S2233" t="str">
        <f>IFERROR(VLOOKUP('OB Format'!D2233,'Team Data'!C:AC,25,FALSE),"")</f>
        <v/>
      </c>
    </row>
    <row r="2234" spans="5:19" x14ac:dyDescent="0.25">
      <c r="E2234" t="str">
        <f>IFERROR(VLOOKUP(D2234,'Team Data'!C:AB,4,FALSE),"")</f>
        <v/>
      </c>
      <c r="F2234" t="str">
        <f>IFERROR(VLOOKUP(D2234,'Team Data'!C:AB,5,FALSE),"")</f>
        <v/>
      </c>
      <c r="G2234" t="str">
        <f>IFERROR(VLOOKUP('OB Format'!D2234,'Team Data'!C:AB,17,FALSE),"")</f>
        <v/>
      </c>
      <c r="H2234" t="str">
        <f>IFERROR(VLOOKUP(D2234,'Team Data'!C:AB,7,FALSE),"")</f>
        <v/>
      </c>
      <c r="I2234" t="str">
        <f>IFERROR(VLOOKUP(D2234,'Team Data'!C:AB,14,FALSE),"")</f>
        <v/>
      </c>
      <c r="J2234" t="str">
        <f>IFERROR(VLOOKUP(D2234,'Team Data'!C:AB,8,FALSE),"")</f>
        <v/>
      </c>
      <c r="K2234" t="str">
        <f>IFERROR(VLOOKUP(D2234,'Team Data'!C:AB,9,FALSE),"")</f>
        <v/>
      </c>
      <c r="L2234" t="str">
        <f>IFERROR(VLOOKUP(D2234,'Team Data'!C:AB,10,FALSE),"")</f>
        <v/>
      </c>
      <c r="M2234" t="str">
        <f t="shared" si="70"/>
        <v/>
      </c>
      <c r="N2234" t="str">
        <f>IFERROR(VLOOKUP(D2234,'Team Data'!C:AB,23,FALSE),"")</f>
        <v/>
      </c>
      <c r="O2234" t="str">
        <f>IFERROR(VLOOKUP(D2234,'Team Data'!C:AB,22,FALSE),"")</f>
        <v/>
      </c>
      <c r="P2234" t="str">
        <f t="shared" si="71"/>
        <v/>
      </c>
      <c r="Q2234" t="str">
        <f>IFERROR(VLOOKUP(D2234,'Team Data'!C:AB,15,FALSE),"")</f>
        <v/>
      </c>
      <c r="R2234" t="str">
        <f>IFERROR(VLOOKUP('OB Format'!D2234,'Team Data'!C:AB,24,FALSE),"")</f>
        <v/>
      </c>
      <c r="S2234" t="str">
        <f>IFERROR(VLOOKUP('OB Format'!D2234,'Team Data'!C:AC,25,FALSE),"")</f>
        <v/>
      </c>
    </row>
    <row r="2235" spans="5:19" x14ac:dyDescent="0.25">
      <c r="E2235" t="str">
        <f>IFERROR(VLOOKUP(D2235,'Team Data'!C:AB,4,FALSE),"")</f>
        <v/>
      </c>
      <c r="F2235" t="str">
        <f>IFERROR(VLOOKUP(D2235,'Team Data'!C:AB,5,FALSE),"")</f>
        <v/>
      </c>
      <c r="G2235" t="str">
        <f>IFERROR(VLOOKUP('OB Format'!D2235,'Team Data'!C:AB,17,FALSE),"")</f>
        <v/>
      </c>
      <c r="H2235" t="str">
        <f>IFERROR(VLOOKUP(D2235,'Team Data'!C:AB,7,FALSE),"")</f>
        <v/>
      </c>
      <c r="I2235" t="str">
        <f>IFERROR(VLOOKUP(D2235,'Team Data'!C:AB,14,FALSE),"")</f>
        <v/>
      </c>
      <c r="J2235" t="str">
        <f>IFERROR(VLOOKUP(D2235,'Team Data'!C:AB,8,FALSE),"")</f>
        <v/>
      </c>
      <c r="K2235" t="str">
        <f>IFERROR(VLOOKUP(D2235,'Team Data'!C:AB,9,FALSE),"")</f>
        <v/>
      </c>
      <c r="L2235" t="str">
        <f>IFERROR(VLOOKUP(D2235,'Team Data'!C:AB,10,FALSE),"")</f>
        <v/>
      </c>
      <c r="M2235" t="str">
        <f t="shared" si="70"/>
        <v/>
      </c>
      <c r="N2235" t="str">
        <f>IFERROR(VLOOKUP(D2235,'Team Data'!C:AB,23,FALSE),"")</f>
        <v/>
      </c>
      <c r="O2235" t="str">
        <f>IFERROR(VLOOKUP(D2235,'Team Data'!C:AB,22,FALSE),"")</f>
        <v/>
      </c>
      <c r="P2235" t="str">
        <f t="shared" si="71"/>
        <v/>
      </c>
      <c r="Q2235" t="str">
        <f>IFERROR(VLOOKUP(D2235,'Team Data'!C:AB,15,FALSE),"")</f>
        <v/>
      </c>
      <c r="R2235" t="str">
        <f>IFERROR(VLOOKUP('OB Format'!D2235,'Team Data'!C:AB,24,FALSE),"")</f>
        <v/>
      </c>
      <c r="S2235" t="str">
        <f>IFERROR(VLOOKUP('OB Format'!D2235,'Team Data'!C:AC,25,FALSE),"")</f>
        <v/>
      </c>
    </row>
    <row r="2236" spans="5:19" x14ac:dyDescent="0.25">
      <c r="E2236" t="str">
        <f>IFERROR(VLOOKUP(D2236,'Team Data'!C:AB,4,FALSE),"")</f>
        <v/>
      </c>
      <c r="F2236" t="str">
        <f>IFERROR(VLOOKUP(D2236,'Team Data'!C:AB,5,FALSE),"")</f>
        <v/>
      </c>
      <c r="G2236" t="str">
        <f>IFERROR(VLOOKUP('OB Format'!D2236,'Team Data'!C:AB,17,FALSE),"")</f>
        <v/>
      </c>
      <c r="H2236" t="str">
        <f>IFERROR(VLOOKUP(D2236,'Team Data'!C:AB,7,FALSE),"")</f>
        <v/>
      </c>
      <c r="I2236" t="str">
        <f>IFERROR(VLOOKUP(D2236,'Team Data'!C:AB,14,FALSE),"")</f>
        <v/>
      </c>
      <c r="J2236" t="str">
        <f>IFERROR(VLOOKUP(D2236,'Team Data'!C:AB,8,FALSE),"")</f>
        <v/>
      </c>
      <c r="K2236" t="str">
        <f>IFERROR(VLOOKUP(D2236,'Team Data'!C:AB,9,FALSE),"")</f>
        <v/>
      </c>
      <c r="L2236" t="str">
        <f>IFERROR(VLOOKUP(D2236,'Team Data'!C:AB,10,FALSE),"")</f>
        <v/>
      </c>
      <c r="M2236" t="str">
        <f t="shared" si="70"/>
        <v/>
      </c>
      <c r="N2236" t="str">
        <f>IFERROR(VLOOKUP(D2236,'Team Data'!C:AB,23,FALSE),"")</f>
        <v/>
      </c>
      <c r="O2236" t="str">
        <f>IFERROR(VLOOKUP(D2236,'Team Data'!C:AB,22,FALSE),"")</f>
        <v/>
      </c>
      <c r="P2236" t="str">
        <f t="shared" si="71"/>
        <v/>
      </c>
      <c r="Q2236" t="str">
        <f>IFERROR(VLOOKUP(D2236,'Team Data'!C:AB,15,FALSE),"")</f>
        <v/>
      </c>
      <c r="R2236" t="str">
        <f>IFERROR(VLOOKUP('OB Format'!D2236,'Team Data'!C:AB,24,FALSE),"")</f>
        <v/>
      </c>
      <c r="S2236" t="str">
        <f>IFERROR(VLOOKUP('OB Format'!D2236,'Team Data'!C:AC,25,FALSE),"")</f>
        <v/>
      </c>
    </row>
    <row r="2237" spans="5:19" x14ac:dyDescent="0.25">
      <c r="E2237" t="str">
        <f>IFERROR(VLOOKUP(D2237,'Team Data'!C:AB,4,FALSE),"")</f>
        <v/>
      </c>
      <c r="F2237" t="str">
        <f>IFERROR(VLOOKUP(D2237,'Team Data'!C:AB,5,FALSE),"")</f>
        <v/>
      </c>
      <c r="G2237" t="str">
        <f>IFERROR(VLOOKUP('OB Format'!D2237,'Team Data'!C:AB,17,FALSE),"")</f>
        <v/>
      </c>
      <c r="H2237" t="str">
        <f>IFERROR(VLOOKUP(D2237,'Team Data'!C:AB,7,FALSE),"")</f>
        <v/>
      </c>
      <c r="I2237" t="str">
        <f>IFERROR(VLOOKUP(D2237,'Team Data'!C:AB,14,FALSE),"")</f>
        <v/>
      </c>
      <c r="J2237" t="str">
        <f>IFERROR(VLOOKUP(D2237,'Team Data'!C:AB,8,FALSE),"")</f>
        <v/>
      </c>
      <c r="K2237" t="str">
        <f>IFERROR(VLOOKUP(D2237,'Team Data'!C:AB,9,FALSE),"")</f>
        <v/>
      </c>
      <c r="L2237" t="str">
        <f>IFERROR(VLOOKUP(D2237,'Team Data'!C:AB,10,FALSE),"")</f>
        <v/>
      </c>
      <c r="M2237" t="str">
        <f t="shared" si="70"/>
        <v/>
      </c>
      <c r="N2237" t="str">
        <f>IFERROR(VLOOKUP(D2237,'Team Data'!C:AB,23,FALSE),"")</f>
        <v/>
      </c>
      <c r="O2237" t="str">
        <f>IFERROR(VLOOKUP(D2237,'Team Data'!C:AB,22,FALSE),"")</f>
        <v/>
      </c>
      <c r="P2237" t="str">
        <f t="shared" si="71"/>
        <v/>
      </c>
      <c r="Q2237" t="str">
        <f>IFERROR(VLOOKUP(D2237,'Team Data'!C:AB,15,FALSE),"")</f>
        <v/>
      </c>
      <c r="R2237" t="str">
        <f>IFERROR(VLOOKUP('OB Format'!D2237,'Team Data'!C:AB,24,FALSE),"")</f>
        <v/>
      </c>
      <c r="S2237" t="str">
        <f>IFERROR(VLOOKUP('OB Format'!D2237,'Team Data'!C:AC,25,FALSE),"")</f>
        <v/>
      </c>
    </row>
    <row r="2238" spans="5:19" x14ac:dyDescent="0.25">
      <c r="E2238" t="str">
        <f>IFERROR(VLOOKUP(D2238,'Team Data'!C:AB,4,FALSE),"")</f>
        <v/>
      </c>
      <c r="F2238" t="str">
        <f>IFERROR(VLOOKUP(D2238,'Team Data'!C:AB,5,FALSE),"")</f>
        <v/>
      </c>
      <c r="G2238" t="str">
        <f>IFERROR(VLOOKUP('OB Format'!D2238,'Team Data'!C:AB,17,FALSE),"")</f>
        <v/>
      </c>
      <c r="H2238" t="str">
        <f>IFERROR(VLOOKUP(D2238,'Team Data'!C:AB,7,FALSE),"")</f>
        <v/>
      </c>
      <c r="I2238" t="str">
        <f>IFERROR(VLOOKUP(D2238,'Team Data'!C:AB,14,FALSE),"")</f>
        <v/>
      </c>
      <c r="J2238" t="str">
        <f>IFERROR(VLOOKUP(D2238,'Team Data'!C:AB,8,FALSE),"")</f>
        <v/>
      </c>
      <c r="K2238" t="str">
        <f>IFERROR(VLOOKUP(D2238,'Team Data'!C:AB,9,FALSE),"")</f>
        <v/>
      </c>
      <c r="L2238" t="str">
        <f>IFERROR(VLOOKUP(D2238,'Team Data'!C:AB,10,FALSE),"")</f>
        <v/>
      </c>
      <c r="M2238" t="str">
        <f t="shared" si="70"/>
        <v/>
      </c>
      <c r="N2238" t="str">
        <f>IFERROR(VLOOKUP(D2238,'Team Data'!C:AB,23,FALSE),"")</f>
        <v/>
      </c>
      <c r="O2238" t="str">
        <f>IFERROR(VLOOKUP(D2238,'Team Data'!C:AB,22,FALSE),"")</f>
        <v/>
      </c>
      <c r="P2238" t="str">
        <f t="shared" si="71"/>
        <v/>
      </c>
      <c r="Q2238" t="str">
        <f>IFERROR(VLOOKUP(D2238,'Team Data'!C:AB,15,FALSE),"")</f>
        <v/>
      </c>
      <c r="R2238" t="str">
        <f>IFERROR(VLOOKUP('OB Format'!D2238,'Team Data'!C:AB,24,FALSE),"")</f>
        <v/>
      </c>
      <c r="S2238" t="str">
        <f>IFERROR(VLOOKUP('OB Format'!D2238,'Team Data'!C:AC,25,FALSE),"")</f>
        <v/>
      </c>
    </row>
    <row r="2239" spans="5:19" x14ac:dyDescent="0.25">
      <c r="E2239" t="str">
        <f>IFERROR(VLOOKUP(D2239,'Team Data'!C:AB,4,FALSE),"")</f>
        <v/>
      </c>
      <c r="F2239" t="str">
        <f>IFERROR(VLOOKUP(D2239,'Team Data'!C:AB,5,FALSE),"")</f>
        <v/>
      </c>
      <c r="G2239" t="str">
        <f>IFERROR(VLOOKUP('OB Format'!D2239,'Team Data'!C:AB,17,FALSE),"")</f>
        <v/>
      </c>
      <c r="H2239" t="str">
        <f>IFERROR(VLOOKUP(D2239,'Team Data'!C:AB,7,FALSE),"")</f>
        <v/>
      </c>
      <c r="I2239" t="str">
        <f>IFERROR(VLOOKUP(D2239,'Team Data'!C:AB,14,FALSE),"")</f>
        <v/>
      </c>
      <c r="J2239" t="str">
        <f>IFERROR(VLOOKUP(D2239,'Team Data'!C:AB,8,FALSE),"")</f>
        <v/>
      </c>
      <c r="K2239" t="str">
        <f>IFERROR(VLOOKUP(D2239,'Team Data'!C:AB,9,FALSE),"")</f>
        <v/>
      </c>
      <c r="L2239" t="str">
        <f>IFERROR(VLOOKUP(D2239,'Team Data'!C:AB,10,FALSE),"")</f>
        <v/>
      </c>
      <c r="M2239" t="str">
        <f t="shared" si="70"/>
        <v/>
      </c>
      <c r="N2239" t="str">
        <f>IFERROR(VLOOKUP(D2239,'Team Data'!C:AB,23,FALSE),"")</f>
        <v/>
      </c>
      <c r="O2239" t="str">
        <f>IFERROR(VLOOKUP(D2239,'Team Data'!C:AB,22,FALSE),"")</f>
        <v/>
      </c>
      <c r="P2239" t="str">
        <f t="shared" si="71"/>
        <v/>
      </c>
      <c r="Q2239" t="str">
        <f>IFERROR(VLOOKUP(D2239,'Team Data'!C:AB,15,FALSE),"")</f>
        <v/>
      </c>
      <c r="R2239" t="str">
        <f>IFERROR(VLOOKUP('OB Format'!D2239,'Team Data'!C:AB,24,FALSE),"")</f>
        <v/>
      </c>
      <c r="S2239" t="str">
        <f>IFERROR(VLOOKUP('OB Format'!D2239,'Team Data'!C:AC,25,FALSE),"")</f>
        <v/>
      </c>
    </row>
    <row r="2240" spans="5:19" x14ac:dyDescent="0.25">
      <c r="E2240" t="str">
        <f>IFERROR(VLOOKUP(D2240,'Team Data'!C:AB,4,FALSE),"")</f>
        <v/>
      </c>
      <c r="F2240" t="str">
        <f>IFERROR(VLOOKUP(D2240,'Team Data'!C:AB,5,FALSE),"")</f>
        <v/>
      </c>
      <c r="G2240" t="str">
        <f>IFERROR(VLOOKUP('OB Format'!D2240,'Team Data'!C:AB,17,FALSE),"")</f>
        <v/>
      </c>
      <c r="H2240" t="str">
        <f>IFERROR(VLOOKUP(D2240,'Team Data'!C:AB,7,FALSE),"")</f>
        <v/>
      </c>
      <c r="I2240" t="str">
        <f>IFERROR(VLOOKUP(D2240,'Team Data'!C:AB,14,FALSE),"")</f>
        <v/>
      </c>
      <c r="J2240" t="str">
        <f>IFERROR(VLOOKUP(D2240,'Team Data'!C:AB,8,FALSE),"")</f>
        <v/>
      </c>
      <c r="K2240" t="str">
        <f>IFERROR(VLOOKUP(D2240,'Team Data'!C:AB,9,FALSE),"")</f>
        <v/>
      </c>
      <c r="L2240" t="str">
        <f>IFERROR(VLOOKUP(D2240,'Team Data'!C:AB,10,FALSE),"")</f>
        <v/>
      </c>
      <c r="M2240" t="str">
        <f t="shared" si="70"/>
        <v/>
      </c>
      <c r="N2240" t="str">
        <f>IFERROR(VLOOKUP(D2240,'Team Data'!C:AB,23,FALSE),"")</f>
        <v/>
      </c>
      <c r="O2240" t="str">
        <f>IFERROR(VLOOKUP(D2240,'Team Data'!C:AB,22,FALSE),"")</f>
        <v/>
      </c>
      <c r="P2240" t="str">
        <f t="shared" si="71"/>
        <v/>
      </c>
      <c r="Q2240" t="str">
        <f>IFERROR(VLOOKUP(D2240,'Team Data'!C:AB,15,FALSE),"")</f>
        <v/>
      </c>
      <c r="R2240" t="str">
        <f>IFERROR(VLOOKUP('OB Format'!D2240,'Team Data'!C:AB,24,FALSE),"")</f>
        <v/>
      </c>
      <c r="S2240" t="str">
        <f>IFERROR(VLOOKUP('OB Format'!D2240,'Team Data'!C:AC,25,FALSE),"")</f>
        <v/>
      </c>
    </row>
    <row r="2241" spans="5:19" x14ac:dyDescent="0.25">
      <c r="E2241" t="str">
        <f>IFERROR(VLOOKUP(D2241,'Team Data'!C:AB,4,FALSE),"")</f>
        <v/>
      </c>
      <c r="F2241" t="str">
        <f>IFERROR(VLOOKUP(D2241,'Team Data'!C:AB,5,FALSE),"")</f>
        <v/>
      </c>
      <c r="G2241" t="str">
        <f>IFERROR(VLOOKUP('OB Format'!D2241,'Team Data'!C:AB,17,FALSE),"")</f>
        <v/>
      </c>
      <c r="H2241" t="str">
        <f>IFERROR(VLOOKUP(D2241,'Team Data'!C:AB,7,FALSE),"")</f>
        <v/>
      </c>
      <c r="I2241" t="str">
        <f>IFERROR(VLOOKUP(D2241,'Team Data'!C:AB,14,FALSE),"")</f>
        <v/>
      </c>
      <c r="J2241" t="str">
        <f>IFERROR(VLOOKUP(D2241,'Team Data'!C:AB,8,FALSE),"")</f>
        <v/>
      </c>
      <c r="K2241" t="str">
        <f>IFERROR(VLOOKUP(D2241,'Team Data'!C:AB,9,FALSE),"")</f>
        <v/>
      </c>
      <c r="L2241" t="str">
        <f>IFERROR(VLOOKUP(D2241,'Team Data'!C:AB,10,FALSE),"")</f>
        <v/>
      </c>
      <c r="M2241" t="str">
        <f t="shared" si="70"/>
        <v/>
      </c>
      <c r="N2241" t="str">
        <f>IFERROR(VLOOKUP(D2241,'Team Data'!C:AB,23,FALSE),"")</f>
        <v/>
      </c>
      <c r="O2241" t="str">
        <f>IFERROR(VLOOKUP(D2241,'Team Data'!C:AB,22,FALSE),"")</f>
        <v/>
      </c>
      <c r="P2241" t="str">
        <f t="shared" si="71"/>
        <v/>
      </c>
      <c r="Q2241" t="str">
        <f>IFERROR(VLOOKUP(D2241,'Team Data'!C:AB,15,FALSE),"")</f>
        <v/>
      </c>
      <c r="R2241" t="str">
        <f>IFERROR(VLOOKUP('OB Format'!D2241,'Team Data'!C:AB,24,FALSE),"")</f>
        <v/>
      </c>
      <c r="S2241" t="str">
        <f>IFERROR(VLOOKUP('OB Format'!D2241,'Team Data'!C:AC,25,FALSE),"")</f>
        <v/>
      </c>
    </row>
    <row r="2242" spans="5:19" x14ac:dyDescent="0.25">
      <c r="E2242" t="str">
        <f>IFERROR(VLOOKUP(D2242,'Team Data'!C:AB,4,FALSE),"")</f>
        <v/>
      </c>
      <c r="F2242" t="str">
        <f>IFERROR(VLOOKUP(D2242,'Team Data'!C:AB,5,FALSE),"")</f>
        <v/>
      </c>
      <c r="G2242" t="str">
        <f>IFERROR(VLOOKUP('OB Format'!D2242,'Team Data'!C:AB,17,FALSE),"")</f>
        <v/>
      </c>
      <c r="H2242" t="str">
        <f>IFERROR(VLOOKUP(D2242,'Team Data'!C:AB,7,FALSE),"")</f>
        <v/>
      </c>
      <c r="I2242" t="str">
        <f>IFERROR(VLOOKUP(D2242,'Team Data'!C:AB,14,FALSE),"")</f>
        <v/>
      </c>
      <c r="J2242" t="str">
        <f>IFERROR(VLOOKUP(D2242,'Team Data'!C:AB,8,FALSE),"")</f>
        <v/>
      </c>
      <c r="K2242" t="str">
        <f>IFERROR(VLOOKUP(D2242,'Team Data'!C:AB,9,FALSE),"")</f>
        <v/>
      </c>
      <c r="L2242" t="str">
        <f>IFERROR(VLOOKUP(D2242,'Team Data'!C:AB,10,FALSE),"")</f>
        <v/>
      </c>
      <c r="M2242" t="str">
        <f t="shared" si="70"/>
        <v/>
      </c>
      <c r="N2242" t="str">
        <f>IFERROR(VLOOKUP(D2242,'Team Data'!C:AB,23,FALSE),"")</f>
        <v/>
      </c>
      <c r="O2242" t="str">
        <f>IFERROR(VLOOKUP(D2242,'Team Data'!C:AB,22,FALSE),"")</f>
        <v/>
      </c>
      <c r="P2242" t="str">
        <f t="shared" si="71"/>
        <v/>
      </c>
      <c r="Q2242" t="str">
        <f>IFERROR(VLOOKUP(D2242,'Team Data'!C:AB,15,FALSE),"")</f>
        <v/>
      </c>
      <c r="R2242" t="str">
        <f>IFERROR(VLOOKUP('OB Format'!D2242,'Team Data'!C:AB,24,FALSE),"")</f>
        <v/>
      </c>
      <c r="S2242" t="str">
        <f>IFERROR(VLOOKUP('OB Format'!D2242,'Team Data'!C:AC,25,FALSE),"")</f>
        <v/>
      </c>
    </row>
    <row r="2243" spans="5:19" x14ac:dyDescent="0.25">
      <c r="E2243" t="str">
        <f>IFERROR(VLOOKUP(D2243,'Team Data'!C:AB,4,FALSE),"")</f>
        <v/>
      </c>
      <c r="F2243" t="str">
        <f>IFERROR(VLOOKUP(D2243,'Team Data'!C:AB,5,FALSE),"")</f>
        <v/>
      </c>
      <c r="G2243" t="str">
        <f>IFERROR(VLOOKUP('OB Format'!D2243,'Team Data'!C:AB,17,FALSE),"")</f>
        <v/>
      </c>
      <c r="H2243" t="str">
        <f>IFERROR(VLOOKUP(D2243,'Team Data'!C:AB,7,FALSE),"")</f>
        <v/>
      </c>
      <c r="I2243" t="str">
        <f>IFERROR(VLOOKUP(D2243,'Team Data'!C:AB,14,FALSE),"")</f>
        <v/>
      </c>
      <c r="J2243" t="str">
        <f>IFERROR(VLOOKUP(D2243,'Team Data'!C:AB,8,FALSE),"")</f>
        <v/>
      </c>
      <c r="K2243" t="str">
        <f>IFERROR(VLOOKUP(D2243,'Team Data'!C:AB,9,FALSE),"")</f>
        <v/>
      </c>
      <c r="L2243" t="str">
        <f>IFERROR(VLOOKUP(D2243,'Team Data'!C:AB,10,FALSE),"")</f>
        <v/>
      </c>
      <c r="M2243" t="str">
        <f t="shared" si="70"/>
        <v/>
      </c>
      <c r="N2243" t="str">
        <f>IFERROR(VLOOKUP(D2243,'Team Data'!C:AB,23,FALSE),"")</f>
        <v/>
      </c>
      <c r="O2243" t="str">
        <f>IFERROR(VLOOKUP(D2243,'Team Data'!C:AB,22,FALSE),"")</f>
        <v/>
      </c>
      <c r="P2243" t="str">
        <f t="shared" si="71"/>
        <v/>
      </c>
      <c r="Q2243" t="str">
        <f>IFERROR(VLOOKUP(D2243,'Team Data'!C:AB,15,FALSE),"")</f>
        <v/>
      </c>
      <c r="R2243" t="str">
        <f>IFERROR(VLOOKUP('OB Format'!D2243,'Team Data'!C:AB,24,FALSE),"")</f>
        <v/>
      </c>
      <c r="S2243" t="str">
        <f>IFERROR(VLOOKUP('OB Format'!D2243,'Team Data'!C:AC,25,FALSE),"")</f>
        <v/>
      </c>
    </row>
    <row r="2244" spans="5:19" x14ac:dyDescent="0.25">
      <c r="E2244" t="str">
        <f>IFERROR(VLOOKUP(D2244,'Team Data'!C:AB,4,FALSE),"")</f>
        <v/>
      </c>
      <c r="F2244" t="str">
        <f>IFERROR(VLOOKUP(D2244,'Team Data'!C:AB,5,FALSE),"")</f>
        <v/>
      </c>
      <c r="G2244" t="str">
        <f>IFERROR(VLOOKUP('OB Format'!D2244,'Team Data'!C:AB,17,FALSE),"")</f>
        <v/>
      </c>
      <c r="H2244" t="str">
        <f>IFERROR(VLOOKUP(D2244,'Team Data'!C:AB,7,FALSE),"")</f>
        <v/>
      </c>
      <c r="I2244" t="str">
        <f>IFERROR(VLOOKUP(D2244,'Team Data'!C:AB,14,FALSE),"")</f>
        <v/>
      </c>
      <c r="J2244" t="str">
        <f>IFERROR(VLOOKUP(D2244,'Team Data'!C:AB,8,FALSE),"")</f>
        <v/>
      </c>
      <c r="K2244" t="str">
        <f>IFERROR(VLOOKUP(D2244,'Team Data'!C:AB,9,FALSE),"")</f>
        <v/>
      </c>
      <c r="L2244" t="str">
        <f>IFERROR(VLOOKUP(D2244,'Team Data'!C:AB,10,FALSE),"")</f>
        <v/>
      </c>
      <c r="M2244" t="str">
        <f t="shared" si="70"/>
        <v/>
      </c>
      <c r="N2244" t="str">
        <f>IFERROR(VLOOKUP(D2244,'Team Data'!C:AB,23,FALSE),"")</f>
        <v/>
      </c>
      <c r="O2244" t="str">
        <f>IFERROR(VLOOKUP(D2244,'Team Data'!C:AB,22,FALSE),"")</f>
        <v/>
      </c>
      <c r="P2244" t="str">
        <f t="shared" si="71"/>
        <v/>
      </c>
      <c r="Q2244" t="str">
        <f>IFERROR(VLOOKUP(D2244,'Team Data'!C:AB,15,FALSE),"")</f>
        <v/>
      </c>
      <c r="R2244" t="str">
        <f>IFERROR(VLOOKUP('OB Format'!D2244,'Team Data'!C:AB,24,FALSE),"")</f>
        <v/>
      </c>
      <c r="S2244" t="str">
        <f>IFERROR(VLOOKUP('OB Format'!D2244,'Team Data'!C:AC,25,FALSE),"")</f>
        <v/>
      </c>
    </row>
    <row r="2245" spans="5:19" x14ac:dyDescent="0.25">
      <c r="E2245" t="str">
        <f>IFERROR(VLOOKUP(D2245,'Team Data'!C:AB,4,FALSE),"")</f>
        <v/>
      </c>
      <c r="F2245" t="str">
        <f>IFERROR(VLOOKUP(D2245,'Team Data'!C:AB,5,FALSE),"")</f>
        <v/>
      </c>
      <c r="G2245" t="str">
        <f>IFERROR(VLOOKUP('OB Format'!D2245,'Team Data'!C:AB,17,FALSE),"")</f>
        <v/>
      </c>
      <c r="H2245" t="str">
        <f>IFERROR(VLOOKUP(D2245,'Team Data'!C:AB,7,FALSE),"")</f>
        <v/>
      </c>
      <c r="I2245" t="str">
        <f>IFERROR(VLOOKUP(D2245,'Team Data'!C:AB,14,FALSE),"")</f>
        <v/>
      </c>
      <c r="J2245" t="str">
        <f>IFERROR(VLOOKUP(D2245,'Team Data'!C:AB,8,FALSE),"")</f>
        <v/>
      </c>
      <c r="K2245" t="str">
        <f>IFERROR(VLOOKUP(D2245,'Team Data'!C:AB,9,FALSE),"")</f>
        <v/>
      </c>
      <c r="L2245" t="str">
        <f>IFERROR(VLOOKUP(D2245,'Team Data'!C:AB,10,FALSE),"")</f>
        <v/>
      </c>
      <c r="M2245" t="str">
        <f t="shared" si="70"/>
        <v/>
      </c>
      <c r="N2245" t="str">
        <f>IFERROR(VLOOKUP(D2245,'Team Data'!C:AB,23,FALSE),"")</f>
        <v/>
      </c>
      <c r="O2245" t="str">
        <f>IFERROR(VLOOKUP(D2245,'Team Data'!C:AB,22,FALSE),"")</f>
        <v/>
      </c>
      <c r="P2245" t="str">
        <f t="shared" si="71"/>
        <v/>
      </c>
      <c r="Q2245" t="str">
        <f>IFERROR(VLOOKUP(D2245,'Team Data'!C:AB,15,FALSE),"")</f>
        <v/>
      </c>
      <c r="R2245" t="str">
        <f>IFERROR(VLOOKUP('OB Format'!D2245,'Team Data'!C:AB,24,FALSE),"")</f>
        <v/>
      </c>
      <c r="S2245" t="str">
        <f>IFERROR(VLOOKUP('OB Format'!D2245,'Team Data'!C:AC,25,FALSE),"")</f>
        <v/>
      </c>
    </row>
    <row r="2246" spans="5:19" x14ac:dyDescent="0.25">
      <c r="E2246" t="str">
        <f>IFERROR(VLOOKUP(D2246,'Team Data'!C:AB,4,FALSE),"")</f>
        <v/>
      </c>
      <c r="F2246" t="str">
        <f>IFERROR(VLOOKUP(D2246,'Team Data'!C:AB,5,FALSE),"")</f>
        <v/>
      </c>
      <c r="G2246" t="str">
        <f>IFERROR(VLOOKUP('OB Format'!D2246,'Team Data'!C:AB,17,FALSE),"")</f>
        <v/>
      </c>
      <c r="H2246" t="str">
        <f>IFERROR(VLOOKUP(D2246,'Team Data'!C:AB,7,FALSE),"")</f>
        <v/>
      </c>
      <c r="I2246" t="str">
        <f>IFERROR(VLOOKUP(D2246,'Team Data'!C:AB,14,FALSE),"")</f>
        <v/>
      </c>
      <c r="J2246" t="str">
        <f>IFERROR(VLOOKUP(D2246,'Team Data'!C:AB,8,FALSE),"")</f>
        <v/>
      </c>
      <c r="K2246" t="str">
        <f>IFERROR(VLOOKUP(D2246,'Team Data'!C:AB,9,FALSE),"")</f>
        <v/>
      </c>
      <c r="L2246" t="str">
        <f>IFERROR(VLOOKUP(D2246,'Team Data'!C:AB,10,FALSE),"")</f>
        <v/>
      </c>
      <c r="M2246" t="str">
        <f t="shared" si="70"/>
        <v/>
      </c>
      <c r="N2246" t="str">
        <f>IFERROR(VLOOKUP(D2246,'Team Data'!C:AB,23,FALSE),"")</f>
        <v/>
      </c>
      <c r="O2246" t="str">
        <f>IFERROR(VLOOKUP(D2246,'Team Data'!C:AB,22,FALSE),"")</f>
        <v/>
      </c>
      <c r="P2246" t="str">
        <f t="shared" si="71"/>
        <v/>
      </c>
      <c r="Q2246" t="str">
        <f>IFERROR(VLOOKUP(D2246,'Team Data'!C:AB,15,FALSE),"")</f>
        <v/>
      </c>
      <c r="R2246" t="str">
        <f>IFERROR(VLOOKUP('OB Format'!D2246,'Team Data'!C:AB,24,FALSE),"")</f>
        <v/>
      </c>
      <c r="S2246" t="str">
        <f>IFERROR(VLOOKUP('OB Format'!D2246,'Team Data'!C:AC,25,FALSE),"")</f>
        <v/>
      </c>
    </row>
    <row r="2247" spans="5:19" x14ac:dyDescent="0.25">
      <c r="E2247" t="str">
        <f>IFERROR(VLOOKUP(D2247,'Team Data'!C:AB,4,FALSE),"")</f>
        <v/>
      </c>
      <c r="F2247" t="str">
        <f>IFERROR(VLOOKUP(D2247,'Team Data'!C:AB,5,FALSE),"")</f>
        <v/>
      </c>
      <c r="G2247" t="str">
        <f>IFERROR(VLOOKUP('OB Format'!D2247,'Team Data'!C:AB,17,FALSE),"")</f>
        <v/>
      </c>
      <c r="H2247" t="str">
        <f>IFERROR(VLOOKUP(D2247,'Team Data'!C:AB,7,FALSE),"")</f>
        <v/>
      </c>
      <c r="I2247" t="str">
        <f>IFERROR(VLOOKUP(D2247,'Team Data'!C:AB,14,FALSE),"")</f>
        <v/>
      </c>
      <c r="J2247" t="str">
        <f>IFERROR(VLOOKUP(D2247,'Team Data'!C:AB,8,FALSE),"")</f>
        <v/>
      </c>
      <c r="K2247" t="str">
        <f>IFERROR(VLOOKUP(D2247,'Team Data'!C:AB,9,FALSE),"")</f>
        <v/>
      </c>
      <c r="L2247" t="str">
        <f>IFERROR(VLOOKUP(D2247,'Team Data'!C:AB,10,FALSE),"")</f>
        <v/>
      </c>
      <c r="M2247" t="str">
        <f t="shared" si="70"/>
        <v/>
      </c>
      <c r="N2247" t="str">
        <f>IFERROR(VLOOKUP(D2247,'Team Data'!C:AB,23,FALSE),"")</f>
        <v/>
      </c>
      <c r="O2247" t="str">
        <f>IFERROR(VLOOKUP(D2247,'Team Data'!C:AB,22,FALSE),"")</f>
        <v/>
      </c>
      <c r="P2247" t="str">
        <f t="shared" si="71"/>
        <v/>
      </c>
      <c r="Q2247" t="str">
        <f>IFERROR(VLOOKUP(D2247,'Team Data'!C:AB,15,FALSE),"")</f>
        <v/>
      </c>
      <c r="R2247" t="str">
        <f>IFERROR(VLOOKUP('OB Format'!D2247,'Team Data'!C:AB,24,FALSE),"")</f>
        <v/>
      </c>
      <c r="S2247" t="str">
        <f>IFERROR(VLOOKUP('OB Format'!D2247,'Team Data'!C:AC,25,FALSE),"")</f>
        <v/>
      </c>
    </row>
    <row r="2248" spans="5:19" x14ac:dyDescent="0.25">
      <c r="E2248" t="str">
        <f>IFERROR(VLOOKUP(D2248,'Team Data'!C:AB,4,FALSE),"")</f>
        <v/>
      </c>
      <c r="F2248" t="str">
        <f>IFERROR(VLOOKUP(D2248,'Team Data'!C:AB,5,FALSE),"")</f>
        <v/>
      </c>
      <c r="G2248" t="str">
        <f>IFERROR(VLOOKUP('OB Format'!D2248,'Team Data'!C:AB,17,FALSE),"")</f>
        <v/>
      </c>
      <c r="H2248" t="str">
        <f>IFERROR(VLOOKUP(D2248,'Team Data'!C:AB,7,FALSE),"")</f>
        <v/>
      </c>
      <c r="I2248" t="str">
        <f>IFERROR(VLOOKUP(D2248,'Team Data'!C:AB,14,FALSE),"")</f>
        <v/>
      </c>
      <c r="J2248" t="str">
        <f>IFERROR(VLOOKUP(D2248,'Team Data'!C:AB,8,FALSE),"")</f>
        <v/>
      </c>
      <c r="K2248" t="str">
        <f>IFERROR(VLOOKUP(D2248,'Team Data'!C:AB,9,FALSE),"")</f>
        <v/>
      </c>
      <c r="L2248" t="str">
        <f>IFERROR(VLOOKUP(D2248,'Team Data'!C:AB,10,FALSE),"")</f>
        <v/>
      </c>
      <c r="M2248" t="str">
        <f t="shared" si="70"/>
        <v/>
      </c>
      <c r="N2248" t="str">
        <f>IFERROR(VLOOKUP(D2248,'Team Data'!C:AB,23,FALSE),"")</f>
        <v/>
      </c>
      <c r="O2248" t="str">
        <f>IFERROR(VLOOKUP(D2248,'Team Data'!C:AB,22,FALSE),"")</f>
        <v/>
      </c>
      <c r="P2248" t="str">
        <f t="shared" si="71"/>
        <v/>
      </c>
      <c r="Q2248" t="str">
        <f>IFERROR(VLOOKUP(D2248,'Team Data'!C:AB,15,FALSE),"")</f>
        <v/>
      </c>
      <c r="R2248" t="str">
        <f>IFERROR(VLOOKUP('OB Format'!D2248,'Team Data'!C:AB,24,FALSE),"")</f>
        <v/>
      </c>
      <c r="S2248" t="str">
        <f>IFERROR(VLOOKUP('OB Format'!D2248,'Team Data'!C:AC,25,FALSE),"")</f>
        <v/>
      </c>
    </row>
    <row r="2249" spans="5:19" x14ac:dyDescent="0.25">
      <c r="E2249" t="str">
        <f>IFERROR(VLOOKUP(D2249,'Team Data'!C:AB,4,FALSE),"")</f>
        <v/>
      </c>
      <c r="F2249" t="str">
        <f>IFERROR(VLOOKUP(D2249,'Team Data'!C:AB,5,FALSE),"")</f>
        <v/>
      </c>
      <c r="G2249" t="str">
        <f>IFERROR(VLOOKUP('OB Format'!D2249,'Team Data'!C:AB,17,FALSE),"")</f>
        <v/>
      </c>
      <c r="H2249" t="str">
        <f>IFERROR(VLOOKUP(D2249,'Team Data'!C:AB,7,FALSE),"")</f>
        <v/>
      </c>
      <c r="I2249" t="str">
        <f>IFERROR(VLOOKUP(D2249,'Team Data'!C:AB,14,FALSE),"")</f>
        <v/>
      </c>
      <c r="J2249" t="str">
        <f>IFERROR(VLOOKUP(D2249,'Team Data'!C:AB,8,FALSE),"")</f>
        <v/>
      </c>
      <c r="K2249" t="str">
        <f>IFERROR(VLOOKUP(D2249,'Team Data'!C:AB,9,FALSE),"")</f>
        <v/>
      </c>
      <c r="L2249" t="str">
        <f>IFERROR(VLOOKUP(D2249,'Team Data'!C:AB,10,FALSE),"")</f>
        <v/>
      </c>
      <c r="M2249" t="str">
        <f t="shared" si="70"/>
        <v/>
      </c>
      <c r="N2249" t="str">
        <f>IFERROR(VLOOKUP(D2249,'Team Data'!C:AB,23,FALSE),"")</f>
        <v/>
      </c>
      <c r="O2249" t="str">
        <f>IFERROR(VLOOKUP(D2249,'Team Data'!C:AB,22,FALSE),"")</f>
        <v/>
      </c>
      <c r="P2249" t="str">
        <f t="shared" si="71"/>
        <v/>
      </c>
      <c r="Q2249" t="str">
        <f>IFERROR(VLOOKUP(D2249,'Team Data'!C:AB,15,FALSE),"")</f>
        <v/>
      </c>
      <c r="R2249" t="str">
        <f>IFERROR(VLOOKUP('OB Format'!D2249,'Team Data'!C:AB,24,FALSE),"")</f>
        <v/>
      </c>
      <c r="S2249" t="str">
        <f>IFERROR(VLOOKUP('OB Format'!D2249,'Team Data'!C:AC,25,FALSE),"")</f>
        <v/>
      </c>
    </row>
    <row r="2250" spans="5:19" x14ac:dyDescent="0.25">
      <c r="E2250" t="str">
        <f>IFERROR(VLOOKUP(D2250,'Team Data'!C:AB,4,FALSE),"")</f>
        <v/>
      </c>
      <c r="F2250" t="str">
        <f>IFERROR(VLOOKUP(D2250,'Team Data'!C:AB,5,FALSE),"")</f>
        <v/>
      </c>
      <c r="G2250" t="str">
        <f>IFERROR(VLOOKUP('OB Format'!D2250,'Team Data'!C:AB,17,FALSE),"")</f>
        <v/>
      </c>
      <c r="H2250" t="str">
        <f>IFERROR(VLOOKUP(D2250,'Team Data'!C:AB,7,FALSE),"")</f>
        <v/>
      </c>
      <c r="I2250" t="str">
        <f>IFERROR(VLOOKUP(D2250,'Team Data'!C:AB,14,FALSE),"")</f>
        <v/>
      </c>
      <c r="J2250" t="str">
        <f>IFERROR(VLOOKUP(D2250,'Team Data'!C:AB,8,FALSE),"")</f>
        <v/>
      </c>
      <c r="K2250" t="str">
        <f>IFERROR(VLOOKUP(D2250,'Team Data'!C:AB,9,FALSE),"")</f>
        <v/>
      </c>
      <c r="L2250" t="str">
        <f>IFERROR(VLOOKUP(D2250,'Team Data'!C:AB,10,FALSE),"")</f>
        <v/>
      </c>
      <c r="M2250" t="str">
        <f t="shared" si="70"/>
        <v/>
      </c>
      <c r="N2250" t="str">
        <f>IFERROR(VLOOKUP(D2250,'Team Data'!C:AB,23,FALSE),"")</f>
        <v/>
      </c>
      <c r="O2250" t="str">
        <f>IFERROR(VLOOKUP(D2250,'Team Data'!C:AB,22,FALSE),"")</f>
        <v/>
      </c>
      <c r="P2250" t="str">
        <f t="shared" si="71"/>
        <v/>
      </c>
      <c r="Q2250" t="str">
        <f>IFERROR(VLOOKUP(D2250,'Team Data'!C:AB,15,FALSE),"")</f>
        <v/>
      </c>
      <c r="R2250" t="str">
        <f>IFERROR(VLOOKUP('OB Format'!D2250,'Team Data'!C:AB,24,FALSE),"")</f>
        <v/>
      </c>
      <c r="S2250" t="str">
        <f>IFERROR(VLOOKUP('OB Format'!D2250,'Team Data'!C:AC,25,FALSE),"")</f>
        <v/>
      </c>
    </row>
    <row r="2251" spans="5:19" x14ac:dyDescent="0.25">
      <c r="E2251" t="str">
        <f>IFERROR(VLOOKUP(D2251,'Team Data'!C:AB,4,FALSE),"")</f>
        <v/>
      </c>
      <c r="F2251" t="str">
        <f>IFERROR(VLOOKUP(D2251,'Team Data'!C:AB,5,FALSE),"")</f>
        <v/>
      </c>
      <c r="G2251" t="str">
        <f>IFERROR(VLOOKUP('OB Format'!D2251,'Team Data'!C:AB,17,FALSE),"")</f>
        <v/>
      </c>
      <c r="H2251" t="str">
        <f>IFERROR(VLOOKUP(D2251,'Team Data'!C:AB,7,FALSE),"")</f>
        <v/>
      </c>
      <c r="I2251" t="str">
        <f>IFERROR(VLOOKUP(D2251,'Team Data'!C:AB,14,FALSE),"")</f>
        <v/>
      </c>
      <c r="J2251" t="str">
        <f>IFERROR(VLOOKUP(D2251,'Team Data'!C:AB,8,FALSE),"")</f>
        <v/>
      </c>
      <c r="K2251" t="str">
        <f>IFERROR(VLOOKUP(D2251,'Team Data'!C:AB,9,FALSE),"")</f>
        <v/>
      </c>
      <c r="L2251" t="str">
        <f>IFERROR(VLOOKUP(D2251,'Team Data'!C:AB,10,FALSE),"")</f>
        <v/>
      </c>
      <c r="M2251" t="str">
        <f t="shared" si="70"/>
        <v/>
      </c>
      <c r="N2251" t="str">
        <f>IFERROR(VLOOKUP(D2251,'Team Data'!C:AB,23,FALSE),"")</f>
        <v/>
      </c>
      <c r="O2251" t="str">
        <f>IFERROR(VLOOKUP(D2251,'Team Data'!C:AB,22,FALSE),"")</f>
        <v/>
      </c>
      <c r="P2251" t="str">
        <f t="shared" si="71"/>
        <v/>
      </c>
      <c r="Q2251" t="str">
        <f>IFERROR(VLOOKUP(D2251,'Team Data'!C:AB,15,FALSE),"")</f>
        <v/>
      </c>
      <c r="R2251" t="str">
        <f>IFERROR(VLOOKUP('OB Format'!D2251,'Team Data'!C:AB,24,FALSE),"")</f>
        <v/>
      </c>
      <c r="S2251" t="str">
        <f>IFERROR(VLOOKUP('OB Format'!D2251,'Team Data'!C:AC,25,FALSE),"")</f>
        <v/>
      </c>
    </row>
    <row r="2252" spans="5:19" x14ac:dyDescent="0.25">
      <c r="E2252" t="str">
        <f>IFERROR(VLOOKUP(D2252,'Team Data'!C:AB,4,FALSE),"")</f>
        <v/>
      </c>
      <c r="F2252" t="str">
        <f>IFERROR(VLOOKUP(D2252,'Team Data'!C:AB,5,FALSE),"")</f>
        <v/>
      </c>
      <c r="G2252" t="str">
        <f>IFERROR(VLOOKUP('OB Format'!D2252,'Team Data'!C:AB,17,FALSE),"")</f>
        <v/>
      </c>
      <c r="H2252" t="str">
        <f>IFERROR(VLOOKUP(D2252,'Team Data'!C:AB,7,FALSE),"")</f>
        <v/>
      </c>
      <c r="I2252" t="str">
        <f>IFERROR(VLOOKUP(D2252,'Team Data'!C:AB,14,FALSE),"")</f>
        <v/>
      </c>
      <c r="J2252" t="str">
        <f>IFERROR(VLOOKUP(D2252,'Team Data'!C:AB,8,FALSE),"")</f>
        <v/>
      </c>
      <c r="K2252" t="str">
        <f>IFERROR(VLOOKUP(D2252,'Team Data'!C:AB,9,FALSE),"")</f>
        <v/>
      </c>
      <c r="L2252" t="str">
        <f>IFERROR(VLOOKUP(D2252,'Team Data'!C:AB,10,FALSE),"")</f>
        <v/>
      </c>
      <c r="M2252" t="str">
        <f t="shared" si="70"/>
        <v/>
      </c>
      <c r="N2252" t="str">
        <f>IFERROR(VLOOKUP(D2252,'Team Data'!C:AB,23,FALSE),"")</f>
        <v/>
      </c>
      <c r="O2252" t="str">
        <f>IFERROR(VLOOKUP(D2252,'Team Data'!C:AB,22,FALSE),"")</f>
        <v/>
      </c>
      <c r="P2252" t="str">
        <f t="shared" si="71"/>
        <v/>
      </c>
      <c r="Q2252" t="str">
        <f>IFERROR(VLOOKUP(D2252,'Team Data'!C:AB,15,FALSE),"")</f>
        <v/>
      </c>
      <c r="R2252" t="str">
        <f>IFERROR(VLOOKUP('OB Format'!D2252,'Team Data'!C:AB,24,FALSE),"")</f>
        <v/>
      </c>
      <c r="S2252" t="str">
        <f>IFERROR(VLOOKUP('OB Format'!D2252,'Team Data'!C:AC,25,FALSE),"")</f>
        <v/>
      </c>
    </row>
    <row r="2253" spans="5:19" x14ac:dyDescent="0.25">
      <c r="E2253" t="str">
        <f>IFERROR(VLOOKUP(D2253,'Team Data'!C:AB,4,FALSE),"")</f>
        <v/>
      </c>
      <c r="F2253" t="str">
        <f>IFERROR(VLOOKUP(D2253,'Team Data'!C:AB,5,FALSE),"")</f>
        <v/>
      </c>
      <c r="G2253" t="str">
        <f>IFERROR(VLOOKUP('OB Format'!D2253,'Team Data'!C:AB,17,FALSE),"")</f>
        <v/>
      </c>
      <c r="H2253" t="str">
        <f>IFERROR(VLOOKUP(D2253,'Team Data'!C:AB,7,FALSE),"")</f>
        <v/>
      </c>
      <c r="I2253" t="str">
        <f>IFERROR(VLOOKUP(D2253,'Team Data'!C:AB,14,FALSE),"")</f>
        <v/>
      </c>
      <c r="J2253" t="str">
        <f>IFERROR(VLOOKUP(D2253,'Team Data'!C:AB,8,FALSE),"")</f>
        <v/>
      </c>
      <c r="K2253" t="str">
        <f>IFERROR(VLOOKUP(D2253,'Team Data'!C:AB,9,FALSE),"")</f>
        <v/>
      </c>
      <c r="L2253" t="str">
        <f>IFERROR(VLOOKUP(D2253,'Team Data'!C:AB,10,FALSE),"")</f>
        <v/>
      </c>
      <c r="M2253" t="str">
        <f t="shared" ref="M2253:M2316" si="72">IFERROR(H2253-(J2253+L2253+K2253),"")</f>
        <v/>
      </c>
      <c r="N2253" t="str">
        <f>IFERROR(VLOOKUP(D2253,'Team Data'!C:AB,23,FALSE),"")</f>
        <v/>
      </c>
      <c r="O2253" t="str">
        <f>IFERROR(VLOOKUP(D2253,'Team Data'!C:AB,22,FALSE),"")</f>
        <v/>
      </c>
      <c r="P2253" t="str">
        <f t="shared" ref="P2253:P2316" si="73">IFERROR(E2253-(H2253+N2253+Q2253+I2253+O2253),"")</f>
        <v/>
      </c>
      <c r="Q2253" t="str">
        <f>IFERROR(VLOOKUP(D2253,'Team Data'!C:AB,15,FALSE),"")</f>
        <v/>
      </c>
      <c r="R2253" t="str">
        <f>IFERROR(VLOOKUP('OB Format'!D2253,'Team Data'!C:AB,24,FALSE),"")</f>
        <v/>
      </c>
      <c r="S2253" t="str">
        <f>IFERROR(VLOOKUP('OB Format'!D2253,'Team Data'!C:AC,25,FALSE),"")</f>
        <v/>
      </c>
    </row>
    <row r="2254" spans="5:19" x14ac:dyDescent="0.25">
      <c r="E2254" t="str">
        <f>IFERROR(VLOOKUP(D2254,'Team Data'!C:AB,4,FALSE),"")</f>
        <v/>
      </c>
      <c r="F2254" t="str">
        <f>IFERROR(VLOOKUP(D2254,'Team Data'!C:AB,5,FALSE),"")</f>
        <v/>
      </c>
      <c r="G2254" t="str">
        <f>IFERROR(VLOOKUP('OB Format'!D2254,'Team Data'!C:AB,17,FALSE),"")</f>
        <v/>
      </c>
      <c r="H2254" t="str">
        <f>IFERROR(VLOOKUP(D2254,'Team Data'!C:AB,7,FALSE),"")</f>
        <v/>
      </c>
      <c r="I2254" t="str">
        <f>IFERROR(VLOOKUP(D2254,'Team Data'!C:AB,14,FALSE),"")</f>
        <v/>
      </c>
      <c r="J2254" t="str">
        <f>IFERROR(VLOOKUP(D2254,'Team Data'!C:AB,8,FALSE),"")</f>
        <v/>
      </c>
      <c r="K2254" t="str">
        <f>IFERROR(VLOOKUP(D2254,'Team Data'!C:AB,9,FALSE),"")</f>
        <v/>
      </c>
      <c r="L2254" t="str">
        <f>IFERROR(VLOOKUP(D2254,'Team Data'!C:AB,10,FALSE),"")</f>
        <v/>
      </c>
      <c r="M2254" t="str">
        <f t="shared" si="72"/>
        <v/>
      </c>
      <c r="N2254" t="str">
        <f>IFERROR(VLOOKUP(D2254,'Team Data'!C:AB,23,FALSE),"")</f>
        <v/>
      </c>
      <c r="O2254" t="str">
        <f>IFERROR(VLOOKUP(D2254,'Team Data'!C:AB,22,FALSE),"")</f>
        <v/>
      </c>
      <c r="P2254" t="str">
        <f t="shared" si="73"/>
        <v/>
      </c>
      <c r="Q2254" t="str">
        <f>IFERROR(VLOOKUP(D2254,'Team Data'!C:AB,15,FALSE),"")</f>
        <v/>
      </c>
      <c r="R2254" t="str">
        <f>IFERROR(VLOOKUP('OB Format'!D2254,'Team Data'!C:AB,24,FALSE),"")</f>
        <v/>
      </c>
      <c r="S2254" t="str">
        <f>IFERROR(VLOOKUP('OB Format'!D2254,'Team Data'!C:AC,25,FALSE),"")</f>
        <v/>
      </c>
    </row>
    <row r="2255" spans="5:19" x14ac:dyDescent="0.25">
      <c r="E2255" t="str">
        <f>IFERROR(VLOOKUP(D2255,'Team Data'!C:AB,4,FALSE),"")</f>
        <v/>
      </c>
      <c r="F2255" t="str">
        <f>IFERROR(VLOOKUP(D2255,'Team Data'!C:AB,5,FALSE),"")</f>
        <v/>
      </c>
      <c r="G2255" t="str">
        <f>IFERROR(VLOOKUP('OB Format'!D2255,'Team Data'!C:AB,17,FALSE),"")</f>
        <v/>
      </c>
      <c r="H2255" t="str">
        <f>IFERROR(VLOOKUP(D2255,'Team Data'!C:AB,7,FALSE),"")</f>
        <v/>
      </c>
      <c r="I2255" t="str">
        <f>IFERROR(VLOOKUP(D2255,'Team Data'!C:AB,14,FALSE),"")</f>
        <v/>
      </c>
      <c r="J2255" t="str">
        <f>IFERROR(VLOOKUP(D2255,'Team Data'!C:AB,8,FALSE),"")</f>
        <v/>
      </c>
      <c r="K2255" t="str">
        <f>IFERROR(VLOOKUP(D2255,'Team Data'!C:AB,9,FALSE),"")</f>
        <v/>
      </c>
      <c r="L2255" t="str">
        <f>IFERROR(VLOOKUP(D2255,'Team Data'!C:AB,10,FALSE),"")</f>
        <v/>
      </c>
      <c r="M2255" t="str">
        <f t="shared" si="72"/>
        <v/>
      </c>
      <c r="N2255" t="str">
        <f>IFERROR(VLOOKUP(D2255,'Team Data'!C:AB,23,FALSE),"")</f>
        <v/>
      </c>
      <c r="O2255" t="str">
        <f>IFERROR(VLOOKUP(D2255,'Team Data'!C:AB,22,FALSE),"")</f>
        <v/>
      </c>
      <c r="P2255" t="str">
        <f t="shared" si="73"/>
        <v/>
      </c>
      <c r="Q2255" t="str">
        <f>IFERROR(VLOOKUP(D2255,'Team Data'!C:AB,15,FALSE),"")</f>
        <v/>
      </c>
      <c r="R2255" t="str">
        <f>IFERROR(VLOOKUP('OB Format'!D2255,'Team Data'!C:AB,24,FALSE),"")</f>
        <v/>
      </c>
      <c r="S2255" t="str">
        <f>IFERROR(VLOOKUP('OB Format'!D2255,'Team Data'!C:AC,25,FALSE),"")</f>
        <v/>
      </c>
    </row>
    <row r="2256" spans="5:19" x14ac:dyDescent="0.25">
      <c r="E2256" t="str">
        <f>IFERROR(VLOOKUP(D2256,'Team Data'!C:AB,4,FALSE),"")</f>
        <v/>
      </c>
      <c r="F2256" t="str">
        <f>IFERROR(VLOOKUP(D2256,'Team Data'!C:AB,5,FALSE),"")</f>
        <v/>
      </c>
      <c r="G2256" t="str">
        <f>IFERROR(VLOOKUP('OB Format'!D2256,'Team Data'!C:AB,17,FALSE),"")</f>
        <v/>
      </c>
      <c r="H2256" t="str">
        <f>IFERROR(VLOOKUP(D2256,'Team Data'!C:AB,7,FALSE),"")</f>
        <v/>
      </c>
      <c r="I2256" t="str">
        <f>IFERROR(VLOOKUP(D2256,'Team Data'!C:AB,14,FALSE),"")</f>
        <v/>
      </c>
      <c r="J2256" t="str">
        <f>IFERROR(VLOOKUP(D2256,'Team Data'!C:AB,8,FALSE),"")</f>
        <v/>
      </c>
      <c r="K2256" t="str">
        <f>IFERROR(VLOOKUP(D2256,'Team Data'!C:AB,9,FALSE),"")</f>
        <v/>
      </c>
      <c r="L2256" t="str">
        <f>IFERROR(VLOOKUP(D2256,'Team Data'!C:AB,10,FALSE),"")</f>
        <v/>
      </c>
      <c r="M2256" t="str">
        <f t="shared" si="72"/>
        <v/>
      </c>
      <c r="N2256" t="str">
        <f>IFERROR(VLOOKUP(D2256,'Team Data'!C:AB,23,FALSE),"")</f>
        <v/>
      </c>
      <c r="O2256" t="str">
        <f>IFERROR(VLOOKUP(D2256,'Team Data'!C:AB,22,FALSE),"")</f>
        <v/>
      </c>
      <c r="P2256" t="str">
        <f t="shared" si="73"/>
        <v/>
      </c>
      <c r="Q2256" t="str">
        <f>IFERROR(VLOOKUP(D2256,'Team Data'!C:AB,15,FALSE),"")</f>
        <v/>
      </c>
      <c r="R2256" t="str">
        <f>IFERROR(VLOOKUP('OB Format'!D2256,'Team Data'!C:AB,24,FALSE),"")</f>
        <v/>
      </c>
      <c r="S2256" t="str">
        <f>IFERROR(VLOOKUP('OB Format'!D2256,'Team Data'!C:AC,25,FALSE),"")</f>
        <v/>
      </c>
    </row>
    <row r="2257" spans="5:19" x14ac:dyDescent="0.25">
      <c r="E2257" t="str">
        <f>IFERROR(VLOOKUP(D2257,'Team Data'!C:AB,4,FALSE),"")</f>
        <v/>
      </c>
      <c r="F2257" t="str">
        <f>IFERROR(VLOOKUP(D2257,'Team Data'!C:AB,5,FALSE),"")</f>
        <v/>
      </c>
      <c r="G2257" t="str">
        <f>IFERROR(VLOOKUP('OB Format'!D2257,'Team Data'!C:AB,17,FALSE),"")</f>
        <v/>
      </c>
      <c r="H2257" t="str">
        <f>IFERROR(VLOOKUP(D2257,'Team Data'!C:AB,7,FALSE),"")</f>
        <v/>
      </c>
      <c r="I2257" t="str">
        <f>IFERROR(VLOOKUP(D2257,'Team Data'!C:AB,14,FALSE),"")</f>
        <v/>
      </c>
      <c r="J2257" t="str">
        <f>IFERROR(VLOOKUP(D2257,'Team Data'!C:AB,8,FALSE),"")</f>
        <v/>
      </c>
      <c r="K2257" t="str">
        <f>IFERROR(VLOOKUP(D2257,'Team Data'!C:AB,9,FALSE),"")</f>
        <v/>
      </c>
      <c r="L2257" t="str">
        <f>IFERROR(VLOOKUP(D2257,'Team Data'!C:AB,10,FALSE),"")</f>
        <v/>
      </c>
      <c r="M2257" t="str">
        <f t="shared" si="72"/>
        <v/>
      </c>
      <c r="N2257" t="str">
        <f>IFERROR(VLOOKUP(D2257,'Team Data'!C:AB,23,FALSE),"")</f>
        <v/>
      </c>
      <c r="O2257" t="str">
        <f>IFERROR(VLOOKUP(D2257,'Team Data'!C:AB,22,FALSE),"")</f>
        <v/>
      </c>
      <c r="P2257" t="str">
        <f t="shared" si="73"/>
        <v/>
      </c>
      <c r="Q2257" t="str">
        <f>IFERROR(VLOOKUP(D2257,'Team Data'!C:AB,15,FALSE),"")</f>
        <v/>
      </c>
      <c r="R2257" t="str">
        <f>IFERROR(VLOOKUP('OB Format'!D2257,'Team Data'!C:AB,24,FALSE),"")</f>
        <v/>
      </c>
      <c r="S2257" t="str">
        <f>IFERROR(VLOOKUP('OB Format'!D2257,'Team Data'!C:AC,25,FALSE),"")</f>
        <v/>
      </c>
    </row>
    <row r="2258" spans="5:19" x14ac:dyDescent="0.25">
      <c r="E2258" t="str">
        <f>IFERROR(VLOOKUP(D2258,'Team Data'!C:AB,4,FALSE),"")</f>
        <v/>
      </c>
      <c r="F2258" t="str">
        <f>IFERROR(VLOOKUP(D2258,'Team Data'!C:AB,5,FALSE),"")</f>
        <v/>
      </c>
      <c r="G2258" t="str">
        <f>IFERROR(VLOOKUP('OB Format'!D2258,'Team Data'!C:AB,17,FALSE),"")</f>
        <v/>
      </c>
      <c r="H2258" t="str">
        <f>IFERROR(VLOOKUP(D2258,'Team Data'!C:AB,7,FALSE),"")</f>
        <v/>
      </c>
      <c r="I2258" t="str">
        <f>IFERROR(VLOOKUP(D2258,'Team Data'!C:AB,14,FALSE),"")</f>
        <v/>
      </c>
      <c r="J2258" t="str">
        <f>IFERROR(VLOOKUP(D2258,'Team Data'!C:AB,8,FALSE),"")</f>
        <v/>
      </c>
      <c r="K2258" t="str">
        <f>IFERROR(VLOOKUP(D2258,'Team Data'!C:AB,9,FALSE),"")</f>
        <v/>
      </c>
      <c r="L2258" t="str">
        <f>IFERROR(VLOOKUP(D2258,'Team Data'!C:AB,10,FALSE),"")</f>
        <v/>
      </c>
      <c r="M2258" t="str">
        <f t="shared" si="72"/>
        <v/>
      </c>
      <c r="N2258" t="str">
        <f>IFERROR(VLOOKUP(D2258,'Team Data'!C:AB,23,FALSE),"")</f>
        <v/>
      </c>
      <c r="O2258" t="str">
        <f>IFERROR(VLOOKUP(D2258,'Team Data'!C:AB,22,FALSE),"")</f>
        <v/>
      </c>
      <c r="P2258" t="str">
        <f t="shared" si="73"/>
        <v/>
      </c>
      <c r="Q2258" t="str">
        <f>IFERROR(VLOOKUP(D2258,'Team Data'!C:AB,15,FALSE),"")</f>
        <v/>
      </c>
      <c r="R2258" t="str">
        <f>IFERROR(VLOOKUP('OB Format'!D2258,'Team Data'!C:AB,24,FALSE),"")</f>
        <v/>
      </c>
      <c r="S2258" t="str">
        <f>IFERROR(VLOOKUP('OB Format'!D2258,'Team Data'!C:AC,25,FALSE),"")</f>
        <v/>
      </c>
    </row>
    <row r="2259" spans="5:19" x14ac:dyDescent="0.25">
      <c r="E2259" t="str">
        <f>IFERROR(VLOOKUP(D2259,'Team Data'!C:AB,4,FALSE),"")</f>
        <v/>
      </c>
      <c r="F2259" t="str">
        <f>IFERROR(VLOOKUP(D2259,'Team Data'!C:AB,5,FALSE),"")</f>
        <v/>
      </c>
      <c r="G2259" t="str">
        <f>IFERROR(VLOOKUP('OB Format'!D2259,'Team Data'!C:AB,17,FALSE),"")</f>
        <v/>
      </c>
      <c r="H2259" t="str">
        <f>IFERROR(VLOOKUP(D2259,'Team Data'!C:AB,7,FALSE),"")</f>
        <v/>
      </c>
      <c r="I2259" t="str">
        <f>IFERROR(VLOOKUP(D2259,'Team Data'!C:AB,14,FALSE),"")</f>
        <v/>
      </c>
      <c r="J2259" t="str">
        <f>IFERROR(VLOOKUP(D2259,'Team Data'!C:AB,8,FALSE),"")</f>
        <v/>
      </c>
      <c r="K2259" t="str">
        <f>IFERROR(VLOOKUP(D2259,'Team Data'!C:AB,9,FALSE),"")</f>
        <v/>
      </c>
      <c r="L2259" t="str">
        <f>IFERROR(VLOOKUP(D2259,'Team Data'!C:AB,10,FALSE),"")</f>
        <v/>
      </c>
      <c r="M2259" t="str">
        <f t="shared" si="72"/>
        <v/>
      </c>
      <c r="N2259" t="str">
        <f>IFERROR(VLOOKUP(D2259,'Team Data'!C:AB,23,FALSE),"")</f>
        <v/>
      </c>
      <c r="O2259" t="str">
        <f>IFERROR(VLOOKUP(D2259,'Team Data'!C:AB,22,FALSE),"")</f>
        <v/>
      </c>
      <c r="P2259" t="str">
        <f t="shared" si="73"/>
        <v/>
      </c>
      <c r="Q2259" t="str">
        <f>IFERROR(VLOOKUP(D2259,'Team Data'!C:AB,15,FALSE),"")</f>
        <v/>
      </c>
      <c r="R2259" t="str">
        <f>IFERROR(VLOOKUP('OB Format'!D2259,'Team Data'!C:AB,24,FALSE),"")</f>
        <v/>
      </c>
      <c r="S2259" t="str">
        <f>IFERROR(VLOOKUP('OB Format'!D2259,'Team Data'!C:AC,25,FALSE),"")</f>
        <v/>
      </c>
    </row>
    <row r="2260" spans="5:19" x14ac:dyDescent="0.25">
      <c r="E2260" t="str">
        <f>IFERROR(VLOOKUP(D2260,'Team Data'!C:AB,4,FALSE),"")</f>
        <v/>
      </c>
      <c r="F2260" t="str">
        <f>IFERROR(VLOOKUP(D2260,'Team Data'!C:AB,5,FALSE),"")</f>
        <v/>
      </c>
      <c r="G2260" t="str">
        <f>IFERROR(VLOOKUP('OB Format'!D2260,'Team Data'!C:AB,17,FALSE),"")</f>
        <v/>
      </c>
      <c r="H2260" t="str">
        <f>IFERROR(VLOOKUP(D2260,'Team Data'!C:AB,7,FALSE),"")</f>
        <v/>
      </c>
      <c r="I2260" t="str">
        <f>IFERROR(VLOOKUP(D2260,'Team Data'!C:AB,14,FALSE),"")</f>
        <v/>
      </c>
      <c r="J2260" t="str">
        <f>IFERROR(VLOOKUP(D2260,'Team Data'!C:AB,8,FALSE),"")</f>
        <v/>
      </c>
      <c r="K2260" t="str">
        <f>IFERROR(VLOOKUP(D2260,'Team Data'!C:AB,9,FALSE),"")</f>
        <v/>
      </c>
      <c r="L2260" t="str">
        <f>IFERROR(VLOOKUP(D2260,'Team Data'!C:AB,10,FALSE),"")</f>
        <v/>
      </c>
      <c r="M2260" t="str">
        <f t="shared" si="72"/>
        <v/>
      </c>
      <c r="N2260" t="str">
        <f>IFERROR(VLOOKUP(D2260,'Team Data'!C:AB,23,FALSE),"")</f>
        <v/>
      </c>
      <c r="O2260" t="str">
        <f>IFERROR(VLOOKUP(D2260,'Team Data'!C:AB,22,FALSE),"")</f>
        <v/>
      </c>
      <c r="P2260" t="str">
        <f t="shared" si="73"/>
        <v/>
      </c>
      <c r="Q2260" t="str">
        <f>IFERROR(VLOOKUP(D2260,'Team Data'!C:AB,15,FALSE),"")</f>
        <v/>
      </c>
      <c r="R2260" t="str">
        <f>IFERROR(VLOOKUP('OB Format'!D2260,'Team Data'!C:AB,24,FALSE),"")</f>
        <v/>
      </c>
      <c r="S2260" t="str">
        <f>IFERROR(VLOOKUP('OB Format'!D2260,'Team Data'!C:AC,25,FALSE),"")</f>
        <v/>
      </c>
    </row>
    <row r="2261" spans="5:19" x14ac:dyDescent="0.25">
      <c r="E2261" t="str">
        <f>IFERROR(VLOOKUP(D2261,'Team Data'!C:AB,4,FALSE),"")</f>
        <v/>
      </c>
      <c r="F2261" t="str">
        <f>IFERROR(VLOOKUP(D2261,'Team Data'!C:AB,5,FALSE),"")</f>
        <v/>
      </c>
      <c r="G2261" t="str">
        <f>IFERROR(VLOOKUP('OB Format'!D2261,'Team Data'!C:AB,17,FALSE),"")</f>
        <v/>
      </c>
      <c r="H2261" t="str">
        <f>IFERROR(VLOOKUP(D2261,'Team Data'!C:AB,7,FALSE),"")</f>
        <v/>
      </c>
      <c r="I2261" t="str">
        <f>IFERROR(VLOOKUP(D2261,'Team Data'!C:AB,14,FALSE),"")</f>
        <v/>
      </c>
      <c r="J2261" t="str">
        <f>IFERROR(VLOOKUP(D2261,'Team Data'!C:AB,8,FALSE),"")</f>
        <v/>
      </c>
      <c r="K2261" t="str">
        <f>IFERROR(VLOOKUP(D2261,'Team Data'!C:AB,9,FALSE),"")</f>
        <v/>
      </c>
      <c r="L2261" t="str">
        <f>IFERROR(VLOOKUP(D2261,'Team Data'!C:AB,10,FALSE),"")</f>
        <v/>
      </c>
      <c r="M2261" t="str">
        <f t="shared" si="72"/>
        <v/>
      </c>
      <c r="N2261" t="str">
        <f>IFERROR(VLOOKUP(D2261,'Team Data'!C:AB,23,FALSE),"")</f>
        <v/>
      </c>
      <c r="O2261" t="str">
        <f>IFERROR(VLOOKUP(D2261,'Team Data'!C:AB,22,FALSE),"")</f>
        <v/>
      </c>
      <c r="P2261" t="str">
        <f t="shared" si="73"/>
        <v/>
      </c>
      <c r="Q2261" t="str">
        <f>IFERROR(VLOOKUP(D2261,'Team Data'!C:AB,15,FALSE),"")</f>
        <v/>
      </c>
      <c r="R2261" t="str">
        <f>IFERROR(VLOOKUP('OB Format'!D2261,'Team Data'!C:AB,24,FALSE),"")</f>
        <v/>
      </c>
      <c r="S2261" t="str">
        <f>IFERROR(VLOOKUP('OB Format'!D2261,'Team Data'!C:AC,25,FALSE),"")</f>
        <v/>
      </c>
    </row>
    <row r="2262" spans="5:19" x14ac:dyDescent="0.25">
      <c r="E2262" t="str">
        <f>IFERROR(VLOOKUP(D2262,'Team Data'!C:AB,4,FALSE),"")</f>
        <v/>
      </c>
      <c r="F2262" t="str">
        <f>IFERROR(VLOOKUP(D2262,'Team Data'!C:AB,5,FALSE),"")</f>
        <v/>
      </c>
      <c r="G2262" t="str">
        <f>IFERROR(VLOOKUP('OB Format'!D2262,'Team Data'!C:AB,17,FALSE),"")</f>
        <v/>
      </c>
      <c r="H2262" t="str">
        <f>IFERROR(VLOOKUP(D2262,'Team Data'!C:AB,7,FALSE),"")</f>
        <v/>
      </c>
      <c r="I2262" t="str">
        <f>IFERROR(VLOOKUP(D2262,'Team Data'!C:AB,14,FALSE),"")</f>
        <v/>
      </c>
      <c r="J2262" t="str">
        <f>IFERROR(VLOOKUP(D2262,'Team Data'!C:AB,8,FALSE),"")</f>
        <v/>
      </c>
      <c r="K2262" t="str">
        <f>IFERROR(VLOOKUP(D2262,'Team Data'!C:AB,9,FALSE),"")</f>
        <v/>
      </c>
      <c r="L2262" t="str">
        <f>IFERROR(VLOOKUP(D2262,'Team Data'!C:AB,10,FALSE),"")</f>
        <v/>
      </c>
      <c r="M2262" t="str">
        <f t="shared" si="72"/>
        <v/>
      </c>
      <c r="N2262" t="str">
        <f>IFERROR(VLOOKUP(D2262,'Team Data'!C:AB,23,FALSE),"")</f>
        <v/>
      </c>
      <c r="O2262" t="str">
        <f>IFERROR(VLOOKUP(D2262,'Team Data'!C:AB,22,FALSE),"")</f>
        <v/>
      </c>
      <c r="P2262" t="str">
        <f t="shared" si="73"/>
        <v/>
      </c>
      <c r="Q2262" t="str">
        <f>IFERROR(VLOOKUP(D2262,'Team Data'!C:AB,15,FALSE),"")</f>
        <v/>
      </c>
      <c r="R2262" t="str">
        <f>IFERROR(VLOOKUP('OB Format'!D2262,'Team Data'!C:AB,24,FALSE),"")</f>
        <v/>
      </c>
      <c r="S2262" t="str">
        <f>IFERROR(VLOOKUP('OB Format'!D2262,'Team Data'!C:AC,25,FALSE),"")</f>
        <v/>
      </c>
    </row>
    <row r="2263" spans="5:19" x14ac:dyDescent="0.25">
      <c r="E2263" t="str">
        <f>IFERROR(VLOOKUP(D2263,'Team Data'!C:AB,4,FALSE),"")</f>
        <v/>
      </c>
      <c r="F2263" t="str">
        <f>IFERROR(VLOOKUP(D2263,'Team Data'!C:AB,5,FALSE),"")</f>
        <v/>
      </c>
      <c r="G2263" t="str">
        <f>IFERROR(VLOOKUP('OB Format'!D2263,'Team Data'!C:AB,17,FALSE),"")</f>
        <v/>
      </c>
      <c r="H2263" t="str">
        <f>IFERROR(VLOOKUP(D2263,'Team Data'!C:AB,7,FALSE),"")</f>
        <v/>
      </c>
      <c r="I2263" t="str">
        <f>IFERROR(VLOOKUP(D2263,'Team Data'!C:AB,14,FALSE),"")</f>
        <v/>
      </c>
      <c r="J2263" t="str">
        <f>IFERROR(VLOOKUP(D2263,'Team Data'!C:AB,8,FALSE),"")</f>
        <v/>
      </c>
      <c r="K2263" t="str">
        <f>IFERROR(VLOOKUP(D2263,'Team Data'!C:AB,9,FALSE),"")</f>
        <v/>
      </c>
      <c r="L2263" t="str">
        <f>IFERROR(VLOOKUP(D2263,'Team Data'!C:AB,10,FALSE),"")</f>
        <v/>
      </c>
      <c r="M2263" t="str">
        <f t="shared" si="72"/>
        <v/>
      </c>
      <c r="N2263" t="str">
        <f>IFERROR(VLOOKUP(D2263,'Team Data'!C:AB,23,FALSE),"")</f>
        <v/>
      </c>
      <c r="O2263" t="str">
        <f>IFERROR(VLOOKUP(D2263,'Team Data'!C:AB,22,FALSE),"")</f>
        <v/>
      </c>
      <c r="P2263" t="str">
        <f t="shared" si="73"/>
        <v/>
      </c>
      <c r="Q2263" t="str">
        <f>IFERROR(VLOOKUP(D2263,'Team Data'!C:AB,15,FALSE),"")</f>
        <v/>
      </c>
      <c r="R2263" t="str">
        <f>IFERROR(VLOOKUP('OB Format'!D2263,'Team Data'!C:AB,24,FALSE),"")</f>
        <v/>
      </c>
      <c r="S2263" t="str">
        <f>IFERROR(VLOOKUP('OB Format'!D2263,'Team Data'!C:AC,25,FALSE),"")</f>
        <v/>
      </c>
    </row>
    <row r="2264" spans="5:19" x14ac:dyDescent="0.25">
      <c r="E2264" t="str">
        <f>IFERROR(VLOOKUP(D2264,'Team Data'!C:AB,4,FALSE),"")</f>
        <v/>
      </c>
      <c r="F2264" t="str">
        <f>IFERROR(VLOOKUP(D2264,'Team Data'!C:AB,5,FALSE),"")</f>
        <v/>
      </c>
      <c r="G2264" t="str">
        <f>IFERROR(VLOOKUP('OB Format'!D2264,'Team Data'!C:AB,17,FALSE),"")</f>
        <v/>
      </c>
      <c r="H2264" t="str">
        <f>IFERROR(VLOOKUP(D2264,'Team Data'!C:AB,7,FALSE),"")</f>
        <v/>
      </c>
      <c r="I2264" t="str">
        <f>IFERROR(VLOOKUP(D2264,'Team Data'!C:AB,14,FALSE),"")</f>
        <v/>
      </c>
      <c r="J2264" t="str">
        <f>IFERROR(VLOOKUP(D2264,'Team Data'!C:AB,8,FALSE),"")</f>
        <v/>
      </c>
      <c r="K2264" t="str">
        <f>IFERROR(VLOOKUP(D2264,'Team Data'!C:AB,9,FALSE),"")</f>
        <v/>
      </c>
      <c r="L2264" t="str">
        <f>IFERROR(VLOOKUP(D2264,'Team Data'!C:AB,10,FALSE),"")</f>
        <v/>
      </c>
      <c r="M2264" t="str">
        <f t="shared" si="72"/>
        <v/>
      </c>
      <c r="N2264" t="str">
        <f>IFERROR(VLOOKUP(D2264,'Team Data'!C:AB,23,FALSE),"")</f>
        <v/>
      </c>
      <c r="O2264" t="str">
        <f>IFERROR(VLOOKUP(D2264,'Team Data'!C:AB,22,FALSE),"")</f>
        <v/>
      </c>
      <c r="P2264" t="str">
        <f t="shared" si="73"/>
        <v/>
      </c>
      <c r="Q2264" t="str">
        <f>IFERROR(VLOOKUP(D2264,'Team Data'!C:AB,15,FALSE),"")</f>
        <v/>
      </c>
      <c r="R2264" t="str">
        <f>IFERROR(VLOOKUP('OB Format'!D2264,'Team Data'!C:AB,24,FALSE),"")</f>
        <v/>
      </c>
      <c r="S2264" t="str">
        <f>IFERROR(VLOOKUP('OB Format'!D2264,'Team Data'!C:AC,25,FALSE),"")</f>
        <v/>
      </c>
    </row>
    <row r="2265" spans="5:19" x14ac:dyDescent="0.25">
      <c r="E2265" t="str">
        <f>IFERROR(VLOOKUP(D2265,'Team Data'!C:AB,4,FALSE),"")</f>
        <v/>
      </c>
      <c r="F2265" t="str">
        <f>IFERROR(VLOOKUP(D2265,'Team Data'!C:AB,5,FALSE),"")</f>
        <v/>
      </c>
      <c r="G2265" t="str">
        <f>IFERROR(VLOOKUP('OB Format'!D2265,'Team Data'!C:AB,17,FALSE),"")</f>
        <v/>
      </c>
      <c r="H2265" t="str">
        <f>IFERROR(VLOOKUP(D2265,'Team Data'!C:AB,7,FALSE),"")</f>
        <v/>
      </c>
      <c r="I2265" t="str">
        <f>IFERROR(VLOOKUP(D2265,'Team Data'!C:AB,14,FALSE),"")</f>
        <v/>
      </c>
      <c r="J2265" t="str">
        <f>IFERROR(VLOOKUP(D2265,'Team Data'!C:AB,8,FALSE),"")</f>
        <v/>
      </c>
      <c r="K2265" t="str">
        <f>IFERROR(VLOOKUP(D2265,'Team Data'!C:AB,9,FALSE),"")</f>
        <v/>
      </c>
      <c r="L2265" t="str">
        <f>IFERROR(VLOOKUP(D2265,'Team Data'!C:AB,10,FALSE),"")</f>
        <v/>
      </c>
      <c r="M2265" t="str">
        <f t="shared" si="72"/>
        <v/>
      </c>
      <c r="N2265" t="str">
        <f>IFERROR(VLOOKUP(D2265,'Team Data'!C:AB,23,FALSE),"")</f>
        <v/>
      </c>
      <c r="O2265" t="str">
        <f>IFERROR(VLOOKUP(D2265,'Team Data'!C:AB,22,FALSE),"")</f>
        <v/>
      </c>
      <c r="P2265" t="str">
        <f t="shared" si="73"/>
        <v/>
      </c>
      <c r="Q2265" t="str">
        <f>IFERROR(VLOOKUP(D2265,'Team Data'!C:AB,15,FALSE),"")</f>
        <v/>
      </c>
      <c r="R2265" t="str">
        <f>IFERROR(VLOOKUP('OB Format'!D2265,'Team Data'!C:AB,24,FALSE),"")</f>
        <v/>
      </c>
      <c r="S2265" t="str">
        <f>IFERROR(VLOOKUP('OB Format'!D2265,'Team Data'!C:AC,25,FALSE),"")</f>
        <v/>
      </c>
    </row>
    <row r="2266" spans="5:19" x14ac:dyDescent="0.25">
      <c r="E2266" t="str">
        <f>IFERROR(VLOOKUP(D2266,'Team Data'!C:AB,4,FALSE),"")</f>
        <v/>
      </c>
      <c r="F2266" t="str">
        <f>IFERROR(VLOOKUP(D2266,'Team Data'!C:AB,5,FALSE),"")</f>
        <v/>
      </c>
      <c r="G2266" t="str">
        <f>IFERROR(VLOOKUP('OB Format'!D2266,'Team Data'!C:AB,17,FALSE),"")</f>
        <v/>
      </c>
      <c r="H2266" t="str">
        <f>IFERROR(VLOOKUP(D2266,'Team Data'!C:AB,7,FALSE),"")</f>
        <v/>
      </c>
      <c r="I2266" t="str">
        <f>IFERROR(VLOOKUP(D2266,'Team Data'!C:AB,14,FALSE),"")</f>
        <v/>
      </c>
      <c r="J2266" t="str">
        <f>IFERROR(VLOOKUP(D2266,'Team Data'!C:AB,8,FALSE),"")</f>
        <v/>
      </c>
      <c r="K2266" t="str">
        <f>IFERROR(VLOOKUP(D2266,'Team Data'!C:AB,9,FALSE),"")</f>
        <v/>
      </c>
      <c r="L2266" t="str">
        <f>IFERROR(VLOOKUP(D2266,'Team Data'!C:AB,10,FALSE),"")</f>
        <v/>
      </c>
      <c r="M2266" t="str">
        <f t="shared" si="72"/>
        <v/>
      </c>
      <c r="N2266" t="str">
        <f>IFERROR(VLOOKUP(D2266,'Team Data'!C:AB,23,FALSE),"")</f>
        <v/>
      </c>
      <c r="O2266" t="str">
        <f>IFERROR(VLOOKUP(D2266,'Team Data'!C:AB,22,FALSE),"")</f>
        <v/>
      </c>
      <c r="P2266" t="str">
        <f t="shared" si="73"/>
        <v/>
      </c>
      <c r="Q2266" t="str">
        <f>IFERROR(VLOOKUP(D2266,'Team Data'!C:AB,15,FALSE),"")</f>
        <v/>
      </c>
      <c r="R2266" t="str">
        <f>IFERROR(VLOOKUP('OB Format'!D2266,'Team Data'!C:AB,24,FALSE),"")</f>
        <v/>
      </c>
      <c r="S2266" t="str">
        <f>IFERROR(VLOOKUP('OB Format'!D2266,'Team Data'!C:AC,25,FALSE),"")</f>
        <v/>
      </c>
    </row>
    <row r="2267" spans="5:19" x14ac:dyDescent="0.25">
      <c r="E2267" t="str">
        <f>IFERROR(VLOOKUP(D2267,'Team Data'!C:AB,4,FALSE),"")</f>
        <v/>
      </c>
      <c r="F2267" t="str">
        <f>IFERROR(VLOOKUP(D2267,'Team Data'!C:AB,5,FALSE),"")</f>
        <v/>
      </c>
      <c r="G2267" t="str">
        <f>IFERROR(VLOOKUP('OB Format'!D2267,'Team Data'!C:AB,17,FALSE),"")</f>
        <v/>
      </c>
      <c r="H2267" t="str">
        <f>IFERROR(VLOOKUP(D2267,'Team Data'!C:AB,7,FALSE),"")</f>
        <v/>
      </c>
      <c r="I2267" t="str">
        <f>IFERROR(VLOOKUP(D2267,'Team Data'!C:AB,14,FALSE),"")</f>
        <v/>
      </c>
      <c r="J2267" t="str">
        <f>IFERROR(VLOOKUP(D2267,'Team Data'!C:AB,8,FALSE),"")</f>
        <v/>
      </c>
      <c r="K2267" t="str">
        <f>IFERROR(VLOOKUP(D2267,'Team Data'!C:AB,9,FALSE),"")</f>
        <v/>
      </c>
      <c r="L2267" t="str">
        <f>IFERROR(VLOOKUP(D2267,'Team Data'!C:AB,10,FALSE),"")</f>
        <v/>
      </c>
      <c r="M2267" t="str">
        <f t="shared" si="72"/>
        <v/>
      </c>
      <c r="N2267" t="str">
        <f>IFERROR(VLOOKUP(D2267,'Team Data'!C:AB,23,FALSE),"")</f>
        <v/>
      </c>
      <c r="O2267" t="str">
        <f>IFERROR(VLOOKUP(D2267,'Team Data'!C:AB,22,FALSE),"")</f>
        <v/>
      </c>
      <c r="P2267" t="str">
        <f t="shared" si="73"/>
        <v/>
      </c>
      <c r="Q2267" t="str">
        <f>IFERROR(VLOOKUP(D2267,'Team Data'!C:AB,15,FALSE),"")</f>
        <v/>
      </c>
      <c r="R2267" t="str">
        <f>IFERROR(VLOOKUP('OB Format'!D2267,'Team Data'!C:AB,24,FALSE),"")</f>
        <v/>
      </c>
      <c r="S2267" t="str">
        <f>IFERROR(VLOOKUP('OB Format'!D2267,'Team Data'!C:AC,25,FALSE),"")</f>
        <v/>
      </c>
    </row>
    <row r="2268" spans="5:19" x14ac:dyDescent="0.25">
      <c r="E2268" t="str">
        <f>IFERROR(VLOOKUP(D2268,'Team Data'!C:AB,4,FALSE),"")</f>
        <v/>
      </c>
      <c r="F2268" t="str">
        <f>IFERROR(VLOOKUP(D2268,'Team Data'!C:AB,5,FALSE),"")</f>
        <v/>
      </c>
      <c r="G2268" t="str">
        <f>IFERROR(VLOOKUP('OB Format'!D2268,'Team Data'!C:AB,17,FALSE),"")</f>
        <v/>
      </c>
      <c r="H2268" t="str">
        <f>IFERROR(VLOOKUP(D2268,'Team Data'!C:AB,7,FALSE),"")</f>
        <v/>
      </c>
      <c r="I2268" t="str">
        <f>IFERROR(VLOOKUP(D2268,'Team Data'!C:AB,14,FALSE),"")</f>
        <v/>
      </c>
      <c r="J2268" t="str">
        <f>IFERROR(VLOOKUP(D2268,'Team Data'!C:AB,8,FALSE),"")</f>
        <v/>
      </c>
      <c r="K2268" t="str">
        <f>IFERROR(VLOOKUP(D2268,'Team Data'!C:AB,9,FALSE),"")</f>
        <v/>
      </c>
      <c r="L2268" t="str">
        <f>IFERROR(VLOOKUP(D2268,'Team Data'!C:AB,10,FALSE),"")</f>
        <v/>
      </c>
      <c r="M2268" t="str">
        <f t="shared" si="72"/>
        <v/>
      </c>
      <c r="N2268" t="str">
        <f>IFERROR(VLOOKUP(D2268,'Team Data'!C:AB,23,FALSE),"")</f>
        <v/>
      </c>
      <c r="O2268" t="str">
        <f>IFERROR(VLOOKUP(D2268,'Team Data'!C:AB,22,FALSE),"")</f>
        <v/>
      </c>
      <c r="P2268" t="str">
        <f t="shared" si="73"/>
        <v/>
      </c>
      <c r="Q2268" t="str">
        <f>IFERROR(VLOOKUP(D2268,'Team Data'!C:AB,15,FALSE),"")</f>
        <v/>
      </c>
      <c r="R2268" t="str">
        <f>IFERROR(VLOOKUP('OB Format'!D2268,'Team Data'!C:AB,24,FALSE),"")</f>
        <v/>
      </c>
      <c r="S2268" t="str">
        <f>IFERROR(VLOOKUP('OB Format'!D2268,'Team Data'!C:AC,25,FALSE),"")</f>
        <v/>
      </c>
    </row>
    <row r="2269" spans="5:19" x14ac:dyDescent="0.25">
      <c r="E2269" t="str">
        <f>IFERROR(VLOOKUP(D2269,'Team Data'!C:AB,4,FALSE),"")</f>
        <v/>
      </c>
      <c r="F2269" t="str">
        <f>IFERROR(VLOOKUP(D2269,'Team Data'!C:AB,5,FALSE),"")</f>
        <v/>
      </c>
      <c r="G2269" t="str">
        <f>IFERROR(VLOOKUP('OB Format'!D2269,'Team Data'!C:AB,17,FALSE),"")</f>
        <v/>
      </c>
      <c r="H2269" t="str">
        <f>IFERROR(VLOOKUP(D2269,'Team Data'!C:AB,7,FALSE),"")</f>
        <v/>
      </c>
      <c r="I2269" t="str">
        <f>IFERROR(VLOOKUP(D2269,'Team Data'!C:AB,14,FALSE),"")</f>
        <v/>
      </c>
      <c r="J2269" t="str">
        <f>IFERROR(VLOOKUP(D2269,'Team Data'!C:AB,8,FALSE),"")</f>
        <v/>
      </c>
      <c r="K2269" t="str">
        <f>IFERROR(VLOOKUP(D2269,'Team Data'!C:AB,9,FALSE),"")</f>
        <v/>
      </c>
      <c r="L2269" t="str">
        <f>IFERROR(VLOOKUP(D2269,'Team Data'!C:AB,10,FALSE),"")</f>
        <v/>
      </c>
      <c r="M2269" t="str">
        <f t="shared" si="72"/>
        <v/>
      </c>
      <c r="N2269" t="str">
        <f>IFERROR(VLOOKUP(D2269,'Team Data'!C:AB,23,FALSE),"")</f>
        <v/>
      </c>
      <c r="O2269" t="str">
        <f>IFERROR(VLOOKUP(D2269,'Team Data'!C:AB,22,FALSE),"")</f>
        <v/>
      </c>
      <c r="P2269" t="str">
        <f t="shared" si="73"/>
        <v/>
      </c>
      <c r="Q2269" t="str">
        <f>IFERROR(VLOOKUP(D2269,'Team Data'!C:AB,15,FALSE),"")</f>
        <v/>
      </c>
      <c r="R2269" t="str">
        <f>IFERROR(VLOOKUP('OB Format'!D2269,'Team Data'!C:AB,24,FALSE),"")</f>
        <v/>
      </c>
      <c r="S2269" t="str">
        <f>IFERROR(VLOOKUP('OB Format'!D2269,'Team Data'!C:AC,25,FALSE),"")</f>
        <v/>
      </c>
    </row>
    <row r="2270" spans="5:19" x14ac:dyDescent="0.25">
      <c r="E2270" t="str">
        <f>IFERROR(VLOOKUP(D2270,'Team Data'!C:AB,4,FALSE),"")</f>
        <v/>
      </c>
      <c r="F2270" t="str">
        <f>IFERROR(VLOOKUP(D2270,'Team Data'!C:AB,5,FALSE),"")</f>
        <v/>
      </c>
      <c r="G2270" t="str">
        <f>IFERROR(VLOOKUP('OB Format'!D2270,'Team Data'!C:AB,17,FALSE),"")</f>
        <v/>
      </c>
      <c r="H2270" t="str">
        <f>IFERROR(VLOOKUP(D2270,'Team Data'!C:AB,7,FALSE),"")</f>
        <v/>
      </c>
      <c r="I2270" t="str">
        <f>IFERROR(VLOOKUP(D2270,'Team Data'!C:AB,14,FALSE),"")</f>
        <v/>
      </c>
      <c r="J2270" t="str">
        <f>IFERROR(VLOOKUP(D2270,'Team Data'!C:AB,8,FALSE),"")</f>
        <v/>
      </c>
      <c r="K2270" t="str">
        <f>IFERROR(VLOOKUP(D2270,'Team Data'!C:AB,9,FALSE),"")</f>
        <v/>
      </c>
      <c r="L2270" t="str">
        <f>IFERROR(VLOOKUP(D2270,'Team Data'!C:AB,10,FALSE),"")</f>
        <v/>
      </c>
      <c r="M2270" t="str">
        <f t="shared" si="72"/>
        <v/>
      </c>
      <c r="N2270" t="str">
        <f>IFERROR(VLOOKUP(D2270,'Team Data'!C:AB,23,FALSE),"")</f>
        <v/>
      </c>
      <c r="O2270" t="str">
        <f>IFERROR(VLOOKUP(D2270,'Team Data'!C:AB,22,FALSE),"")</f>
        <v/>
      </c>
      <c r="P2270" t="str">
        <f t="shared" si="73"/>
        <v/>
      </c>
      <c r="Q2270" t="str">
        <f>IFERROR(VLOOKUP(D2270,'Team Data'!C:AB,15,FALSE),"")</f>
        <v/>
      </c>
      <c r="R2270" t="str">
        <f>IFERROR(VLOOKUP('OB Format'!D2270,'Team Data'!C:AB,24,FALSE),"")</f>
        <v/>
      </c>
      <c r="S2270" t="str">
        <f>IFERROR(VLOOKUP('OB Format'!D2270,'Team Data'!C:AC,25,FALSE),"")</f>
        <v/>
      </c>
    </row>
    <row r="2271" spans="5:19" x14ac:dyDescent="0.25">
      <c r="E2271" t="str">
        <f>IFERROR(VLOOKUP(D2271,'Team Data'!C:AB,4,FALSE),"")</f>
        <v/>
      </c>
      <c r="F2271" t="str">
        <f>IFERROR(VLOOKUP(D2271,'Team Data'!C:AB,5,FALSE),"")</f>
        <v/>
      </c>
      <c r="G2271" t="str">
        <f>IFERROR(VLOOKUP('OB Format'!D2271,'Team Data'!C:AB,17,FALSE),"")</f>
        <v/>
      </c>
      <c r="H2271" t="str">
        <f>IFERROR(VLOOKUP(D2271,'Team Data'!C:AB,7,FALSE),"")</f>
        <v/>
      </c>
      <c r="I2271" t="str">
        <f>IFERROR(VLOOKUP(D2271,'Team Data'!C:AB,14,FALSE),"")</f>
        <v/>
      </c>
      <c r="J2271" t="str">
        <f>IFERROR(VLOOKUP(D2271,'Team Data'!C:AB,8,FALSE),"")</f>
        <v/>
      </c>
      <c r="K2271" t="str">
        <f>IFERROR(VLOOKUP(D2271,'Team Data'!C:AB,9,FALSE),"")</f>
        <v/>
      </c>
      <c r="L2271" t="str">
        <f>IFERROR(VLOOKUP(D2271,'Team Data'!C:AB,10,FALSE),"")</f>
        <v/>
      </c>
      <c r="M2271" t="str">
        <f t="shared" si="72"/>
        <v/>
      </c>
      <c r="N2271" t="str">
        <f>IFERROR(VLOOKUP(D2271,'Team Data'!C:AB,23,FALSE),"")</f>
        <v/>
      </c>
      <c r="O2271" t="str">
        <f>IFERROR(VLOOKUP(D2271,'Team Data'!C:AB,22,FALSE),"")</f>
        <v/>
      </c>
      <c r="P2271" t="str">
        <f t="shared" si="73"/>
        <v/>
      </c>
      <c r="Q2271" t="str">
        <f>IFERROR(VLOOKUP(D2271,'Team Data'!C:AB,15,FALSE),"")</f>
        <v/>
      </c>
      <c r="R2271" t="str">
        <f>IFERROR(VLOOKUP('OB Format'!D2271,'Team Data'!C:AB,24,FALSE),"")</f>
        <v/>
      </c>
      <c r="S2271" t="str">
        <f>IFERROR(VLOOKUP('OB Format'!D2271,'Team Data'!C:AC,25,FALSE),"")</f>
        <v/>
      </c>
    </row>
    <row r="2272" spans="5:19" x14ac:dyDescent="0.25">
      <c r="E2272" t="str">
        <f>IFERROR(VLOOKUP(D2272,'Team Data'!C:AB,4,FALSE),"")</f>
        <v/>
      </c>
      <c r="F2272" t="str">
        <f>IFERROR(VLOOKUP(D2272,'Team Data'!C:AB,5,FALSE),"")</f>
        <v/>
      </c>
      <c r="G2272" t="str">
        <f>IFERROR(VLOOKUP('OB Format'!D2272,'Team Data'!C:AB,17,FALSE),"")</f>
        <v/>
      </c>
      <c r="H2272" t="str">
        <f>IFERROR(VLOOKUP(D2272,'Team Data'!C:AB,7,FALSE),"")</f>
        <v/>
      </c>
      <c r="I2272" t="str">
        <f>IFERROR(VLOOKUP(D2272,'Team Data'!C:AB,14,FALSE),"")</f>
        <v/>
      </c>
      <c r="J2272" t="str">
        <f>IFERROR(VLOOKUP(D2272,'Team Data'!C:AB,8,FALSE),"")</f>
        <v/>
      </c>
      <c r="K2272" t="str">
        <f>IFERROR(VLOOKUP(D2272,'Team Data'!C:AB,9,FALSE),"")</f>
        <v/>
      </c>
      <c r="L2272" t="str">
        <f>IFERROR(VLOOKUP(D2272,'Team Data'!C:AB,10,FALSE),"")</f>
        <v/>
      </c>
      <c r="M2272" t="str">
        <f t="shared" si="72"/>
        <v/>
      </c>
      <c r="N2272" t="str">
        <f>IFERROR(VLOOKUP(D2272,'Team Data'!C:AB,23,FALSE),"")</f>
        <v/>
      </c>
      <c r="O2272" t="str">
        <f>IFERROR(VLOOKUP(D2272,'Team Data'!C:AB,22,FALSE),"")</f>
        <v/>
      </c>
      <c r="P2272" t="str">
        <f t="shared" si="73"/>
        <v/>
      </c>
      <c r="Q2272" t="str">
        <f>IFERROR(VLOOKUP(D2272,'Team Data'!C:AB,15,FALSE),"")</f>
        <v/>
      </c>
      <c r="R2272" t="str">
        <f>IFERROR(VLOOKUP('OB Format'!D2272,'Team Data'!C:AB,24,FALSE),"")</f>
        <v/>
      </c>
      <c r="S2272" t="str">
        <f>IFERROR(VLOOKUP('OB Format'!D2272,'Team Data'!C:AC,25,FALSE),"")</f>
        <v/>
      </c>
    </row>
    <row r="2273" spans="5:19" x14ac:dyDescent="0.25">
      <c r="E2273" t="str">
        <f>IFERROR(VLOOKUP(D2273,'Team Data'!C:AB,4,FALSE),"")</f>
        <v/>
      </c>
      <c r="F2273" t="str">
        <f>IFERROR(VLOOKUP(D2273,'Team Data'!C:AB,5,FALSE),"")</f>
        <v/>
      </c>
      <c r="G2273" t="str">
        <f>IFERROR(VLOOKUP('OB Format'!D2273,'Team Data'!C:AB,17,FALSE),"")</f>
        <v/>
      </c>
      <c r="H2273" t="str">
        <f>IFERROR(VLOOKUP(D2273,'Team Data'!C:AB,7,FALSE),"")</f>
        <v/>
      </c>
      <c r="I2273" t="str">
        <f>IFERROR(VLOOKUP(D2273,'Team Data'!C:AB,14,FALSE),"")</f>
        <v/>
      </c>
      <c r="J2273" t="str">
        <f>IFERROR(VLOOKUP(D2273,'Team Data'!C:AB,8,FALSE),"")</f>
        <v/>
      </c>
      <c r="K2273" t="str">
        <f>IFERROR(VLOOKUP(D2273,'Team Data'!C:AB,9,FALSE),"")</f>
        <v/>
      </c>
      <c r="L2273" t="str">
        <f>IFERROR(VLOOKUP(D2273,'Team Data'!C:AB,10,FALSE),"")</f>
        <v/>
      </c>
      <c r="M2273" t="str">
        <f t="shared" si="72"/>
        <v/>
      </c>
      <c r="N2273" t="str">
        <f>IFERROR(VLOOKUP(D2273,'Team Data'!C:AB,23,FALSE),"")</f>
        <v/>
      </c>
      <c r="O2273" t="str">
        <f>IFERROR(VLOOKUP(D2273,'Team Data'!C:AB,22,FALSE),"")</f>
        <v/>
      </c>
      <c r="P2273" t="str">
        <f t="shared" si="73"/>
        <v/>
      </c>
      <c r="Q2273" t="str">
        <f>IFERROR(VLOOKUP(D2273,'Team Data'!C:AB,15,FALSE),"")</f>
        <v/>
      </c>
      <c r="R2273" t="str">
        <f>IFERROR(VLOOKUP('OB Format'!D2273,'Team Data'!C:AB,24,FALSE),"")</f>
        <v/>
      </c>
      <c r="S2273" t="str">
        <f>IFERROR(VLOOKUP('OB Format'!D2273,'Team Data'!C:AC,25,FALSE),"")</f>
        <v/>
      </c>
    </row>
    <row r="2274" spans="5:19" x14ac:dyDescent="0.25">
      <c r="E2274" t="str">
        <f>IFERROR(VLOOKUP(D2274,'Team Data'!C:AB,4,FALSE),"")</f>
        <v/>
      </c>
      <c r="F2274" t="str">
        <f>IFERROR(VLOOKUP(D2274,'Team Data'!C:AB,5,FALSE),"")</f>
        <v/>
      </c>
      <c r="G2274" t="str">
        <f>IFERROR(VLOOKUP('OB Format'!D2274,'Team Data'!C:AB,17,FALSE),"")</f>
        <v/>
      </c>
      <c r="H2274" t="str">
        <f>IFERROR(VLOOKUP(D2274,'Team Data'!C:AB,7,FALSE),"")</f>
        <v/>
      </c>
      <c r="I2274" t="str">
        <f>IFERROR(VLOOKUP(D2274,'Team Data'!C:AB,14,FALSE),"")</f>
        <v/>
      </c>
      <c r="J2274" t="str">
        <f>IFERROR(VLOOKUP(D2274,'Team Data'!C:AB,8,FALSE),"")</f>
        <v/>
      </c>
      <c r="K2274" t="str">
        <f>IFERROR(VLOOKUP(D2274,'Team Data'!C:AB,9,FALSE),"")</f>
        <v/>
      </c>
      <c r="L2274" t="str">
        <f>IFERROR(VLOOKUP(D2274,'Team Data'!C:AB,10,FALSE),"")</f>
        <v/>
      </c>
      <c r="M2274" t="str">
        <f t="shared" si="72"/>
        <v/>
      </c>
      <c r="N2274" t="str">
        <f>IFERROR(VLOOKUP(D2274,'Team Data'!C:AB,23,FALSE),"")</f>
        <v/>
      </c>
      <c r="O2274" t="str">
        <f>IFERROR(VLOOKUP(D2274,'Team Data'!C:AB,22,FALSE),"")</f>
        <v/>
      </c>
      <c r="P2274" t="str">
        <f t="shared" si="73"/>
        <v/>
      </c>
      <c r="Q2274" t="str">
        <f>IFERROR(VLOOKUP(D2274,'Team Data'!C:AB,15,FALSE),"")</f>
        <v/>
      </c>
      <c r="R2274" t="str">
        <f>IFERROR(VLOOKUP('OB Format'!D2274,'Team Data'!C:AB,24,FALSE),"")</f>
        <v/>
      </c>
      <c r="S2274" t="str">
        <f>IFERROR(VLOOKUP('OB Format'!D2274,'Team Data'!C:AC,25,FALSE),"")</f>
        <v/>
      </c>
    </row>
    <row r="2275" spans="5:19" x14ac:dyDescent="0.25">
      <c r="E2275" t="str">
        <f>IFERROR(VLOOKUP(D2275,'Team Data'!C:AB,4,FALSE),"")</f>
        <v/>
      </c>
      <c r="F2275" t="str">
        <f>IFERROR(VLOOKUP(D2275,'Team Data'!C:AB,5,FALSE),"")</f>
        <v/>
      </c>
      <c r="G2275" t="str">
        <f>IFERROR(VLOOKUP('OB Format'!D2275,'Team Data'!C:AB,17,FALSE),"")</f>
        <v/>
      </c>
      <c r="H2275" t="str">
        <f>IFERROR(VLOOKUP(D2275,'Team Data'!C:AB,7,FALSE),"")</f>
        <v/>
      </c>
      <c r="I2275" t="str">
        <f>IFERROR(VLOOKUP(D2275,'Team Data'!C:AB,14,FALSE),"")</f>
        <v/>
      </c>
      <c r="J2275" t="str">
        <f>IFERROR(VLOOKUP(D2275,'Team Data'!C:AB,8,FALSE),"")</f>
        <v/>
      </c>
      <c r="K2275" t="str">
        <f>IFERROR(VLOOKUP(D2275,'Team Data'!C:AB,9,FALSE),"")</f>
        <v/>
      </c>
      <c r="L2275" t="str">
        <f>IFERROR(VLOOKUP(D2275,'Team Data'!C:AB,10,FALSE),"")</f>
        <v/>
      </c>
      <c r="M2275" t="str">
        <f t="shared" si="72"/>
        <v/>
      </c>
      <c r="N2275" t="str">
        <f>IFERROR(VLOOKUP(D2275,'Team Data'!C:AB,23,FALSE),"")</f>
        <v/>
      </c>
      <c r="O2275" t="str">
        <f>IFERROR(VLOOKUP(D2275,'Team Data'!C:AB,22,FALSE),"")</f>
        <v/>
      </c>
      <c r="P2275" t="str">
        <f t="shared" si="73"/>
        <v/>
      </c>
      <c r="Q2275" t="str">
        <f>IFERROR(VLOOKUP(D2275,'Team Data'!C:AB,15,FALSE),"")</f>
        <v/>
      </c>
      <c r="R2275" t="str">
        <f>IFERROR(VLOOKUP('OB Format'!D2275,'Team Data'!C:AB,24,FALSE),"")</f>
        <v/>
      </c>
      <c r="S2275" t="str">
        <f>IFERROR(VLOOKUP('OB Format'!D2275,'Team Data'!C:AC,25,FALSE),"")</f>
        <v/>
      </c>
    </row>
    <row r="2276" spans="5:19" x14ac:dyDescent="0.25">
      <c r="E2276" t="str">
        <f>IFERROR(VLOOKUP(D2276,'Team Data'!C:AB,4,FALSE),"")</f>
        <v/>
      </c>
      <c r="F2276" t="str">
        <f>IFERROR(VLOOKUP(D2276,'Team Data'!C:AB,5,FALSE),"")</f>
        <v/>
      </c>
      <c r="G2276" t="str">
        <f>IFERROR(VLOOKUP('OB Format'!D2276,'Team Data'!C:AB,17,FALSE),"")</f>
        <v/>
      </c>
      <c r="H2276" t="str">
        <f>IFERROR(VLOOKUP(D2276,'Team Data'!C:AB,7,FALSE),"")</f>
        <v/>
      </c>
      <c r="I2276" t="str">
        <f>IFERROR(VLOOKUP(D2276,'Team Data'!C:AB,14,FALSE),"")</f>
        <v/>
      </c>
      <c r="J2276" t="str">
        <f>IFERROR(VLOOKUP(D2276,'Team Data'!C:AB,8,FALSE),"")</f>
        <v/>
      </c>
      <c r="K2276" t="str">
        <f>IFERROR(VLOOKUP(D2276,'Team Data'!C:AB,9,FALSE),"")</f>
        <v/>
      </c>
      <c r="L2276" t="str">
        <f>IFERROR(VLOOKUP(D2276,'Team Data'!C:AB,10,FALSE),"")</f>
        <v/>
      </c>
      <c r="M2276" t="str">
        <f t="shared" si="72"/>
        <v/>
      </c>
      <c r="N2276" t="str">
        <f>IFERROR(VLOOKUP(D2276,'Team Data'!C:AB,23,FALSE),"")</f>
        <v/>
      </c>
      <c r="O2276" t="str">
        <f>IFERROR(VLOOKUP(D2276,'Team Data'!C:AB,22,FALSE),"")</f>
        <v/>
      </c>
      <c r="P2276" t="str">
        <f t="shared" si="73"/>
        <v/>
      </c>
      <c r="Q2276" t="str">
        <f>IFERROR(VLOOKUP(D2276,'Team Data'!C:AB,15,FALSE),"")</f>
        <v/>
      </c>
      <c r="R2276" t="str">
        <f>IFERROR(VLOOKUP('OB Format'!D2276,'Team Data'!C:AB,24,FALSE),"")</f>
        <v/>
      </c>
      <c r="S2276" t="str">
        <f>IFERROR(VLOOKUP('OB Format'!D2276,'Team Data'!C:AC,25,FALSE),"")</f>
        <v/>
      </c>
    </row>
    <row r="2277" spans="5:19" x14ac:dyDescent="0.25">
      <c r="E2277" t="str">
        <f>IFERROR(VLOOKUP(D2277,'Team Data'!C:AB,4,FALSE),"")</f>
        <v/>
      </c>
      <c r="F2277" t="str">
        <f>IFERROR(VLOOKUP(D2277,'Team Data'!C:AB,5,FALSE),"")</f>
        <v/>
      </c>
      <c r="G2277" t="str">
        <f>IFERROR(VLOOKUP('OB Format'!D2277,'Team Data'!C:AB,17,FALSE),"")</f>
        <v/>
      </c>
      <c r="H2277" t="str">
        <f>IFERROR(VLOOKUP(D2277,'Team Data'!C:AB,7,FALSE),"")</f>
        <v/>
      </c>
      <c r="I2277" t="str">
        <f>IFERROR(VLOOKUP(D2277,'Team Data'!C:AB,14,FALSE),"")</f>
        <v/>
      </c>
      <c r="J2277" t="str">
        <f>IFERROR(VLOOKUP(D2277,'Team Data'!C:AB,8,FALSE),"")</f>
        <v/>
      </c>
      <c r="K2277" t="str">
        <f>IFERROR(VLOOKUP(D2277,'Team Data'!C:AB,9,FALSE),"")</f>
        <v/>
      </c>
      <c r="L2277" t="str">
        <f>IFERROR(VLOOKUP(D2277,'Team Data'!C:AB,10,FALSE),"")</f>
        <v/>
      </c>
      <c r="M2277" t="str">
        <f t="shared" si="72"/>
        <v/>
      </c>
      <c r="N2277" t="str">
        <f>IFERROR(VLOOKUP(D2277,'Team Data'!C:AB,23,FALSE),"")</f>
        <v/>
      </c>
      <c r="O2277" t="str">
        <f>IFERROR(VLOOKUP(D2277,'Team Data'!C:AB,22,FALSE),"")</f>
        <v/>
      </c>
      <c r="P2277" t="str">
        <f t="shared" si="73"/>
        <v/>
      </c>
      <c r="Q2277" t="str">
        <f>IFERROR(VLOOKUP(D2277,'Team Data'!C:AB,15,FALSE),"")</f>
        <v/>
      </c>
      <c r="R2277" t="str">
        <f>IFERROR(VLOOKUP('OB Format'!D2277,'Team Data'!C:AB,24,FALSE),"")</f>
        <v/>
      </c>
      <c r="S2277" t="str">
        <f>IFERROR(VLOOKUP('OB Format'!D2277,'Team Data'!C:AC,25,FALSE),"")</f>
        <v/>
      </c>
    </row>
    <row r="2278" spans="5:19" x14ac:dyDescent="0.25">
      <c r="E2278" t="str">
        <f>IFERROR(VLOOKUP(D2278,'Team Data'!C:AB,4,FALSE),"")</f>
        <v/>
      </c>
      <c r="F2278" t="str">
        <f>IFERROR(VLOOKUP(D2278,'Team Data'!C:AB,5,FALSE),"")</f>
        <v/>
      </c>
      <c r="G2278" t="str">
        <f>IFERROR(VLOOKUP('OB Format'!D2278,'Team Data'!C:AB,17,FALSE),"")</f>
        <v/>
      </c>
      <c r="H2278" t="str">
        <f>IFERROR(VLOOKUP(D2278,'Team Data'!C:AB,7,FALSE),"")</f>
        <v/>
      </c>
      <c r="I2278" t="str">
        <f>IFERROR(VLOOKUP(D2278,'Team Data'!C:AB,14,FALSE),"")</f>
        <v/>
      </c>
      <c r="J2278" t="str">
        <f>IFERROR(VLOOKUP(D2278,'Team Data'!C:AB,8,FALSE),"")</f>
        <v/>
      </c>
      <c r="K2278" t="str">
        <f>IFERROR(VLOOKUP(D2278,'Team Data'!C:AB,9,FALSE),"")</f>
        <v/>
      </c>
      <c r="L2278" t="str">
        <f>IFERROR(VLOOKUP(D2278,'Team Data'!C:AB,10,FALSE),"")</f>
        <v/>
      </c>
      <c r="M2278" t="str">
        <f t="shared" si="72"/>
        <v/>
      </c>
      <c r="N2278" t="str">
        <f>IFERROR(VLOOKUP(D2278,'Team Data'!C:AB,23,FALSE),"")</f>
        <v/>
      </c>
      <c r="O2278" t="str">
        <f>IFERROR(VLOOKUP(D2278,'Team Data'!C:AB,22,FALSE),"")</f>
        <v/>
      </c>
      <c r="P2278" t="str">
        <f t="shared" si="73"/>
        <v/>
      </c>
      <c r="Q2278" t="str">
        <f>IFERROR(VLOOKUP(D2278,'Team Data'!C:AB,15,FALSE),"")</f>
        <v/>
      </c>
      <c r="R2278" t="str">
        <f>IFERROR(VLOOKUP('OB Format'!D2278,'Team Data'!C:AB,24,FALSE),"")</f>
        <v/>
      </c>
      <c r="S2278" t="str">
        <f>IFERROR(VLOOKUP('OB Format'!D2278,'Team Data'!C:AC,25,FALSE),"")</f>
        <v/>
      </c>
    </row>
    <row r="2279" spans="5:19" x14ac:dyDescent="0.25">
      <c r="E2279" t="str">
        <f>IFERROR(VLOOKUP(D2279,'Team Data'!C:AB,4,FALSE),"")</f>
        <v/>
      </c>
      <c r="F2279" t="str">
        <f>IFERROR(VLOOKUP(D2279,'Team Data'!C:AB,5,FALSE),"")</f>
        <v/>
      </c>
      <c r="G2279" t="str">
        <f>IFERROR(VLOOKUP('OB Format'!D2279,'Team Data'!C:AB,17,FALSE),"")</f>
        <v/>
      </c>
      <c r="H2279" t="str">
        <f>IFERROR(VLOOKUP(D2279,'Team Data'!C:AB,7,FALSE),"")</f>
        <v/>
      </c>
      <c r="I2279" t="str">
        <f>IFERROR(VLOOKUP(D2279,'Team Data'!C:AB,14,FALSE),"")</f>
        <v/>
      </c>
      <c r="J2279" t="str">
        <f>IFERROR(VLOOKUP(D2279,'Team Data'!C:AB,8,FALSE),"")</f>
        <v/>
      </c>
      <c r="K2279" t="str">
        <f>IFERROR(VLOOKUP(D2279,'Team Data'!C:AB,9,FALSE),"")</f>
        <v/>
      </c>
      <c r="L2279" t="str">
        <f>IFERROR(VLOOKUP(D2279,'Team Data'!C:AB,10,FALSE),"")</f>
        <v/>
      </c>
      <c r="M2279" t="str">
        <f t="shared" si="72"/>
        <v/>
      </c>
      <c r="N2279" t="str">
        <f>IFERROR(VLOOKUP(D2279,'Team Data'!C:AB,23,FALSE),"")</f>
        <v/>
      </c>
      <c r="O2279" t="str">
        <f>IFERROR(VLOOKUP(D2279,'Team Data'!C:AB,22,FALSE),"")</f>
        <v/>
      </c>
      <c r="P2279" t="str">
        <f t="shared" si="73"/>
        <v/>
      </c>
      <c r="Q2279" t="str">
        <f>IFERROR(VLOOKUP(D2279,'Team Data'!C:AB,15,FALSE),"")</f>
        <v/>
      </c>
      <c r="R2279" t="str">
        <f>IFERROR(VLOOKUP('OB Format'!D2279,'Team Data'!C:AB,24,FALSE),"")</f>
        <v/>
      </c>
      <c r="S2279" t="str">
        <f>IFERROR(VLOOKUP('OB Format'!D2279,'Team Data'!C:AC,25,FALSE),"")</f>
        <v/>
      </c>
    </row>
    <row r="2280" spans="5:19" x14ac:dyDescent="0.25">
      <c r="E2280" t="str">
        <f>IFERROR(VLOOKUP(D2280,'Team Data'!C:AB,4,FALSE),"")</f>
        <v/>
      </c>
      <c r="F2280" t="str">
        <f>IFERROR(VLOOKUP(D2280,'Team Data'!C:AB,5,FALSE),"")</f>
        <v/>
      </c>
      <c r="G2280" t="str">
        <f>IFERROR(VLOOKUP('OB Format'!D2280,'Team Data'!C:AB,17,FALSE),"")</f>
        <v/>
      </c>
      <c r="H2280" t="str">
        <f>IFERROR(VLOOKUP(D2280,'Team Data'!C:AB,7,FALSE),"")</f>
        <v/>
      </c>
      <c r="I2280" t="str">
        <f>IFERROR(VLOOKUP(D2280,'Team Data'!C:AB,14,FALSE),"")</f>
        <v/>
      </c>
      <c r="J2280" t="str">
        <f>IFERROR(VLOOKUP(D2280,'Team Data'!C:AB,8,FALSE),"")</f>
        <v/>
      </c>
      <c r="K2280" t="str">
        <f>IFERROR(VLOOKUP(D2280,'Team Data'!C:AB,9,FALSE),"")</f>
        <v/>
      </c>
      <c r="L2280" t="str">
        <f>IFERROR(VLOOKUP(D2280,'Team Data'!C:AB,10,FALSE),"")</f>
        <v/>
      </c>
      <c r="M2280" t="str">
        <f t="shared" si="72"/>
        <v/>
      </c>
      <c r="N2280" t="str">
        <f>IFERROR(VLOOKUP(D2280,'Team Data'!C:AB,23,FALSE),"")</f>
        <v/>
      </c>
      <c r="O2280" t="str">
        <f>IFERROR(VLOOKUP(D2280,'Team Data'!C:AB,22,FALSE),"")</f>
        <v/>
      </c>
      <c r="P2280" t="str">
        <f t="shared" si="73"/>
        <v/>
      </c>
      <c r="Q2280" t="str">
        <f>IFERROR(VLOOKUP(D2280,'Team Data'!C:AB,15,FALSE),"")</f>
        <v/>
      </c>
      <c r="R2280" t="str">
        <f>IFERROR(VLOOKUP('OB Format'!D2280,'Team Data'!C:AB,24,FALSE),"")</f>
        <v/>
      </c>
      <c r="S2280" t="str">
        <f>IFERROR(VLOOKUP('OB Format'!D2280,'Team Data'!C:AC,25,FALSE),"")</f>
        <v/>
      </c>
    </row>
    <row r="2281" spans="5:19" x14ac:dyDescent="0.25">
      <c r="E2281" t="str">
        <f>IFERROR(VLOOKUP(D2281,'Team Data'!C:AB,4,FALSE),"")</f>
        <v/>
      </c>
      <c r="F2281" t="str">
        <f>IFERROR(VLOOKUP(D2281,'Team Data'!C:AB,5,FALSE),"")</f>
        <v/>
      </c>
      <c r="G2281" t="str">
        <f>IFERROR(VLOOKUP('OB Format'!D2281,'Team Data'!C:AB,17,FALSE),"")</f>
        <v/>
      </c>
      <c r="H2281" t="str">
        <f>IFERROR(VLOOKUP(D2281,'Team Data'!C:AB,7,FALSE),"")</f>
        <v/>
      </c>
      <c r="I2281" t="str">
        <f>IFERROR(VLOOKUP(D2281,'Team Data'!C:AB,14,FALSE),"")</f>
        <v/>
      </c>
      <c r="J2281" t="str">
        <f>IFERROR(VLOOKUP(D2281,'Team Data'!C:AB,8,FALSE),"")</f>
        <v/>
      </c>
      <c r="K2281" t="str">
        <f>IFERROR(VLOOKUP(D2281,'Team Data'!C:AB,9,FALSE),"")</f>
        <v/>
      </c>
      <c r="L2281" t="str">
        <f>IFERROR(VLOOKUP(D2281,'Team Data'!C:AB,10,FALSE),"")</f>
        <v/>
      </c>
      <c r="M2281" t="str">
        <f t="shared" si="72"/>
        <v/>
      </c>
      <c r="N2281" t="str">
        <f>IFERROR(VLOOKUP(D2281,'Team Data'!C:AB,23,FALSE),"")</f>
        <v/>
      </c>
      <c r="O2281" t="str">
        <f>IFERROR(VLOOKUP(D2281,'Team Data'!C:AB,22,FALSE),"")</f>
        <v/>
      </c>
      <c r="P2281" t="str">
        <f t="shared" si="73"/>
        <v/>
      </c>
      <c r="Q2281" t="str">
        <f>IFERROR(VLOOKUP(D2281,'Team Data'!C:AB,15,FALSE),"")</f>
        <v/>
      </c>
      <c r="R2281" t="str">
        <f>IFERROR(VLOOKUP('OB Format'!D2281,'Team Data'!C:AB,24,FALSE),"")</f>
        <v/>
      </c>
      <c r="S2281" t="str">
        <f>IFERROR(VLOOKUP('OB Format'!D2281,'Team Data'!C:AC,25,FALSE),"")</f>
        <v/>
      </c>
    </row>
    <row r="2282" spans="5:19" x14ac:dyDescent="0.25">
      <c r="E2282" t="str">
        <f>IFERROR(VLOOKUP(D2282,'Team Data'!C:AB,4,FALSE),"")</f>
        <v/>
      </c>
      <c r="F2282" t="str">
        <f>IFERROR(VLOOKUP(D2282,'Team Data'!C:AB,5,FALSE),"")</f>
        <v/>
      </c>
      <c r="G2282" t="str">
        <f>IFERROR(VLOOKUP('OB Format'!D2282,'Team Data'!C:AB,17,FALSE),"")</f>
        <v/>
      </c>
      <c r="H2282" t="str">
        <f>IFERROR(VLOOKUP(D2282,'Team Data'!C:AB,7,FALSE),"")</f>
        <v/>
      </c>
      <c r="I2282" t="str">
        <f>IFERROR(VLOOKUP(D2282,'Team Data'!C:AB,14,FALSE),"")</f>
        <v/>
      </c>
      <c r="J2282" t="str">
        <f>IFERROR(VLOOKUP(D2282,'Team Data'!C:AB,8,FALSE),"")</f>
        <v/>
      </c>
      <c r="K2282" t="str">
        <f>IFERROR(VLOOKUP(D2282,'Team Data'!C:AB,9,FALSE),"")</f>
        <v/>
      </c>
      <c r="L2282" t="str">
        <f>IFERROR(VLOOKUP(D2282,'Team Data'!C:AB,10,FALSE),"")</f>
        <v/>
      </c>
      <c r="M2282" t="str">
        <f t="shared" si="72"/>
        <v/>
      </c>
      <c r="N2282" t="str">
        <f>IFERROR(VLOOKUP(D2282,'Team Data'!C:AB,23,FALSE),"")</f>
        <v/>
      </c>
      <c r="O2282" t="str">
        <f>IFERROR(VLOOKUP(D2282,'Team Data'!C:AB,22,FALSE),"")</f>
        <v/>
      </c>
      <c r="P2282" t="str">
        <f t="shared" si="73"/>
        <v/>
      </c>
      <c r="Q2282" t="str">
        <f>IFERROR(VLOOKUP(D2282,'Team Data'!C:AB,15,FALSE),"")</f>
        <v/>
      </c>
      <c r="R2282" t="str">
        <f>IFERROR(VLOOKUP('OB Format'!D2282,'Team Data'!C:AB,24,FALSE),"")</f>
        <v/>
      </c>
      <c r="S2282" t="str">
        <f>IFERROR(VLOOKUP('OB Format'!D2282,'Team Data'!C:AC,25,FALSE),"")</f>
        <v/>
      </c>
    </row>
    <row r="2283" spans="5:19" x14ac:dyDescent="0.25">
      <c r="E2283" t="str">
        <f>IFERROR(VLOOKUP(D2283,'Team Data'!C:AB,4,FALSE),"")</f>
        <v/>
      </c>
      <c r="F2283" t="str">
        <f>IFERROR(VLOOKUP(D2283,'Team Data'!C:AB,5,FALSE),"")</f>
        <v/>
      </c>
      <c r="G2283" t="str">
        <f>IFERROR(VLOOKUP('OB Format'!D2283,'Team Data'!C:AB,17,FALSE),"")</f>
        <v/>
      </c>
      <c r="H2283" t="str">
        <f>IFERROR(VLOOKUP(D2283,'Team Data'!C:AB,7,FALSE),"")</f>
        <v/>
      </c>
      <c r="I2283" t="str">
        <f>IFERROR(VLOOKUP(D2283,'Team Data'!C:AB,14,FALSE),"")</f>
        <v/>
      </c>
      <c r="J2283" t="str">
        <f>IFERROR(VLOOKUP(D2283,'Team Data'!C:AB,8,FALSE),"")</f>
        <v/>
      </c>
      <c r="K2283" t="str">
        <f>IFERROR(VLOOKUP(D2283,'Team Data'!C:AB,9,FALSE),"")</f>
        <v/>
      </c>
      <c r="L2283" t="str">
        <f>IFERROR(VLOOKUP(D2283,'Team Data'!C:AB,10,FALSE),"")</f>
        <v/>
      </c>
      <c r="M2283" t="str">
        <f t="shared" si="72"/>
        <v/>
      </c>
      <c r="N2283" t="str">
        <f>IFERROR(VLOOKUP(D2283,'Team Data'!C:AB,23,FALSE),"")</f>
        <v/>
      </c>
      <c r="O2283" t="str">
        <f>IFERROR(VLOOKUP(D2283,'Team Data'!C:AB,22,FALSE),"")</f>
        <v/>
      </c>
      <c r="P2283" t="str">
        <f t="shared" si="73"/>
        <v/>
      </c>
      <c r="Q2283" t="str">
        <f>IFERROR(VLOOKUP(D2283,'Team Data'!C:AB,15,FALSE),"")</f>
        <v/>
      </c>
      <c r="R2283" t="str">
        <f>IFERROR(VLOOKUP('OB Format'!D2283,'Team Data'!C:AB,24,FALSE),"")</f>
        <v/>
      </c>
      <c r="S2283" t="str">
        <f>IFERROR(VLOOKUP('OB Format'!D2283,'Team Data'!C:AC,25,FALSE),"")</f>
        <v/>
      </c>
    </row>
    <row r="2284" spans="5:19" x14ac:dyDescent="0.25">
      <c r="E2284" t="str">
        <f>IFERROR(VLOOKUP(D2284,'Team Data'!C:AB,4,FALSE),"")</f>
        <v/>
      </c>
      <c r="F2284" t="str">
        <f>IFERROR(VLOOKUP(D2284,'Team Data'!C:AB,5,FALSE),"")</f>
        <v/>
      </c>
      <c r="G2284" t="str">
        <f>IFERROR(VLOOKUP('OB Format'!D2284,'Team Data'!C:AB,17,FALSE),"")</f>
        <v/>
      </c>
      <c r="H2284" t="str">
        <f>IFERROR(VLOOKUP(D2284,'Team Data'!C:AB,7,FALSE),"")</f>
        <v/>
      </c>
      <c r="I2284" t="str">
        <f>IFERROR(VLOOKUP(D2284,'Team Data'!C:AB,14,FALSE),"")</f>
        <v/>
      </c>
      <c r="J2284" t="str">
        <f>IFERROR(VLOOKUP(D2284,'Team Data'!C:AB,8,FALSE),"")</f>
        <v/>
      </c>
      <c r="K2284" t="str">
        <f>IFERROR(VLOOKUP(D2284,'Team Data'!C:AB,9,FALSE),"")</f>
        <v/>
      </c>
      <c r="L2284" t="str">
        <f>IFERROR(VLOOKUP(D2284,'Team Data'!C:AB,10,FALSE),"")</f>
        <v/>
      </c>
      <c r="M2284" t="str">
        <f t="shared" si="72"/>
        <v/>
      </c>
      <c r="N2284" t="str">
        <f>IFERROR(VLOOKUP(D2284,'Team Data'!C:AB,23,FALSE),"")</f>
        <v/>
      </c>
      <c r="O2284" t="str">
        <f>IFERROR(VLOOKUP(D2284,'Team Data'!C:AB,22,FALSE),"")</f>
        <v/>
      </c>
      <c r="P2284" t="str">
        <f t="shared" si="73"/>
        <v/>
      </c>
      <c r="Q2284" t="str">
        <f>IFERROR(VLOOKUP(D2284,'Team Data'!C:AB,15,FALSE),"")</f>
        <v/>
      </c>
      <c r="R2284" t="str">
        <f>IFERROR(VLOOKUP('OB Format'!D2284,'Team Data'!C:AB,24,FALSE),"")</f>
        <v/>
      </c>
      <c r="S2284" t="str">
        <f>IFERROR(VLOOKUP('OB Format'!D2284,'Team Data'!C:AC,25,FALSE),"")</f>
        <v/>
      </c>
    </row>
    <row r="2285" spans="5:19" x14ac:dyDescent="0.25">
      <c r="E2285" t="str">
        <f>IFERROR(VLOOKUP(D2285,'Team Data'!C:AB,4,FALSE),"")</f>
        <v/>
      </c>
      <c r="F2285" t="str">
        <f>IFERROR(VLOOKUP(D2285,'Team Data'!C:AB,5,FALSE),"")</f>
        <v/>
      </c>
      <c r="G2285" t="str">
        <f>IFERROR(VLOOKUP('OB Format'!D2285,'Team Data'!C:AB,17,FALSE),"")</f>
        <v/>
      </c>
      <c r="H2285" t="str">
        <f>IFERROR(VLOOKUP(D2285,'Team Data'!C:AB,7,FALSE),"")</f>
        <v/>
      </c>
      <c r="I2285" t="str">
        <f>IFERROR(VLOOKUP(D2285,'Team Data'!C:AB,14,FALSE),"")</f>
        <v/>
      </c>
      <c r="J2285" t="str">
        <f>IFERROR(VLOOKUP(D2285,'Team Data'!C:AB,8,FALSE),"")</f>
        <v/>
      </c>
      <c r="K2285" t="str">
        <f>IFERROR(VLOOKUP(D2285,'Team Data'!C:AB,9,FALSE),"")</f>
        <v/>
      </c>
      <c r="L2285" t="str">
        <f>IFERROR(VLOOKUP(D2285,'Team Data'!C:AB,10,FALSE),"")</f>
        <v/>
      </c>
      <c r="M2285" t="str">
        <f t="shared" si="72"/>
        <v/>
      </c>
      <c r="N2285" t="str">
        <f>IFERROR(VLOOKUP(D2285,'Team Data'!C:AB,23,FALSE),"")</f>
        <v/>
      </c>
      <c r="O2285" t="str">
        <f>IFERROR(VLOOKUP(D2285,'Team Data'!C:AB,22,FALSE),"")</f>
        <v/>
      </c>
      <c r="P2285" t="str">
        <f t="shared" si="73"/>
        <v/>
      </c>
      <c r="Q2285" t="str">
        <f>IFERROR(VLOOKUP(D2285,'Team Data'!C:AB,15,FALSE),"")</f>
        <v/>
      </c>
      <c r="R2285" t="str">
        <f>IFERROR(VLOOKUP('OB Format'!D2285,'Team Data'!C:AB,24,FALSE),"")</f>
        <v/>
      </c>
      <c r="S2285" t="str">
        <f>IFERROR(VLOOKUP('OB Format'!D2285,'Team Data'!C:AC,25,FALSE),"")</f>
        <v/>
      </c>
    </row>
    <row r="2286" spans="5:19" x14ac:dyDescent="0.25">
      <c r="E2286" t="str">
        <f>IFERROR(VLOOKUP(D2286,'Team Data'!C:AB,4,FALSE),"")</f>
        <v/>
      </c>
      <c r="F2286" t="str">
        <f>IFERROR(VLOOKUP(D2286,'Team Data'!C:AB,5,FALSE),"")</f>
        <v/>
      </c>
      <c r="G2286" t="str">
        <f>IFERROR(VLOOKUP('OB Format'!D2286,'Team Data'!C:AB,17,FALSE),"")</f>
        <v/>
      </c>
      <c r="H2286" t="str">
        <f>IFERROR(VLOOKUP(D2286,'Team Data'!C:AB,7,FALSE),"")</f>
        <v/>
      </c>
      <c r="I2286" t="str">
        <f>IFERROR(VLOOKUP(D2286,'Team Data'!C:AB,14,FALSE),"")</f>
        <v/>
      </c>
      <c r="J2286" t="str">
        <f>IFERROR(VLOOKUP(D2286,'Team Data'!C:AB,8,FALSE),"")</f>
        <v/>
      </c>
      <c r="K2286" t="str">
        <f>IFERROR(VLOOKUP(D2286,'Team Data'!C:AB,9,FALSE),"")</f>
        <v/>
      </c>
      <c r="L2286" t="str">
        <f>IFERROR(VLOOKUP(D2286,'Team Data'!C:AB,10,FALSE),"")</f>
        <v/>
      </c>
      <c r="M2286" t="str">
        <f t="shared" si="72"/>
        <v/>
      </c>
      <c r="N2286" t="str">
        <f>IFERROR(VLOOKUP(D2286,'Team Data'!C:AB,23,FALSE),"")</f>
        <v/>
      </c>
      <c r="O2286" t="str">
        <f>IFERROR(VLOOKUP(D2286,'Team Data'!C:AB,22,FALSE),"")</f>
        <v/>
      </c>
      <c r="P2286" t="str">
        <f t="shared" si="73"/>
        <v/>
      </c>
      <c r="Q2286" t="str">
        <f>IFERROR(VLOOKUP(D2286,'Team Data'!C:AB,15,FALSE),"")</f>
        <v/>
      </c>
      <c r="R2286" t="str">
        <f>IFERROR(VLOOKUP('OB Format'!D2286,'Team Data'!C:AB,24,FALSE),"")</f>
        <v/>
      </c>
      <c r="S2286" t="str">
        <f>IFERROR(VLOOKUP('OB Format'!D2286,'Team Data'!C:AC,25,FALSE),"")</f>
        <v/>
      </c>
    </row>
    <row r="2287" spans="5:19" x14ac:dyDescent="0.25">
      <c r="E2287" t="str">
        <f>IFERROR(VLOOKUP(D2287,'Team Data'!C:AB,4,FALSE),"")</f>
        <v/>
      </c>
      <c r="F2287" t="str">
        <f>IFERROR(VLOOKUP(D2287,'Team Data'!C:AB,5,FALSE),"")</f>
        <v/>
      </c>
      <c r="G2287" t="str">
        <f>IFERROR(VLOOKUP('OB Format'!D2287,'Team Data'!C:AB,17,FALSE),"")</f>
        <v/>
      </c>
      <c r="H2287" t="str">
        <f>IFERROR(VLOOKUP(D2287,'Team Data'!C:AB,7,FALSE),"")</f>
        <v/>
      </c>
      <c r="I2287" t="str">
        <f>IFERROR(VLOOKUP(D2287,'Team Data'!C:AB,14,FALSE),"")</f>
        <v/>
      </c>
      <c r="J2287" t="str">
        <f>IFERROR(VLOOKUP(D2287,'Team Data'!C:AB,8,FALSE),"")</f>
        <v/>
      </c>
      <c r="K2287" t="str">
        <f>IFERROR(VLOOKUP(D2287,'Team Data'!C:AB,9,FALSE),"")</f>
        <v/>
      </c>
      <c r="L2287" t="str">
        <f>IFERROR(VLOOKUP(D2287,'Team Data'!C:AB,10,FALSE),"")</f>
        <v/>
      </c>
      <c r="M2287" t="str">
        <f t="shared" si="72"/>
        <v/>
      </c>
      <c r="N2287" t="str">
        <f>IFERROR(VLOOKUP(D2287,'Team Data'!C:AB,23,FALSE),"")</f>
        <v/>
      </c>
      <c r="O2287" t="str">
        <f>IFERROR(VLOOKUP(D2287,'Team Data'!C:AB,22,FALSE),"")</f>
        <v/>
      </c>
      <c r="P2287" t="str">
        <f t="shared" si="73"/>
        <v/>
      </c>
      <c r="Q2287" t="str">
        <f>IFERROR(VLOOKUP(D2287,'Team Data'!C:AB,15,FALSE),"")</f>
        <v/>
      </c>
      <c r="R2287" t="str">
        <f>IFERROR(VLOOKUP('OB Format'!D2287,'Team Data'!C:AB,24,FALSE),"")</f>
        <v/>
      </c>
      <c r="S2287" t="str">
        <f>IFERROR(VLOOKUP('OB Format'!D2287,'Team Data'!C:AC,25,FALSE),"")</f>
        <v/>
      </c>
    </row>
    <row r="2288" spans="5:19" x14ac:dyDescent="0.25">
      <c r="E2288" t="str">
        <f>IFERROR(VLOOKUP(D2288,'Team Data'!C:AB,4,FALSE),"")</f>
        <v/>
      </c>
      <c r="F2288" t="str">
        <f>IFERROR(VLOOKUP(D2288,'Team Data'!C:AB,5,FALSE),"")</f>
        <v/>
      </c>
      <c r="G2288" t="str">
        <f>IFERROR(VLOOKUP('OB Format'!D2288,'Team Data'!C:AB,17,FALSE),"")</f>
        <v/>
      </c>
      <c r="H2288" t="str">
        <f>IFERROR(VLOOKUP(D2288,'Team Data'!C:AB,7,FALSE),"")</f>
        <v/>
      </c>
      <c r="I2288" t="str">
        <f>IFERROR(VLOOKUP(D2288,'Team Data'!C:AB,14,FALSE),"")</f>
        <v/>
      </c>
      <c r="J2288" t="str">
        <f>IFERROR(VLOOKUP(D2288,'Team Data'!C:AB,8,FALSE),"")</f>
        <v/>
      </c>
      <c r="K2288" t="str">
        <f>IFERROR(VLOOKUP(D2288,'Team Data'!C:AB,9,FALSE),"")</f>
        <v/>
      </c>
      <c r="L2288" t="str">
        <f>IFERROR(VLOOKUP(D2288,'Team Data'!C:AB,10,FALSE),"")</f>
        <v/>
      </c>
      <c r="M2288" t="str">
        <f t="shared" si="72"/>
        <v/>
      </c>
      <c r="N2288" t="str">
        <f>IFERROR(VLOOKUP(D2288,'Team Data'!C:AB,23,FALSE),"")</f>
        <v/>
      </c>
      <c r="O2288" t="str">
        <f>IFERROR(VLOOKUP(D2288,'Team Data'!C:AB,22,FALSE),"")</f>
        <v/>
      </c>
      <c r="P2288" t="str">
        <f t="shared" si="73"/>
        <v/>
      </c>
      <c r="Q2288" t="str">
        <f>IFERROR(VLOOKUP(D2288,'Team Data'!C:AB,15,FALSE),"")</f>
        <v/>
      </c>
      <c r="R2288" t="str">
        <f>IFERROR(VLOOKUP('OB Format'!D2288,'Team Data'!C:AB,24,FALSE),"")</f>
        <v/>
      </c>
      <c r="S2288" t="str">
        <f>IFERROR(VLOOKUP('OB Format'!D2288,'Team Data'!C:AC,25,FALSE),"")</f>
        <v/>
      </c>
    </row>
    <row r="2289" spans="5:19" x14ac:dyDescent="0.25">
      <c r="E2289" t="str">
        <f>IFERROR(VLOOKUP(D2289,'Team Data'!C:AB,4,FALSE),"")</f>
        <v/>
      </c>
      <c r="F2289" t="str">
        <f>IFERROR(VLOOKUP(D2289,'Team Data'!C:AB,5,FALSE),"")</f>
        <v/>
      </c>
      <c r="G2289" t="str">
        <f>IFERROR(VLOOKUP('OB Format'!D2289,'Team Data'!C:AB,17,FALSE),"")</f>
        <v/>
      </c>
      <c r="H2289" t="str">
        <f>IFERROR(VLOOKUP(D2289,'Team Data'!C:AB,7,FALSE),"")</f>
        <v/>
      </c>
      <c r="I2289" t="str">
        <f>IFERROR(VLOOKUP(D2289,'Team Data'!C:AB,14,FALSE),"")</f>
        <v/>
      </c>
      <c r="J2289" t="str">
        <f>IFERROR(VLOOKUP(D2289,'Team Data'!C:AB,8,FALSE),"")</f>
        <v/>
      </c>
      <c r="K2289" t="str">
        <f>IFERROR(VLOOKUP(D2289,'Team Data'!C:AB,9,FALSE),"")</f>
        <v/>
      </c>
      <c r="L2289" t="str">
        <f>IFERROR(VLOOKUP(D2289,'Team Data'!C:AB,10,FALSE),"")</f>
        <v/>
      </c>
      <c r="M2289" t="str">
        <f t="shared" si="72"/>
        <v/>
      </c>
      <c r="N2289" t="str">
        <f>IFERROR(VLOOKUP(D2289,'Team Data'!C:AB,23,FALSE),"")</f>
        <v/>
      </c>
      <c r="O2289" t="str">
        <f>IFERROR(VLOOKUP(D2289,'Team Data'!C:AB,22,FALSE),"")</f>
        <v/>
      </c>
      <c r="P2289" t="str">
        <f t="shared" si="73"/>
        <v/>
      </c>
      <c r="Q2289" t="str">
        <f>IFERROR(VLOOKUP(D2289,'Team Data'!C:AB,15,FALSE),"")</f>
        <v/>
      </c>
      <c r="R2289" t="str">
        <f>IFERROR(VLOOKUP('OB Format'!D2289,'Team Data'!C:AB,24,FALSE),"")</f>
        <v/>
      </c>
      <c r="S2289" t="str">
        <f>IFERROR(VLOOKUP('OB Format'!D2289,'Team Data'!C:AC,25,FALSE),"")</f>
        <v/>
      </c>
    </row>
    <row r="2290" spans="5:19" x14ac:dyDescent="0.25">
      <c r="E2290" t="str">
        <f>IFERROR(VLOOKUP(D2290,'Team Data'!C:AB,4,FALSE),"")</f>
        <v/>
      </c>
      <c r="F2290" t="str">
        <f>IFERROR(VLOOKUP(D2290,'Team Data'!C:AB,5,FALSE),"")</f>
        <v/>
      </c>
      <c r="G2290" t="str">
        <f>IFERROR(VLOOKUP('OB Format'!D2290,'Team Data'!C:AB,17,FALSE),"")</f>
        <v/>
      </c>
      <c r="H2290" t="str">
        <f>IFERROR(VLOOKUP(D2290,'Team Data'!C:AB,7,FALSE),"")</f>
        <v/>
      </c>
      <c r="I2290" t="str">
        <f>IFERROR(VLOOKUP(D2290,'Team Data'!C:AB,14,FALSE),"")</f>
        <v/>
      </c>
      <c r="J2290" t="str">
        <f>IFERROR(VLOOKUP(D2290,'Team Data'!C:AB,8,FALSE),"")</f>
        <v/>
      </c>
      <c r="K2290" t="str">
        <f>IFERROR(VLOOKUP(D2290,'Team Data'!C:AB,9,FALSE),"")</f>
        <v/>
      </c>
      <c r="L2290" t="str">
        <f>IFERROR(VLOOKUP(D2290,'Team Data'!C:AB,10,FALSE),"")</f>
        <v/>
      </c>
      <c r="M2290" t="str">
        <f t="shared" si="72"/>
        <v/>
      </c>
      <c r="N2290" t="str">
        <f>IFERROR(VLOOKUP(D2290,'Team Data'!C:AB,23,FALSE),"")</f>
        <v/>
      </c>
      <c r="O2290" t="str">
        <f>IFERROR(VLOOKUP(D2290,'Team Data'!C:AB,22,FALSE),"")</f>
        <v/>
      </c>
      <c r="P2290" t="str">
        <f t="shared" si="73"/>
        <v/>
      </c>
      <c r="Q2290" t="str">
        <f>IFERROR(VLOOKUP(D2290,'Team Data'!C:AB,15,FALSE),"")</f>
        <v/>
      </c>
      <c r="R2290" t="str">
        <f>IFERROR(VLOOKUP('OB Format'!D2290,'Team Data'!C:AB,24,FALSE),"")</f>
        <v/>
      </c>
      <c r="S2290" t="str">
        <f>IFERROR(VLOOKUP('OB Format'!D2290,'Team Data'!C:AC,25,FALSE),"")</f>
        <v/>
      </c>
    </row>
    <row r="2291" spans="5:19" x14ac:dyDescent="0.25">
      <c r="E2291" t="str">
        <f>IFERROR(VLOOKUP(D2291,'Team Data'!C:AB,4,FALSE),"")</f>
        <v/>
      </c>
      <c r="F2291" t="str">
        <f>IFERROR(VLOOKUP(D2291,'Team Data'!C:AB,5,FALSE),"")</f>
        <v/>
      </c>
      <c r="G2291" t="str">
        <f>IFERROR(VLOOKUP('OB Format'!D2291,'Team Data'!C:AB,17,FALSE),"")</f>
        <v/>
      </c>
      <c r="H2291" t="str">
        <f>IFERROR(VLOOKUP(D2291,'Team Data'!C:AB,7,FALSE),"")</f>
        <v/>
      </c>
      <c r="I2291" t="str">
        <f>IFERROR(VLOOKUP(D2291,'Team Data'!C:AB,14,FALSE),"")</f>
        <v/>
      </c>
      <c r="J2291" t="str">
        <f>IFERROR(VLOOKUP(D2291,'Team Data'!C:AB,8,FALSE),"")</f>
        <v/>
      </c>
      <c r="K2291" t="str">
        <f>IFERROR(VLOOKUP(D2291,'Team Data'!C:AB,9,FALSE),"")</f>
        <v/>
      </c>
      <c r="L2291" t="str">
        <f>IFERROR(VLOOKUP(D2291,'Team Data'!C:AB,10,FALSE),"")</f>
        <v/>
      </c>
      <c r="M2291" t="str">
        <f t="shared" si="72"/>
        <v/>
      </c>
      <c r="N2291" t="str">
        <f>IFERROR(VLOOKUP(D2291,'Team Data'!C:AB,23,FALSE),"")</f>
        <v/>
      </c>
      <c r="O2291" t="str">
        <f>IFERROR(VLOOKUP(D2291,'Team Data'!C:AB,22,FALSE),"")</f>
        <v/>
      </c>
      <c r="P2291" t="str">
        <f t="shared" si="73"/>
        <v/>
      </c>
      <c r="Q2291" t="str">
        <f>IFERROR(VLOOKUP(D2291,'Team Data'!C:AB,15,FALSE),"")</f>
        <v/>
      </c>
      <c r="R2291" t="str">
        <f>IFERROR(VLOOKUP('OB Format'!D2291,'Team Data'!C:AB,24,FALSE),"")</f>
        <v/>
      </c>
      <c r="S2291" t="str">
        <f>IFERROR(VLOOKUP('OB Format'!D2291,'Team Data'!C:AC,25,FALSE),"")</f>
        <v/>
      </c>
    </row>
    <row r="2292" spans="5:19" x14ac:dyDescent="0.25">
      <c r="E2292" t="str">
        <f>IFERROR(VLOOKUP(D2292,'Team Data'!C:AB,4,FALSE),"")</f>
        <v/>
      </c>
      <c r="F2292" t="str">
        <f>IFERROR(VLOOKUP(D2292,'Team Data'!C:AB,5,FALSE),"")</f>
        <v/>
      </c>
      <c r="G2292" t="str">
        <f>IFERROR(VLOOKUP('OB Format'!D2292,'Team Data'!C:AB,17,FALSE),"")</f>
        <v/>
      </c>
      <c r="H2292" t="str">
        <f>IFERROR(VLOOKUP(D2292,'Team Data'!C:AB,7,FALSE),"")</f>
        <v/>
      </c>
      <c r="I2292" t="str">
        <f>IFERROR(VLOOKUP(D2292,'Team Data'!C:AB,14,FALSE),"")</f>
        <v/>
      </c>
      <c r="J2292" t="str">
        <f>IFERROR(VLOOKUP(D2292,'Team Data'!C:AB,8,FALSE),"")</f>
        <v/>
      </c>
      <c r="K2292" t="str">
        <f>IFERROR(VLOOKUP(D2292,'Team Data'!C:AB,9,FALSE),"")</f>
        <v/>
      </c>
      <c r="L2292" t="str">
        <f>IFERROR(VLOOKUP(D2292,'Team Data'!C:AB,10,FALSE),"")</f>
        <v/>
      </c>
      <c r="M2292" t="str">
        <f t="shared" si="72"/>
        <v/>
      </c>
      <c r="N2292" t="str">
        <f>IFERROR(VLOOKUP(D2292,'Team Data'!C:AB,23,FALSE),"")</f>
        <v/>
      </c>
      <c r="O2292" t="str">
        <f>IFERROR(VLOOKUP(D2292,'Team Data'!C:AB,22,FALSE),"")</f>
        <v/>
      </c>
      <c r="P2292" t="str">
        <f t="shared" si="73"/>
        <v/>
      </c>
      <c r="Q2292" t="str">
        <f>IFERROR(VLOOKUP(D2292,'Team Data'!C:AB,15,FALSE),"")</f>
        <v/>
      </c>
      <c r="R2292" t="str">
        <f>IFERROR(VLOOKUP('OB Format'!D2292,'Team Data'!C:AB,24,FALSE),"")</f>
        <v/>
      </c>
      <c r="S2292" t="str">
        <f>IFERROR(VLOOKUP('OB Format'!D2292,'Team Data'!C:AC,25,FALSE),"")</f>
        <v/>
      </c>
    </row>
    <row r="2293" spans="5:19" x14ac:dyDescent="0.25">
      <c r="E2293" t="str">
        <f>IFERROR(VLOOKUP(D2293,'Team Data'!C:AB,4,FALSE),"")</f>
        <v/>
      </c>
      <c r="F2293" t="str">
        <f>IFERROR(VLOOKUP(D2293,'Team Data'!C:AB,5,FALSE),"")</f>
        <v/>
      </c>
      <c r="G2293" t="str">
        <f>IFERROR(VLOOKUP('OB Format'!D2293,'Team Data'!C:AB,17,FALSE),"")</f>
        <v/>
      </c>
      <c r="H2293" t="str">
        <f>IFERROR(VLOOKUP(D2293,'Team Data'!C:AB,7,FALSE),"")</f>
        <v/>
      </c>
      <c r="I2293" t="str">
        <f>IFERROR(VLOOKUP(D2293,'Team Data'!C:AB,14,FALSE),"")</f>
        <v/>
      </c>
      <c r="J2293" t="str">
        <f>IFERROR(VLOOKUP(D2293,'Team Data'!C:AB,8,FALSE),"")</f>
        <v/>
      </c>
      <c r="K2293" t="str">
        <f>IFERROR(VLOOKUP(D2293,'Team Data'!C:AB,9,FALSE),"")</f>
        <v/>
      </c>
      <c r="L2293" t="str">
        <f>IFERROR(VLOOKUP(D2293,'Team Data'!C:AB,10,FALSE),"")</f>
        <v/>
      </c>
      <c r="M2293" t="str">
        <f t="shared" si="72"/>
        <v/>
      </c>
      <c r="N2293" t="str">
        <f>IFERROR(VLOOKUP(D2293,'Team Data'!C:AB,23,FALSE),"")</f>
        <v/>
      </c>
      <c r="O2293" t="str">
        <f>IFERROR(VLOOKUP(D2293,'Team Data'!C:AB,22,FALSE),"")</f>
        <v/>
      </c>
      <c r="P2293" t="str">
        <f t="shared" si="73"/>
        <v/>
      </c>
      <c r="Q2293" t="str">
        <f>IFERROR(VLOOKUP(D2293,'Team Data'!C:AB,15,FALSE),"")</f>
        <v/>
      </c>
      <c r="R2293" t="str">
        <f>IFERROR(VLOOKUP('OB Format'!D2293,'Team Data'!C:AB,24,FALSE),"")</f>
        <v/>
      </c>
      <c r="S2293" t="str">
        <f>IFERROR(VLOOKUP('OB Format'!D2293,'Team Data'!C:AC,25,FALSE),"")</f>
        <v/>
      </c>
    </row>
    <row r="2294" spans="5:19" x14ac:dyDescent="0.25">
      <c r="E2294" t="str">
        <f>IFERROR(VLOOKUP(D2294,'Team Data'!C:AB,4,FALSE),"")</f>
        <v/>
      </c>
      <c r="F2294" t="str">
        <f>IFERROR(VLOOKUP(D2294,'Team Data'!C:AB,5,FALSE),"")</f>
        <v/>
      </c>
      <c r="G2294" t="str">
        <f>IFERROR(VLOOKUP('OB Format'!D2294,'Team Data'!C:AB,17,FALSE),"")</f>
        <v/>
      </c>
      <c r="H2294" t="str">
        <f>IFERROR(VLOOKUP(D2294,'Team Data'!C:AB,7,FALSE),"")</f>
        <v/>
      </c>
      <c r="I2294" t="str">
        <f>IFERROR(VLOOKUP(D2294,'Team Data'!C:AB,14,FALSE),"")</f>
        <v/>
      </c>
      <c r="J2294" t="str">
        <f>IFERROR(VLOOKUP(D2294,'Team Data'!C:AB,8,FALSE),"")</f>
        <v/>
      </c>
      <c r="K2294" t="str">
        <f>IFERROR(VLOOKUP(D2294,'Team Data'!C:AB,9,FALSE),"")</f>
        <v/>
      </c>
      <c r="L2294" t="str">
        <f>IFERROR(VLOOKUP(D2294,'Team Data'!C:AB,10,FALSE),"")</f>
        <v/>
      </c>
      <c r="M2294" t="str">
        <f t="shared" si="72"/>
        <v/>
      </c>
      <c r="N2294" t="str">
        <f>IFERROR(VLOOKUP(D2294,'Team Data'!C:AB,23,FALSE),"")</f>
        <v/>
      </c>
      <c r="O2294" t="str">
        <f>IFERROR(VLOOKUP(D2294,'Team Data'!C:AB,22,FALSE),"")</f>
        <v/>
      </c>
      <c r="P2294" t="str">
        <f t="shared" si="73"/>
        <v/>
      </c>
      <c r="Q2294" t="str">
        <f>IFERROR(VLOOKUP(D2294,'Team Data'!C:AB,15,FALSE),"")</f>
        <v/>
      </c>
      <c r="R2294" t="str">
        <f>IFERROR(VLOOKUP('OB Format'!D2294,'Team Data'!C:AB,24,FALSE),"")</f>
        <v/>
      </c>
      <c r="S2294" t="str">
        <f>IFERROR(VLOOKUP('OB Format'!D2294,'Team Data'!C:AC,25,FALSE),"")</f>
        <v/>
      </c>
    </row>
    <row r="2295" spans="5:19" x14ac:dyDescent="0.25">
      <c r="E2295" t="str">
        <f>IFERROR(VLOOKUP(D2295,'Team Data'!C:AB,4,FALSE),"")</f>
        <v/>
      </c>
      <c r="F2295" t="str">
        <f>IFERROR(VLOOKUP(D2295,'Team Data'!C:AB,5,FALSE),"")</f>
        <v/>
      </c>
      <c r="G2295" t="str">
        <f>IFERROR(VLOOKUP('OB Format'!D2295,'Team Data'!C:AB,17,FALSE),"")</f>
        <v/>
      </c>
      <c r="H2295" t="str">
        <f>IFERROR(VLOOKUP(D2295,'Team Data'!C:AB,7,FALSE),"")</f>
        <v/>
      </c>
      <c r="I2295" t="str">
        <f>IFERROR(VLOOKUP(D2295,'Team Data'!C:AB,14,FALSE),"")</f>
        <v/>
      </c>
      <c r="J2295" t="str">
        <f>IFERROR(VLOOKUP(D2295,'Team Data'!C:AB,8,FALSE),"")</f>
        <v/>
      </c>
      <c r="K2295" t="str">
        <f>IFERROR(VLOOKUP(D2295,'Team Data'!C:AB,9,FALSE),"")</f>
        <v/>
      </c>
      <c r="L2295" t="str">
        <f>IFERROR(VLOOKUP(D2295,'Team Data'!C:AB,10,FALSE),"")</f>
        <v/>
      </c>
      <c r="M2295" t="str">
        <f t="shared" si="72"/>
        <v/>
      </c>
      <c r="N2295" t="str">
        <f>IFERROR(VLOOKUP(D2295,'Team Data'!C:AB,23,FALSE),"")</f>
        <v/>
      </c>
      <c r="O2295" t="str">
        <f>IFERROR(VLOOKUP(D2295,'Team Data'!C:AB,22,FALSE),"")</f>
        <v/>
      </c>
      <c r="P2295" t="str">
        <f t="shared" si="73"/>
        <v/>
      </c>
      <c r="Q2295" t="str">
        <f>IFERROR(VLOOKUP(D2295,'Team Data'!C:AB,15,FALSE),"")</f>
        <v/>
      </c>
      <c r="R2295" t="str">
        <f>IFERROR(VLOOKUP('OB Format'!D2295,'Team Data'!C:AB,24,FALSE),"")</f>
        <v/>
      </c>
      <c r="S2295" t="str">
        <f>IFERROR(VLOOKUP('OB Format'!D2295,'Team Data'!C:AC,25,FALSE),"")</f>
        <v/>
      </c>
    </row>
    <row r="2296" spans="5:19" x14ac:dyDescent="0.25">
      <c r="E2296" t="str">
        <f>IFERROR(VLOOKUP(D2296,'Team Data'!C:AB,4,FALSE),"")</f>
        <v/>
      </c>
      <c r="F2296" t="str">
        <f>IFERROR(VLOOKUP(D2296,'Team Data'!C:AB,5,FALSE),"")</f>
        <v/>
      </c>
      <c r="G2296" t="str">
        <f>IFERROR(VLOOKUP('OB Format'!D2296,'Team Data'!C:AB,17,FALSE),"")</f>
        <v/>
      </c>
      <c r="H2296" t="str">
        <f>IFERROR(VLOOKUP(D2296,'Team Data'!C:AB,7,FALSE),"")</f>
        <v/>
      </c>
      <c r="I2296" t="str">
        <f>IFERROR(VLOOKUP(D2296,'Team Data'!C:AB,14,FALSE),"")</f>
        <v/>
      </c>
      <c r="J2296" t="str">
        <f>IFERROR(VLOOKUP(D2296,'Team Data'!C:AB,8,FALSE),"")</f>
        <v/>
      </c>
      <c r="K2296" t="str">
        <f>IFERROR(VLOOKUP(D2296,'Team Data'!C:AB,9,FALSE),"")</f>
        <v/>
      </c>
      <c r="L2296" t="str">
        <f>IFERROR(VLOOKUP(D2296,'Team Data'!C:AB,10,FALSE),"")</f>
        <v/>
      </c>
      <c r="M2296" t="str">
        <f t="shared" si="72"/>
        <v/>
      </c>
      <c r="N2296" t="str">
        <f>IFERROR(VLOOKUP(D2296,'Team Data'!C:AB,23,FALSE),"")</f>
        <v/>
      </c>
      <c r="O2296" t="str">
        <f>IFERROR(VLOOKUP(D2296,'Team Data'!C:AB,22,FALSE),"")</f>
        <v/>
      </c>
      <c r="P2296" t="str">
        <f t="shared" si="73"/>
        <v/>
      </c>
      <c r="Q2296" t="str">
        <f>IFERROR(VLOOKUP(D2296,'Team Data'!C:AB,15,FALSE),"")</f>
        <v/>
      </c>
      <c r="R2296" t="str">
        <f>IFERROR(VLOOKUP('OB Format'!D2296,'Team Data'!C:AB,24,FALSE),"")</f>
        <v/>
      </c>
      <c r="S2296" t="str">
        <f>IFERROR(VLOOKUP('OB Format'!D2296,'Team Data'!C:AC,25,FALSE),"")</f>
        <v/>
      </c>
    </row>
    <row r="2297" spans="5:19" x14ac:dyDescent="0.25">
      <c r="E2297" t="str">
        <f>IFERROR(VLOOKUP(D2297,'Team Data'!C:AB,4,FALSE),"")</f>
        <v/>
      </c>
      <c r="F2297" t="str">
        <f>IFERROR(VLOOKUP(D2297,'Team Data'!C:AB,5,FALSE),"")</f>
        <v/>
      </c>
      <c r="G2297" t="str">
        <f>IFERROR(VLOOKUP('OB Format'!D2297,'Team Data'!C:AB,17,FALSE),"")</f>
        <v/>
      </c>
      <c r="H2297" t="str">
        <f>IFERROR(VLOOKUP(D2297,'Team Data'!C:AB,7,FALSE),"")</f>
        <v/>
      </c>
      <c r="I2297" t="str">
        <f>IFERROR(VLOOKUP(D2297,'Team Data'!C:AB,14,FALSE),"")</f>
        <v/>
      </c>
      <c r="J2297" t="str">
        <f>IFERROR(VLOOKUP(D2297,'Team Data'!C:AB,8,FALSE),"")</f>
        <v/>
      </c>
      <c r="K2297" t="str">
        <f>IFERROR(VLOOKUP(D2297,'Team Data'!C:AB,9,FALSE),"")</f>
        <v/>
      </c>
      <c r="L2297" t="str">
        <f>IFERROR(VLOOKUP(D2297,'Team Data'!C:AB,10,FALSE),"")</f>
        <v/>
      </c>
      <c r="M2297" t="str">
        <f t="shared" si="72"/>
        <v/>
      </c>
      <c r="N2297" t="str">
        <f>IFERROR(VLOOKUP(D2297,'Team Data'!C:AB,23,FALSE),"")</f>
        <v/>
      </c>
      <c r="O2297" t="str">
        <f>IFERROR(VLOOKUP(D2297,'Team Data'!C:AB,22,FALSE),"")</f>
        <v/>
      </c>
      <c r="P2297" t="str">
        <f t="shared" si="73"/>
        <v/>
      </c>
      <c r="Q2297" t="str">
        <f>IFERROR(VLOOKUP(D2297,'Team Data'!C:AB,15,FALSE),"")</f>
        <v/>
      </c>
      <c r="R2297" t="str">
        <f>IFERROR(VLOOKUP('OB Format'!D2297,'Team Data'!C:AB,24,FALSE),"")</f>
        <v/>
      </c>
      <c r="S2297" t="str">
        <f>IFERROR(VLOOKUP('OB Format'!D2297,'Team Data'!C:AC,25,FALSE),"")</f>
        <v/>
      </c>
    </row>
    <row r="2298" spans="5:19" x14ac:dyDescent="0.25">
      <c r="E2298" t="str">
        <f>IFERROR(VLOOKUP(D2298,'Team Data'!C:AB,4,FALSE),"")</f>
        <v/>
      </c>
      <c r="F2298" t="str">
        <f>IFERROR(VLOOKUP(D2298,'Team Data'!C:AB,5,FALSE),"")</f>
        <v/>
      </c>
      <c r="G2298" t="str">
        <f>IFERROR(VLOOKUP('OB Format'!D2298,'Team Data'!C:AB,17,FALSE),"")</f>
        <v/>
      </c>
      <c r="H2298" t="str">
        <f>IFERROR(VLOOKUP(D2298,'Team Data'!C:AB,7,FALSE),"")</f>
        <v/>
      </c>
      <c r="I2298" t="str">
        <f>IFERROR(VLOOKUP(D2298,'Team Data'!C:AB,14,FALSE),"")</f>
        <v/>
      </c>
      <c r="J2298" t="str">
        <f>IFERROR(VLOOKUP(D2298,'Team Data'!C:AB,8,FALSE),"")</f>
        <v/>
      </c>
      <c r="K2298" t="str">
        <f>IFERROR(VLOOKUP(D2298,'Team Data'!C:AB,9,FALSE),"")</f>
        <v/>
      </c>
      <c r="L2298" t="str">
        <f>IFERROR(VLOOKUP(D2298,'Team Data'!C:AB,10,FALSE),"")</f>
        <v/>
      </c>
      <c r="M2298" t="str">
        <f t="shared" si="72"/>
        <v/>
      </c>
      <c r="N2298" t="str">
        <f>IFERROR(VLOOKUP(D2298,'Team Data'!C:AB,23,FALSE),"")</f>
        <v/>
      </c>
      <c r="O2298" t="str">
        <f>IFERROR(VLOOKUP(D2298,'Team Data'!C:AB,22,FALSE),"")</f>
        <v/>
      </c>
      <c r="P2298" t="str">
        <f t="shared" si="73"/>
        <v/>
      </c>
      <c r="Q2298" t="str">
        <f>IFERROR(VLOOKUP(D2298,'Team Data'!C:AB,15,FALSE),"")</f>
        <v/>
      </c>
      <c r="R2298" t="str">
        <f>IFERROR(VLOOKUP('OB Format'!D2298,'Team Data'!C:AB,24,FALSE),"")</f>
        <v/>
      </c>
      <c r="S2298" t="str">
        <f>IFERROR(VLOOKUP('OB Format'!D2298,'Team Data'!C:AC,25,FALSE),"")</f>
        <v/>
      </c>
    </row>
    <row r="2299" spans="5:19" x14ac:dyDescent="0.25">
      <c r="E2299" t="str">
        <f>IFERROR(VLOOKUP(D2299,'Team Data'!C:AB,4,FALSE),"")</f>
        <v/>
      </c>
      <c r="F2299" t="str">
        <f>IFERROR(VLOOKUP(D2299,'Team Data'!C:AB,5,FALSE),"")</f>
        <v/>
      </c>
      <c r="G2299" t="str">
        <f>IFERROR(VLOOKUP('OB Format'!D2299,'Team Data'!C:AB,17,FALSE),"")</f>
        <v/>
      </c>
      <c r="H2299" t="str">
        <f>IFERROR(VLOOKUP(D2299,'Team Data'!C:AB,7,FALSE),"")</f>
        <v/>
      </c>
      <c r="I2299" t="str">
        <f>IFERROR(VLOOKUP(D2299,'Team Data'!C:AB,14,FALSE),"")</f>
        <v/>
      </c>
      <c r="J2299" t="str">
        <f>IFERROR(VLOOKUP(D2299,'Team Data'!C:AB,8,FALSE),"")</f>
        <v/>
      </c>
      <c r="K2299" t="str">
        <f>IFERROR(VLOOKUP(D2299,'Team Data'!C:AB,9,FALSE),"")</f>
        <v/>
      </c>
      <c r="L2299" t="str">
        <f>IFERROR(VLOOKUP(D2299,'Team Data'!C:AB,10,FALSE),"")</f>
        <v/>
      </c>
      <c r="M2299" t="str">
        <f t="shared" si="72"/>
        <v/>
      </c>
      <c r="N2299" t="str">
        <f>IFERROR(VLOOKUP(D2299,'Team Data'!C:AB,23,FALSE),"")</f>
        <v/>
      </c>
      <c r="O2299" t="str">
        <f>IFERROR(VLOOKUP(D2299,'Team Data'!C:AB,22,FALSE),"")</f>
        <v/>
      </c>
      <c r="P2299" t="str">
        <f t="shared" si="73"/>
        <v/>
      </c>
      <c r="Q2299" t="str">
        <f>IFERROR(VLOOKUP(D2299,'Team Data'!C:AB,15,FALSE),"")</f>
        <v/>
      </c>
      <c r="R2299" t="str">
        <f>IFERROR(VLOOKUP('OB Format'!D2299,'Team Data'!C:AB,24,FALSE),"")</f>
        <v/>
      </c>
      <c r="S2299" t="str">
        <f>IFERROR(VLOOKUP('OB Format'!D2299,'Team Data'!C:AC,25,FALSE),"")</f>
        <v/>
      </c>
    </row>
    <row r="2300" spans="5:19" x14ac:dyDescent="0.25">
      <c r="E2300" t="str">
        <f>IFERROR(VLOOKUP(D2300,'Team Data'!C:AB,4,FALSE),"")</f>
        <v/>
      </c>
      <c r="F2300" t="str">
        <f>IFERROR(VLOOKUP(D2300,'Team Data'!C:AB,5,FALSE),"")</f>
        <v/>
      </c>
      <c r="G2300" t="str">
        <f>IFERROR(VLOOKUP('OB Format'!D2300,'Team Data'!C:AB,17,FALSE),"")</f>
        <v/>
      </c>
      <c r="H2300" t="str">
        <f>IFERROR(VLOOKUP(D2300,'Team Data'!C:AB,7,FALSE),"")</f>
        <v/>
      </c>
      <c r="I2300" t="str">
        <f>IFERROR(VLOOKUP(D2300,'Team Data'!C:AB,14,FALSE),"")</f>
        <v/>
      </c>
      <c r="J2300" t="str">
        <f>IFERROR(VLOOKUP(D2300,'Team Data'!C:AB,8,FALSE),"")</f>
        <v/>
      </c>
      <c r="K2300" t="str">
        <f>IFERROR(VLOOKUP(D2300,'Team Data'!C:AB,9,FALSE),"")</f>
        <v/>
      </c>
      <c r="L2300" t="str">
        <f>IFERROR(VLOOKUP(D2300,'Team Data'!C:AB,10,FALSE),"")</f>
        <v/>
      </c>
      <c r="M2300" t="str">
        <f t="shared" si="72"/>
        <v/>
      </c>
      <c r="N2300" t="str">
        <f>IFERROR(VLOOKUP(D2300,'Team Data'!C:AB,23,FALSE),"")</f>
        <v/>
      </c>
      <c r="O2300" t="str">
        <f>IFERROR(VLOOKUP(D2300,'Team Data'!C:AB,22,FALSE),"")</f>
        <v/>
      </c>
      <c r="P2300" t="str">
        <f t="shared" si="73"/>
        <v/>
      </c>
      <c r="Q2300" t="str">
        <f>IFERROR(VLOOKUP(D2300,'Team Data'!C:AB,15,FALSE),"")</f>
        <v/>
      </c>
      <c r="R2300" t="str">
        <f>IFERROR(VLOOKUP('OB Format'!D2300,'Team Data'!C:AB,24,FALSE),"")</f>
        <v/>
      </c>
      <c r="S2300" t="str">
        <f>IFERROR(VLOOKUP('OB Format'!D2300,'Team Data'!C:AC,25,FALSE),"")</f>
        <v/>
      </c>
    </row>
    <row r="2301" spans="5:19" x14ac:dyDescent="0.25">
      <c r="E2301" t="str">
        <f>IFERROR(VLOOKUP(D2301,'Team Data'!C:AB,4,FALSE),"")</f>
        <v/>
      </c>
      <c r="F2301" t="str">
        <f>IFERROR(VLOOKUP(D2301,'Team Data'!C:AB,5,FALSE),"")</f>
        <v/>
      </c>
      <c r="G2301" t="str">
        <f>IFERROR(VLOOKUP('OB Format'!D2301,'Team Data'!C:AB,17,FALSE),"")</f>
        <v/>
      </c>
      <c r="H2301" t="str">
        <f>IFERROR(VLOOKUP(D2301,'Team Data'!C:AB,7,FALSE),"")</f>
        <v/>
      </c>
      <c r="I2301" t="str">
        <f>IFERROR(VLOOKUP(D2301,'Team Data'!C:AB,14,FALSE),"")</f>
        <v/>
      </c>
      <c r="J2301" t="str">
        <f>IFERROR(VLOOKUP(D2301,'Team Data'!C:AB,8,FALSE),"")</f>
        <v/>
      </c>
      <c r="K2301" t="str">
        <f>IFERROR(VLOOKUP(D2301,'Team Data'!C:AB,9,FALSE),"")</f>
        <v/>
      </c>
      <c r="L2301" t="str">
        <f>IFERROR(VLOOKUP(D2301,'Team Data'!C:AB,10,FALSE),"")</f>
        <v/>
      </c>
      <c r="M2301" t="str">
        <f t="shared" si="72"/>
        <v/>
      </c>
      <c r="N2301" t="str">
        <f>IFERROR(VLOOKUP(D2301,'Team Data'!C:AB,23,FALSE),"")</f>
        <v/>
      </c>
      <c r="O2301" t="str">
        <f>IFERROR(VLOOKUP(D2301,'Team Data'!C:AB,22,FALSE),"")</f>
        <v/>
      </c>
      <c r="P2301" t="str">
        <f t="shared" si="73"/>
        <v/>
      </c>
      <c r="Q2301" t="str">
        <f>IFERROR(VLOOKUP(D2301,'Team Data'!C:AB,15,FALSE),"")</f>
        <v/>
      </c>
      <c r="R2301" t="str">
        <f>IFERROR(VLOOKUP('OB Format'!D2301,'Team Data'!C:AB,24,FALSE),"")</f>
        <v/>
      </c>
      <c r="S2301" t="str">
        <f>IFERROR(VLOOKUP('OB Format'!D2301,'Team Data'!C:AC,25,FALSE),"")</f>
        <v/>
      </c>
    </row>
    <row r="2302" spans="5:19" x14ac:dyDescent="0.25">
      <c r="E2302" t="str">
        <f>IFERROR(VLOOKUP(D2302,'Team Data'!C:AB,4,FALSE),"")</f>
        <v/>
      </c>
      <c r="F2302" t="str">
        <f>IFERROR(VLOOKUP(D2302,'Team Data'!C:AB,5,FALSE),"")</f>
        <v/>
      </c>
      <c r="G2302" t="str">
        <f>IFERROR(VLOOKUP('OB Format'!D2302,'Team Data'!C:AB,17,FALSE),"")</f>
        <v/>
      </c>
      <c r="H2302" t="str">
        <f>IFERROR(VLOOKUP(D2302,'Team Data'!C:AB,7,FALSE),"")</f>
        <v/>
      </c>
      <c r="I2302" t="str">
        <f>IFERROR(VLOOKUP(D2302,'Team Data'!C:AB,14,FALSE),"")</f>
        <v/>
      </c>
      <c r="J2302" t="str">
        <f>IFERROR(VLOOKUP(D2302,'Team Data'!C:AB,8,FALSE),"")</f>
        <v/>
      </c>
      <c r="K2302" t="str">
        <f>IFERROR(VLOOKUP(D2302,'Team Data'!C:AB,9,FALSE),"")</f>
        <v/>
      </c>
      <c r="L2302" t="str">
        <f>IFERROR(VLOOKUP(D2302,'Team Data'!C:AB,10,FALSE),"")</f>
        <v/>
      </c>
      <c r="M2302" t="str">
        <f t="shared" si="72"/>
        <v/>
      </c>
      <c r="N2302" t="str">
        <f>IFERROR(VLOOKUP(D2302,'Team Data'!C:AB,23,FALSE),"")</f>
        <v/>
      </c>
      <c r="O2302" t="str">
        <f>IFERROR(VLOOKUP(D2302,'Team Data'!C:AB,22,FALSE),"")</f>
        <v/>
      </c>
      <c r="P2302" t="str">
        <f t="shared" si="73"/>
        <v/>
      </c>
      <c r="Q2302" t="str">
        <f>IFERROR(VLOOKUP(D2302,'Team Data'!C:AB,15,FALSE),"")</f>
        <v/>
      </c>
      <c r="R2302" t="str">
        <f>IFERROR(VLOOKUP('OB Format'!D2302,'Team Data'!C:AB,24,FALSE),"")</f>
        <v/>
      </c>
      <c r="S2302" t="str">
        <f>IFERROR(VLOOKUP('OB Format'!D2302,'Team Data'!C:AC,25,FALSE),"")</f>
        <v/>
      </c>
    </row>
    <row r="2303" spans="5:19" x14ac:dyDescent="0.25">
      <c r="E2303" t="str">
        <f>IFERROR(VLOOKUP(D2303,'Team Data'!C:AB,4,FALSE),"")</f>
        <v/>
      </c>
      <c r="F2303" t="str">
        <f>IFERROR(VLOOKUP(D2303,'Team Data'!C:AB,5,FALSE),"")</f>
        <v/>
      </c>
      <c r="G2303" t="str">
        <f>IFERROR(VLOOKUP('OB Format'!D2303,'Team Data'!C:AB,17,FALSE),"")</f>
        <v/>
      </c>
      <c r="H2303" t="str">
        <f>IFERROR(VLOOKUP(D2303,'Team Data'!C:AB,7,FALSE),"")</f>
        <v/>
      </c>
      <c r="I2303" t="str">
        <f>IFERROR(VLOOKUP(D2303,'Team Data'!C:AB,14,FALSE),"")</f>
        <v/>
      </c>
      <c r="J2303" t="str">
        <f>IFERROR(VLOOKUP(D2303,'Team Data'!C:AB,8,FALSE),"")</f>
        <v/>
      </c>
      <c r="K2303" t="str">
        <f>IFERROR(VLOOKUP(D2303,'Team Data'!C:AB,9,FALSE),"")</f>
        <v/>
      </c>
      <c r="L2303" t="str">
        <f>IFERROR(VLOOKUP(D2303,'Team Data'!C:AB,10,FALSE),"")</f>
        <v/>
      </c>
      <c r="M2303" t="str">
        <f t="shared" si="72"/>
        <v/>
      </c>
      <c r="N2303" t="str">
        <f>IFERROR(VLOOKUP(D2303,'Team Data'!C:AB,23,FALSE),"")</f>
        <v/>
      </c>
      <c r="O2303" t="str">
        <f>IFERROR(VLOOKUP(D2303,'Team Data'!C:AB,22,FALSE),"")</f>
        <v/>
      </c>
      <c r="P2303" t="str">
        <f t="shared" si="73"/>
        <v/>
      </c>
      <c r="Q2303" t="str">
        <f>IFERROR(VLOOKUP(D2303,'Team Data'!C:AB,15,FALSE),"")</f>
        <v/>
      </c>
      <c r="R2303" t="str">
        <f>IFERROR(VLOOKUP('OB Format'!D2303,'Team Data'!C:AB,24,FALSE),"")</f>
        <v/>
      </c>
      <c r="S2303" t="str">
        <f>IFERROR(VLOOKUP('OB Format'!D2303,'Team Data'!C:AC,25,FALSE),"")</f>
        <v/>
      </c>
    </row>
    <row r="2304" spans="5:19" x14ac:dyDescent="0.25">
      <c r="E2304" t="str">
        <f>IFERROR(VLOOKUP(D2304,'Team Data'!C:AB,4,FALSE),"")</f>
        <v/>
      </c>
      <c r="F2304" t="str">
        <f>IFERROR(VLOOKUP(D2304,'Team Data'!C:AB,5,FALSE),"")</f>
        <v/>
      </c>
      <c r="G2304" t="str">
        <f>IFERROR(VLOOKUP('OB Format'!D2304,'Team Data'!C:AB,17,FALSE),"")</f>
        <v/>
      </c>
      <c r="H2304" t="str">
        <f>IFERROR(VLOOKUP(D2304,'Team Data'!C:AB,7,FALSE),"")</f>
        <v/>
      </c>
      <c r="I2304" t="str">
        <f>IFERROR(VLOOKUP(D2304,'Team Data'!C:AB,14,FALSE),"")</f>
        <v/>
      </c>
      <c r="J2304" t="str">
        <f>IFERROR(VLOOKUP(D2304,'Team Data'!C:AB,8,FALSE),"")</f>
        <v/>
      </c>
      <c r="K2304" t="str">
        <f>IFERROR(VLOOKUP(D2304,'Team Data'!C:AB,9,FALSE),"")</f>
        <v/>
      </c>
      <c r="L2304" t="str">
        <f>IFERROR(VLOOKUP(D2304,'Team Data'!C:AB,10,FALSE),"")</f>
        <v/>
      </c>
      <c r="M2304" t="str">
        <f t="shared" si="72"/>
        <v/>
      </c>
      <c r="N2304" t="str">
        <f>IFERROR(VLOOKUP(D2304,'Team Data'!C:AB,23,FALSE),"")</f>
        <v/>
      </c>
      <c r="O2304" t="str">
        <f>IFERROR(VLOOKUP(D2304,'Team Data'!C:AB,22,FALSE),"")</f>
        <v/>
      </c>
      <c r="P2304" t="str">
        <f t="shared" si="73"/>
        <v/>
      </c>
      <c r="Q2304" t="str">
        <f>IFERROR(VLOOKUP(D2304,'Team Data'!C:AB,15,FALSE),"")</f>
        <v/>
      </c>
      <c r="R2304" t="str">
        <f>IFERROR(VLOOKUP('OB Format'!D2304,'Team Data'!C:AB,24,FALSE),"")</f>
        <v/>
      </c>
      <c r="S2304" t="str">
        <f>IFERROR(VLOOKUP('OB Format'!D2304,'Team Data'!C:AC,25,FALSE),"")</f>
        <v/>
      </c>
    </row>
    <row r="2305" spans="5:19" x14ac:dyDescent="0.25">
      <c r="E2305" t="str">
        <f>IFERROR(VLOOKUP(D2305,'Team Data'!C:AB,4,FALSE),"")</f>
        <v/>
      </c>
      <c r="F2305" t="str">
        <f>IFERROR(VLOOKUP(D2305,'Team Data'!C:AB,5,FALSE),"")</f>
        <v/>
      </c>
      <c r="G2305" t="str">
        <f>IFERROR(VLOOKUP('OB Format'!D2305,'Team Data'!C:AB,17,FALSE),"")</f>
        <v/>
      </c>
      <c r="H2305" t="str">
        <f>IFERROR(VLOOKUP(D2305,'Team Data'!C:AB,7,FALSE),"")</f>
        <v/>
      </c>
      <c r="I2305" t="str">
        <f>IFERROR(VLOOKUP(D2305,'Team Data'!C:AB,14,FALSE),"")</f>
        <v/>
      </c>
      <c r="J2305" t="str">
        <f>IFERROR(VLOOKUP(D2305,'Team Data'!C:AB,8,FALSE),"")</f>
        <v/>
      </c>
      <c r="K2305" t="str">
        <f>IFERROR(VLOOKUP(D2305,'Team Data'!C:AB,9,FALSE),"")</f>
        <v/>
      </c>
      <c r="L2305" t="str">
        <f>IFERROR(VLOOKUP(D2305,'Team Data'!C:AB,10,FALSE),"")</f>
        <v/>
      </c>
      <c r="M2305" t="str">
        <f t="shared" si="72"/>
        <v/>
      </c>
      <c r="N2305" t="str">
        <f>IFERROR(VLOOKUP(D2305,'Team Data'!C:AB,23,FALSE),"")</f>
        <v/>
      </c>
      <c r="O2305" t="str">
        <f>IFERROR(VLOOKUP(D2305,'Team Data'!C:AB,22,FALSE),"")</f>
        <v/>
      </c>
      <c r="P2305" t="str">
        <f t="shared" si="73"/>
        <v/>
      </c>
      <c r="Q2305" t="str">
        <f>IFERROR(VLOOKUP(D2305,'Team Data'!C:AB,15,FALSE),"")</f>
        <v/>
      </c>
      <c r="R2305" t="str">
        <f>IFERROR(VLOOKUP('OB Format'!D2305,'Team Data'!C:AB,24,FALSE),"")</f>
        <v/>
      </c>
      <c r="S2305" t="str">
        <f>IFERROR(VLOOKUP('OB Format'!D2305,'Team Data'!C:AC,25,FALSE),"")</f>
        <v/>
      </c>
    </row>
    <row r="2306" spans="5:19" x14ac:dyDescent="0.25">
      <c r="E2306" t="str">
        <f>IFERROR(VLOOKUP(D2306,'Team Data'!C:AB,4,FALSE),"")</f>
        <v/>
      </c>
      <c r="F2306" t="str">
        <f>IFERROR(VLOOKUP(D2306,'Team Data'!C:AB,5,FALSE),"")</f>
        <v/>
      </c>
      <c r="G2306" t="str">
        <f>IFERROR(VLOOKUP('OB Format'!D2306,'Team Data'!C:AB,17,FALSE),"")</f>
        <v/>
      </c>
      <c r="H2306" t="str">
        <f>IFERROR(VLOOKUP(D2306,'Team Data'!C:AB,7,FALSE),"")</f>
        <v/>
      </c>
      <c r="I2306" t="str">
        <f>IFERROR(VLOOKUP(D2306,'Team Data'!C:AB,14,FALSE),"")</f>
        <v/>
      </c>
      <c r="J2306" t="str">
        <f>IFERROR(VLOOKUP(D2306,'Team Data'!C:AB,8,FALSE),"")</f>
        <v/>
      </c>
      <c r="K2306" t="str">
        <f>IFERROR(VLOOKUP(D2306,'Team Data'!C:AB,9,FALSE),"")</f>
        <v/>
      </c>
      <c r="L2306" t="str">
        <f>IFERROR(VLOOKUP(D2306,'Team Data'!C:AB,10,FALSE),"")</f>
        <v/>
      </c>
      <c r="M2306" t="str">
        <f t="shared" si="72"/>
        <v/>
      </c>
      <c r="N2306" t="str">
        <f>IFERROR(VLOOKUP(D2306,'Team Data'!C:AB,23,FALSE),"")</f>
        <v/>
      </c>
      <c r="O2306" t="str">
        <f>IFERROR(VLOOKUP(D2306,'Team Data'!C:AB,22,FALSE),"")</f>
        <v/>
      </c>
      <c r="P2306" t="str">
        <f t="shared" si="73"/>
        <v/>
      </c>
      <c r="Q2306" t="str">
        <f>IFERROR(VLOOKUP(D2306,'Team Data'!C:AB,15,FALSE),"")</f>
        <v/>
      </c>
      <c r="R2306" t="str">
        <f>IFERROR(VLOOKUP('OB Format'!D2306,'Team Data'!C:AB,24,FALSE),"")</f>
        <v/>
      </c>
      <c r="S2306" t="str">
        <f>IFERROR(VLOOKUP('OB Format'!D2306,'Team Data'!C:AC,25,FALSE),"")</f>
        <v/>
      </c>
    </row>
    <row r="2307" spans="5:19" x14ac:dyDescent="0.25">
      <c r="E2307" t="str">
        <f>IFERROR(VLOOKUP(D2307,'Team Data'!C:AB,4,FALSE),"")</f>
        <v/>
      </c>
      <c r="F2307" t="str">
        <f>IFERROR(VLOOKUP(D2307,'Team Data'!C:AB,5,FALSE),"")</f>
        <v/>
      </c>
      <c r="G2307" t="str">
        <f>IFERROR(VLOOKUP('OB Format'!D2307,'Team Data'!C:AB,17,FALSE),"")</f>
        <v/>
      </c>
      <c r="H2307" t="str">
        <f>IFERROR(VLOOKUP(D2307,'Team Data'!C:AB,7,FALSE),"")</f>
        <v/>
      </c>
      <c r="I2307" t="str">
        <f>IFERROR(VLOOKUP(D2307,'Team Data'!C:AB,14,FALSE),"")</f>
        <v/>
      </c>
      <c r="J2307" t="str">
        <f>IFERROR(VLOOKUP(D2307,'Team Data'!C:AB,8,FALSE),"")</f>
        <v/>
      </c>
      <c r="K2307" t="str">
        <f>IFERROR(VLOOKUP(D2307,'Team Data'!C:AB,9,FALSE),"")</f>
        <v/>
      </c>
      <c r="L2307" t="str">
        <f>IFERROR(VLOOKUP(D2307,'Team Data'!C:AB,10,FALSE),"")</f>
        <v/>
      </c>
      <c r="M2307" t="str">
        <f t="shared" si="72"/>
        <v/>
      </c>
      <c r="N2307" t="str">
        <f>IFERROR(VLOOKUP(D2307,'Team Data'!C:AB,23,FALSE),"")</f>
        <v/>
      </c>
      <c r="O2307" t="str">
        <f>IFERROR(VLOOKUP(D2307,'Team Data'!C:AB,22,FALSE),"")</f>
        <v/>
      </c>
      <c r="P2307" t="str">
        <f t="shared" si="73"/>
        <v/>
      </c>
      <c r="Q2307" t="str">
        <f>IFERROR(VLOOKUP(D2307,'Team Data'!C:AB,15,FALSE),"")</f>
        <v/>
      </c>
      <c r="R2307" t="str">
        <f>IFERROR(VLOOKUP('OB Format'!D2307,'Team Data'!C:AB,24,FALSE),"")</f>
        <v/>
      </c>
      <c r="S2307" t="str">
        <f>IFERROR(VLOOKUP('OB Format'!D2307,'Team Data'!C:AC,25,FALSE),"")</f>
        <v/>
      </c>
    </row>
    <row r="2308" spans="5:19" x14ac:dyDescent="0.25">
      <c r="E2308" t="str">
        <f>IFERROR(VLOOKUP(D2308,'Team Data'!C:AB,4,FALSE),"")</f>
        <v/>
      </c>
      <c r="F2308" t="str">
        <f>IFERROR(VLOOKUP(D2308,'Team Data'!C:AB,5,FALSE),"")</f>
        <v/>
      </c>
      <c r="G2308" t="str">
        <f>IFERROR(VLOOKUP('OB Format'!D2308,'Team Data'!C:AB,17,FALSE),"")</f>
        <v/>
      </c>
      <c r="H2308" t="str">
        <f>IFERROR(VLOOKUP(D2308,'Team Data'!C:AB,7,FALSE),"")</f>
        <v/>
      </c>
      <c r="I2308" t="str">
        <f>IFERROR(VLOOKUP(D2308,'Team Data'!C:AB,14,FALSE),"")</f>
        <v/>
      </c>
      <c r="J2308" t="str">
        <f>IFERROR(VLOOKUP(D2308,'Team Data'!C:AB,8,FALSE),"")</f>
        <v/>
      </c>
      <c r="K2308" t="str">
        <f>IFERROR(VLOOKUP(D2308,'Team Data'!C:AB,9,FALSE),"")</f>
        <v/>
      </c>
      <c r="L2308" t="str">
        <f>IFERROR(VLOOKUP(D2308,'Team Data'!C:AB,10,FALSE),"")</f>
        <v/>
      </c>
      <c r="M2308" t="str">
        <f t="shared" si="72"/>
        <v/>
      </c>
      <c r="N2308" t="str">
        <f>IFERROR(VLOOKUP(D2308,'Team Data'!C:AB,23,FALSE),"")</f>
        <v/>
      </c>
      <c r="O2308" t="str">
        <f>IFERROR(VLOOKUP(D2308,'Team Data'!C:AB,22,FALSE),"")</f>
        <v/>
      </c>
      <c r="P2308" t="str">
        <f t="shared" si="73"/>
        <v/>
      </c>
      <c r="Q2308" t="str">
        <f>IFERROR(VLOOKUP(D2308,'Team Data'!C:AB,15,FALSE),"")</f>
        <v/>
      </c>
      <c r="R2308" t="str">
        <f>IFERROR(VLOOKUP('OB Format'!D2308,'Team Data'!C:AB,24,FALSE),"")</f>
        <v/>
      </c>
      <c r="S2308" t="str">
        <f>IFERROR(VLOOKUP('OB Format'!D2308,'Team Data'!C:AC,25,FALSE),"")</f>
        <v/>
      </c>
    </row>
    <row r="2309" spans="5:19" x14ac:dyDescent="0.25">
      <c r="E2309" t="str">
        <f>IFERROR(VLOOKUP(D2309,'Team Data'!C:AB,4,FALSE),"")</f>
        <v/>
      </c>
      <c r="F2309" t="str">
        <f>IFERROR(VLOOKUP(D2309,'Team Data'!C:AB,5,FALSE),"")</f>
        <v/>
      </c>
      <c r="G2309" t="str">
        <f>IFERROR(VLOOKUP('OB Format'!D2309,'Team Data'!C:AB,17,FALSE),"")</f>
        <v/>
      </c>
      <c r="H2309" t="str">
        <f>IFERROR(VLOOKUP(D2309,'Team Data'!C:AB,7,FALSE),"")</f>
        <v/>
      </c>
      <c r="I2309" t="str">
        <f>IFERROR(VLOOKUP(D2309,'Team Data'!C:AB,14,FALSE),"")</f>
        <v/>
      </c>
      <c r="J2309" t="str">
        <f>IFERROR(VLOOKUP(D2309,'Team Data'!C:AB,8,FALSE),"")</f>
        <v/>
      </c>
      <c r="K2309" t="str">
        <f>IFERROR(VLOOKUP(D2309,'Team Data'!C:AB,9,FALSE),"")</f>
        <v/>
      </c>
      <c r="L2309" t="str">
        <f>IFERROR(VLOOKUP(D2309,'Team Data'!C:AB,10,FALSE),"")</f>
        <v/>
      </c>
      <c r="M2309" t="str">
        <f t="shared" si="72"/>
        <v/>
      </c>
      <c r="N2309" t="str">
        <f>IFERROR(VLOOKUP(D2309,'Team Data'!C:AB,23,FALSE),"")</f>
        <v/>
      </c>
      <c r="O2309" t="str">
        <f>IFERROR(VLOOKUP(D2309,'Team Data'!C:AB,22,FALSE),"")</f>
        <v/>
      </c>
      <c r="P2309" t="str">
        <f t="shared" si="73"/>
        <v/>
      </c>
      <c r="Q2309" t="str">
        <f>IFERROR(VLOOKUP(D2309,'Team Data'!C:AB,15,FALSE),"")</f>
        <v/>
      </c>
      <c r="R2309" t="str">
        <f>IFERROR(VLOOKUP('OB Format'!D2309,'Team Data'!C:AB,24,FALSE),"")</f>
        <v/>
      </c>
      <c r="S2309" t="str">
        <f>IFERROR(VLOOKUP('OB Format'!D2309,'Team Data'!C:AC,25,FALSE),"")</f>
        <v/>
      </c>
    </row>
    <row r="2310" spans="5:19" x14ac:dyDescent="0.25">
      <c r="E2310" t="str">
        <f>IFERROR(VLOOKUP(D2310,'Team Data'!C:AB,4,FALSE),"")</f>
        <v/>
      </c>
      <c r="F2310" t="str">
        <f>IFERROR(VLOOKUP(D2310,'Team Data'!C:AB,5,FALSE),"")</f>
        <v/>
      </c>
      <c r="G2310" t="str">
        <f>IFERROR(VLOOKUP('OB Format'!D2310,'Team Data'!C:AB,17,FALSE),"")</f>
        <v/>
      </c>
      <c r="H2310" t="str">
        <f>IFERROR(VLOOKUP(D2310,'Team Data'!C:AB,7,FALSE),"")</f>
        <v/>
      </c>
      <c r="I2310" t="str">
        <f>IFERROR(VLOOKUP(D2310,'Team Data'!C:AB,14,FALSE),"")</f>
        <v/>
      </c>
      <c r="J2310" t="str">
        <f>IFERROR(VLOOKUP(D2310,'Team Data'!C:AB,8,FALSE),"")</f>
        <v/>
      </c>
      <c r="K2310" t="str">
        <f>IFERROR(VLOOKUP(D2310,'Team Data'!C:AB,9,FALSE),"")</f>
        <v/>
      </c>
      <c r="L2310" t="str">
        <f>IFERROR(VLOOKUP(D2310,'Team Data'!C:AB,10,FALSE),"")</f>
        <v/>
      </c>
      <c r="M2310" t="str">
        <f t="shared" si="72"/>
        <v/>
      </c>
      <c r="N2310" t="str">
        <f>IFERROR(VLOOKUP(D2310,'Team Data'!C:AB,23,FALSE),"")</f>
        <v/>
      </c>
      <c r="O2310" t="str">
        <f>IFERROR(VLOOKUP(D2310,'Team Data'!C:AB,22,FALSE),"")</f>
        <v/>
      </c>
      <c r="P2310" t="str">
        <f t="shared" si="73"/>
        <v/>
      </c>
      <c r="Q2310" t="str">
        <f>IFERROR(VLOOKUP(D2310,'Team Data'!C:AB,15,FALSE),"")</f>
        <v/>
      </c>
      <c r="R2310" t="str">
        <f>IFERROR(VLOOKUP('OB Format'!D2310,'Team Data'!C:AB,24,FALSE),"")</f>
        <v/>
      </c>
      <c r="S2310" t="str">
        <f>IFERROR(VLOOKUP('OB Format'!D2310,'Team Data'!C:AC,25,FALSE),"")</f>
        <v/>
      </c>
    </row>
    <row r="2311" spans="5:19" x14ac:dyDescent="0.25">
      <c r="E2311" t="str">
        <f>IFERROR(VLOOKUP(D2311,'Team Data'!C:AB,4,FALSE),"")</f>
        <v/>
      </c>
      <c r="F2311" t="str">
        <f>IFERROR(VLOOKUP(D2311,'Team Data'!C:AB,5,FALSE),"")</f>
        <v/>
      </c>
      <c r="G2311" t="str">
        <f>IFERROR(VLOOKUP('OB Format'!D2311,'Team Data'!C:AB,17,FALSE),"")</f>
        <v/>
      </c>
      <c r="H2311" t="str">
        <f>IFERROR(VLOOKUP(D2311,'Team Data'!C:AB,7,FALSE),"")</f>
        <v/>
      </c>
      <c r="I2311" t="str">
        <f>IFERROR(VLOOKUP(D2311,'Team Data'!C:AB,14,FALSE),"")</f>
        <v/>
      </c>
      <c r="J2311" t="str">
        <f>IFERROR(VLOOKUP(D2311,'Team Data'!C:AB,8,FALSE),"")</f>
        <v/>
      </c>
      <c r="K2311" t="str">
        <f>IFERROR(VLOOKUP(D2311,'Team Data'!C:AB,9,FALSE),"")</f>
        <v/>
      </c>
      <c r="L2311" t="str">
        <f>IFERROR(VLOOKUP(D2311,'Team Data'!C:AB,10,FALSE),"")</f>
        <v/>
      </c>
      <c r="M2311" t="str">
        <f t="shared" si="72"/>
        <v/>
      </c>
      <c r="N2311" t="str">
        <f>IFERROR(VLOOKUP(D2311,'Team Data'!C:AB,23,FALSE),"")</f>
        <v/>
      </c>
      <c r="O2311" t="str">
        <f>IFERROR(VLOOKUP(D2311,'Team Data'!C:AB,22,FALSE),"")</f>
        <v/>
      </c>
      <c r="P2311" t="str">
        <f t="shared" si="73"/>
        <v/>
      </c>
      <c r="Q2311" t="str">
        <f>IFERROR(VLOOKUP(D2311,'Team Data'!C:AB,15,FALSE),"")</f>
        <v/>
      </c>
      <c r="R2311" t="str">
        <f>IFERROR(VLOOKUP('OB Format'!D2311,'Team Data'!C:AB,24,FALSE),"")</f>
        <v/>
      </c>
      <c r="S2311" t="str">
        <f>IFERROR(VLOOKUP('OB Format'!D2311,'Team Data'!C:AC,25,FALSE),"")</f>
        <v/>
      </c>
    </row>
    <row r="2312" spans="5:19" x14ac:dyDescent="0.25">
      <c r="E2312" t="str">
        <f>IFERROR(VLOOKUP(D2312,'Team Data'!C:AB,4,FALSE),"")</f>
        <v/>
      </c>
      <c r="F2312" t="str">
        <f>IFERROR(VLOOKUP(D2312,'Team Data'!C:AB,5,FALSE),"")</f>
        <v/>
      </c>
      <c r="G2312" t="str">
        <f>IFERROR(VLOOKUP('OB Format'!D2312,'Team Data'!C:AB,17,FALSE),"")</f>
        <v/>
      </c>
      <c r="H2312" t="str">
        <f>IFERROR(VLOOKUP(D2312,'Team Data'!C:AB,7,FALSE),"")</f>
        <v/>
      </c>
      <c r="I2312" t="str">
        <f>IFERROR(VLOOKUP(D2312,'Team Data'!C:AB,14,FALSE),"")</f>
        <v/>
      </c>
      <c r="J2312" t="str">
        <f>IFERROR(VLOOKUP(D2312,'Team Data'!C:AB,8,FALSE),"")</f>
        <v/>
      </c>
      <c r="K2312" t="str">
        <f>IFERROR(VLOOKUP(D2312,'Team Data'!C:AB,9,FALSE),"")</f>
        <v/>
      </c>
      <c r="L2312" t="str">
        <f>IFERROR(VLOOKUP(D2312,'Team Data'!C:AB,10,FALSE),"")</f>
        <v/>
      </c>
      <c r="M2312" t="str">
        <f t="shared" si="72"/>
        <v/>
      </c>
      <c r="N2312" t="str">
        <f>IFERROR(VLOOKUP(D2312,'Team Data'!C:AB,23,FALSE),"")</f>
        <v/>
      </c>
      <c r="O2312" t="str">
        <f>IFERROR(VLOOKUP(D2312,'Team Data'!C:AB,22,FALSE),"")</f>
        <v/>
      </c>
      <c r="P2312" t="str">
        <f t="shared" si="73"/>
        <v/>
      </c>
      <c r="Q2312" t="str">
        <f>IFERROR(VLOOKUP(D2312,'Team Data'!C:AB,15,FALSE),"")</f>
        <v/>
      </c>
      <c r="R2312" t="str">
        <f>IFERROR(VLOOKUP('OB Format'!D2312,'Team Data'!C:AB,24,FALSE),"")</f>
        <v/>
      </c>
      <c r="S2312" t="str">
        <f>IFERROR(VLOOKUP('OB Format'!D2312,'Team Data'!C:AC,25,FALSE),"")</f>
        <v/>
      </c>
    </row>
    <row r="2313" spans="5:19" x14ac:dyDescent="0.25">
      <c r="E2313" t="str">
        <f>IFERROR(VLOOKUP(D2313,'Team Data'!C:AB,4,FALSE),"")</f>
        <v/>
      </c>
      <c r="F2313" t="str">
        <f>IFERROR(VLOOKUP(D2313,'Team Data'!C:AB,5,FALSE),"")</f>
        <v/>
      </c>
      <c r="G2313" t="str">
        <f>IFERROR(VLOOKUP('OB Format'!D2313,'Team Data'!C:AB,17,FALSE),"")</f>
        <v/>
      </c>
      <c r="H2313" t="str">
        <f>IFERROR(VLOOKUP(D2313,'Team Data'!C:AB,7,FALSE),"")</f>
        <v/>
      </c>
      <c r="I2313" t="str">
        <f>IFERROR(VLOOKUP(D2313,'Team Data'!C:AB,14,FALSE),"")</f>
        <v/>
      </c>
      <c r="J2313" t="str">
        <f>IFERROR(VLOOKUP(D2313,'Team Data'!C:AB,8,FALSE),"")</f>
        <v/>
      </c>
      <c r="K2313" t="str">
        <f>IFERROR(VLOOKUP(D2313,'Team Data'!C:AB,9,FALSE),"")</f>
        <v/>
      </c>
      <c r="L2313" t="str">
        <f>IFERROR(VLOOKUP(D2313,'Team Data'!C:AB,10,FALSE),"")</f>
        <v/>
      </c>
      <c r="M2313" t="str">
        <f t="shared" si="72"/>
        <v/>
      </c>
      <c r="N2313" t="str">
        <f>IFERROR(VLOOKUP(D2313,'Team Data'!C:AB,23,FALSE),"")</f>
        <v/>
      </c>
      <c r="O2313" t="str">
        <f>IFERROR(VLOOKUP(D2313,'Team Data'!C:AB,22,FALSE),"")</f>
        <v/>
      </c>
      <c r="P2313" t="str">
        <f t="shared" si="73"/>
        <v/>
      </c>
      <c r="Q2313" t="str">
        <f>IFERROR(VLOOKUP(D2313,'Team Data'!C:AB,15,FALSE),"")</f>
        <v/>
      </c>
      <c r="R2313" t="str">
        <f>IFERROR(VLOOKUP('OB Format'!D2313,'Team Data'!C:AB,24,FALSE),"")</f>
        <v/>
      </c>
      <c r="S2313" t="str">
        <f>IFERROR(VLOOKUP('OB Format'!D2313,'Team Data'!C:AC,25,FALSE),"")</f>
        <v/>
      </c>
    </row>
    <row r="2314" spans="5:19" x14ac:dyDescent="0.25">
      <c r="E2314" t="str">
        <f>IFERROR(VLOOKUP(D2314,'Team Data'!C:AB,4,FALSE),"")</f>
        <v/>
      </c>
      <c r="F2314" t="str">
        <f>IFERROR(VLOOKUP(D2314,'Team Data'!C:AB,5,FALSE),"")</f>
        <v/>
      </c>
      <c r="G2314" t="str">
        <f>IFERROR(VLOOKUP('OB Format'!D2314,'Team Data'!C:AB,17,FALSE),"")</f>
        <v/>
      </c>
      <c r="H2314" t="str">
        <f>IFERROR(VLOOKUP(D2314,'Team Data'!C:AB,7,FALSE),"")</f>
        <v/>
      </c>
      <c r="I2314" t="str">
        <f>IFERROR(VLOOKUP(D2314,'Team Data'!C:AB,14,FALSE),"")</f>
        <v/>
      </c>
      <c r="J2314" t="str">
        <f>IFERROR(VLOOKUP(D2314,'Team Data'!C:AB,8,FALSE),"")</f>
        <v/>
      </c>
      <c r="K2314" t="str">
        <f>IFERROR(VLOOKUP(D2314,'Team Data'!C:AB,9,FALSE),"")</f>
        <v/>
      </c>
      <c r="L2314" t="str">
        <f>IFERROR(VLOOKUP(D2314,'Team Data'!C:AB,10,FALSE),"")</f>
        <v/>
      </c>
      <c r="M2314" t="str">
        <f t="shared" si="72"/>
        <v/>
      </c>
      <c r="N2314" t="str">
        <f>IFERROR(VLOOKUP(D2314,'Team Data'!C:AB,23,FALSE),"")</f>
        <v/>
      </c>
      <c r="O2314" t="str">
        <f>IFERROR(VLOOKUP(D2314,'Team Data'!C:AB,22,FALSE),"")</f>
        <v/>
      </c>
      <c r="P2314" t="str">
        <f t="shared" si="73"/>
        <v/>
      </c>
      <c r="Q2314" t="str">
        <f>IFERROR(VLOOKUP(D2314,'Team Data'!C:AB,15,FALSE),"")</f>
        <v/>
      </c>
      <c r="R2314" t="str">
        <f>IFERROR(VLOOKUP('OB Format'!D2314,'Team Data'!C:AB,24,FALSE),"")</f>
        <v/>
      </c>
      <c r="S2314" t="str">
        <f>IFERROR(VLOOKUP('OB Format'!D2314,'Team Data'!C:AC,25,FALSE),"")</f>
        <v/>
      </c>
    </row>
    <row r="2315" spans="5:19" x14ac:dyDescent="0.25">
      <c r="E2315" t="str">
        <f>IFERROR(VLOOKUP(D2315,'Team Data'!C:AB,4,FALSE),"")</f>
        <v/>
      </c>
      <c r="F2315" t="str">
        <f>IFERROR(VLOOKUP(D2315,'Team Data'!C:AB,5,FALSE),"")</f>
        <v/>
      </c>
      <c r="G2315" t="str">
        <f>IFERROR(VLOOKUP('OB Format'!D2315,'Team Data'!C:AB,17,FALSE),"")</f>
        <v/>
      </c>
      <c r="H2315" t="str">
        <f>IFERROR(VLOOKUP(D2315,'Team Data'!C:AB,7,FALSE),"")</f>
        <v/>
      </c>
      <c r="I2315" t="str">
        <f>IFERROR(VLOOKUP(D2315,'Team Data'!C:AB,14,FALSE),"")</f>
        <v/>
      </c>
      <c r="J2315" t="str">
        <f>IFERROR(VLOOKUP(D2315,'Team Data'!C:AB,8,FALSE),"")</f>
        <v/>
      </c>
      <c r="K2315" t="str">
        <f>IFERROR(VLOOKUP(D2315,'Team Data'!C:AB,9,FALSE),"")</f>
        <v/>
      </c>
      <c r="L2315" t="str">
        <f>IFERROR(VLOOKUP(D2315,'Team Data'!C:AB,10,FALSE),"")</f>
        <v/>
      </c>
      <c r="M2315" t="str">
        <f t="shared" si="72"/>
        <v/>
      </c>
      <c r="N2315" t="str">
        <f>IFERROR(VLOOKUP(D2315,'Team Data'!C:AB,23,FALSE),"")</f>
        <v/>
      </c>
      <c r="O2315" t="str">
        <f>IFERROR(VLOOKUP(D2315,'Team Data'!C:AB,22,FALSE),"")</f>
        <v/>
      </c>
      <c r="P2315" t="str">
        <f t="shared" si="73"/>
        <v/>
      </c>
      <c r="Q2315" t="str">
        <f>IFERROR(VLOOKUP(D2315,'Team Data'!C:AB,15,FALSE),"")</f>
        <v/>
      </c>
      <c r="R2315" t="str">
        <f>IFERROR(VLOOKUP('OB Format'!D2315,'Team Data'!C:AB,24,FALSE),"")</f>
        <v/>
      </c>
      <c r="S2315" t="str">
        <f>IFERROR(VLOOKUP('OB Format'!D2315,'Team Data'!C:AC,25,FALSE),"")</f>
        <v/>
      </c>
    </row>
    <row r="2316" spans="5:19" x14ac:dyDescent="0.25">
      <c r="E2316" t="str">
        <f>IFERROR(VLOOKUP(D2316,'Team Data'!C:AB,4,FALSE),"")</f>
        <v/>
      </c>
      <c r="F2316" t="str">
        <f>IFERROR(VLOOKUP(D2316,'Team Data'!C:AB,5,FALSE),"")</f>
        <v/>
      </c>
      <c r="G2316" t="str">
        <f>IFERROR(VLOOKUP('OB Format'!D2316,'Team Data'!C:AB,17,FALSE),"")</f>
        <v/>
      </c>
      <c r="H2316" t="str">
        <f>IFERROR(VLOOKUP(D2316,'Team Data'!C:AB,7,FALSE),"")</f>
        <v/>
      </c>
      <c r="I2316" t="str">
        <f>IFERROR(VLOOKUP(D2316,'Team Data'!C:AB,14,FALSE),"")</f>
        <v/>
      </c>
      <c r="J2316" t="str">
        <f>IFERROR(VLOOKUP(D2316,'Team Data'!C:AB,8,FALSE),"")</f>
        <v/>
      </c>
      <c r="K2316" t="str">
        <f>IFERROR(VLOOKUP(D2316,'Team Data'!C:AB,9,FALSE),"")</f>
        <v/>
      </c>
      <c r="L2316" t="str">
        <f>IFERROR(VLOOKUP(D2316,'Team Data'!C:AB,10,FALSE),"")</f>
        <v/>
      </c>
      <c r="M2316" t="str">
        <f t="shared" si="72"/>
        <v/>
      </c>
      <c r="N2316" t="str">
        <f>IFERROR(VLOOKUP(D2316,'Team Data'!C:AB,23,FALSE),"")</f>
        <v/>
      </c>
      <c r="O2316" t="str">
        <f>IFERROR(VLOOKUP(D2316,'Team Data'!C:AB,22,FALSE),"")</f>
        <v/>
      </c>
      <c r="P2316" t="str">
        <f t="shared" si="73"/>
        <v/>
      </c>
      <c r="Q2316" t="str">
        <f>IFERROR(VLOOKUP(D2316,'Team Data'!C:AB,15,FALSE),"")</f>
        <v/>
      </c>
      <c r="R2316" t="str">
        <f>IFERROR(VLOOKUP('OB Format'!D2316,'Team Data'!C:AB,24,FALSE),"")</f>
        <v/>
      </c>
      <c r="S2316" t="str">
        <f>IFERROR(VLOOKUP('OB Format'!D2316,'Team Data'!C:AC,25,FALSE),"")</f>
        <v/>
      </c>
    </row>
    <row r="2317" spans="5:19" x14ac:dyDescent="0.25">
      <c r="E2317" t="str">
        <f>IFERROR(VLOOKUP(D2317,'Team Data'!C:AB,4,FALSE),"")</f>
        <v/>
      </c>
      <c r="F2317" t="str">
        <f>IFERROR(VLOOKUP(D2317,'Team Data'!C:AB,5,FALSE),"")</f>
        <v/>
      </c>
      <c r="G2317" t="str">
        <f>IFERROR(VLOOKUP('OB Format'!D2317,'Team Data'!C:AB,17,FALSE),"")</f>
        <v/>
      </c>
      <c r="H2317" t="str">
        <f>IFERROR(VLOOKUP(D2317,'Team Data'!C:AB,7,FALSE),"")</f>
        <v/>
      </c>
      <c r="I2317" t="str">
        <f>IFERROR(VLOOKUP(D2317,'Team Data'!C:AB,14,FALSE),"")</f>
        <v/>
      </c>
      <c r="J2317" t="str">
        <f>IFERROR(VLOOKUP(D2317,'Team Data'!C:AB,8,FALSE),"")</f>
        <v/>
      </c>
      <c r="K2317" t="str">
        <f>IFERROR(VLOOKUP(D2317,'Team Data'!C:AB,9,FALSE),"")</f>
        <v/>
      </c>
      <c r="L2317" t="str">
        <f>IFERROR(VLOOKUP(D2317,'Team Data'!C:AB,10,FALSE),"")</f>
        <v/>
      </c>
      <c r="M2317" t="str">
        <f t="shared" ref="M2317:M2380" si="74">IFERROR(H2317-(J2317+L2317+K2317),"")</f>
        <v/>
      </c>
      <c r="N2317" t="str">
        <f>IFERROR(VLOOKUP(D2317,'Team Data'!C:AB,23,FALSE),"")</f>
        <v/>
      </c>
      <c r="O2317" t="str">
        <f>IFERROR(VLOOKUP(D2317,'Team Data'!C:AB,22,FALSE),"")</f>
        <v/>
      </c>
      <c r="P2317" t="str">
        <f t="shared" ref="P2317:P2380" si="75">IFERROR(E2317-(H2317+N2317+Q2317+I2317+O2317),"")</f>
        <v/>
      </c>
      <c r="Q2317" t="str">
        <f>IFERROR(VLOOKUP(D2317,'Team Data'!C:AB,15,FALSE),"")</f>
        <v/>
      </c>
      <c r="R2317" t="str">
        <f>IFERROR(VLOOKUP('OB Format'!D2317,'Team Data'!C:AB,24,FALSE),"")</f>
        <v/>
      </c>
      <c r="S2317" t="str">
        <f>IFERROR(VLOOKUP('OB Format'!D2317,'Team Data'!C:AC,25,FALSE),"")</f>
        <v/>
      </c>
    </row>
    <row r="2318" spans="5:19" x14ac:dyDescent="0.25">
      <c r="E2318" t="str">
        <f>IFERROR(VLOOKUP(D2318,'Team Data'!C:AB,4,FALSE),"")</f>
        <v/>
      </c>
      <c r="F2318" t="str">
        <f>IFERROR(VLOOKUP(D2318,'Team Data'!C:AB,5,FALSE),"")</f>
        <v/>
      </c>
      <c r="G2318" t="str">
        <f>IFERROR(VLOOKUP('OB Format'!D2318,'Team Data'!C:AB,17,FALSE),"")</f>
        <v/>
      </c>
      <c r="H2318" t="str">
        <f>IFERROR(VLOOKUP(D2318,'Team Data'!C:AB,7,FALSE),"")</f>
        <v/>
      </c>
      <c r="I2318" t="str">
        <f>IFERROR(VLOOKUP(D2318,'Team Data'!C:AB,14,FALSE),"")</f>
        <v/>
      </c>
      <c r="J2318" t="str">
        <f>IFERROR(VLOOKUP(D2318,'Team Data'!C:AB,8,FALSE),"")</f>
        <v/>
      </c>
      <c r="K2318" t="str">
        <f>IFERROR(VLOOKUP(D2318,'Team Data'!C:AB,9,FALSE),"")</f>
        <v/>
      </c>
      <c r="L2318" t="str">
        <f>IFERROR(VLOOKUP(D2318,'Team Data'!C:AB,10,FALSE),"")</f>
        <v/>
      </c>
      <c r="M2318" t="str">
        <f t="shared" si="74"/>
        <v/>
      </c>
      <c r="N2318" t="str">
        <f>IFERROR(VLOOKUP(D2318,'Team Data'!C:AB,23,FALSE),"")</f>
        <v/>
      </c>
      <c r="O2318" t="str">
        <f>IFERROR(VLOOKUP(D2318,'Team Data'!C:AB,22,FALSE),"")</f>
        <v/>
      </c>
      <c r="P2318" t="str">
        <f t="shared" si="75"/>
        <v/>
      </c>
      <c r="Q2318" t="str">
        <f>IFERROR(VLOOKUP(D2318,'Team Data'!C:AB,15,FALSE),"")</f>
        <v/>
      </c>
      <c r="R2318" t="str">
        <f>IFERROR(VLOOKUP('OB Format'!D2318,'Team Data'!C:AB,24,FALSE),"")</f>
        <v/>
      </c>
      <c r="S2318" t="str">
        <f>IFERROR(VLOOKUP('OB Format'!D2318,'Team Data'!C:AC,25,FALSE),"")</f>
        <v/>
      </c>
    </row>
    <row r="2319" spans="5:19" x14ac:dyDescent="0.25">
      <c r="E2319" t="str">
        <f>IFERROR(VLOOKUP(D2319,'Team Data'!C:AB,4,FALSE),"")</f>
        <v/>
      </c>
      <c r="F2319" t="str">
        <f>IFERROR(VLOOKUP(D2319,'Team Data'!C:AB,5,FALSE),"")</f>
        <v/>
      </c>
      <c r="G2319" t="str">
        <f>IFERROR(VLOOKUP('OB Format'!D2319,'Team Data'!C:AB,17,FALSE),"")</f>
        <v/>
      </c>
      <c r="H2319" t="str">
        <f>IFERROR(VLOOKUP(D2319,'Team Data'!C:AB,7,FALSE),"")</f>
        <v/>
      </c>
      <c r="I2319" t="str">
        <f>IFERROR(VLOOKUP(D2319,'Team Data'!C:AB,14,FALSE),"")</f>
        <v/>
      </c>
      <c r="J2319" t="str">
        <f>IFERROR(VLOOKUP(D2319,'Team Data'!C:AB,8,FALSE),"")</f>
        <v/>
      </c>
      <c r="K2319" t="str">
        <f>IFERROR(VLOOKUP(D2319,'Team Data'!C:AB,9,FALSE),"")</f>
        <v/>
      </c>
      <c r="L2319" t="str">
        <f>IFERROR(VLOOKUP(D2319,'Team Data'!C:AB,10,FALSE),"")</f>
        <v/>
      </c>
      <c r="M2319" t="str">
        <f t="shared" si="74"/>
        <v/>
      </c>
      <c r="N2319" t="str">
        <f>IFERROR(VLOOKUP(D2319,'Team Data'!C:AB,23,FALSE),"")</f>
        <v/>
      </c>
      <c r="O2319" t="str">
        <f>IFERROR(VLOOKUP(D2319,'Team Data'!C:AB,22,FALSE),"")</f>
        <v/>
      </c>
      <c r="P2319" t="str">
        <f t="shared" si="75"/>
        <v/>
      </c>
      <c r="Q2319" t="str">
        <f>IFERROR(VLOOKUP(D2319,'Team Data'!C:AB,15,FALSE),"")</f>
        <v/>
      </c>
      <c r="R2319" t="str">
        <f>IFERROR(VLOOKUP('OB Format'!D2319,'Team Data'!C:AB,24,FALSE),"")</f>
        <v/>
      </c>
      <c r="S2319" t="str">
        <f>IFERROR(VLOOKUP('OB Format'!D2319,'Team Data'!C:AC,25,FALSE),"")</f>
        <v/>
      </c>
    </row>
    <row r="2320" spans="5:19" x14ac:dyDescent="0.25">
      <c r="E2320" t="str">
        <f>IFERROR(VLOOKUP(D2320,'Team Data'!C:AB,4,FALSE),"")</f>
        <v/>
      </c>
      <c r="F2320" t="str">
        <f>IFERROR(VLOOKUP(D2320,'Team Data'!C:AB,5,FALSE),"")</f>
        <v/>
      </c>
      <c r="G2320" t="str">
        <f>IFERROR(VLOOKUP('OB Format'!D2320,'Team Data'!C:AB,17,FALSE),"")</f>
        <v/>
      </c>
      <c r="H2320" t="str">
        <f>IFERROR(VLOOKUP(D2320,'Team Data'!C:AB,7,FALSE),"")</f>
        <v/>
      </c>
      <c r="I2320" t="str">
        <f>IFERROR(VLOOKUP(D2320,'Team Data'!C:AB,14,FALSE),"")</f>
        <v/>
      </c>
      <c r="J2320" t="str">
        <f>IFERROR(VLOOKUP(D2320,'Team Data'!C:AB,8,FALSE),"")</f>
        <v/>
      </c>
      <c r="K2320" t="str">
        <f>IFERROR(VLOOKUP(D2320,'Team Data'!C:AB,9,FALSE),"")</f>
        <v/>
      </c>
      <c r="L2320" t="str">
        <f>IFERROR(VLOOKUP(D2320,'Team Data'!C:AB,10,FALSE),"")</f>
        <v/>
      </c>
      <c r="M2320" t="str">
        <f t="shared" si="74"/>
        <v/>
      </c>
      <c r="N2320" t="str">
        <f>IFERROR(VLOOKUP(D2320,'Team Data'!C:AB,23,FALSE),"")</f>
        <v/>
      </c>
      <c r="O2320" t="str">
        <f>IFERROR(VLOOKUP(D2320,'Team Data'!C:AB,22,FALSE),"")</f>
        <v/>
      </c>
      <c r="P2320" t="str">
        <f t="shared" si="75"/>
        <v/>
      </c>
      <c r="Q2320" t="str">
        <f>IFERROR(VLOOKUP(D2320,'Team Data'!C:AB,15,FALSE),"")</f>
        <v/>
      </c>
      <c r="R2320" t="str">
        <f>IFERROR(VLOOKUP('OB Format'!D2320,'Team Data'!C:AB,24,FALSE),"")</f>
        <v/>
      </c>
      <c r="S2320" t="str">
        <f>IFERROR(VLOOKUP('OB Format'!D2320,'Team Data'!C:AC,25,FALSE),"")</f>
        <v/>
      </c>
    </row>
    <row r="2321" spans="5:19" x14ac:dyDescent="0.25">
      <c r="E2321" t="str">
        <f>IFERROR(VLOOKUP(D2321,'Team Data'!C:AB,4,FALSE),"")</f>
        <v/>
      </c>
      <c r="F2321" t="str">
        <f>IFERROR(VLOOKUP(D2321,'Team Data'!C:AB,5,FALSE),"")</f>
        <v/>
      </c>
      <c r="G2321" t="str">
        <f>IFERROR(VLOOKUP('OB Format'!D2321,'Team Data'!C:AB,17,FALSE),"")</f>
        <v/>
      </c>
      <c r="H2321" t="str">
        <f>IFERROR(VLOOKUP(D2321,'Team Data'!C:AB,7,FALSE),"")</f>
        <v/>
      </c>
      <c r="I2321" t="str">
        <f>IFERROR(VLOOKUP(D2321,'Team Data'!C:AB,14,FALSE),"")</f>
        <v/>
      </c>
      <c r="J2321" t="str">
        <f>IFERROR(VLOOKUP(D2321,'Team Data'!C:AB,8,FALSE),"")</f>
        <v/>
      </c>
      <c r="K2321" t="str">
        <f>IFERROR(VLOOKUP(D2321,'Team Data'!C:AB,9,FALSE),"")</f>
        <v/>
      </c>
      <c r="L2321" t="str">
        <f>IFERROR(VLOOKUP(D2321,'Team Data'!C:AB,10,FALSE),"")</f>
        <v/>
      </c>
      <c r="M2321" t="str">
        <f t="shared" si="74"/>
        <v/>
      </c>
      <c r="N2321" t="str">
        <f>IFERROR(VLOOKUP(D2321,'Team Data'!C:AB,23,FALSE),"")</f>
        <v/>
      </c>
      <c r="O2321" t="str">
        <f>IFERROR(VLOOKUP(D2321,'Team Data'!C:AB,22,FALSE),"")</f>
        <v/>
      </c>
      <c r="P2321" t="str">
        <f t="shared" si="75"/>
        <v/>
      </c>
      <c r="Q2321" t="str">
        <f>IFERROR(VLOOKUP(D2321,'Team Data'!C:AB,15,FALSE),"")</f>
        <v/>
      </c>
      <c r="R2321" t="str">
        <f>IFERROR(VLOOKUP('OB Format'!D2321,'Team Data'!C:AB,24,FALSE),"")</f>
        <v/>
      </c>
      <c r="S2321" t="str">
        <f>IFERROR(VLOOKUP('OB Format'!D2321,'Team Data'!C:AC,25,FALSE),"")</f>
        <v/>
      </c>
    </row>
    <row r="2322" spans="5:19" x14ac:dyDescent="0.25">
      <c r="E2322" t="str">
        <f>IFERROR(VLOOKUP(D2322,'Team Data'!C:AB,4,FALSE),"")</f>
        <v/>
      </c>
      <c r="F2322" t="str">
        <f>IFERROR(VLOOKUP(D2322,'Team Data'!C:AB,5,FALSE),"")</f>
        <v/>
      </c>
      <c r="G2322" t="str">
        <f>IFERROR(VLOOKUP('OB Format'!D2322,'Team Data'!C:AB,17,FALSE),"")</f>
        <v/>
      </c>
      <c r="H2322" t="str">
        <f>IFERROR(VLOOKUP(D2322,'Team Data'!C:AB,7,FALSE),"")</f>
        <v/>
      </c>
      <c r="I2322" t="str">
        <f>IFERROR(VLOOKUP(D2322,'Team Data'!C:AB,14,FALSE),"")</f>
        <v/>
      </c>
      <c r="J2322" t="str">
        <f>IFERROR(VLOOKUP(D2322,'Team Data'!C:AB,8,FALSE),"")</f>
        <v/>
      </c>
      <c r="K2322" t="str">
        <f>IFERROR(VLOOKUP(D2322,'Team Data'!C:AB,9,FALSE),"")</f>
        <v/>
      </c>
      <c r="L2322" t="str">
        <f>IFERROR(VLOOKUP(D2322,'Team Data'!C:AB,10,FALSE),"")</f>
        <v/>
      </c>
      <c r="M2322" t="str">
        <f t="shared" si="74"/>
        <v/>
      </c>
      <c r="N2322" t="str">
        <f>IFERROR(VLOOKUP(D2322,'Team Data'!C:AB,23,FALSE),"")</f>
        <v/>
      </c>
      <c r="O2322" t="str">
        <f>IFERROR(VLOOKUP(D2322,'Team Data'!C:AB,22,FALSE),"")</f>
        <v/>
      </c>
      <c r="P2322" t="str">
        <f t="shared" si="75"/>
        <v/>
      </c>
      <c r="Q2322" t="str">
        <f>IFERROR(VLOOKUP(D2322,'Team Data'!C:AB,15,FALSE),"")</f>
        <v/>
      </c>
      <c r="R2322" t="str">
        <f>IFERROR(VLOOKUP('OB Format'!D2322,'Team Data'!C:AB,24,FALSE),"")</f>
        <v/>
      </c>
      <c r="S2322" t="str">
        <f>IFERROR(VLOOKUP('OB Format'!D2322,'Team Data'!C:AC,25,FALSE),"")</f>
        <v/>
      </c>
    </row>
    <row r="2323" spans="5:19" x14ac:dyDescent="0.25">
      <c r="E2323" t="str">
        <f>IFERROR(VLOOKUP(D2323,'Team Data'!C:AB,4,FALSE),"")</f>
        <v/>
      </c>
      <c r="F2323" t="str">
        <f>IFERROR(VLOOKUP(D2323,'Team Data'!C:AB,5,FALSE),"")</f>
        <v/>
      </c>
      <c r="G2323" t="str">
        <f>IFERROR(VLOOKUP('OB Format'!D2323,'Team Data'!C:AB,17,FALSE),"")</f>
        <v/>
      </c>
      <c r="H2323" t="str">
        <f>IFERROR(VLOOKUP(D2323,'Team Data'!C:AB,7,FALSE),"")</f>
        <v/>
      </c>
      <c r="I2323" t="str">
        <f>IFERROR(VLOOKUP(D2323,'Team Data'!C:AB,14,FALSE),"")</f>
        <v/>
      </c>
      <c r="J2323" t="str">
        <f>IFERROR(VLOOKUP(D2323,'Team Data'!C:AB,8,FALSE),"")</f>
        <v/>
      </c>
      <c r="K2323" t="str">
        <f>IFERROR(VLOOKUP(D2323,'Team Data'!C:AB,9,FALSE),"")</f>
        <v/>
      </c>
      <c r="L2323" t="str">
        <f>IFERROR(VLOOKUP(D2323,'Team Data'!C:AB,10,FALSE),"")</f>
        <v/>
      </c>
      <c r="M2323" t="str">
        <f t="shared" si="74"/>
        <v/>
      </c>
      <c r="N2323" t="str">
        <f>IFERROR(VLOOKUP(D2323,'Team Data'!C:AB,23,FALSE),"")</f>
        <v/>
      </c>
      <c r="O2323" t="str">
        <f>IFERROR(VLOOKUP(D2323,'Team Data'!C:AB,22,FALSE),"")</f>
        <v/>
      </c>
      <c r="P2323" t="str">
        <f t="shared" si="75"/>
        <v/>
      </c>
      <c r="Q2323" t="str">
        <f>IFERROR(VLOOKUP(D2323,'Team Data'!C:AB,15,FALSE),"")</f>
        <v/>
      </c>
      <c r="R2323" t="str">
        <f>IFERROR(VLOOKUP('OB Format'!D2323,'Team Data'!C:AB,24,FALSE),"")</f>
        <v/>
      </c>
      <c r="S2323" t="str">
        <f>IFERROR(VLOOKUP('OB Format'!D2323,'Team Data'!C:AC,25,FALSE),"")</f>
        <v/>
      </c>
    </row>
    <row r="2324" spans="5:19" x14ac:dyDescent="0.25">
      <c r="E2324" t="str">
        <f>IFERROR(VLOOKUP(D2324,'Team Data'!C:AB,4,FALSE),"")</f>
        <v/>
      </c>
      <c r="F2324" t="str">
        <f>IFERROR(VLOOKUP(D2324,'Team Data'!C:AB,5,FALSE),"")</f>
        <v/>
      </c>
      <c r="G2324" t="str">
        <f>IFERROR(VLOOKUP('OB Format'!D2324,'Team Data'!C:AB,17,FALSE),"")</f>
        <v/>
      </c>
      <c r="H2324" t="str">
        <f>IFERROR(VLOOKUP(D2324,'Team Data'!C:AB,7,FALSE),"")</f>
        <v/>
      </c>
      <c r="I2324" t="str">
        <f>IFERROR(VLOOKUP(D2324,'Team Data'!C:AB,14,FALSE),"")</f>
        <v/>
      </c>
      <c r="J2324" t="str">
        <f>IFERROR(VLOOKUP(D2324,'Team Data'!C:AB,8,FALSE),"")</f>
        <v/>
      </c>
      <c r="K2324" t="str">
        <f>IFERROR(VLOOKUP(D2324,'Team Data'!C:AB,9,FALSE),"")</f>
        <v/>
      </c>
      <c r="L2324" t="str">
        <f>IFERROR(VLOOKUP(D2324,'Team Data'!C:AB,10,FALSE),"")</f>
        <v/>
      </c>
      <c r="M2324" t="str">
        <f t="shared" si="74"/>
        <v/>
      </c>
      <c r="N2324" t="str">
        <f>IFERROR(VLOOKUP(D2324,'Team Data'!C:AB,23,FALSE),"")</f>
        <v/>
      </c>
      <c r="O2324" t="str">
        <f>IFERROR(VLOOKUP(D2324,'Team Data'!C:AB,22,FALSE),"")</f>
        <v/>
      </c>
      <c r="P2324" t="str">
        <f t="shared" si="75"/>
        <v/>
      </c>
      <c r="Q2324" t="str">
        <f>IFERROR(VLOOKUP(D2324,'Team Data'!C:AB,15,FALSE),"")</f>
        <v/>
      </c>
      <c r="R2324" t="str">
        <f>IFERROR(VLOOKUP('OB Format'!D2324,'Team Data'!C:AB,24,FALSE),"")</f>
        <v/>
      </c>
      <c r="S2324" t="str">
        <f>IFERROR(VLOOKUP('OB Format'!D2324,'Team Data'!C:AC,25,FALSE),"")</f>
        <v/>
      </c>
    </row>
    <row r="2325" spans="5:19" x14ac:dyDescent="0.25">
      <c r="E2325" t="str">
        <f>IFERROR(VLOOKUP(D2325,'Team Data'!C:AB,4,FALSE),"")</f>
        <v/>
      </c>
      <c r="F2325" t="str">
        <f>IFERROR(VLOOKUP(D2325,'Team Data'!C:AB,5,FALSE),"")</f>
        <v/>
      </c>
      <c r="G2325" t="str">
        <f>IFERROR(VLOOKUP('OB Format'!D2325,'Team Data'!C:AB,17,FALSE),"")</f>
        <v/>
      </c>
      <c r="H2325" t="str">
        <f>IFERROR(VLOOKUP(D2325,'Team Data'!C:AB,7,FALSE),"")</f>
        <v/>
      </c>
      <c r="I2325" t="str">
        <f>IFERROR(VLOOKUP(D2325,'Team Data'!C:AB,14,FALSE),"")</f>
        <v/>
      </c>
      <c r="J2325" t="str">
        <f>IFERROR(VLOOKUP(D2325,'Team Data'!C:AB,8,FALSE),"")</f>
        <v/>
      </c>
      <c r="K2325" t="str">
        <f>IFERROR(VLOOKUP(D2325,'Team Data'!C:AB,9,FALSE),"")</f>
        <v/>
      </c>
      <c r="L2325" t="str">
        <f>IFERROR(VLOOKUP(D2325,'Team Data'!C:AB,10,FALSE),"")</f>
        <v/>
      </c>
      <c r="M2325" t="str">
        <f t="shared" si="74"/>
        <v/>
      </c>
      <c r="N2325" t="str">
        <f>IFERROR(VLOOKUP(D2325,'Team Data'!C:AB,23,FALSE),"")</f>
        <v/>
      </c>
      <c r="O2325" t="str">
        <f>IFERROR(VLOOKUP(D2325,'Team Data'!C:AB,22,FALSE),"")</f>
        <v/>
      </c>
      <c r="P2325" t="str">
        <f t="shared" si="75"/>
        <v/>
      </c>
      <c r="Q2325" t="str">
        <f>IFERROR(VLOOKUP(D2325,'Team Data'!C:AB,15,FALSE),"")</f>
        <v/>
      </c>
      <c r="R2325" t="str">
        <f>IFERROR(VLOOKUP('OB Format'!D2325,'Team Data'!C:AB,24,FALSE),"")</f>
        <v/>
      </c>
      <c r="S2325" t="str">
        <f>IFERROR(VLOOKUP('OB Format'!D2325,'Team Data'!C:AC,25,FALSE),"")</f>
        <v/>
      </c>
    </row>
    <row r="2326" spans="5:19" x14ac:dyDescent="0.25">
      <c r="E2326" t="str">
        <f>IFERROR(VLOOKUP(D2326,'Team Data'!C:AB,4,FALSE),"")</f>
        <v/>
      </c>
      <c r="F2326" t="str">
        <f>IFERROR(VLOOKUP(D2326,'Team Data'!C:AB,5,FALSE),"")</f>
        <v/>
      </c>
      <c r="G2326" t="str">
        <f>IFERROR(VLOOKUP('OB Format'!D2326,'Team Data'!C:AB,17,FALSE),"")</f>
        <v/>
      </c>
      <c r="H2326" t="str">
        <f>IFERROR(VLOOKUP(D2326,'Team Data'!C:AB,7,FALSE),"")</f>
        <v/>
      </c>
      <c r="I2326" t="str">
        <f>IFERROR(VLOOKUP(D2326,'Team Data'!C:AB,14,FALSE),"")</f>
        <v/>
      </c>
      <c r="J2326" t="str">
        <f>IFERROR(VLOOKUP(D2326,'Team Data'!C:AB,8,FALSE),"")</f>
        <v/>
      </c>
      <c r="K2326" t="str">
        <f>IFERROR(VLOOKUP(D2326,'Team Data'!C:AB,9,FALSE),"")</f>
        <v/>
      </c>
      <c r="L2326" t="str">
        <f>IFERROR(VLOOKUP(D2326,'Team Data'!C:AB,10,FALSE),"")</f>
        <v/>
      </c>
      <c r="M2326" t="str">
        <f t="shared" si="74"/>
        <v/>
      </c>
      <c r="N2326" t="str">
        <f>IFERROR(VLOOKUP(D2326,'Team Data'!C:AB,23,FALSE),"")</f>
        <v/>
      </c>
      <c r="O2326" t="str">
        <f>IFERROR(VLOOKUP(D2326,'Team Data'!C:AB,22,FALSE),"")</f>
        <v/>
      </c>
      <c r="P2326" t="str">
        <f t="shared" si="75"/>
        <v/>
      </c>
      <c r="Q2326" t="str">
        <f>IFERROR(VLOOKUP(D2326,'Team Data'!C:AB,15,FALSE),"")</f>
        <v/>
      </c>
      <c r="R2326" t="str">
        <f>IFERROR(VLOOKUP('OB Format'!D2326,'Team Data'!C:AB,24,FALSE),"")</f>
        <v/>
      </c>
      <c r="S2326" t="str">
        <f>IFERROR(VLOOKUP('OB Format'!D2326,'Team Data'!C:AC,25,FALSE),"")</f>
        <v/>
      </c>
    </row>
    <row r="2327" spans="5:19" x14ac:dyDescent="0.25">
      <c r="E2327" t="str">
        <f>IFERROR(VLOOKUP(D2327,'Team Data'!C:AB,4,FALSE),"")</f>
        <v/>
      </c>
      <c r="F2327" t="str">
        <f>IFERROR(VLOOKUP(D2327,'Team Data'!C:AB,5,FALSE),"")</f>
        <v/>
      </c>
      <c r="G2327" t="str">
        <f>IFERROR(VLOOKUP('OB Format'!D2327,'Team Data'!C:AB,17,FALSE),"")</f>
        <v/>
      </c>
      <c r="H2327" t="str">
        <f>IFERROR(VLOOKUP(D2327,'Team Data'!C:AB,7,FALSE),"")</f>
        <v/>
      </c>
      <c r="I2327" t="str">
        <f>IFERROR(VLOOKUP(D2327,'Team Data'!C:AB,14,FALSE),"")</f>
        <v/>
      </c>
      <c r="J2327" t="str">
        <f>IFERROR(VLOOKUP(D2327,'Team Data'!C:AB,8,FALSE),"")</f>
        <v/>
      </c>
      <c r="K2327" t="str">
        <f>IFERROR(VLOOKUP(D2327,'Team Data'!C:AB,9,FALSE),"")</f>
        <v/>
      </c>
      <c r="L2327" t="str">
        <f>IFERROR(VLOOKUP(D2327,'Team Data'!C:AB,10,FALSE),"")</f>
        <v/>
      </c>
      <c r="M2327" t="str">
        <f t="shared" si="74"/>
        <v/>
      </c>
      <c r="N2327" t="str">
        <f>IFERROR(VLOOKUP(D2327,'Team Data'!C:AB,23,FALSE),"")</f>
        <v/>
      </c>
      <c r="O2327" t="str">
        <f>IFERROR(VLOOKUP(D2327,'Team Data'!C:AB,22,FALSE),"")</f>
        <v/>
      </c>
      <c r="P2327" t="str">
        <f t="shared" si="75"/>
        <v/>
      </c>
      <c r="Q2327" t="str">
        <f>IFERROR(VLOOKUP(D2327,'Team Data'!C:AB,15,FALSE),"")</f>
        <v/>
      </c>
      <c r="R2327" t="str">
        <f>IFERROR(VLOOKUP('OB Format'!D2327,'Team Data'!C:AB,24,FALSE),"")</f>
        <v/>
      </c>
      <c r="S2327" t="str">
        <f>IFERROR(VLOOKUP('OB Format'!D2327,'Team Data'!C:AC,25,FALSE),"")</f>
        <v/>
      </c>
    </row>
    <row r="2328" spans="5:19" x14ac:dyDescent="0.25">
      <c r="E2328" t="str">
        <f>IFERROR(VLOOKUP(D2328,'Team Data'!C:AB,4,FALSE),"")</f>
        <v/>
      </c>
      <c r="F2328" t="str">
        <f>IFERROR(VLOOKUP(D2328,'Team Data'!C:AB,5,FALSE),"")</f>
        <v/>
      </c>
      <c r="G2328" t="str">
        <f>IFERROR(VLOOKUP('OB Format'!D2328,'Team Data'!C:AB,17,FALSE),"")</f>
        <v/>
      </c>
      <c r="H2328" t="str">
        <f>IFERROR(VLOOKUP(D2328,'Team Data'!C:AB,7,FALSE),"")</f>
        <v/>
      </c>
      <c r="I2328" t="str">
        <f>IFERROR(VLOOKUP(D2328,'Team Data'!C:AB,14,FALSE),"")</f>
        <v/>
      </c>
      <c r="J2328" t="str">
        <f>IFERROR(VLOOKUP(D2328,'Team Data'!C:AB,8,FALSE),"")</f>
        <v/>
      </c>
      <c r="K2328" t="str">
        <f>IFERROR(VLOOKUP(D2328,'Team Data'!C:AB,9,FALSE),"")</f>
        <v/>
      </c>
      <c r="L2328" t="str">
        <f>IFERROR(VLOOKUP(D2328,'Team Data'!C:AB,10,FALSE),"")</f>
        <v/>
      </c>
      <c r="M2328" t="str">
        <f t="shared" si="74"/>
        <v/>
      </c>
      <c r="N2328" t="str">
        <f>IFERROR(VLOOKUP(D2328,'Team Data'!C:AB,23,FALSE),"")</f>
        <v/>
      </c>
      <c r="O2328" t="str">
        <f>IFERROR(VLOOKUP(D2328,'Team Data'!C:AB,22,FALSE),"")</f>
        <v/>
      </c>
      <c r="P2328" t="str">
        <f t="shared" si="75"/>
        <v/>
      </c>
      <c r="Q2328" t="str">
        <f>IFERROR(VLOOKUP(D2328,'Team Data'!C:AB,15,FALSE),"")</f>
        <v/>
      </c>
      <c r="R2328" t="str">
        <f>IFERROR(VLOOKUP('OB Format'!D2328,'Team Data'!C:AB,24,FALSE),"")</f>
        <v/>
      </c>
      <c r="S2328" t="str">
        <f>IFERROR(VLOOKUP('OB Format'!D2328,'Team Data'!C:AC,25,FALSE),"")</f>
        <v/>
      </c>
    </row>
    <row r="2329" spans="5:19" x14ac:dyDescent="0.25">
      <c r="E2329" t="str">
        <f>IFERROR(VLOOKUP(D2329,'Team Data'!C:AB,4,FALSE),"")</f>
        <v/>
      </c>
      <c r="F2329" t="str">
        <f>IFERROR(VLOOKUP(D2329,'Team Data'!C:AB,5,FALSE),"")</f>
        <v/>
      </c>
      <c r="G2329" t="str">
        <f>IFERROR(VLOOKUP('OB Format'!D2329,'Team Data'!C:AB,17,FALSE),"")</f>
        <v/>
      </c>
      <c r="H2329" t="str">
        <f>IFERROR(VLOOKUP(D2329,'Team Data'!C:AB,7,FALSE),"")</f>
        <v/>
      </c>
      <c r="I2329" t="str">
        <f>IFERROR(VLOOKUP(D2329,'Team Data'!C:AB,14,FALSE),"")</f>
        <v/>
      </c>
      <c r="J2329" t="str">
        <f>IFERROR(VLOOKUP(D2329,'Team Data'!C:AB,8,FALSE),"")</f>
        <v/>
      </c>
      <c r="K2329" t="str">
        <f>IFERROR(VLOOKUP(D2329,'Team Data'!C:AB,9,FALSE),"")</f>
        <v/>
      </c>
      <c r="L2329" t="str">
        <f>IFERROR(VLOOKUP(D2329,'Team Data'!C:AB,10,FALSE),"")</f>
        <v/>
      </c>
      <c r="M2329" t="str">
        <f t="shared" si="74"/>
        <v/>
      </c>
      <c r="N2329" t="str">
        <f>IFERROR(VLOOKUP(D2329,'Team Data'!C:AB,23,FALSE),"")</f>
        <v/>
      </c>
      <c r="O2329" t="str">
        <f>IFERROR(VLOOKUP(D2329,'Team Data'!C:AB,22,FALSE),"")</f>
        <v/>
      </c>
      <c r="P2329" t="str">
        <f t="shared" si="75"/>
        <v/>
      </c>
      <c r="Q2329" t="str">
        <f>IFERROR(VLOOKUP(D2329,'Team Data'!C:AB,15,FALSE),"")</f>
        <v/>
      </c>
      <c r="R2329" t="str">
        <f>IFERROR(VLOOKUP('OB Format'!D2329,'Team Data'!C:AB,24,FALSE),"")</f>
        <v/>
      </c>
      <c r="S2329" t="str">
        <f>IFERROR(VLOOKUP('OB Format'!D2329,'Team Data'!C:AC,25,FALSE),"")</f>
        <v/>
      </c>
    </row>
    <row r="2330" spans="5:19" x14ac:dyDescent="0.25">
      <c r="E2330" t="str">
        <f>IFERROR(VLOOKUP(D2330,'Team Data'!C:AB,4,FALSE),"")</f>
        <v/>
      </c>
      <c r="F2330" t="str">
        <f>IFERROR(VLOOKUP(D2330,'Team Data'!C:AB,5,FALSE),"")</f>
        <v/>
      </c>
      <c r="G2330" t="str">
        <f>IFERROR(VLOOKUP('OB Format'!D2330,'Team Data'!C:AB,17,FALSE),"")</f>
        <v/>
      </c>
      <c r="H2330" t="str">
        <f>IFERROR(VLOOKUP(D2330,'Team Data'!C:AB,7,FALSE),"")</f>
        <v/>
      </c>
      <c r="I2330" t="str">
        <f>IFERROR(VLOOKUP(D2330,'Team Data'!C:AB,14,FALSE),"")</f>
        <v/>
      </c>
      <c r="J2330" t="str">
        <f>IFERROR(VLOOKUP(D2330,'Team Data'!C:AB,8,FALSE),"")</f>
        <v/>
      </c>
      <c r="K2330" t="str">
        <f>IFERROR(VLOOKUP(D2330,'Team Data'!C:AB,9,FALSE),"")</f>
        <v/>
      </c>
      <c r="L2330" t="str">
        <f>IFERROR(VLOOKUP(D2330,'Team Data'!C:AB,10,FALSE),"")</f>
        <v/>
      </c>
      <c r="M2330" t="str">
        <f t="shared" si="74"/>
        <v/>
      </c>
      <c r="N2330" t="str">
        <f>IFERROR(VLOOKUP(D2330,'Team Data'!C:AB,23,FALSE),"")</f>
        <v/>
      </c>
      <c r="O2330" t="str">
        <f>IFERROR(VLOOKUP(D2330,'Team Data'!C:AB,22,FALSE),"")</f>
        <v/>
      </c>
      <c r="P2330" t="str">
        <f t="shared" si="75"/>
        <v/>
      </c>
      <c r="Q2330" t="str">
        <f>IFERROR(VLOOKUP(D2330,'Team Data'!C:AB,15,FALSE),"")</f>
        <v/>
      </c>
      <c r="R2330" t="str">
        <f>IFERROR(VLOOKUP('OB Format'!D2330,'Team Data'!C:AB,24,FALSE),"")</f>
        <v/>
      </c>
      <c r="S2330" t="str">
        <f>IFERROR(VLOOKUP('OB Format'!D2330,'Team Data'!C:AC,25,FALSE),"")</f>
        <v/>
      </c>
    </row>
    <row r="2331" spans="5:19" x14ac:dyDescent="0.25">
      <c r="E2331" t="str">
        <f>IFERROR(VLOOKUP(D2331,'Team Data'!C:AB,4,FALSE),"")</f>
        <v/>
      </c>
      <c r="F2331" t="str">
        <f>IFERROR(VLOOKUP(D2331,'Team Data'!C:AB,5,FALSE),"")</f>
        <v/>
      </c>
      <c r="G2331" t="str">
        <f>IFERROR(VLOOKUP('OB Format'!D2331,'Team Data'!C:AB,17,FALSE),"")</f>
        <v/>
      </c>
      <c r="H2331" t="str">
        <f>IFERROR(VLOOKUP(D2331,'Team Data'!C:AB,7,FALSE),"")</f>
        <v/>
      </c>
      <c r="I2331" t="str">
        <f>IFERROR(VLOOKUP(D2331,'Team Data'!C:AB,14,FALSE),"")</f>
        <v/>
      </c>
      <c r="J2331" t="str">
        <f>IFERROR(VLOOKUP(D2331,'Team Data'!C:AB,8,FALSE),"")</f>
        <v/>
      </c>
      <c r="K2331" t="str">
        <f>IFERROR(VLOOKUP(D2331,'Team Data'!C:AB,9,FALSE),"")</f>
        <v/>
      </c>
      <c r="L2331" t="str">
        <f>IFERROR(VLOOKUP(D2331,'Team Data'!C:AB,10,FALSE),"")</f>
        <v/>
      </c>
      <c r="M2331" t="str">
        <f t="shared" si="74"/>
        <v/>
      </c>
      <c r="N2331" t="str">
        <f>IFERROR(VLOOKUP(D2331,'Team Data'!C:AB,23,FALSE),"")</f>
        <v/>
      </c>
      <c r="O2331" t="str">
        <f>IFERROR(VLOOKUP(D2331,'Team Data'!C:AB,22,FALSE),"")</f>
        <v/>
      </c>
      <c r="P2331" t="str">
        <f t="shared" si="75"/>
        <v/>
      </c>
      <c r="Q2331" t="str">
        <f>IFERROR(VLOOKUP(D2331,'Team Data'!C:AB,15,FALSE),"")</f>
        <v/>
      </c>
      <c r="R2331" t="str">
        <f>IFERROR(VLOOKUP('OB Format'!D2331,'Team Data'!C:AB,24,FALSE),"")</f>
        <v/>
      </c>
      <c r="S2331" t="str">
        <f>IFERROR(VLOOKUP('OB Format'!D2331,'Team Data'!C:AC,25,FALSE),"")</f>
        <v/>
      </c>
    </row>
    <row r="2332" spans="5:19" x14ac:dyDescent="0.25">
      <c r="E2332" t="str">
        <f>IFERROR(VLOOKUP(D2332,'Team Data'!C:AB,4,FALSE),"")</f>
        <v/>
      </c>
      <c r="F2332" t="str">
        <f>IFERROR(VLOOKUP(D2332,'Team Data'!C:AB,5,FALSE),"")</f>
        <v/>
      </c>
      <c r="G2332" t="str">
        <f>IFERROR(VLOOKUP('OB Format'!D2332,'Team Data'!C:AB,17,FALSE),"")</f>
        <v/>
      </c>
      <c r="H2332" t="str">
        <f>IFERROR(VLOOKUP(D2332,'Team Data'!C:AB,7,FALSE),"")</f>
        <v/>
      </c>
      <c r="I2332" t="str">
        <f>IFERROR(VLOOKUP(D2332,'Team Data'!C:AB,14,FALSE),"")</f>
        <v/>
      </c>
      <c r="J2332" t="str">
        <f>IFERROR(VLOOKUP(D2332,'Team Data'!C:AB,8,FALSE),"")</f>
        <v/>
      </c>
      <c r="K2332" t="str">
        <f>IFERROR(VLOOKUP(D2332,'Team Data'!C:AB,9,FALSE),"")</f>
        <v/>
      </c>
      <c r="L2332" t="str">
        <f>IFERROR(VLOOKUP(D2332,'Team Data'!C:AB,10,FALSE),"")</f>
        <v/>
      </c>
      <c r="M2332" t="str">
        <f t="shared" si="74"/>
        <v/>
      </c>
      <c r="N2332" t="str">
        <f>IFERROR(VLOOKUP(D2332,'Team Data'!C:AB,23,FALSE),"")</f>
        <v/>
      </c>
      <c r="O2332" t="str">
        <f>IFERROR(VLOOKUP(D2332,'Team Data'!C:AB,22,FALSE),"")</f>
        <v/>
      </c>
      <c r="P2332" t="str">
        <f t="shared" si="75"/>
        <v/>
      </c>
      <c r="Q2332" t="str">
        <f>IFERROR(VLOOKUP(D2332,'Team Data'!C:AB,15,FALSE),"")</f>
        <v/>
      </c>
      <c r="R2332" t="str">
        <f>IFERROR(VLOOKUP('OB Format'!D2332,'Team Data'!C:AB,24,FALSE),"")</f>
        <v/>
      </c>
      <c r="S2332" t="str">
        <f>IFERROR(VLOOKUP('OB Format'!D2332,'Team Data'!C:AC,25,FALSE),"")</f>
        <v/>
      </c>
    </row>
    <row r="2333" spans="5:19" x14ac:dyDescent="0.25">
      <c r="E2333" t="str">
        <f>IFERROR(VLOOKUP(D2333,'Team Data'!C:AB,4,FALSE),"")</f>
        <v/>
      </c>
      <c r="F2333" t="str">
        <f>IFERROR(VLOOKUP(D2333,'Team Data'!C:AB,5,FALSE),"")</f>
        <v/>
      </c>
      <c r="G2333" t="str">
        <f>IFERROR(VLOOKUP('OB Format'!D2333,'Team Data'!C:AB,17,FALSE),"")</f>
        <v/>
      </c>
      <c r="H2333" t="str">
        <f>IFERROR(VLOOKUP(D2333,'Team Data'!C:AB,7,FALSE),"")</f>
        <v/>
      </c>
      <c r="I2333" t="str">
        <f>IFERROR(VLOOKUP(D2333,'Team Data'!C:AB,14,FALSE),"")</f>
        <v/>
      </c>
      <c r="J2333" t="str">
        <f>IFERROR(VLOOKUP(D2333,'Team Data'!C:AB,8,FALSE),"")</f>
        <v/>
      </c>
      <c r="K2333" t="str">
        <f>IFERROR(VLOOKUP(D2333,'Team Data'!C:AB,9,FALSE),"")</f>
        <v/>
      </c>
      <c r="L2333" t="str">
        <f>IFERROR(VLOOKUP(D2333,'Team Data'!C:AB,10,FALSE),"")</f>
        <v/>
      </c>
      <c r="M2333" t="str">
        <f t="shared" si="74"/>
        <v/>
      </c>
      <c r="N2333" t="str">
        <f>IFERROR(VLOOKUP(D2333,'Team Data'!C:AB,23,FALSE),"")</f>
        <v/>
      </c>
      <c r="O2333" t="str">
        <f>IFERROR(VLOOKUP(D2333,'Team Data'!C:AB,22,FALSE),"")</f>
        <v/>
      </c>
      <c r="P2333" t="str">
        <f t="shared" si="75"/>
        <v/>
      </c>
      <c r="Q2333" t="str">
        <f>IFERROR(VLOOKUP(D2333,'Team Data'!C:AB,15,FALSE),"")</f>
        <v/>
      </c>
      <c r="R2333" t="str">
        <f>IFERROR(VLOOKUP('OB Format'!D2333,'Team Data'!C:AB,24,FALSE),"")</f>
        <v/>
      </c>
      <c r="S2333" t="str">
        <f>IFERROR(VLOOKUP('OB Format'!D2333,'Team Data'!C:AC,25,FALSE),"")</f>
        <v/>
      </c>
    </row>
    <row r="2334" spans="5:19" x14ac:dyDescent="0.25">
      <c r="E2334" t="str">
        <f>IFERROR(VLOOKUP(D2334,'Team Data'!C:AB,4,FALSE),"")</f>
        <v/>
      </c>
      <c r="F2334" t="str">
        <f>IFERROR(VLOOKUP(D2334,'Team Data'!C:AB,5,FALSE),"")</f>
        <v/>
      </c>
      <c r="G2334" t="str">
        <f>IFERROR(VLOOKUP('OB Format'!D2334,'Team Data'!C:AB,17,FALSE),"")</f>
        <v/>
      </c>
      <c r="H2334" t="str">
        <f>IFERROR(VLOOKUP(D2334,'Team Data'!C:AB,7,FALSE),"")</f>
        <v/>
      </c>
      <c r="I2334" t="str">
        <f>IFERROR(VLOOKUP(D2334,'Team Data'!C:AB,14,FALSE),"")</f>
        <v/>
      </c>
      <c r="J2334" t="str">
        <f>IFERROR(VLOOKUP(D2334,'Team Data'!C:AB,8,FALSE),"")</f>
        <v/>
      </c>
      <c r="K2334" t="str">
        <f>IFERROR(VLOOKUP(D2334,'Team Data'!C:AB,9,FALSE),"")</f>
        <v/>
      </c>
      <c r="L2334" t="str">
        <f>IFERROR(VLOOKUP(D2334,'Team Data'!C:AB,10,FALSE),"")</f>
        <v/>
      </c>
      <c r="M2334" t="str">
        <f t="shared" si="74"/>
        <v/>
      </c>
      <c r="N2334" t="str">
        <f>IFERROR(VLOOKUP(D2334,'Team Data'!C:AB,23,FALSE),"")</f>
        <v/>
      </c>
      <c r="O2334" t="str">
        <f>IFERROR(VLOOKUP(D2334,'Team Data'!C:AB,22,FALSE),"")</f>
        <v/>
      </c>
      <c r="P2334" t="str">
        <f t="shared" si="75"/>
        <v/>
      </c>
      <c r="Q2334" t="str">
        <f>IFERROR(VLOOKUP(D2334,'Team Data'!C:AB,15,FALSE),"")</f>
        <v/>
      </c>
      <c r="R2334" t="str">
        <f>IFERROR(VLOOKUP('OB Format'!D2334,'Team Data'!C:AB,24,FALSE),"")</f>
        <v/>
      </c>
      <c r="S2334" t="str">
        <f>IFERROR(VLOOKUP('OB Format'!D2334,'Team Data'!C:AC,25,FALSE),"")</f>
        <v/>
      </c>
    </row>
    <row r="2335" spans="5:19" x14ac:dyDescent="0.25">
      <c r="E2335" t="str">
        <f>IFERROR(VLOOKUP(D2335,'Team Data'!C:AB,4,FALSE),"")</f>
        <v/>
      </c>
      <c r="F2335" t="str">
        <f>IFERROR(VLOOKUP(D2335,'Team Data'!C:AB,5,FALSE),"")</f>
        <v/>
      </c>
      <c r="G2335" t="str">
        <f>IFERROR(VLOOKUP('OB Format'!D2335,'Team Data'!C:AB,17,FALSE),"")</f>
        <v/>
      </c>
      <c r="H2335" t="str">
        <f>IFERROR(VLOOKUP(D2335,'Team Data'!C:AB,7,FALSE),"")</f>
        <v/>
      </c>
      <c r="I2335" t="str">
        <f>IFERROR(VLOOKUP(D2335,'Team Data'!C:AB,14,FALSE),"")</f>
        <v/>
      </c>
      <c r="J2335" t="str">
        <f>IFERROR(VLOOKUP(D2335,'Team Data'!C:AB,8,FALSE),"")</f>
        <v/>
      </c>
      <c r="K2335" t="str">
        <f>IFERROR(VLOOKUP(D2335,'Team Data'!C:AB,9,FALSE),"")</f>
        <v/>
      </c>
      <c r="L2335" t="str">
        <f>IFERROR(VLOOKUP(D2335,'Team Data'!C:AB,10,FALSE),"")</f>
        <v/>
      </c>
      <c r="M2335" t="str">
        <f t="shared" si="74"/>
        <v/>
      </c>
      <c r="N2335" t="str">
        <f>IFERROR(VLOOKUP(D2335,'Team Data'!C:AB,23,FALSE),"")</f>
        <v/>
      </c>
      <c r="O2335" t="str">
        <f>IFERROR(VLOOKUP(D2335,'Team Data'!C:AB,22,FALSE),"")</f>
        <v/>
      </c>
      <c r="P2335" t="str">
        <f t="shared" si="75"/>
        <v/>
      </c>
      <c r="Q2335" t="str">
        <f>IFERROR(VLOOKUP(D2335,'Team Data'!C:AB,15,FALSE),"")</f>
        <v/>
      </c>
      <c r="R2335" t="str">
        <f>IFERROR(VLOOKUP('OB Format'!D2335,'Team Data'!C:AB,24,FALSE),"")</f>
        <v/>
      </c>
      <c r="S2335" t="str">
        <f>IFERROR(VLOOKUP('OB Format'!D2335,'Team Data'!C:AC,25,FALSE),"")</f>
        <v/>
      </c>
    </row>
    <row r="2336" spans="5:19" x14ac:dyDescent="0.25">
      <c r="E2336" t="str">
        <f>IFERROR(VLOOKUP(D2336,'Team Data'!C:AB,4,FALSE),"")</f>
        <v/>
      </c>
      <c r="F2336" t="str">
        <f>IFERROR(VLOOKUP(D2336,'Team Data'!C:AB,5,FALSE),"")</f>
        <v/>
      </c>
      <c r="G2336" t="str">
        <f>IFERROR(VLOOKUP('OB Format'!D2336,'Team Data'!C:AB,17,FALSE),"")</f>
        <v/>
      </c>
      <c r="H2336" t="str">
        <f>IFERROR(VLOOKUP(D2336,'Team Data'!C:AB,7,FALSE),"")</f>
        <v/>
      </c>
      <c r="I2336" t="str">
        <f>IFERROR(VLOOKUP(D2336,'Team Data'!C:AB,14,FALSE),"")</f>
        <v/>
      </c>
      <c r="J2336" t="str">
        <f>IFERROR(VLOOKUP(D2336,'Team Data'!C:AB,8,FALSE),"")</f>
        <v/>
      </c>
      <c r="K2336" t="str">
        <f>IFERROR(VLOOKUP(D2336,'Team Data'!C:AB,9,FALSE),"")</f>
        <v/>
      </c>
      <c r="L2336" t="str">
        <f>IFERROR(VLOOKUP(D2336,'Team Data'!C:AB,10,FALSE),"")</f>
        <v/>
      </c>
      <c r="M2336" t="str">
        <f t="shared" si="74"/>
        <v/>
      </c>
      <c r="N2336" t="str">
        <f>IFERROR(VLOOKUP(D2336,'Team Data'!C:AB,23,FALSE),"")</f>
        <v/>
      </c>
      <c r="O2336" t="str">
        <f>IFERROR(VLOOKUP(D2336,'Team Data'!C:AB,22,FALSE),"")</f>
        <v/>
      </c>
      <c r="P2336" t="str">
        <f t="shared" si="75"/>
        <v/>
      </c>
      <c r="Q2336" t="str">
        <f>IFERROR(VLOOKUP(D2336,'Team Data'!C:AB,15,FALSE),"")</f>
        <v/>
      </c>
      <c r="R2336" t="str">
        <f>IFERROR(VLOOKUP('OB Format'!D2336,'Team Data'!C:AB,24,FALSE),"")</f>
        <v/>
      </c>
      <c r="S2336" t="str">
        <f>IFERROR(VLOOKUP('OB Format'!D2336,'Team Data'!C:AC,25,FALSE),"")</f>
        <v/>
      </c>
    </row>
    <row r="2337" spans="5:19" x14ac:dyDescent="0.25">
      <c r="E2337" t="str">
        <f>IFERROR(VLOOKUP(D2337,'Team Data'!C:AB,4,FALSE),"")</f>
        <v/>
      </c>
      <c r="F2337" t="str">
        <f>IFERROR(VLOOKUP(D2337,'Team Data'!C:AB,5,FALSE),"")</f>
        <v/>
      </c>
      <c r="G2337" t="str">
        <f>IFERROR(VLOOKUP('OB Format'!D2337,'Team Data'!C:AB,17,FALSE),"")</f>
        <v/>
      </c>
      <c r="H2337" t="str">
        <f>IFERROR(VLOOKUP(D2337,'Team Data'!C:AB,7,FALSE),"")</f>
        <v/>
      </c>
      <c r="I2337" t="str">
        <f>IFERROR(VLOOKUP(D2337,'Team Data'!C:AB,14,FALSE),"")</f>
        <v/>
      </c>
      <c r="J2337" t="str">
        <f>IFERROR(VLOOKUP(D2337,'Team Data'!C:AB,8,FALSE),"")</f>
        <v/>
      </c>
      <c r="K2337" t="str">
        <f>IFERROR(VLOOKUP(D2337,'Team Data'!C:AB,9,FALSE),"")</f>
        <v/>
      </c>
      <c r="L2337" t="str">
        <f>IFERROR(VLOOKUP(D2337,'Team Data'!C:AB,10,FALSE),"")</f>
        <v/>
      </c>
      <c r="M2337" t="str">
        <f t="shared" si="74"/>
        <v/>
      </c>
      <c r="N2337" t="str">
        <f>IFERROR(VLOOKUP(D2337,'Team Data'!C:AB,23,FALSE),"")</f>
        <v/>
      </c>
      <c r="O2337" t="str">
        <f>IFERROR(VLOOKUP(D2337,'Team Data'!C:AB,22,FALSE),"")</f>
        <v/>
      </c>
      <c r="P2337" t="str">
        <f t="shared" si="75"/>
        <v/>
      </c>
      <c r="Q2337" t="str">
        <f>IFERROR(VLOOKUP(D2337,'Team Data'!C:AB,15,FALSE),"")</f>
        <v/>
      </c>
      <c r="R2337" t="str">
        <f>IFERROR(VLOOKUP('OB Format'!D2337,'Team Data'!C:AB,24,FALSE),"")</f>
        <v/>
      </c>
      <c r="S2337" t="str">
        <f>IFERROR(VLOOKUP('OB Format'!D2337,'Team Data'!C:AC,25,FALSE),"")</f>
        <v/>
      </c>
    </row>
    <row r="2338" spans="5:19" x14ac:dyDescent="0.25">
      <c r="E2338" t="str">
        <f>IFERROR(VLOOKUP(D2338,'Team Data'!C:AB,4,FALSE),"")</f>
        <v/>
      </c>
      <c r="F2338" t="str">
        <f>IFERROR(VLOOKUP(D2338,'Team Data'!C:AB,5,FALSE),"")</f>
        <v/>
      </c>
      <c r="G2338" t="str">
        <f>IFERROR(VLOOKUP('OB Format'!D2338,'Team Data'!C:AB,17,FALSE),"")</f>
        <v/>
      </c>
      <c r="H2338" t="str">
        <f>IFERROR(VLOOKUP(D2338,'Team Data'!C:AB,7,FALSE),"")</f>
        <v/>
      </c>
      <c r="I2338" t="str">
        <f>IFERROR(VLOOKUP(D2338,'Team Data'!C:AB,14,FALSE),"")</f>
        <v/>
      </c>
      <c r="J2338" t="str">
        <f>IFERROR(VLOOKUP(D2338,'Team Data'!C:AB,8,FALSE),"")</f>
        <v/>
      </c>
      <c r="K2338" t="str">
        <f>IFERROR(VLOOKUP(D2338,'Team Data'!C:AB,9,FALSE),"")</f>
        <v/>
      </c>
      <c r="L2338" t="str">
        <f>IFERROR(VLOOKUP(D2338,'Team Data'!C:AB,10,FALSE),"")</f>
        <v/>
      </c>
      <c r="M2338" t="str">
        <f t="shared" si="74"/>
        <v/>
      </c>
      <c r="N2338" t="str">
        <f>IFERROR(VLOOKUP(D2338,'Team Data'!C:AB,23,FALSE),"")</f>
        <v/>
      </c>
      <c r="O2338" t="str">
        <f>IFERROR(VLOOKUP(D2338,'Team Data'!C:AB,22,FALSE),"")</f>
        <v/>
      </c>
      <c r="P2338" t="str">
        <f t="shared" si="75"/>
        <v/>
      </c>
      <c r="Q2338" t="str">
        <f>IFERROR(VLOOKUP(D2338,'Team Data'!C:AB,15,FALSE),"")</f>
        <v/>
      </c>
      <c r="R2338" t="str">
        <f>IFERROR(VLOOKUP('OB Format'!D2338,'Team Data'!C:AB,24,FALSE),"")</f>
        <v/>
      </c>
      <c r="S2338" t="str">
        <f>IFERROR(VLOOKUP('OB Format'!D2338,'Team Data'!C:AC,25,FALSE),"")</f>
        <v/>
      </c>
    </row>
    <row r="2339" spans="5:19" x14ac:dyDescent="0.25">
      <c r="E2339" t="str">
        <f>IFERROR(VLOOKUP(D2339,'Team Data'!C:AB,4,FALSE),"")</f>
        <v/>
      </c>
      <c r="F2339" t="str">
        <f>IFERROR(VLOOKUP(D2339,'Team Data'!C:AB,5,FALSE),"")</f>
        <v/>
      </c>
      <c r="G2339" t="str">
        <f>IFERROR(VLOOKUP('OB Format'!D2339,'Team Data'!C:AB,17,FALSE),"")</f>
        <v/>
      </c>
      <c r="H2339" t="str">
        <f>IFERROR(VLOOKUP(D2339,'Team Data'!C:AB,7,FALSE),"")</f>
        <v/>
      </c>
      <c r="I2339" t="str">
        <f>IFERROR(VLOOKUP(D2339,'Team Data'!C:AB,14,FALSE),"")</f>
        <v/>
      </c>
      <c r="J2339" t="str">
        <f>IFERROR(VLOOKUP(D2339,'Team Data'!C:AB,8,FALSE),"")</f>
        <v/>
      </c>
      <c r="K2339" t="str">
        <f>IFERROR(VLOOKUP(D2339,'Team Data'!C:AB,9,FALSE),"")</f>
        <v/>
      </c>
      <c r="L2339" t="str">
        <f>IFERROR(VLOOKUP(D2339,'Team Data'!C:AB,10,FALSE),"")</f>
        <v/>
      </c>
      <c r="M2339" t="str">
        <f t="shared" si="74"/>
        <v/>
      </c>
      <c r="N2339" t="str">
        <f>IFERROR(VLOOKUP(D2339,'Team Data'!C:AB,23,FALSE),"")</f>
        <v/>
      </c>
      <c r="O2339" t="str">
        <f>IFERROR(VLOOKUP(D2339,'Team Data'!C:AB,22,FALSE),"")</f>
        <v/>
      </c>
      <c r="P2339" t="str">
        <f t="shared" si="75"/>
        <v/>
      </c>
      <c r="Q2339" t="str">
        <f>IFERROR(VLOOKUP(D2339,'Team Data'!C:AB,15,FALSE),"")</f>
        <v/>
      </c>
      <c r="R2339" t="str">
        <f>IFERROR(VLOOKUP('OB Format'!D2339,'Team Data'!C:AB,24,FALSE),"")</f>
        <v/>
      </c>
      <c r="S2339" t="str">
        <f>IFERROR(VLOOKUP('OB Format'!D2339,'Team Data'!C:AC,25,FALSE),"")</f>
        <v/>
      </c>
    </row>
    <row r="2340" spans="5:19" x14ac:dyDescent="0.25">
      <c r="E2340" t="str">
        <f>IFERROR(VLOOKUP(D2340,'Team Data'!C:AB,4,FALSE),"")</f>
        <v/>
      </c>
      <c r="F2340" t="str">
        <f>IFERROR(VLOOKUP(D2340,'Team Data'!C:AB,5,FALSE),"")</f>
        <v/>
      </c>
      <c r="G2340" t="str">
        <f>IFERROR(VLOOKUP('OB Format'!D2340,'Team Data'!C:AB,17,FALSE),"")</f>
        <v/>
      </c>
      <c r="H2340" t="str">
        <f>IFERROR(VLOOKUP(D2340,'Team Data'!C:AB,7,FALSE),"")</f>
        <v/>
      </c>
      <c r="I2340" t="str">
        <f>IFERROR(VLOOKUP(D2340,'Team Data'!C:AB,14,FALSE),"")</f>
        <v/>
      </c>
      <c r="J2340" t="str">
        <f>IFERROR(VLOOKUP(D2340,'Team Data'!C:AB,8,FALSE),"")</f>
        <v/>
      </c>
      <c r="K2340" t="str">
        <f>IFERROR(VLOOKUP(D2340,'Team Data'!C:AB,9,FALSE),"")</f>
        <v/>
      </c>
      <c r="L2340" t="str">
        <f>IFERROR(VLOOKUP(D2340,'Team Data'!C:AB,10,FALSE),"")</f>
        <v/>
      </c>
      <c r="M2340" t="str">
        <f t="shared" si="74"/>
        <v/>
      </c>
      <c r="N2340" t="str">
        <f>IFERROR(VLOOKUP(D2340,'Team Data'!C:AB,23,FALSE),"")</f>
        <v/>
      </c>
      <c r="O2340" t="str">
        <f>IFERROR(VLOOKUP(D2340,'Team Data'!C:AB,22,FALSE),"")</f>
        <v/>
      </c>
      <c r="P2340" t="str">
        <f t="shared" si="75"/>
        <v/>
      </c>
      <c r="Q2340" t="str">
        <f>IFERROR(VLOOKUP(D2340,'Team Data'!C:AB,15,FALSE),"")</f>
        <v/>
      </c>
      <c r="R2340" t="str">
        <f>IFERROR(VLOOKUP('OB Format'!D2340,'Team Data'!C:AB,24,FALSE),"")</f>
        <v/>
      </c>
      <c r="S2340" t="str">
        <f>IFERROR(VLOOKUP('OB Format'!D2340,'Team Data'!C:AC,25,FALSE),"")</f>
        <v/>
      </c>
    </row>
    <row r="2341" spans="5:19" x14ac:dyDescent="0.25">
      <c r="E2341" t="str">
        <f>IFERROR(VLOOKUP(D2341,'Team Data'!C:AB,4,FALSE),"")</f>
        <v/>
      </c>
      <c r="F2341" t="str">
        <f>IFERROR(VLOOKUP(D2341,'Team Data'!C:AB,5,FALSE),"")</f>
        <v/>
      </c>
      <c r="G2341" t="str">
        <f>IFERROR(VLOOKUP('OB Format'!D2341,'Team Data'!C:AB,17,FALSE),"")</f>
        <v/>
      </c>
      <c r="H2341" t="str">
        <f>IFERROR(VLOOKUP(D2341,'Team Data'!C:AB,7,FALSE),"")</f>
        <v/>
      </c>
      <c r="I2341" t="str">
        <f>IFERROR(VLOOKUP(D2341,'Team Data'!C:AB,14,FALSE),"")</f>
        <v/>
      </c>
      <c r="J2341" t="str">
        <f>IFERROR(VLOOKUP(D2341,'Team Data'!C:AB,8,FALSE),"")</f>
        <v/>
      </c>
      <c r="K2341" t="str">
        <f>IFERROR(VLOOKUP(D2341,'Team Data'!C:AB,9,FALSE),"")</f>
        <v/>
      </c>
      <c r="L2341" t="str">
        <f>IFERROR(VLOOKUP(D2341,'Team Data'!C:AB,10,FALSE),"")</f>
        <v/>
      </c>
      <c r="M2341" t="str">
        <f t="shared" si="74"/>
        <v/>
      </c>
      <c r="N2341" t="str">
        <f>IFERROR(VLOOKUP(D2341,'Team Data'!C:AB,23,FALSE),"")</f>
        <v/>
      </c>
      <c r="O2341" t="str">
        <f>IFERROR(VLOOKUP(D2341,'Team Data'!C:AB,22,FALSE),"")</f>
        <v/>
      </c>
      <c r="P2341" t="str">
        <f t="shared" si="75"/>
        <v/>
      </c>
      <c r="Q2341" t="str">
        <f>IFERROR(VLOOKUP(D2341,'Team Data'!C:AB,15,FALSE),"")</f>
        <v/>
      </c>
      <c r="R2341" t="str">
        <f>IFERROR(VLOOKUP('OB Format'!D2341,'Team Data'!C:AB,24,FALSE),"")</f>
        <v/>
      </c>
      <c r="S2341" t="str">
        <f>IFERROR(VLOOKUP('OB Format'!D2341,'Team Data'!C:AC,25,FALSE),"")</f>
        <v/>
      </c>
    </row>
    <row r="2342" spans="5:19" x14ac:dyDescent="0.25">
      <c r="E2342" t="str">
        <f>IFERROR(VLOOKUP(D2342,'Team Data'!C:AB,4,FALSE),"")</f>
        <v/>
      </c>
      <c r="F2342" t="str">
        <f>IFERROR(VLOOKUP(D2342,'Team Data'!C:AB,5,FALSE),"")</f>
        <v/>
      </c>
      <c r="G2342" t="str">
        <f>IFERROR(VLOOKUP('OB Format'!D2342,'Team Data'!C:AB,17,FALSE),"")</f>
        <v/>
      </c>
      <c r="H2342" t="str">
        <f>IFERROR(VLOOKUP(D2342,'Team Data'!C:AB,7,FALSE),"")</f>
        <v/>
      </c>
      <c r="I2342" t="str">
        <f>IFERROR(VLOOKUP(D2342,'Team Data'!C:AB,14,FALSE),"")</f>
        <v/>
      </c>
      <c r="J2342" t="str">
        <f>IFERROR(VLOOKUP(D2342,'Team Data'!C:AB,8,FALSE),"")</f>
        <v/>
      </c>
      <c r="K2342" t="str">
        <f>IFERROR(VLOOKUP(D2342,'Team Data'!C:AB,9,FALSE),"")</f>
        <v/>
      </c>
      <c r="L2342" t="str">
        <f>IFERROR(VLOOKUP(D2342,'Team Data'!C:AB,10,FALSE),"")</f>
        <v/>
      </c>
      <c r="M2342" t="str">
        <f t="shared" si="74"/>
        <v/>
      </c>
      <c r="N2342" t="str">
        <f>IFERROR(VLOOKUP(D2342,'Team Data'!C:AB,23,FALSE),"")</f>
        <v/>
      </c>
      <c r="O2342" t="str">
        <f>IFERROR(VLOOKUP(D2342,'Team Data'!C:AB,22,FALSE),"")</f>
        <v/>
      </c>
      <c r="P2342" t="str">
        <f t="shared" si="75"/>
        <v/>
      </c>
      <c r="Q2342" t="str">
        <f>IFERROR(VLOOKUP(D2342,'Team Data'!C:AB,15,FALSE),"")</f>
        <v/>
      </c>
      <c r="R2342" t="str">
        <f>IFERROR(VLOOKUP('OB Format'!D2342,'Team Data'!C:AB,24,FALSE),"")</f>
        <v/>
      </c>
      <c r="S2342" t="str">
        <f>IFERROR(VLOOKUP('OB Format'!D2342,'Team Data'!C:AC,25,FALSE),"")</f>
        <v/>
      </c>
    </row>
    <row r="2343" spans="5:19" x14ac:dyDescent="0.25">
      <c r="E2343" t="str">
        <f>IFERROR(VLOOKUP(D2343,'Team Data'!C:AB,4,FALSE),"")</f>
        <v/>
      </c>
      <c r="F2343" t="str">
        <f>IFERROR(VLOOKUP(D2343,'Team Data'!C:AB,5,FALSE),"")</f>
        <v/>
      </c>
      <c r="G2343" t="str">
        <f>IFERROR(VLOOKUP('OB Format'!D2343,'Team Data'!C:AB,17,FALSE),"")</f>
        <v/>
      </c>
      <c r="H2343" t="str">
        <f>IFERROR(VLOOKUP(D2343,'Team Data'!C:AB,7,FALSE),"")</f>
        <v/>
      </c>
      <c r="I2343" t="str">
        <f>IFERROR(VLOOKUP(D2343,'Team Data'!C:AB,14,FALSE),"")</f>
        <v/>
      </c>
      <c r="J2343" t="str">
        <f>IFERROR(VLOOKUP(D2343,'Team Data'!C:AB,8,FALSE),"")</f>
        <v/>
      </c>
      <c r="K2343" t="str">
        <f>IFERROR(VLOOKUP(D2343,'Team Data'!C:AB,9,FALSE),"")</f>
        <v/>
      </c>
      <c r="L2343" t="str">
        <f>IFERROR(VLOOKUP(D2343,'Team Data'!C:AB,10,FALSE),"")</f>
        <v/>
      </c>
      <c r="M2343" t="str">
        <f t="shared" si="74"/>
        <v/>
      </c>
      <c r="N2343" t="str">
        <f>IFERROR(VLOOKUP(D2343,'Team Data'!C:AB,23,FALSE),"")</f>
        <v/>
      </c>
      <c r="O2343" t="str">
        <f>IFERROR(VLOOKUP(D2343,'Team Data'!C:AB,22,FALSE),"")</f>
        <v/>
      </c>
      <c r="P2343" t="str">
        <f t="shared" si="75"/>
        <v/>
      </c>
      <c r="Q2343" t="str">
        <f>IFERROR(VLOOKUP(D2343,'Team Data'!C:AB,15,FALSE),"")</f>
        <v/>
      </c>
      <c r="R2343" t="str">
        <f>IFERROR(VLOOKUP('OB Format'!D2343,'Team Data'!C:AB,24,FALSE),"")</f>
        <v/>
      </c>
      <c r="S2343" t="str">
        <f>IFERROR(VLOOKUP('OB Format'!D2343,'Team Data'!C:AC,25,FALSE),"")</f>
        <v/>
      </c>
    </row>
    <row r="2344" spans="5:19" x14ac:dyDescent="0.25">
      <c r="E2344" t="str">
        <f>IFERROR(VLOOKUP(D2344,'Team Data'!C:AB,4,FALSE),"")</f>
        <v/>
      </c>
      <c r="F2344" t="str">
        <f>IFERROR(VLOOKUP(D2344,'Team Data'!C:AB,5,FALSE),"")</f>
        <v/>
      </c>
      <c r="G2344" t="str">
        <f>IFERROR(VLOOKUP('OB Format'!D2344,'Team Data'!C:AB,17,FALSE),"")</f>
        <v/>
      </c>
      <c r="H2344" t="str">
        <f>IFERROR(VLOOKUP(D2344,'Team Data'!C:AB,7,FALSE),"")</f>
        <v/>
      </c>
      <c r="I2344" t="str">
        <f>IFERROR(VLOOKUP(D2344,'Team Data'!C:AB,14,FALSE),"")</f>
        <v/>
      </c>
      <c r="J2344" t="str">
        <f>IFERROR(VLOOKUP(D2344,'Team Data'!C:AB,8,FALSE),"")</f>
        <v/>
      </c>
      <c r="K2344" t="str">
        <f>IFERROR(VLOOKUP(D2344,'Team Data'!C:AB,9,FALSE),"")</f>
        <v/>
      </c>
      <c r="L2344" t="str">
        <f>IFERROR(VLOOKUP(D2344,'Team Data'!C:AB,10,FALSE),"")</f>
        <v/>
      </c>
      <c r="M2344" t="str">
        <f t="shared" si="74"/>
        <v/>
      </c>
      <c r="N2344" t="str">
        <f>IFERROR(VLOOKUP(D2344,'Team Data'!C:AB,23,FALSE),"")</f>
        <v/>
      </c>
      <c r="O2344" t="str">
        <f>IFERROR(VLOOKUP(D2344,'Team Data'!C:AB,22,FALSE),"")</f>
        <v/>
      </c>
      <c r="P2344" t="str">
        <f t="shared" si="75"/>
        <v/>
      </c>
      <c r="Q2344" t="str">
        <f>IFERROR(VLOOKUP(D2344,'Team Data'!C:AB,15,FALSE),"")</f>
        <v/>
      </c>
      <c r="R2344" t="str">
        <f>IFERROR(VLOOKUP('OB Format'!D2344,'Team Data'!C:AB,24,FALSE),"")</f>
        <v/>
      </c>
      <c r="S2344" t="str">
        <f>IFERROR(VLOOKUP('OB Format'!D2344,'Team Data'!C:AC,25,FALSE),"")</f>
        <v/>
      </c>
    </row>
    <row r="2345" spans="5:19" x14ac:dyDescent="0.25">
      <c r="E2345" t="str">
        <f>IFERROR(VLOOKUP(D2345,'Team Data'!C:AB,4,FALSE),"")</f>
        <v/>
      </c>
      <c r="F2345" t="str">
        <f>IFERROR(VLOOKUP(D2345,'Team Data'!C:AB,5,FALSE),"")</f>
        <v/>
      </c>
      <c r="G2345" t="str">
        <f>IFERROR(VLOOKUP('OB Format'!D2345,'Team Data'!C:AB,17,FALSE),"")</f>
        <v/>
      </c>
      <c r="H2345" t="str">
        <f>IFERROR(VLOOKUP(D2345,'Team Data'!C:AB,7,FALSE),"")</f>
        <v/>
      </c>
      <c r="I2345" t="str">
        <f>IFERROR(VLOOKUP(D2345,'Team Data'!C:AB,14,FALSE),"")</f>
        <v/>
      </c>
      <c r="J2345" t="str">
        <f>IFERROR(VLOOKUP(D2345,'Team Data'!C:AB,8,FALSE),"")</f>
        <v/>
      </c>
      <c r="K2345" t="str">
        <f>IFERROR(VLOOKUP(D2345,'Team Data'!C:AB,9,FALSE),"")</f>
        <v/>
      </c>
      <c r="L2345" t="str">
        <f>IFERROR(VLOOKUP(D2345,'Team Data'!C:AB,10,FALSE),"")</f>
        <v/>
      </c>
      <c r="M2345" t="str">
        <f t="shared" si="74"/>
        <v/>
      </c>
      <c r="N2345" t="str">
        <f>IFERROR(VLOOKUP(D2345,'Team Data'!C:AB,23,FALSE),"")</f>
        <v/>
      </c>
      <c r="O2345" t="str">
        <f>IFERROR(VLOOKUP(D2345,'Team Data'!C:AB,22,FALSE),"")</f>
        <v/>
      </c>
      <c r="P2345" t="str">
        <f t="shared" si="75"/>
        <v/>
      </c>
      <c r="Q2345" t="str">
        <f>IFERROR(VLOOKUP(D2345,'Team Data'!C:AB,15,FALSE),"")</f>
        <v/>
      </c>
      <c r="R2345" t="str">
        <f>IFERROR(VLOOKUP('OB Format'!D2345,'Team Data'!C:AB,24,FALSE),"")</f>
        <v/>
      </c>
      <c r="S2345" t="str">
        <f>IFERROR(VLOOKUP('OB Format'!D2345,'Team Data'!C:AC,25,FALSE),"")</f>
        <v/>
      </c>
    </row>
    <row r="2346" spans="5:19" x14ac:dyDescent="0.25">
      <c r="E2346" t="str">
        <f>IFERROR(VLOOKUP(D2346,'Team Data'!C:AB,4,FALSE),"")</f>
        <v/>
      </c>
      <c r="F2346" t="str">
        <f>IFERROR(VLOOKUP(D2346,'Team Data'!C:AB,5,FALSE),"")</f>
        <v/>
      </c>
      <c r="G2346" t="str">
        <f>IFERROR(VLOOKUP('OB Format'!D2346,'Team Data'!C:AB,17,FALSE),"")</f>
        <v/>
      </c>
      <c r="H2346" t="str">
        <f>IFERROR(VLOOKUP(D2346,'Team Data'!C:AB,7,FALSE),"")</f>
        <v/>
      </c>
      <c r="I2346" t="str">
        <f>IFERROR(VLOOKUP(D2346,'Team Data'!C:AB,14,FALSE),"")</f>
        <v/>
      </c>
      <c r="J2346" t="str">
        <f>IFERROR(VLOOKUP(D2346,'Team Data'!C:AB,8,FALSE),"")</f>
        <v/>
      </c>
      <c r="K2346" t="str">
        <f>IFERROR(VLOOKUP(D2346,'Team Data'!C:AB,9,FALSE),"")</f>
        <v/>
      </c>
      <c r="L2346" t="str">
        <f>IFERROR(VLOOKUP(D2346,'Team Data'!C:AB,10,FALSE),"")</f>
        <v/>
      </c>
      <c r="M2346" t="str">
        <f t="shared" si="74"/>
        <v/>
      </c>
      <c r="N2346" t="str">
        <f>IFERROR(VLOOKUP(D2346,'Team Data'!C:AB,23,FALSE),"")</f>
        <v/>
      </c>
      <c r="O2346" t="str">
        <f>IFERROR(VLOOKUP(D2346,'Team Data'!C:AB,22,FALSE),"")</f>
        <v/>
      </c>
      <c r="P2346" t="str">
        <f t="shared" si="75"/>
        <v/>
      </c>
      <c r="Q2346" t="str">
        <f>IFERROR(VLOOKUP(D2346,'Team Data'!C:AB,15,FALSE),"")</f>
        <v/>
      </c>
      <c r="R2346" t="str">
        <f>IFERROR(VLOOKUP('OB Format'!D2346,'Team Data'!C:AB,24,FALSE),"")</f>
        <v/>
      </c>
      <c r="S2346" t="str">
        <f>IFERROR(VLOOKUP('OB Format'!D2346,'Team Data'!C:AC,25,FALSE),"")</f>
        <v/>
      </c>
    </row>
    <row r="2347" spans="5:19" x14ac:dyDescent="0.25">
      <c r="E2347" t="str">
        <f>IFERROR(VLOOKUP(D2347,'Team Data'!C:AB,4,FALSE),"")</f>
        <v/>
      </c>
      <c r="F2347" t="str">
        <f>IFERROR(VLOOKUP(D2347,'Team Data'!C:AB,5,FALSE),"")</f>
        <v/>
      </c>
      <c r="G2347" t="str">
        <f>IFERROR(VLOOKUP('OB Format'!D2347,'Team Data'!C:AB,17,FALSE),"")</f>
        <v/>
      </c>
      <c r="H2347" t="str">
        <f>IFERROR(VLOOKUP(D2347,'Team Data'!C:AB,7,FALSE),"")</f>
        <v/>
      </c>
      <c r="I2347" t="str">
        <f>IFERROR(VLOOKUP(D2347,'Team Data'!C:AB,14,FALSE),"")</f>
        <v/>
      </c>
      <c r="J2347" t="str">
        <f>IFERROR(VLOOKUP(D2347,'Team Data'!C:AB,8,FALSE),"")</f>
        <v/>
      </c>
      <c r="K2347" t="str">
        <f>IFERROR(VLOOKUP(D2347,'Team Data'!C:AB,9,FALSE),"")</f>
        <v/>
      </c>
      <c r="L2347" t="str">
        <f>IFERROR(VLOOKUP(D2347,'Team Data'!C:AB,10,FALSE),"")</f>
        <v/>
      </c>
      <c r="M2347" t="str">
        <f t="shared" si="74"/>
        <v/>
      </c>
      <c r="N2347" t="str">
        <f>IFERROR(VLOOKUP(D2347,'Team Data'!C:AB,23,FALSE),"")</f>
        <v/>
      </c>
      <c r="O2347" t="str">
        <f>IFERROR(VLOOKUP(D2347,'Team Data'!C:AB,22,FALSE),"")</f>
        <v/>
      </c>
      <c r="P2347" t="str">
        <f t="shared" si="75"/>
        <v/>
      </c>
      <c r="Q2347" t="str">
        <f>IFERROR(VLOOKUP(D2347,'Team Data'!C:AB,15,FALSE),"")</f>
        <v/>
      </c>
      <c r="R2347" t="str">
        <f>IFERROR(VLOOKUP('OB Format'!D2347,'Team Data'!C:AB,24,FALSE),"")</f>
        <v/>
      </c>
      <c r="S2347" t="str">
        <f>IFERROR(VLOOKUP('OB Format'!D2347,'Team Data'!C:AC,25,FALSE),"")</f>
        <v/>
      </c>
    </row>
    <row r="2348" spans="5:19" x14ac:dyDescent="0.25">
      <c r="E2348" t="str">
        <f>IFERROR(VLOOKUP(D2348,'Team Data'!C:AB,4,FALSE),"")</f>
        <v/>
      </c>
      <c r="F2348" t="str">
        <f>IFERROR(VLOOKUP(D2348,'Team Data'!C:AB,5,FALSE),"")</f>
        <v/>
      </c>
      <c r="G2348" t="str">
        <f>IFERROR(VLOOKUP('OB Format'!D2348,'Team Data'!C:AB,17,FALSE),"")</f>
        <v/>
      </c>
      <c r="H2348" t="str">
        <f>IFERROR(VLOOKUP(D2348,'Team Data'!C:AB,7,FALSE),"")</f>
        <v/>
      </c>
      <c r="I2348" t="str">
        <f>IFERROR(VLOOKUP(D2348,'Team Data'!C:AB,14,FALSE),"")</f>
        <v/>
      </c>
      <c r="J2348" t="str">
        <f>IFERROR(VLOOKUP(D2348,'Team Data'!C:AB,8,FALSE),"")</f>
        <v/>
      </c>
      <c r="K2348" t="str">
        <f>IFERROR(VLOOKUP(D2348,'Team Data'!C:AB,9,FALSE),"")</f>
        <v/>
      </c>
      <c r="L2348" t="str">
        <f>IFERROR(VLOOKUP(D2348,'Team Data'!C:AB,10,FALSE),"")</f>
        <v/>
      </c>
      <c r="M2348" t="str">
        <f t="shared" si="74"/>
        <v/>
      </c>
      <c r="N2348" t="str">
        <f>IFERROR(VLOOKUP(D2348,'Team Data'!C:AB,23,FALSE),"")</f>
        <v/>
      </c>
      <c r="O2348" t="str">
        <f>IFERROR(VLOOKUP(D2348,'Team Data'!C:AB,22,FALSE),"")</f>
        <v/>
      </c>
      <c r="P2348" t="str">
        <f t="shared" si="75"/>
        <v/>
      </c>
      <c r="Q2348" t="str">
        <f>IFERROR(VLOOKUP(D2348,'Team Data'!C:AB,15,FALSE),"")</f>
        <v/>
      </c>
      <c r="R2348" t="str">
        <f>IFERROR(VLOOKUP('OB Format'!D2348,'Team Data'!C:AB,24,FALSE),"")</f>
        <v/>
      </c>
      <c r="S2348" t="str">
        <f>IFERROR(VLOOKUP('OB Format'!D2348,'Team Data'!C:AC,25,FALSE),"")</f>
        <v/>
      </c>
    </row>
    <row r="2349" spans="5:19" x14ac:dyDescent="0.25">
      <c r="E2349" t="str">
        <f>IFERROR(VLOOKUP(D2349,'Team Data'!C:AB,4,FALSE),"")</f>
        <v/>
      </c>
      <c r="F2349" t="str">
        <f>IFERROR(VLOOKUP(D2349,'Team Data'!C:AB,5,FALSE),"")</f>
        <v/>
      </c>
      <c r="G2349" t="str">
        <f>IFERROR(VLOOKUP('OB Format'!D2349,'Team Data'!C:AB,17,FALSE),"")</f>
        <v/>
      </c>
      <c r="H2349" t="str">
        <f>IFERROR(VLOOKUP(D2349,'Team Data'!C:AB,7,FALSE),"")</f>
        <v/>
      </c>
      <c r="I2349" t="str">
        <f>IFERROR(VLOOKUP(D2349,'Team Data'!C:AB,14,FALSE),"")</f>
        <v/>
      </c>
      <c r="J2349" t="str">
        <f>IFERROR(VLOOKUP(D2349,'Team Data'!C:AB,8,FALSE),"")</f>
        <v/>
      </c>
      <c r="K2349" t="str">
        <f>IFERROR(VLOOKUP(D2349,'Team Data'!C:AB,9,FALSE),"")</f>
        <v/>
      </c>
      <c r="L2349" t="str">
        <f>IFERROR(VLOOKUP(D2349,'Team Data'!C:AB,10,FALSE),"")</f>
        <v/>
      </c>
      <c r="M2349" t="str">
        <f t="shared" si="74"/>
        <v/>
      </c>
      <c r="N2349" t="str">
        <f>IFERROR(VLOOKUP(D2349,'Team Data'!C:AB,23,FALSE),"")</f>
        <v/>
      </c>
      <c r="O2349" t="str">
        <f>IFERROR(VLOOKUP(D2349,'Team Data'!C:AB,22,FALSE),"")</f>
        <v/>
      </c>
      <c r="P2349" t="str">
        <f t="shared" si="75"/>
        <v/>
      </c>
      <c r="Q2349" t="str">
        <f>IFERROR(VLOOKUP(D2349,'Team Data'!C:AB,15,FALSE),"")</f>
        <v/>
      </c>
      <c r="R2349" t="str">
        <f>IFERROR(VLOOKUP('OB Format'!D2349,'Team Data'!C:AB,24,FALSE),"")</f>
        <v/>
      </c>
      <c r="S2349" t="str">
        <f>IFERROR(VLOOKUP('OB Format'!D2349,'Team Data'!C:AC,25,FALSE),"")</f>
        <v/>
      </c>
    </row>
    <row r="2350" spans="5:19" x14ac:dyDescent="0.25">
      <c r="E2350" t="str">
        <f>IFERROR(VLOOKUP(D2350,'Team Data'!C:AB,4,FALSE),"")</f>
        <v/>
      </c>
      <c r="F2350" t="str">
        <f>IFERROR(VLOOKUP(D2350,'Team Data'!C:AB,5,FALSE),"")</f>
        <v/>
      </c>
      <c r="G2350" t="str">
        <f>IFERROR(VLOOKUP('OB Format'!D2350,'Team Data'!C:AB,17,FALSE),"")</f>
        <v/>
      </c>
      <c r="H2350" t="str">
        <f>IFERROR(VLOOKUP(D2350,'Team Data'!C:AB,7,FALSE),"")</f>
        <v/>
      </c>
      <c r="I2350" t="str">
        <f>IFERROR(VLOOKUP(D2350,'Team Data'!C:AB,14,FALSE),"")</f>
        <v/>
      </c>
      <c r="J2350" t="str">
        <f>IFERROR(VLOOKUP(D2350,'Team Data'!C:AB,8,FALSE),"")</f>
        <v/>
      </c>
      <c r="K2350" t="str">
        <f>IFERROR(VLOOKUP(D2350,'Team Data'!C:AB,9,FALSE),"")</f>
        <v/>
      </c>
      <c r="L2350" t="str">
        <f>IFERROR(VLOOKUP(D2350,'Team Data'!C:AB,10,FALSE),"")</f>
        <v/>
      </c>
      <c r="M2350" t="str">
        <f t="shared" si="74"/>
        <v/>
      </c>
      <c r="N2350" t="str">
        <f>IFERROR(VLOOKUP(D2350,'Team Data'!C:AB,23,FALSE),"")</f>
        <v/>
      </c>
      <c r="O2350" t="str">
        <f>IFERROR(VLOOKUP(D2350,'Team Data'!C:AB,22,FALSE),"")</f>
        <v/>
      </c>
      <c r="P2350" t="str">
        <f t="shared" si="75"/>
        <v/>
      </c>
      <c r="Q2350" t="str">
        <f>IFERROR(VLOOKUP(D2350,'Team Data'!C:AB,15,FALSE),"")</f>
        <v/>
      </c>
      <c r="R2350" t="str">
        <f>IFERROR(VLOOKUP('OB Format'!D2350,'Team Data'!C:AB,24,FALSE),"")</f>
        <v/>
      </c>
      <c r="S2350" t="str">
        <f>IFERROR(VLOOKUP('OB Format'!D2350,'Team Data'!C:AC,25,FALSE),"")</f>
        <v/>
      </c>
    </row>
    <row r="2351" spans="5:19" x14ac:dyDescent="0.25">
      <c r="E2351" t="str">
        <f>IFERROR(VLOOKUP(D2351,'Team Data'!C:AB,4,FALSE),"")</f>
        <v/>
      </c>
      <c r="F2351" t="str">
        <f>IFERROR(VLOOKUP(D2351,'Team Data'!C:AB,5,FALSE),"")</f>
        <v/>
      </c>
      <c r="G2351" t="str">
        <f>IFERROR(VLOOKUP('OB Format'!D2351,'Team Data'!C:AB,17,FALSE),"")</f>
        <v/>
      </c>
      <c r="H2351" t="str">
        <f>IFERROR(VLOOKUP(D2351,'Team Data'!C:AB,7,FALSE),"")</f>
        <v/>
      </c>
      <c r="I2351" t="str">
        <f>IFERROR(VLOOKUP(D2351,'Team Data'!C:AB,14,FALSE),"")</f>
        <v/>
      </c>
      <c r="J2351" t="str">
        <f>IFERROR(VLOOKUP(D2351,'Team Data'!C:AB,8,FALSE),"")</f>
        <v/>
      </c>
      <c r="K2351" t="str">
        <f>IFERROR(VLOOKUP(D2351,'Team Data'!C:AB,9,FALSE),"")</f>
        <v/>
      </c>
      <c r="L2351" t="str">
        <f>IFERROR(VLOOKUP(D2351,'Team Data'!C:AB,10,FALSE),"")</f>
        <v/>
      </c>
      <c r="M2351" t="str">
        <f t="shared" si="74"/>
        <v/>
      </c>
      <c r="N2351" t="str">
        <f>IFERROR(VLOOKUP(D2351,'Team Data'!C:AB,23,FALSE),"")</f>
        <v/>
      </c>
      <c r="O2351" t="str">
        <f>IFERROR(VLOOKUP(D2351,'Team Data'!C:AB,22,FALSE),"")</f>
        <v/>
      </c>
      <c r="P2351" t="str">
        <f t="shared" si="75"/>
        <v/>
      </c>
      <c r="Q2351" t="str">
        <f>IFERROR(VLOOKUP(D2351,'Team Data'!C:AB,15,FALSE),"")</f>
        <v/>
      </c>
      <c r="R2351" t="str">
        <f>IFERROR(VLOOKUP('OB Format'!D2351,'Team Data'!C:AB,24,FALSE),"")</f>
        <v/>
      </c>
      <c r="S2351" t="str">
        <f>IFERROR(VLOOKUP('OB Format'!D2351,'Team Data'!C:AC,25,FALSE),"")</f>
        <v/>
      </c>
    </row>
    <row r="2352" spans="5:19" x14ac:dyDescent="0.25">
      <c r="E2352" t="str">
        <f>IFERROR(VLOOKUP(D2352,'Team Data'!C:AB,4,FALSE),"")</f>
        <v/>
      </c>
      <c r="F2352" t="str">
        <f>IFERROR(VLOOKUP(D2352,'Team Data'!C:AB,5,FALSE),"")</f>
        <v/>
      </c>
      <c r="G2352" t="str">
        <f>IFERROR(VLOOKUP('OB Format'!D2352,'Team Data'!C:AB,17,FALSE),"")</f>
        <v/>
      </c>
      <c r="H2352" t="str">
        <f>IFERROR(VLOOKUP(D2352,'Team Data'!C:AB,7,FALSE),"")</f>
        <v/>
      </c>
      <c r="I2352" t="str">
        <f>IFERROR(VLOOKUP(D2352,'Team Data'!C:AB,14,FALSE),"")</f>
        <v/>
      </c>
      <c r="J2352" t="str">
        <f>IFERROR(VLOOKUP(D2352,'Team Data'!C:AB,8,FALSE),"")</f>
        <v/>
      </c>
      <c r="K2352" t="str">
        <f>IFERROR(VLOOKUP(D2352,'Team Data'!C:AB,9,FALSE),"")</f>
        <v/>
      </c>
      <c r="L2352" t="str">
        <f>IFERROR(VLOOKUP(D2352,'Team Data'!C:AB,10,FALSE),"")</f>
        <v/>
      </c>
      <c r="M2352" t="str">
        <f t="shared" si="74"/>
        <v/>
      </c>
      <c r="N2352" t="str">
        <f>IFERROR(VLOOKUP(D2352,'Team Data'!C:AB,23,FALSE),"")</f>
        <v/>
      </c>
      <c r="O2352" t="str">
        <f>IFERROR(VLOOKUP(D2352,'Team Data'!C:AB,22,FALSE),"")</f>
        <v/>
      </c>
      <c r="P2352" t="str">
        <f t="shared" si="75"/>
        <v/>
      </c>
      <c r="Q2352" t="str">
        <f>IFERROR(VLOOKUP(D2352,'Team Data'!C:AB,15,FALSE),"")</f>
        <v/>
      </c>
      <c r="R2352" t="str">
        <f>IFERROR(VLOOKUP('OB Format'!D2352,'Team Data'!C:AB,24,FALSE),"")</f>
        <v/>
      </c>
      <c r="S2352" t="str">
        <f>IFERROR(VLOOKUP('OB Format'!D2352,'Team Data'!C:AC,25,FALSE),"")</f>
        <v/>
      </c>
    </row>
    <row r="2353" spans="5:19" x14ac:dyDescent="0.25">
      <c r="E2353" t="str">
        <f>IFERROR(VLOOKUP(D2353,'Team Data'!C:AB,4,FALSE),"")</f>
        <v/>
      </c>
      <c r="F2353" t="str">
        <f>IFERROR(VLOOKUP(D2353,'Team Data'!C:AB,5,FALSE),"")</f>
        <v/>
      </c>
      <c r="G2353" t="str">
        <f>IFERROR(VLOOKUP('OB Format'!D2353,'Team Data'!C:AB,17,FALSE),"")</f>
        <v/>
      </c>
      <c r="H2353" t="str">
        <f>IFERROR(VLOOKUP(D2353,'Team Data'!C:AB,7,FALSE),"")</f>
        <v/>
      </c>
      <c r="I2353" t="str">
        <f>IFERROR(VLOOKUP(D2353,'Team Data'!C:AB,14,FALSE),"")</f>
        <v/>
      </c>
      <c r="J2353" t="str">
        <f>IFERROR(VLOOKUP(D2353,'Team Data'!C:AB,8,FALSE),"")</f>
        <v/>
      </c>
      <c r="K2353" t="str">
        <f>IFERROR(VLOOKUP(D2353,'Team Data'!C:AB,9,FALSE),"")</f>
        <v/>
      </c>
      <c r="L2353" t="str">
        <f>IFERROR(VLOOKUP(D2353,'Team Data'!C:AB,10,FALSE),"")</f>
        <v/>
      </c>
      <c r="M2353" t="str">
        <f t="shared" si="74"/>
        <v/>
      </c>
      <c r="N2353" t="str">
        <f>IFERROR(VLOOKUP(D2353,'Team Data'!C:AB,23,FALSE),"")</f>
        <v/>
      </c>
      <c r="O2353" t="str">
        <f>IFERROR(VLOOKUP(D2353,'Team Data'!C:AB,22,FALSE),"")</f>
        <v/>
      </c>
      <c r="P2353" t="str">
        <f t="shared" si="75"/>
        <v/>
      </c>
      <c r="Q2353" t="str">
        <f>IFERROR(VLOOKUP(D2353,'Team Data'!C:AB,15,FALSE),"")</f>
        <v/>
      </c>
      <c r="R2353" t="str">
        <f>IFERROR(VLOOKUP('OB Format'!D2353,'Team Data'!C:AB,24,FALSE),"")</f>
        <v/>
      </c>
      <c r="S2353" t="str">
        <f>IFERROR(VLOOKUP('OB Format'!D2353,'Team Data'!C:AC,25,FALSE),"")</f>
        <v/>
      </c>
    </row>
    <row r="2354" spans="5:19" x14ac:dyDescent="0.25">
      <c r="E2354" t="str">
        <f>IFERROR(VLOOKUP(D2354,'Team Data'!C:AB,4,FALSE),"")</f>
        <v/>
      </c>
      <c r="F2354" t="str">
        <f>IFERROR(VLOOKUP(D2354,'Team Data'!C:AB,5,FALSE),"")</f>
        <v/>
      </c>
      <c r="G2354" t="str">
        <f>IFERROR(VLOOKUP('OB Format'!D2354,'Team Data'!C:AB,17,FALSE),"")</f>
        <v/>
      </c>
      <c r="H2354" t="str">
        <f>IFERROR(VLOOKUP(D2354,'Team Data'!C:AB,7,FALSE),"")</f>
        <v/>
      </c>
      <c r="I2354" t="str">
        <f>IFERROR(VLOOKUP(D2354,'Team Data'!C:AB,14,FALSE),"")</f>
        <v/>
      </c>
      <c r="J2354" t="str">
        <f>IFERROR(VLOOKUP(D2354,'Team Data'!C:AB,8,FALSE),"")</f>
        <v/>
      </c>
      <c r="K2354" t="str">
        <f>IFERROR(VLOOKUP(D2354,'Team Data'!C:AB,9,FALSE),"")</f>
        <v/>
      </c>
      <c r="L2354" t="str">
        <f>IFERROR(VLOOKUP(D2354,'Team Data'!C:AB,10,FALSE),"")</f>
        <v/>
      </c>
      <c r="M2354" t="str">
        <f t="shared" si="74"/>
        <v/>
      </c>
      <c r="N2354" t="str">
        <f>IFERROR(VLOOKUP(D2354,'Team Data'!C:AB,23,FALSE),"")</f>
        <v/>
      </c>
      <c r="O2354" t="str">
        <f>IFERROR(VLOOKUP(D2354,'Team Data'!C:AB,22,FALSE),"")</f>
        <v/>
      </c>
      <c r="P2354" t="str">
        <f t="shared" si="75"/>
        <v/>
      </c>
      <c r="Q2354" t="str">
        <f>IFERROR(VLOOKUP(D2354,'Team Data'!C:AB,15,FALSE),"")</f>
        <v/>
      </c>
      <c r="R2354" t="str">
        <f>IFERROR(VLOOKUP('OB Format'!D2354,'Team Data'!C:AB,24,FALSE),"")</f>
        <v/>
      </c>
      <c r="S2354" t="str">
        <f>IFERROR(VLOOKUP('OB Format'!D2354,'Team Data'!C:AC,25,FALSE),"")</f>
        <v/>
      </c>
    </row>
    <row r="2355" spans="5:19" x14ac:dyDescent="0.25">
      <c r="E2355" t="str">
        <f>IFERROR(VLOOKUP(D2355,'Team Data'!C:AB,4,FALSE),"")</f>
        <v/>
      </c>
      <c r="F2355" t="str">
        <f>IFERROR(VLOOKUP(D2355,'Team Data'!C:AB,5,FALSE),"")</f>
        <v/>
      </c>
      <c r="G2355" t="str">
        <f>IFERROR(VLOOKUP('OB Format'!D2355,'Team Data'!C:AB,17,FALSE),"")</f>
        <v/>
      </c>
      <c r="H2355" t="str">
        <f>IFERROR(VLOOKUP(D2355,'Team Data'!C:AB,7,FALSE),"")</f>
        <v/>
      </c>
      <c r="I2355" t="str">
        <f>IFERROR(VLOOKUP(D2355,'Team Data'!C:AB,14,FALSE),"")</f>
        <v/>
      </c>
      <c r="J2355" t="str">
        <f>IFERROR(VLOOKUP(D2355,'Team Data'!C:AB,8,FALSE),"")</f>
        <v/>
      </c>
      <c r="K2355" t="str">
        <f>IFERROR(VLOOKUP(D2355,'Team Data'!C:AB,9,FALSE),"")</f>
        <v/>
      </c>
      <c r="L2355" t="str">
        <f>IFERROR(VLOOKUP(D2355,'Team Data'!C:AB,10,FALSE),"")</f>
        <v/>
      </c>
      <c r="M2355" t="str">
        <f t="shared" si="74"/>
        <v/>
      </c>
      <c r="N2355" t="str">
        <f>IFERROR(VLOOKUP(D2355,'Team Data'!C:AB,23,FALSE),"")</f>
        <v/>
      </c>
      <c r="O2355" t="str">
        <f>IFERROR(VLOOKUP(D2355,'Team Data'!C:AB,22,FALSE),"")</f>
        <v/>
      </c>
      <c r="P2355" t="str">
        <f t="shared" si="75"/>
        <v/>
      </c>
      <c r="Q2355" t="str">
        <f>IFERROR(VLOOKUP(D2355,'Team Data'!C:AB,15,FALSE),"")</f>
        <v/>
      </c>
      <c r="R2355" t="str">
        <f>IFERROR(VLOOKUP('OB Format'!D2355,'Team Data'!C:AB,24,FALSE),"")</f>
        <v/>
      </c>
      <c r="S2355" t="str">
        <f>IFERROR(VLOOKUP('OB Format'!D2355,'Team Data'!C:AC,25,FALSE),"")</f>
        <v/>
      </c>
    </row>
    <row r="2356" spans="5:19" x14ac:dyDescent="0.25">
      <c r="E2356" t="str">
        <f>IFERROR(VLOOKUP(D2356,'Team Data'!C:AB,4,FALSE),"")</f>
        <v/>
      </c>
      <c r="F2356" t="str">
        <f>IFERROR(VLOOKUP(D2356,'Team Data'!C:AB,5,FALSE),"")</f>
        <v/>
      </c>
      <c r="G2356" t="str">
        <f>IFERROR(VLOOKUP('OB Format'!D2356,'Team Data'!C:AB,17,FALSE),"")</f>
        <v/>
      </c>
      <c r="H2356" t="str">
        <f>IFERROR(VLOOKUP(D2356,'Team Data'!C:AB,7,FALSE),"")</f>
        <v/>
      </c>
      <c r="I2356" t="str">
        <f>IFERROR(VLOOKUP(D2356,'Team Data'!C:AB,14,FALSE),"")</f>
        <v/>
      </c>
      <c r="J2356" t="str">
        <f>IFERROR(VLOOKUP(D2356,'Team Data'!C:AB,8,FALSE),"")</f>
        <v/>
      </c>
      <c r="K2356" t="str">
        <f>IFERROR(VLOOKUP(D2356,'Team Data'!C:AB,9,FALSE),"")</f>
        <v/>
      </c>
      <c r="L2356" t="str">
        <f>IFERROR(VLOOKUP(D2356,'Team Data'!C:AB,10,FALSE),"")</f>
        <v/>
      </c>
      <c r="M2356" t="str">
        <f t="shared" si="74"/>
        <v/>
      </c>
      <c r="N2356" t="str">
        <f>IFERROR(VLOOKUP(D2356,'Team Data'!C:AB,23,FALSE),"")</f>
        <v/>
      </c>
      <c r="O2356" t="str">
        <f>IFERROR(VLOOKUP(D2356,'Team Data'!C:AB,22,FALSE),"")</f>
        <v/>
      </c>
      <c r="P2356" t="str">
        <f t="shared" si="75"/>
        <v/>
      </c>
      <c r="Q2356" t="str">
        <f>IFERROR(VLOOKUP(D2356,'Team Data'!C:AB,15,FALSE),"")</f>
        <v/>
      </c>
      <c r="R2356" t="str">
        <f>IFERROR(VLOOKUP('OB Format'!D2356,'Team Data'!C:AB,24,FALSE),"")</f>
        <v/>
      </c>
      <c r="S2356" t="str">
        <f>IFERROR(VLOOKUP('OB Format'!D2356,'Team Data'!C:AC,25,FALSE),"")</f>
        <v/>
      </c>
    </row>
    <row r="2357" spans="5:19" x14ac:dyDescent="0.25">
      <c r="E2357" t="str">
        <f>IFERROR(VLOOKUP(D2357,'Team Data'!C:AB,4,FALSE),"")</f>
        <v/>
      </c>
      <c r="F2357" t="str">
        <f>IFERROR(VLOOKUP(D2357,'Team Data'!C:AB,5,FALSE),"")</f>
        <v/>
      </c>
      <c r="G2357" t="str">
        <f>IFERROR(VLOOKUP('OB Format'!D2357,'Team Data'!C:AB,17,FALSE),"")</f>
        <v/>
      </c>
      <c r="H2357" t="str">
        <f>IFERROR(VLOOKUP(D2357,'Team Data'!C:AB,7,FALSE),"")</f>
        <v/>
      </c>
      <c r="I2357" t="str">
        <f>IFERROR(VLOOKUP(D2357,'Team Data'!C:AB,14,FALSE),"")</f>
        <v/>
      </c>
      <c r="J2357" t="str">
        <f>IFERROR(VLOOKUP(D2357,'Team Data'!C:AB,8,FALSE),"")</f>
        <v/>
      </c>
      <c r="K2357" t="str">
        <f>IFERROR(VLOOKUP(D2357,'Team Data'!C:AB,9,FALSE),"")</f>
        <v/>
      </c>
      <c r="L2357" t="str">
        <f>IFERROR(VLOOKUP(D2357,'Team Data'!C:AB,10,FALSE),"")</f>
        <v/>
      </c>
      <c r="M2357" t="str">
        <f t="shared" si="74"/>
        <v/>
      </c>
      <c r="N2357" t="str">
        <f>IFERROR(VLOOKUP(D2357,'Team Data'!C:AB,23,FALSE),"")</f>
        <v/>
      </c>
      <c r="O2357" t="str">
        <f>IFERROR(VLOOKUP(D2357,'Team Data'!C:AB,22,FALSE),"")</f>
        <v/>
      </c>
      <c r="P2357" t="str">
        <f t="shared" si="75"/>
        <v/>
      </c>
      <c r="Q2357" t="str">
        <f>IFERROR(VLOOKUP(D2357,'Team Data'!C:AB,15,FALSE),"")</f>
        <v/>
      </c>
      <c r="R2357" t="str">
        <f>IFERROR(VLOOKUP('OB Format'!D2357,'Team Data'!C:AB,24,FALSE),"")</f>
        <v/>
      </c>
      <c r="S2357" t="str">
        <f>IFERROR(VLOOKUP('OB Format'!D2357,'Team Data'!C:AC,25,FALSE),"")</f>
        <v/>
      </c>
    </row>
    <row r="2358" spans="5:19" x14ac:dyDescent="0.25">
      <c r="E2358" t="str">
        <f>IFERROR(VLOOKUP(D2358,'Team Data'!C:AB,4,FALSE),"")</f>
        <v/>
      </c>
      <c r="F2358" t="str">
        <f>IFERROR(VLOOKUP(D2358,'Team Data'!C:AB,5,FALSE),"")</f>
        <v/>
      </c>
      <c r="G2358" t="str">
        <f>IFERROR(VLOOKUP('OB Format'!D2358,'Team Data'!C:AB,17,FALSE),"")</f>
        <v/>
      </c>
      <c r="H2358" t="str">
        <f>IFERROR(VLOOKUP(D2358,'Team Data'!C:AB,7,FALSE),"")</f>
        <v/>
      </c>
      <c r="I2358" t="str">
        <f>IFERROR(VLOOKUP(D2358,'Team Data'!C:AB,14,FALSE),"")</f>
        <v/>
      </c>
      <c r="J2358" t="str">
        <f>IFERROR(VLOOKUP(D2358,'Team Data'!C:AB,8,FALSE),"")</f>
        <v/>
      </c>
      <c r="K2358" t="str">
        <f>IFERROR(VLOOKUP(D2358,'Team Data'!C:AB,9,FALSE),"")</f>
        <v/>
      </c>
      <c r="L2358" t="str">
        <f>IFERROR(VLOOKUP(D2358,'Team Data'!C:AB,10,FALSE),"")</f>
        <v/>
      </c>
      <c r="M2358" t="str">
        <f t="shared" si="74"/>
        <v/>
      </c>
      <c r="N2358" t="str">
        <f>IFERROR(VLOOKUP(D2358,'Team Data'!C:AB,23,FALSE),"")</f>
        <v/>
      </c>
      <c r="O2358" t="str">
        <f>IFERROR(VLOOKUP(D2358,'Team Data'!C:AB,22,FALSE),"")</f>
        <v/>
      </c>
      <c r="P2358" t="str">
        <f t="shared" si="75"/>
        <v/>
      </c>
      <c r="Q2358" t="str">
        <f>IFERROR(VLOOKUP(D2358,'Team Data'!C:AB,15,FALSE),"")</f>
        <v/>
      </c>
      <c r="R2358" t="str">
        <f>IFERROR(VLOOKUP('OB Format'!D2358,'Team Data'!C:AB,24,FALSE),"")</f>
        <v/>
      </c>
      <c r="S2358" t="str">
        <f>IFERROR(VLOOKUP('OB Format'!D2358,'Team Data'!C:AC,25,FALSE),"")</f>
        <v/>
      </c>
    </row>
    <row r="2359" spans="5:19" x14ac:dyDescent="0.25">
      <c r="E2359" t="str">
        <f>IFERROR(VLOOKUP(D2359,'Team Data'!C:AB,4,FALSE),"")</f>
        <v/>
      </c>
      <c r="F2359" t="str">
        <f>IFERROR(VLOOKUP(D2359,'Team Data'!C:AB,5,FALSE),"")</f>
        <v/>
      </c>
      <c r="G2359" t="str">
        <f>IFERROR(VLOOKUP('OB Format'!D2359,'Team Data'!C:AB,17,FALSE),"")</f>
        <v/>
      </c>
      <c r="H2359" t="str">
        <f>IFERROR(VLOOKUP(D2359,'Team Data'!C:AB,7,FALSE),"")</f>
        <v/>
      </c>
      <c r="I2359" t="str">
        <f>IFERROR(VLOOKUP(D2359,'Team Data'!C:AB,14,FALSE),"")</f>
        <v/>
      </c>
      <c r="J2359" t="str">
        <f>IFERROR(VLOOKUP(D2359,'Team Data'!C:AB,8,FALSE),"")</f>
        <v/>
      </c>
      <c r="K2359" t="str">
        <f>IFERROR(VLOOKUP(D2359,'Team Data'!C:AB,9,FALSE),"")</f>
        <v/>
      </c>
      <c r="L2359" t="str">
        <f>IFERROR(VLOOKUP(D2359,'Team Data'!C:AB,10,FALSE),"")</f>
        <v/>
      </c>
      <c r="M2359" t="str">
        <f t="shared" si="74"/>
        <v/>
      </c>
      <c r="N2359" t="str">
        <f>IFERROR(VLOOKUP(D2359,'Team Data'!C:AB,23,FALSE),"")</f>
        <v/>
      </c>
      <c r="O2359" t="str">
        <f>IFERROR(VLOOKUP(D2359,'Team Data'!C:AB,22,FALSE),"")</f>
        <v/>
      </c>
      <c r="P2359" t="str">
        <f t="shared" si="75"/>
        <v/>
      </c>
      <c r="Q2359" t="str">
        <f>IFERROR(VLOOKUP(D2359,'Team Data'!C:AB,15,FALSE),"")</f>
        <v/>
      </c>
      <c r="R2359" t="str">
        <f>IFERROR(VLOOKUP('OB Format'!D2359,'Team Data'!C:AB,24,FALSE),"")</f>
        <v/>
      </c>
      <c r="S2359" t="str">
        <f>IFERROR(VLOOKUP('OB Format'!D2359,'Team Data'!C:AC,25,FALSE),"")</f>
        <v/>
      </c>
    </row>
    <row r="2360" spans="5:19" x14ac:dyDescent="0.25">
      <c r="E2360" t="str">
        <f>IFERROR(VLOOKUP(D2360,'Team Data'!C:AB,4,FALSE),"")</f>
        <v/>
      </c>
      <c r="F2360" t="str">
        <f>IFERROR(VLOOKUP(D2360,'Team Data'!C:AB,5,FALSE),"")</f>
        <v/>
      </c>
      <c r="G2360" t="str">
        <f>IFERROR(VLOOKUP('OB Format'!D2360,'Team Data'!C:AB,17,FALSE),"")</f>
        <v/>
      </c>
      <c r="H2360" t="str">
        <f>IFERROR(VLOOKUP(D2360,'Team Data'!C:AB,7,FALSE),"")</f>
        <v/>
      </c>
      <c r="I2360" t="str">
        <f>IFERROR(VLOOKUP(D2360,'Team Data'!C:AB,14,FALSE),"")</f>
        <v/>
      </c>
      <c r="J2360" t="str">
        <f>IFERROR(VLOOKUP(D2360,'Team Data'!C:AB,8,FALSE),"")</f>
        <v/>
      </c>
      <c r="K2360" t="str">
        <f>IFERROR(VLOOKUP(D2360,'Team Data'!C:AB,9,FALSE),"")</f>
        <v/>
      </c>
      <c r="L2360" t="str">
        <f>IFERROR(VLOOKUP(D2360,'Team Data'!C:AB,10,FALSE),"")</f>
        <v/>
      </c>
      <c r="M2360" t="str">
        <f t="shared" si="74"/>
        <v/>
      </c>
      <c r="N2360" t="str">
        <f>IFERROR(VLOOKUP(D2360,'Team Data'!C:AB,23,FALSE),"")</f>
        <v/>
      </c>
      <c r="O2360" t="str">
        <f>IFERROR(VLOOKUP(D2360,'Team Data'!C:AB,22,FALSE),"")</f>
        <v/>
      </c>
      <c r="P2360" t="str">
        <f t="shared" si="75"/>
        <v/>
      </c>
      <c r="Q2360" t="str">
        <f>IFERROR(VLOOKUP(D2360,'Team Data'!C:AB,15,FALSE),"")</f>
        <v/>
      </c>
      <c r="R2360" t="str">
        <f>IFERROR(VLOOKUP('OB Format'!D2360,'Team Data'!C:AB,24,FALSE),"")</f>
        <v/>
      </c>
      <c r="S2360" t="str">
        <f>IFERROR(VLOOKUP('OB Format'!D2360,'Team Data'!C:AC,25,FALSE),"")</f>
        <v/>
      </c>
    </row>
    <row r="2361" spans="5:19" x14ac:dyDescent="0.25">
      <c r="E2361" t="str">
        <f>IFERROR(VLOOKUP(D2361,'Team Data'!C:AB,4,FALSE),"")</f>
        <v/>
      </c>
      <c r="F2361" t="str">
        <f>IFERROR(VLOOKUP(D2361,'Team Data'!C:AB,5,FALSE),"")</f>
        <v/>
      </c>
      <c r="G2361" t="str">
        <f>IFERROR(VLOOKUP('OB Format'!D2361,'Team Data'!C:AB,17,FALSE),"")</f>
        <v/>
      </c>
      <c r="H2361" t="str">
        <f>IFERROR(VLOOKUP(D2361,'Team Data'!C:AB,7,FALSE),"")</f>
        <v/>
      </c>
      <c r="I2361" t="str">
        <f>IFERROR(VLOOKUP(D2361,'Team Data'!C:AB,14,FALSE),"")</f>
        <v/>
      </c>
      <c r="J2361" t="str">
        <f>IFERROR(VLOOKUP(D2361,'Team Data'!C:AB,8,FALSE),"")</f>
        <v/>
      </c>
      <c r="K2361" t="str">
        <f>IFERROR(VLOOKUP(D2361,'Team Data'!C:AB,9,FALSE),"")</f>
        <v/>
      </c>
      <c r="L2361" t="str">
        <f>IFERROR(VLOOKUP(D2361,'Team Data'!C:AB,10,FALSE),"")</f>
        <v/>
      </c>
      <c r="M2361" t="str">
        <f t="shared" si="74"/>
        <v/>
      </c>
      <c r="N2361" t="str">
        <f>IFERROR(VLOOKUP(D2361,'Team Data'!C:AB,23,FALSE),"")</f>
        <v/>
      </c>
      <c r="O2361" t="str">
        <f>IFERROR(VLOOKUP(D2361,'Team Data'!C:AB,22,FALSE),"")</f>
        <v/>
      </c>
      <c r="P2361" t="str">
        <f t="shared" si="75"/>
        <v/>
      </c>
      <c r="Q2361" t="str">
        <f>IFERROR(VLOOKUP(D2361,'Team Data'!C:AB,15,FALSE),"")</f>
        <v/>
      </c>
      <c r="R2361" t="str">
        <f>IFERROR(VLOOKUP('OB Format'!D2361,'Team Data'!C:AB,24,FALSE),"")</f>
        <v/>
      </c>
      <c r="S2361" t="str">
        <f>IFERROR(VLOOKUP('OB Format'!D2361,'Team Data'!C:AC,25,FALSE),"")</f>
        <v/>
      </c>
    </row>
    <row r="2362" spans="5:19" x14ac:dyDescent="0.25">
      <c r="E2362" t="str">
        <f>IFERROR(VLOOKUP(D2362,'Team Data'!C:AB,4,FALSE),"")</f>
        <v/>
      </c>
      <c r="F2362" t="str">
        <f>IFERROR(VLOOKUP(D2362,'Team Data'!C:AB,5,FALSE),"")</f>
        <v/>
      </c>
      <c r="G2362" t="str">
        <f>IFERROR(VLOOKUP('OB Format'!D2362,'Team Data'!C:AB,17,FALSE),"")</f>
        <v/>
      </c>
      <c r="H2362" t="str">
        <f>IFERROR(VLOOKUP(D2362,'Team Data'!C:AB,7,FALSE),"")</f>
        <v/>
      </c>
      <c r="I2362" t="str">
        <f>IFERROR(VLOOKUP(D2362,'Team Data'!C:AB,14,FALSE),"")</f>
        <v/>
      </c>
      <c r="J2362" t="str">
        <f>IFERROR(VLOOKUP(D2362,'Team Data'!C:AB,8,FALSE),"")</f>
        <v/>
      </c>
      <c r="K2362" t="str">
        <f>IFERROR(VLOOKUP(D2362,'Team Data'!C:AB,9,FALSE),"")</f>
        <v/>
      </c>
      <c r="L2362" t="str">
        <f>IFERROR(VLOOKUP(D2362,'Team Data'!C:AB,10,FALSE),"")</f>
        <v/>
      </c>
      <c r="M2362" t="str">
        <f t="shared" si="74"/>
        <v/>
      </c>
      <c r="N2362" t="str">
        <f>IFERROR(VLOOKUP(D2362,'Team Data'!C:AB,23,FALSE),"")</f>
        <v/>
      </c>
      <c r="O2362" t="str">
        <f>IFERROR(VLOOKUP(D2362,'Team Data'!C:AB,22,FALSE),"")</f>
        <v/>
      </c>
      <c r="P2362" t="str">
        <f t="shared" si="75"/>
        <v/>
      </c>
      <c r="Q2362" t="str">
        <f>IFERROR(VLOOKUP(D2362,'Team Data'!C:AB,15,FALSE),"")</f>
        <v/>
      </c>
      <c r="R2362" t="str">
        <f>IFERROR(VLOOKUP('OB Format'!D2362,'Team Data'!C:AB,24,FALSE),"")</f>
        <v/>
      </c>
      <c r="S2362" t="str">
        <f>IFERROR(VLOOKUP('OB Format'!D2362,'Team Data'!C:AC,25,FALSE),"")</f>
        <v/>
      </c>
    </row>
    <row r="2363" spans="5:19" x14ac:dyDescent="0.25">
      <c r="E2363" t="str">
        <f>IFERROR(VLOOKUP(D2363,'Team Data'!C:AB,4,FALSE),"")</f>
        <v/>
      </c>
      <c r="F2363" t="str">
        <f>IFERROR(VLOOKUP(D2363,'Team Data'!C:AB,5,FALSE),"")</f>
        <v/>
      </c>
      <c r="G2363" t="str">
        <f>IFERROR(VLOOKUP('OB Format'!D2363,'Team Data'!C:AB,17,FALSE),"")</f>
        <v/>
      </c>
      <c r="H2363" t="str">
        <f>IFERROR(VLOOKUP(D2363,'Team Data'!C:AB,7,FALSE),"")</f>
        <v/>
      </c>
      <c r="I2363" t="str">
        <f>IFERROR(VLOOKUP(D2363,'Team Data'!C:AB,14,FALSE),"")</f>
        <v/>
      </c>
      <c r="J2363" t="str">
        <f>IFERROR(VLOOKUP(D2363,'Team Data'!C:AB,8,FALSE),"")</f>
        <v/>
      </c>
      <c r="K2363" t="str">
        <f>IFERROR(VLOOKUP(D2363,'Team Data'!C:AB,9,FALSE),"")</f>
        <v/>
      </c>
      <c r="L2363" t="str">
        <f>IFERROR(VLOOKUP(D2363,'Team Data'!C:AB,10,FALSE),"")</f>
        <v/>
      </c>
      <c r="M2363" t="str">
        <f t="shared" si="74"/>
        <v/>
      </c>
      <c r="N2363" t="str">
        <f>IFERROR(VLOOKUP(D2363,'Team Data'!C:AB,23,FALSE),"")</f>
        <v/>
      </c>
      <c r="O2363" t="str">
        <f>IFERROR(VLOOKUP(D2363,'Team Data'!C:AB,22,FALSE),"")</f>
        <v/>
      </c>
      <c r="P2363" t="str">
        <f t="shared" si="75"/>
        <v/>
      </c>
      <c r="Q2363" t="str">
        <f>IFERROR(VLOOKUP(D2363,'Team Data'!C:AB,15,FALSE),"")</f>
        <v/>
      </c>
      <c r="R2363" t="str">
        <f>IFERROR(VLOOKUP('OB Format'!D2363,'Team Data'!C:AB,24,FALSE),"")</f>
        <v/>
      </c>
      <c r="S2363" t="str">
        <f>IFERROR(VLOOKUP('OB Format'!D2363,'Team Data'!C:AC,25,FALSE),"")</f>
        <v/>
      </c>
    </row>
    <row r="2364" spans="5:19" x14ac:dyDescent="0.25">
      <c r="E2364" t="str">
        <f>IFERROR(VLOOKUP(D2364,'Team Data'!C:AB,4,FALSE),"")</f>
        <v/>
      </c>
      <c r="F2364" t="str">
        <f>IFERROR(VLOOKUP(D2364,'Team Data'!C:AB,5,FALSE),"")</f>
        <v/>
      </c>
      <c r="G2364" t="str">
        <f>IFERROR(VLOOKUP('OB Format'!D2364,'Team Data'!C:AB,17,FALSE),"")</f>
        <v/>
      </c>
      <c r="H2364" t="str">
        <f>IFERROR(VLOOKUP(D2364,'Team Data'!C:AB,7,FALSE),"")</f>
        <v/>
      </c>
      <c r="I2364" t="str">
        <f>IFERROR(VLOOKUP(D2364,'Team Data'!C:AB,14,FALSE),"")</f>
        <v/>
      </c>
      <c r="J2364" t="str">
        <f>IFERROR(VLOOKUP(D2364,'Team Data'!C:AB,8,FALSE),"")</f>
        <v/>
      </c>
      <c r="K2364" t="str">
        <f>IFERROR(VLOOKUP(D2364,'Team Data'!C:AB,9,FALSE),"")</f>
        <v/>
      </c>
      <c r="L2364" t="str">
        <f>IFERROR(VLOOKUP(D2364,'Team Data'!C:AB,10,FALSE),"")</f>
        <v/>
      </c>
      <c r="M2364" t="str">
        <f t="shared" si="74"/>
        <v/>
      </c>
      <c r="N2364" t="str">
        <f>IFERROR(VLOOKUP(D2364,'Team Data'!C:AB,23,FALSE),"")</f>
        <v/>
      </c>
      <c r="O2364" t="str">
        <f>IFERROR(VLOOKUP(D2364,'Team Data'!C:AB,22,FALSE),"")</f>
        <v/>
      </c>
      <c r="P2364" t="str">
        <f t="shared" si="75"/>
        <v/>
      </c>
      <c r="Q2364" t="str">
        <f>IFERROR(VLOOKUP(D2364,'Team Data'!C:AB,15,FALSE),"")</f>
        <v/>
      </c>
      <c r="R2364" t="str">
        <f>IFERROR(VLOOKUP('OB Format'!D2364,'Team Data'!C:AB,24,FALSE),"")</f>
        <v/>
      </c>
      <c r="S2364" t="str">
        <f>IFERROR(VLOOKUP('OB Format'!D2364,'Team Data'!C:AC,25,FALSE),"")</f>
        <v/>
      </c>
    </row>
    <row r="2365" spans="5:19" x14ac:dyDescent="0.25">
      <c r="E2365" t="str">
        <f>IFERROR(VLOOKUP(D2365,'Team Data'!C:AB,4,FALSE),"")</f>
        <v/>
      </c>
      <c r="F2365" t="str">
        <f>IFERROR(VLOOKUP(D2365,'Team Data'!C:AB,5,FALSE),"")</f>
        <v/>
      </c>
      <c r="G2365" t="str">
        <f>IFERROR(VLOOKUP('OB Format'!D2365,'Team Data'!C:AB,17,FALSE),"")</f>
        <v/>
      </c>
      <c r="H2365" t="str">
        <f>IFERROR(VLOOKUP(D2365,'Team Data'!C:AB,7,FALSE),"")</f>
        <v/>
      </c>
      <c r="I2365" t="str">
        <f>IFERROR(VLOOKUP(D2365,'Team Data'!C:AB,14,FALSE),"")</f>
        <v/>
      </c>
      <c r="J2365" t="str">
        <f>IFERROR(VLOOKUP(D2365,'Team Data'!C:AB,8,FALSE),"")</f>
        <v/>
      </c>
      <c r="K2365" t="str">
        <f>IFERROR(VLOOKUP(D2365,'Team Data'!C:AB,9,FALSE),"")</f>
        <v/>
      </c>
      <c r="L2365" t="str">
        <f>IFERROR(VLOOKUP(D2365,'Team Data'!C:AB,10,FALSE),"")</f>
        <v/>
      </c>
      <c r="M2365" t="str">
        <f t="shared" si="74"/>
        <v/>
      </c>
      <c r="N2365" t="str">
        <f>IFERROR(VLOOKUP(D2365,'Team Data'!C:AB,23,FALSE),"")</f>
        <v/>
      </c>
      <c r="O2365" t="str">
        <f>IFERROR(VLOOKUP(D2365,'Team Data'!C:AB,22,FALSE),"")</f>
        <v/>
      </c>
      <c r="P2365" t="str">
        <f t="shared" si="75"/>
        <v/>
      </c>
      <c r="Q2365" t="str">
        <f>IFERROR(VLOOKUP(D2365,'Team Data'!C:AB,15,FALSE),"")</f>
        <v/>
      </c>
      <c r="R2365" t="str">
        <f>IFERROR(VLOOKUP('OB Format'!D2365,'Team Data'!C:AB,24,FALSE),"")</f>
        <v/>
      </c>
      <c r="S2365" t="str">
        <f>IFERROR(VLOOKUP('OB Format'!D2365,'Team Data'!C:AC,25,FALSE),"")</f>
        <v/>
      </c>
    </row>
    <row r="2366" spans="5:19" x14ac:dyDescent="0.25">
      <c r="E2366" t="str">
        <f>IFERROR(VLOOKUP(D2366,'Team Data'!C:AB,4,FALSE),"")</f>
        <v/>
      </c>
      <c r="F2366" t="str">
        <f>IFERROR(VLOOKUP(D2366,'Team Data'!C:AB,5,FALSE),"")</f>
        <v/>
      </c>
      <c r="G2366" t="str">
        <f>IFERROR(VLOOKUP('OB Format'!D2366,'Team Data'!C:AB,17,FALSE),"")</f>
        <v/>
      </c>
      <c r="H2366" t="str">
        <f>IFERROR(VLOOKUP(D2366,'Team Data'!C:AB,7,FALSE),"")</f>
        <v/>
      </c>
      <c r="I2366" t="str">
        <f>IFERROR(VLOOKUP(D2366,'Team Data'!C:AB,14,FALSE),"")</f>
        <v/>
      </c>
      <c r="J2366" t="str">
        <f>IFERROR(VLOOKUP(D2366,'Team Data'!C:AB,8,FALSE),"")</f>
        <v/>
      </c>
      <c r="K2366" t="str">
        <f>IFERROR(VLOOKUP(D2366,'Team Data'!C:AB,9,FALSE),"")</f>
        <v/>
      </c>
      <c r="L2366" t="str">
        <f>IFERROR(VLOOKUP(D2366,'Team Data'!C:AB,10,FALSE),"")</f>
        <v/>
      </c>
      <c r="M2366" t="str">
        <f t="shared" si="74"/>
        <v/>
      </c>
      <c r="N2366" t="str">
        <f>IFERROR(VLOOKUP(D2366,'Team Data'!C:AB,23,FALSE),"")</f>
        <v/>
      </c>
      <c r="O2366" t="str">
        <f>IFERROR(VLOOKUP(D2366,'Team Data'!C:AB,22,FALSE),"")</f>
        <v/>
      </c>
      <c r="P2366" t="str">
        <f t="shared" si="75"/>
        <v/>
      </c>
      <c r="Q2366" t="str">
        <f>IFERROR(VLOOKUP(D2366,'Team Data'!C:AB,15,FALSE),"")</f>
        <v/>
      </c>
      <c r="R2366" t="str">
        <f>IFERROR(VLOOKUP('OB Format'!D2366,'Team Data'!C:AB,24,FALSE),"")</f>
        <v/>
      </c>
      <c r="S2366" t="str">
        <f>IFERROR(VLOOKUP('OB Format'!D2366,'Team Data'!C:AC,25,FALSE),"")</f>
        <v/>
      </c>
    </row>
    <row r="2367" spans="5:19" x14ac:dyDescent="0.25">
      <c r="E2367" t="str">
        <f>IFERROR(VLOOKUP(D2367,'Team Data'!C:AB,4,FALSE),"")</f>
        <v/>
      </c>
      <c r="F2367" t="str">
        <f>IFERROR(VLOOKUP(D2367,'Team Data'!C:AB,5,FALSE),"")</f>
        <v/>
      </c>
      <c r="G2367" t="str">
        <f>IFERROR(VLOOKUP('OB Format'!D2367,'Team Data'!C:AB,17,FALSE),"")</f>
        <v/>
      </c>
      <c r="H2367" t="str">
        <f>IFERROR(VLOOKUP(D2367,'Team Data'!C:AB,7,FALSE),"")</f>
        <v/>
      </c>
      <c r="I2367" t="str">
        <f>IFERROR(VLOOKUP(D2367,'Team Data'!C:AB,14,FALSE),"")</f>
        <v/>
      </c>
      <c r="J2367" t="str">
        <f>IFERROR(VLOOKUP(D2367,'Team Data'!C:AB,8,FALSE),"")</f>
        <v/>
      </c>
      <c r="K2367" t="str">
        <f>IFERROR(VLOOKUP(D2367,'Team Data'!C:AB,9,FALSE),"")</f>
        <v/>
      </c>
      <c r="L2367" t="str">
        <f>IFERROR(VLOOKUP(D2367,'Team Data'!C:AB,10,FALSE),"")</f>
        <v/>
      </c>
      <c r="M2367" t="str">
        <f t="shared" si="74"/>
        <v/>
      </c>
      <c r="N2367" t="str">
        <f>IFERROR(VLOOKUP(D2367,'Team Data'!C:AB,23,FALSE),"")</f>
        <v/>
      </c>
      <c r="O2367" t="str">
        <f>IFERROR(VLOOKUP(D2367,'Team Data'!C:AB,22,FALSE),"")</f>
        <v/>
      </c>
      <c r="P2367" t="str">
        <f t="shared" si="75"/>
        <v/>
      </c>
      <c r="Q2367" t="str">
        <f>IFERROR(VLOOKUP(D2367,'Team Data'!C:AB,15,FALSE),"")</f>
        <v/>
      </c>
      <c r="R2367" t="str">
        <f>IFERROR(VLOOKUP('OB Format'!D2367,'Team Data'!C:AB,24,FALSE),"")</f>
        <v/>
      </c>
      <c r="S2367" t="str">
        <f>IFERROR(VLOOKUP('OB Format'!D2367,'Team Data'!C:AC,25,FALSE),"")</f>
        <v/>
      </c>
    </row>
    <row r="2368" spans="5:19" x14ac:dyDescent="0.25">
      <c r="E2368" t="str">
        <f>IFERROR(VLOOKUP(D2368,'Team Data'!C:AB,4,FALSE),"")</f>
        <v/>
      </c>
      <c r="F2368" t="str">
        <f>IFERROR(VLOOKUP(D2368,'Team Data'!C:AB,5,FALSE),"")</f>
        <v/>
      </c>
      <c r="G2368" t="str">
        <f>IFERROR(VLOOKUP('OB Format'!D2368,'Team Data'!C:AB,17,FALSE),"")</f>
        <v/>
      </c>
      <c r="H2368" t="str">
        <f>IFERROR(VLOOKUP(D2368,'Team Data'!C:AB,7,FALSE),"")</f>
        <v/>
      </c>
      <c r="I2368" t="str">
        <f>IFERROR(VLOOKUP(D2368,'Team Data'!C:AB,14,FALSE),"")</f>
        <v/>
      </c>
      <c r="J2368" t="str">
        <f>IFERROR(VLOOKUP(D2368,'Team Data'!C:AB,8,FALSE),"")</f>
        <v/>
      </c>
      <c r="K2368" t="str">
        <f>IFERROR(VLOOKUP(D2368,'Team Data'!C:AB,9,FALSE),"")</f>
        <v/>
      </c>
      <c r="L2368" t="str">
        <f>IFERROR(VLOOKUP(D2368,'Team Data'!C:AB,10,FALSE),"")</f>
        <v/>
      </c>
      <c r="M2368" t="str">
        <f t="shared" si="74"/>
        <v/>
      </c>
      <c r="N2368" t="str">
        <f>IFERROR(VLOOKUP(D2368,'Team Data'!C:AB,23,FALSE),"")</f>
        <v/>
      </c>
      <c r="O2368" t="str">
        <f>IFERROR(VLOOKUP(D2368,'Team Data'!C:AB,22,FALSE),"")</f>
        <v/>
      </c>
      <c r="P2368" t="str">
        <f t="shared" si="75"/>
        <v/>
      </c>
      <c r="Q2368" t="str">
        <f>IFERROR(VLOOKUP(D2368,'Team Data'!C:AB,15,FALSE),"")</f>
        <v/>
      </c>
      <c r="R2368" t="str">
        <f>IFERROR(VLOOKUP('OB Format'!D2368,'Team Data'!C:AB,24,FALSE),"")</f>
        <v/>
      </c>
      <c r="S2368" t="str">
        <f>IFERROR(VLOOKUP('OB Format'!D2368,'Team Data'!C:AC,25,FALSE),"")</f>
        <v/>
      </c>
    </row>
    <row r="2369" spans="5:19" x14ac:dyDescent="0.25">
      <c r="E2369" t="str">
        <f>IFERROR(VLOOKUP(D2369,'Team Data'!C:AB,4,FALSE),"")</f>
        <v/>
      </c>
      <c r="F2369" t="str">
        <f>IFERROR(VLOOKUP(D2369,'Team Data'!C:AB,5,FALSE),"")</f>
        <v/>
      </c>
      <c r="G2369" t="str">
        <f>IFERROR(VLOOKUP('OB Format'!D2369,'Team Data'!C:AB,17,FALSE),"")</f>
        <v/>
      </c>
      <c r="H2369" t="str">
        <f>IFERROR(VLOOKUP(D2369,'Team Data'!C:AB,7,FALSE),"")</f>
        <v/>
      </c>
      <c r="I2369" t="str">
        <f>IFERROR(VLOOKUP(D2369,'Team Data'!C:AB,14,FALSE),"")</f>
        <v/>
      </c>
      <c r="J2369" t="str">
        <f>IFERROR(VLOOKUP(D2369,'Team Data'!C:AB,8,FALSE),"")</f>
        <v/>
      </c>
      <c r="K2369" t="str">
        <f>IFERROR(VLOOKUP(D2369,'Team Data'!C:AB,9,FALSE),"")</f>
        <v/>
      </c>
      <c r="L2369" t="str">
        <f>IFERROR(VLOOKUP(D2369,'Team Data'!C:AB,10,FALSE),"")</f>
        <v/>
      </c>
      <c r="M2369" t="str">
        <f t="shared" si="74"/>
        <v/>
      </c>
      <c r="N2369" t="str">
        <f>IFERROR(VLOOKUP(D2369,'Team Data'!C:AB,23,FALSE),"")</f>
        <v/>
      </c>
      <c r="O2369" t="str">
        <f>IFERROR(VLOOKUP(D2369,'Team Data'!C:AB,22,FALSE),"")</f>
        <v/>
      </c>
      <c r="P2369" t="str">
        <f t="shared" si="75"/>
        <v/>
      </c>
      <c r="Q2369" t="str">
        <f>IFERROR(VLOOKUP(D2369,'Team Data'!C:AB,15,FALSE),"")</f>
        <v/>
      </c>
      <c r="R2369" t="str">
        <f>IFERROR(VLOOKUP('OB Format'!D2369,'Team Data'!C:AB,24,FALSE),"")</f>
        <v/>
      </c>
      <c r="S2369" t="str">
        <f>IFERROR(VLOOKUP('OB Format'!D2369,'Team Data'!C:AC,25,FALSE),"")</f>
        <v/>
      </c>
    </row>
    <row r="2370" spans="5:19" x14ac:dyDescent="0.25">
      <c r="E2370" t="str">
        <f>IFERROR(VLOOKUP(D2370,'Team Data'!C:AB,4,FALSE),"")</f>
        <v/>
      </c>
      <c r="F2370" t="str">
        <f>IFERROR(VLOOKUP(D2370,'Team Data'!C:AB,5,FALSE),"")</f>
        <v/>
      </c>
      <c r="G2370" t="str">
        <f>IFERROR(VLOOKUP('OB Format'!D2370,'Team Data'!C:AB,17,FALSE),"")</f>
        <v/>
      </c>
      <c r="H2370" t="str">
        <f>IFERROR(VLOOKUP(D2370,'Team Data'!C:AB,7,FALSE),"")</f>
        <v/>
      </c>
      <c r="I2370" t="str">
        <f>IFERROR(VLOOKUP(D2370,'Team Data'!C:AB,14,FALSE),"")</f>
        <v/>
      </c>
      <c r="J2370" t="str">
        <f>IFERROR(VLOOKUP(D2370,'Team Data'!C:AB,8,FALSE),"")</f>
        <v/>
      </c>
      <c r="K2370" t="str">
        <f>IFERROR(VLOOKUP(D2370,'Team Data'!C:AB,9,FALSE),"")</f>
        <v/>
      </c>
      <c r="L2370" t="str">
        <f>IFERROR(VLOOKUP(D2370,'Team Data'!C:AB,10,FALSE),"")</f>
        <v/>
      </c>
      <c r="M2370" t="str">
        <f t="shared" si="74"/>
        <v/>
      </c>
      <c r="N2370" t="str">
        <f>IFERROR(VLOOKUP(D2370,'Team Data'!C:AB,23,FALSE),"")</f>
        <v/>
      </c>
      <c r="O2370" t="str">
        <f>IFERROR(VLOOKUP(D2370,'Team Data'!C:AB,22,FALSE),"")</f>
        <v/>
      </c>
      <c r="P2370" t="str">
        <f t="shared" si="75"/>
        <v/>
      </c>
      <c r="Q2370" t="str">
        <f>IFERROR(VLOOKUP(D2370,'Team Data'!C:AB,15,FALSE),"")</f>
        <v/>
      </c>
      <c r="R2370" t="str">
        <f>IFERROR(VLOOKUP('OB Format'!D2370,'Team Data'!C:AB,24,FALSE),"")</f>
        <v/>
      </c>
      <c r="S2370" t="str">
        <f>IFERROR(VLOOKUP('OB Format'!D2370,'Team Data'!C:AC,25,FALSE),"")</f>
        <v/>
      </c>
    </row>
    <row r="2371" spans="5:19" x14ac:dyDescent="0.25">
      <c r="E2371" t="str">
        <f>IFERROR(VLOOKUP(D2371,'Team Data'!C:AB,4,FALSE),"")</f>
        <v/>
      </c>
      <c r="F2371" t="str">
        <f>IFERROR(VLOOKUP(D2371,'Team Data'!C:AB,5,FALSE),"")</f>
        <v/>
      </c>
      <c r="G2371" t="str">
        <f>IFERROR(VLOOKUP('OB Format'!D2371,'Team Data'!C:AB,17,FALSE),"")</f>
        <v/>
      </c>
      <c r="H2371" t="str">
        <f>IFERROR(VLOOKUP(D2371,'Team Data'!C:AB,7,FALSE),"")</f>
        <v/>
      </c>
      <c r="I2371" t="str">
        <f>IFERROR(VLOOKUP(D2371,'Team Data'!C:AB,14,FALSE),"")</f>
        <v/>
      </c>
      <c r="J2371" t="str">
        <f>IFERROR(VLOOKUP(D2371,'Team Data'!C:AB,8,FALSE),"")</f>
        <v/>
      </c>
      <c r="K2371" t="str">
        <f>IFERROR(VLOOKUP(D2371,'Team Data'!C:AB,9,FALSE),"")</f>
        <v/>
      </c>
      <c r="L2371" t="str">
        <f>IFERROR(VLOOKUP(D2371,'Team Data'!C:AB,10,FALSE),"")</f>
        <v/>
      </c>
      <c r="M2371" t="str">
        <f t="shared" si="74"/>
        <v/>
      </c>
      <c r="N2371" t="str">
        <f>IFERROR(VLOOKUP(D2371,'Team Data'!C:AB,23,FALSE),"")</f>
        <v/>
      </c>
      <c r="O2371" t="str">
        <f>IFERROR(VLOOKUP(D2371,'Team Data'!C:AB,22,FALSE),"")</f>
        <v/>
      </c>
      <c r="P2371" t="str">
        <f t="shared" si="75"/>
        <v/>
      </c>
      <c r="Q2371" t="str">
        <f>IFERROR(VLOOKUP(D2371,'Team Data'!C:AB,15,FALSE),"")</f>
        <v/>
      </c>
      <c r="R2371" t="str">
        <f>IFERROR(VLOOKUP('OB Format'!D2371,'Team Data'!C:AB,24,FALSE),"")</f>
        <v/>
      </c>
      <c r="S2371" t="str">
        <f>IFERROR(VLOOKUP('OB Format'!D2371,'Team Data'!C:AC,25,FALSE),"")</f>
        <v/>
      </c>
    </row>
    <row r="2372" spans="5:19" x14ac:dyDescent="0.25">
      <c r="E2372" t="str">
        <f>IFERROR(VLOOKUP(D2372,'Team Data'!C:AB,4,FALSE),"")</f>
        <v/>
      </c>
      <c r="F2372" t="str">
        <f>IFERROR(VLOOKUP(D2372,'Team Data'!C:AB,5,FALSE),"")</f>
        <v/>
      </c>
      <c r="G2372" t="str">
        <f>IFERROR(VLOOKUP('OB Format'!D2372,'Team Data'!C:AB,17,FALSE),"")</f>
        <v/>
      </c>
      <c r="H2372" t="str">
        <f>IFERROR(VLOOKUP(D2372,'Team Data'!C:AB,7,FALSE),"")</f>
        <v/>
      </c>
      <c r="I2372" t="str">
        <f>IFERROR(VLOOKUP(D2372,'Team Data'!C:AB,14,FALSE),"")</f>
        <v/>
      </c>
      <c r="J2372" t="str">
        <f>IFERROR(VLOOKUP(D2372,'Team Data'!C:AB,8,FALSE),"")</f>
        <v/>
      </c>
      <c r="K2372" t="str">
        <f>IFERROR(VLOOKUP(D2372,'Team Data'!C:AB,9,FALSE),"")</f>
        <v/>
      </c>
      <c r="L2372" t="str">
        <f>IFERROR(VLOOKUP(D2372,'Team Data'!C:AB,10,FALSE),"")</f>
        <v/>
      </c>
      <c r="M2372" t="str">
        <f t="shared" si="74"/>
        <v/>
      </c>
      <c r="N2372" t="str">
        <f>IFERROR(VLOOKUP(D2372,'Team Data'!C:AB,23,FALSE),"")</f>
        <v/>
      </c>
      <c r="O2372" t="str">
        <f>IFERROR(VLOOKUP(D2372,'Team Data'!C:AB,22,FALSE),"")</f>
        <v/>
      </c>
      <c r="P2372" t="str">
        <f t="shared" si="75"/>
        <v/>
      </c>
      <c r="Q2372" t="str">
        <f>IFERROR(VLOOKUP(D2372,'Team Data'!C:AB,15,FALSE),"")</f>
        <v/>
      </c>
      <c r="R2372" t="str">
        <f>IFERROR(VLOOKUP('OB Format'!D2372,'Team Data'!C:AB,24,FALSE),"")</f>
        <v/>
      </c>
      <c r="S2372" t="str">
        <f>IFERROR(VLOOKUP('OB Format'!D2372,'Team Data'!C:AC,25,FALSE),"")</f>
        <v/>
      </c>
    </row>
    <row r="2373" spans="5:19" x14ac:dyDescent="0.25">
      <c r="E2373" t="str">
        <f>IFERROR(VLOOKUP(D2373,'Team Data'!C:AB,4,FALSE),"")</f>
        <v/>
      </c>
      <c r="F2373" t="str">
        <f>IFERROR(VLOOKUP(D2373,'Team Data'!C:AB,5,FALSE),"")</f>
        <v/>
      </c>
      <c r="G2373" t="str">
        <f>IFERROR(VLOOKUP('OB Format'!D2373,'Team Data'!C:AB,17,FALSE),"")</f>
        <v/>
      </c>
      <c r="H2373" t="str">
        <f>IFERROR(VLOOKUP(D2373,'Team Data'!C:AB,7,FALSE),"")</f>
        <v/>
      </c>
      <c r="I2373" t="str">
        <f>IFERROR(VLOOKUP(D2373,'Team Data'!C:AB,14,FALSE),"")</f>
        <v/>
      </c>
      <c r="J2373" t="str">
        <f>IFERROR(VLOOKUP(D2373,'Team Data'!C:AB,8,FALSE),"")</f>
        <v/>
      </c>
      <c r="K2373" t="str">
        <f>IFERROR(VLOOKUP(D2373,'Team Data'!C:AB,9,FALSE),"")</f>
        <v/>
      </c>
      <c r="L2373" t="str">
        <f>IFERROR(VLOOKUP(D2373,'Team Data'!C:AB,10,FALSE),"")</f>
        <v/>
      </c>
      <c r="M2373" t="str">
        <f t="shared" si="74"/>
        <v/>
      </c>
      <c r="N2373" t="str">
        <f>IFERROR(VLOOKUP(D2373,'Team Data'!C:AB,23,FALSE),"")</f>
        <v/>
      </c>
      <c r="O2373" t="str">
        <f>IFERROR(VLOOKUP(D2373,'Team Data'!C:AB,22,FALSE),"")</f>
        <v/>
      </c>
      <c r="P2373" t="str">
        <f t="shared" si="75"/>
        <v/>
      </c>
      <c r="Q2373" t="str">
        <f>IFERROR(VLOOKUP(D2373,'Team Data'!C:AB,15,FALSE),"")</f>
        <v/>
      </c>
      <c r="R2373" t="str">
        <f>IFERROR(VLOOKUP('OB Format'!D2373,'Team Data'!C:AB,24,FALSE),"")</f>
        <v/>
      </c>
      <c r="S2373" t="str">
        <f>IFERROR(VLOOKUP('OB Format'!D2373,'Team Data'!C:AC,25,FALSE),"")</f>
        <v/>
      </c>
    </row>
    <row r="2374" spans="5:19" x14ac:dyDescent="0.25">
      <c r="E2374" t="str">
        <f>IFERROR(VLOOKUP(D2374,'Team Data'!C:AB,4,FALSE),"")</f>
        <v/>
      </c>
      <c r="F2374" t="str">
        <f>IFERROR(VLOOKUP(D2374,'Team Data'!C:AB,5,FALSE),"")</f>
        <v/>
      </c>
      <c r="G2374" t="str">
        <f>IFERROR(VLOOKUP('OB Format'!D2374,'Team Data'!C:AB,17,FALSE),"")</f>
        <v/>
      </c>
      <c r="H2374" t="str">
        <f>IFERROR(VLOOKUP(D2374,'Team Data'!C:AB,7,FALSE),"")</f>
        <v/>
      </c>
      <c r="I2374" t="str">
        <f>IFERROR(VLOOKUP(D2374,'Team Data'!C:AB,14,FALSE),"")</f>
        <v/>
      </c>
      <c r="J2374" t="str">
        <f>IFERROR(VLOOKUP(D2374,'Team Data'!C:AB,8,FALSE),"")</f>
        <v/>
      </c>
      <c r="K2374" t="str">
        <f>IFERROR(VLOOKUP(D2374,'Team Data'!C:AB,9,FALSE),"")</f>
        <v/>
      </c>
      <c r="L2374" t="str">
        <f>IFERROR(VLOOKUP(D2374,'Team Data'!C:AB,10,FALSE),"")</f>
        <v/>
      </c>
      <c r="M2374" t="str">
        <f t="shared" si="74"/>
        <v/>
      </c>
      <c r="N2374" t="str">
        <f>IFERROR(VLOOKUP(D2374,'Team Data'!C:AB,23,FALSE),"")</f>
        <v/>
      </c>
      <c r="O2374" t="str">
        <f>IFERROR(VLOOKUP(D2374,'Team Data'!C:AB,22,FALSE),"")</f>
        <v/>
      </c>
      <c r="P2374" t="str">
        <f t="shared" si="75"/>
        <v/>
      </c>
      <c r="Q2374" t="str">
        <f>IFERROR(VLOOKUP(D2374,'Team Data'!C:AB,15,FALSE),"")</f>
        <v/>
      </c>
      <c r="R2374" t="str">
        <f>IFERROR(VLOOKUP('OB Format'!D2374,'Team Data'!C:AB,24,FALSE),"")</f>
        <v/>
      </c>
      <c r="S2374" t="str">
        <f>IFERROR(VLOOKUP('OB Format'!D2374,'Team Data'!C:AC,25,FALSE),"")</f>
        <v/>
      </c>
    </row>
    <row r="2375" spans="5:19" x14ac:dyDescent="0.25">
      <c r="E2375" t="str">
        <f>IFERROR(VLOOKUP(D2375,'Team Data'!C:AB,4,FALSE),"")</f>
        <v/>
      </c>
      <c r="F2375" t="str">
        <f>IFERROR(VLOOKUP(D2375,'Team Data'!C:AB,5,FALSE),"")</f>
        <v/>
      </c>
      <c r="G2375" t="str">
        <f>IFERROR(VLOOKUP('OB Format'!D2375,'Team Data'!C:AB,17,FALSE),"")</f>
        <v/>
      </c>
      <c r="H2375" t="str">
        <f>IFERROR(VLOOKUP(D2375,'Team Data'!C:AB,7,FALSE),"")</f>
        <v/>
      </c>
      <c r="I2375" t="str">
        <f>IFERROR(VLOOKUP(D2375,'Team Data'!C:AB,14,FALSE),"")</f>
        <v/>
      </c>
      <c r="J2375" t="str">
        <f>IFERROR(VLOOKUP(D2375,'Team Data'!C:AB,8,FALSE),"")</f>
        <v/>
      </c>
      <c r="K2375" t="str">
        <f>IFERROR(VLOOKUP(D2375,'Team Data'!C:AB,9,FALSE),"")</f>
        <v/>
      </c>
      <c r="L2375" t="str">
        <f>IFERROR(VLOOKUP(D2375,'Team Data'!C:AB,10,FALSE),"")</f>
        <v/>
      </c>
      <c r="M2375" t="str">
        <f t="shared" si="74"/>
        <v/>
      </c>
      <c r="N2375" t="str">
        <f>IFERROR(VLOOKUP(D2375,'Team Data'!C:AB,23,FALSE),"")</f>
        <v/>
      </c>
      <c r="O2375" t="str">
        <f>IFERROR(VLOOKUP(D2375,'Team Data'!C:AB,22,FALSE),"")</f>
        <v/>
      </c>
      <c r="P2375" t="str">
        <f t="shared" si="75"/>
        <v/>
      </c>
      <c r="Q2375" t="str">
        <f>IFERROR(VLOOKUP(D2375,'Team Data'!C:AB,15,FALSE),"")</f>
        <v/>
      </c>
      <c r="R2375" t="str">
        <f>IFERROR(VLOOKUP('OB Format'!D2375,'Team Data'!C:AB,24,FALSE),"")</f>
        <v/>
      </c>
      <c r="S2375" t="str">
        <f>IFERROR(VLOOKUP('OB Format'!D2375,'Team Data'!C:AC,25,FALSE),"")</f>
        <v/>
      </c>
    </row>
    <row r="2376" spans="5:19" x14ac:dyDescent="0.25">
      <c r="E2376" t="str">
        <f>IFERROR(VLOOKUP(D2376,'Team Data'!C:AB,4,FALSE),"")</f>
        <v/>
      </c>
      <c r="F2376" t="str">
        <f>IFERROR(VLOOKUP(D2376,'Team Data'!C:AB,5,FALSE),"")</f>
        <v/>
      </c>
      <c r="G2376" t="str">
        <f>IFERROR(VLOOKUP('OB Format'!D2376,'Team Data'!C:AB,17,FALSE),"")</f>
        <v/>
      </c>
      <c r="H2376" t="str">
        <f>IFERROR(VLOOKUP(D2376,'Team Data'!C:AB,7,FALSE),"")</f>
        <v/>
      </c>
      <c r="I2376" t="str">
        <f>IFERROR(VLOOKUP(D2376,'Team Data'!C:AB,14,FALSE),"")</f>
        <v/>
      </c>
      <c r="J2376" t="str">
        <f>IFERROR(VLOOKUP(D2376,'Team Data'!C:AB,8,FALSE),"")</f>
        <v/>
      </c>
      <c r="K2376" t="str">
        <f>IFERROR(VLOOKUP(D2376,'Team Data'!C:AB,9,FALSE),"")</f>
        <v/>
      </c>
      <c r="L2376" t="str">
        <f>IFERROR(VLOOKUP(D2376,'Team Data'!C:AB,10,FALSE),"")</f>
        <v/>
      </c>
      <c r="M2376" t="str">
        <f t="shared" si="74"/>
        <v/>
      </c>
      <c r="N2376" t="str">
        <f>IFERROR(VLOOKUP(D2376,'Team Data'!C:AB,23,FALSE),"")</f>
        <v/>
      </c>
      <c r="O2376" t="str">
        <f>IFERROR(VLOOKUP(D2376,'Team Data'!C:AB,22,FALSE),"")</f>
        <v/>
      </c>
      <c r="P2376" t="str">
        <f t="shared" si="75"/>
        <v/>
      </c>
      <c r="Q2376" t="str">
        <f>IFERROR(VLOOKUP(D2376,'Team Data'!C:AB,15,FALSE),"")</f>
        <v/>
      </c>
      <c r="R2376" t="str">
        <f>IFERROR(VLOOKUP('OB Format'!D2376,'Team Data'!C:AB,24,FALSE),"")</f>
        <v/>
      </c>
      <c r="S2376" t="str">
        <f>IFERROR(VLOOKUP('OB Format'!D2376,'Team Data'!C:AC,25,FALSE),"")</f>
        <v/>
      </c>
    </row>
    <row r="2377" spans="5:19" x14ac:dyDescent="0.25">
      <c r="E2377" t="str">
        <f>IFERROR(VLOOKUP(D2377,'Team Data'!C:AB,4,FALSE),"")</f>
        <v/>
      </c>
      <c r="F2377" t="str">
        <f>IFERROR(VLOOKUP(D2377,'Team Data'!C:AB,5,FALSE),"")</f>
        <v/>
      </c>
      <c r="G2377" t="str">
        <f>IFERROR(VLOOKUP('OB Format'!D2377,'Team Data'!C:AB,17,FALSE),"")</f>
        <v/>
      </c>
      <c r="H2377" t="str">
        <f>IFERROR(VLOOKUP(D2377,'Team Data'!C:AB,7,FALSE),"")</f>
        <v/>
      </c>
      <c r="I2377" t="str">
        <f>IFERROR(VLOOKUP(D2377,'Team Data'!C:AB,14,FALSE),"")</f>
        <v/>
      </c>
      <c r="J2377" t="str">
        <f>IFERROR(VLOOKUP(D2377,'Team Data'!C:AB,8,FALSE),"")</f>
        <v/>
      </c>
      <c r="K2377" t="str">
        <f>IFERROR(VLOOKUP(D2377,'Team Data'!C:AB,9,FALSE),"")</f>
        <v/>
      </c>
      <c r="L2377" t="str">
        <f>IFERROR(VLOOKUP(D2377,'Team Data'!C:AB,10,FALSE),"")</f>
        <v/>
      </c>
      <c r="M2377" t="str">
        <f t="shared" si="74"/>
        <v/>
      </c>
      <c r="N2377" t="str">
        <f>IFERROR(VLOOKUP(D2377,'Team Data'!C:AB,23,FALSE),"")</f>
        <v/>
      </c>
      <c r="O2377" t="str">
        <f>IFERROR(VLOOKUP(D2377,'Team Data'!C:AB,22,FALSE),"")</f>
        <v/>
      </c>
      <c r="P2377" t="str">
        <f t="shared" si="75"/>
        <v/>
      </c>
      <c r="Q2377" t="str">
        <f>IFERROR(VLOOKUP(D2377,'Team Data'!C:AB,15,FALSE),"")</f>
        <v/>
      </c>
      <c r="R2377" t="str">
        <f>IFERROR(VLOOKUP('OB Format'!D2377,'Team Data'!C:AB,24,FALSE),"")</f>
        <v/>
      </c>
      <c r="S2377" t="str">
        <f>IFERROR(VLOOKUP('OB Format'!D2377,'Team Data'!C:AC,25,FALSE),"")</f>
        <v/>
      </c>
    </row>
    <row r="2378" spans="5:19" x14ac:dyDescent="0.25">
      <c r="E2378" t="str">
        <f>IFERROR(VLOOKUP(D2378,'Team Data'!C:AB,4,FALSE),"")</f>
        <v/>
      </c>
      <c r="F2378" t="str">
        <f>IFERROR(VLOOKUP(D2378,'Team Data'!C:AB,5,FALSE),"")</f>
        <v/>
      </c>
      <c r="G2378" t="str">
        <f>IFERROR(VLOOKUP('OB Format'!D2378,'Team Data'!C:AB,17,FALSE),"")</f>
        <v/>
      </c>
      <c r="H2378" t="str">
        <f>IFERROR(VLOOKUP(D2378,'Team Data'!C:AB,7,FALSE),"")</f>
        <v/>
      </c>
      <c r="I2378" t="str">
        <f>IFERROR(VLOOKUP(D2378,'Team Data'!C:AB,14,FALSE),"")</f>
        <v/>
      </c>
      <c r="J2378" t="str">
        <f>IFERROR(VLOOKUP(D2378,'Team Data'!C:AB,8,FALSE),"")</f>
        <v/>
      </c>
      <c r="K2378" t="str">
        <f>IFERROR(VLOOKUP(D2378,'Team Data'!C:AB,9,FALSE),"")</f>
        <v/>
      </c>
      <c r="L2378" t="str">
        <f>IFERROR(VLOOKUP(D2378,'Team Data'!C:AB,10,FALSE),"")</f>
        <v/>
      </c>
      <c r="M2378" t="str">
        <f t="shared" si="74"/>
        <v/>
      </c>
      <c r="N2378" t="str">
        <f>IFERROR(VLOOKUP(D2378,'Team Data'!C:AB,23,FALSE),"")</f>
        <v/>
      </c>
      <c r="O2378" t="str">
        <f>IFERROR(VLOOKUP(D2378,'Team Data'!C:AB,22,FALSE),"")</f>
        <v/>
      </c>
      <c r="P2378" t="str">
        <f t="shared" si="75"/>
        <v/>
      </c>
      <c r="Q2378" t="str">
        <f>IFERROR(VLOOKUP(D2378,'Team Data'!C:AB,15,FALSE),"")</f>
        <v/>
      </c>
      <c r="R2378" t="str">
        <f>IFERROR(VLOOKUP('OB Format'!D2378,'Team Data'!C:AB,24,FALSE),"")</f>
        <v/>
      </c>
      <c r="S2378" t="str">
        <f>IFERROR(VLOOKUP('OB Format'!D2378,'Team Data'!C:AC,25,FALSE),"")</f>
        <v/>
      </c>
    </row>
    <row r="2379" spans="5:19" x14ac:dyDescent="0.25">
      <c r="E2379" t="str">
        <f>IFERROR(VLOOKUP(D2379,'Team Data'!C:AB,4,FALSE),"")</f>
        <v/>
      </c>
      <c r="F2379" t="str">
        <f>IFERROR(VLOOKUP(D2379,'Team Data'!C:AB,5,FALSE),"")</f>
        <v/>
      </c>
      <c r="G2379" t="str">
        <f>IFERROR(VLOOKUP('OB Format'!D2379,'Team Data'!C:AB,17,FALSE),"")</f>
        <v/>
      </c>
      <c r="H2379" t="str">
        <f>IFERROR(VLOOKUP(D2379,'Team Data'!C:AB,7,FALSE),"")</f>
        <v/>
      </c>
      <c r="I2379" t="str">
        <f>IFERROR(VLOOKUP(D2379,'Team Data'!C:AB,14,FALSE),"")</f>
        <v/>
      </c>
      <c r="J2379" t="str">
        <f>IFERROR(VLOOKUP(D2379,'Team Data'!C:AB,8,FALSE),"")</f>
        <v/>
      </c>
      <c r="K2379" t="str">
        <f>IFERROR(VLOOKUP(D2379,'Team Data'!C:AB,9,FALSE),"")</f>
        <v/>
      </c>
      <c r="L2379" t="str">
        <f>IFERROR(VLOOKUP(D2379,'Team Data'!C:AB,10,FALSE),"")</f>
        <v/>
      </c>
      <c r="M2379" t="str">
        <f t="shared" si="74"/>
        <v/>
      </c>
      <c r="N2379" t="str">
        <f>IFERROR(VLOOKUP(D2379,'Team Data'!C:AB,23,FALSE),"")</f>
        <v/>
      </c>
      <c r="O2379" t="str">
        <f>IFERROR(VLOOKUP(D2379,'Team Data'!C:AB,22,FALSE),"")</f>
        <v/>
      </c>
      <c r="P2379" t="str">
        <f t="shared" si="75"/>
        <v/>
      </c>
      <c r="Q2379" t="str">
        <f>IFERROR(VLOOKUP(D2379,'Team Data'!C:AB,15,FALSE),"")</f>
        <v/>
      </c>
      <c r="R2379" t="str">
        <f>IFERROR(VLOOKUP('OB Format'!D2379,'Team Data'!C:AB,24,FALSE),"")</f>
        <v/>
      </c>
      <c r="S2379" t="str">
        <f>IFERROR(VLOOKUP('OB Format'!D2379,'Team Data'!C:AC,25,FALSE),"")</f>
        <v/>
      </c>
    </row>
    <row r="2380" spans="5:19" x14ac:dyDescent="0.25">
      <c r="E2380" t="str">
        <f>IFERROR(VLOOKUP(D2380,'Team Data'!C:AB,4,FALSE),"")</f>
        <v/>
      </c>
      <c r="F2380" t="str">
        <f>IFERROR(VLOOKUP(D2380,'Team Data'!C:AB,5,FALSE),"")</f>
        <v/>
      </c>
      <c r="G2380" t="str">
        <f>IFERROR(VLOOKUP('OB Format'!D2380,'Team Data'!C:AB,17,FALSE),"")</f>
        <v/>
      </c>
      <c r="H2380" t="str">
        <f>IFERROR(VLOOKUP(D2380,'Team Data'!C:AB,7,FALSE),"")</f>
        <v/>
      </c>
      <c r="I2380" t="str">
        <f>IFERROR(VLOOKUP(D2380,'Team Data'!C:AB,14,FALSE),"")</f>
        <v/>
      </c>
      <c r="J2380" t="str">
        <f>IFERROR(VLOOKUP(D2380,'Team Data'!C:AB,8,FALSE),"")</f>
        <v/>
      </c>
      <c r="K2380" t="str">
        <f>IFERROR(VLOOKUP(D2380,'Team Data'!C:AB,9,FALSE),"")</f>
        <v/>
      </c>
      <c r="L2380" t="str">
        <f>IFERROR(VLOOKUP(D2380,'Team Data'!C:AB,10,FALSE),"")</f>
        <v/>
      </c>
      <c r="M2380" t="str">
        <f t="shared" si="74"/>
        <v/>
      </c>
      <c r="N2380" t="str">
        <f>IFERROR(VLOOKUP(D2380,'Team Data'!C:AB,23,FALSE),"")</f>
        <v/>
      </c>
      <c r="O2380" t="str">
        <f>IFERROR(VLOOKUP(D2380,'Team Data'!C:AB,22,FALSE),"")</f>
        <v/>
      </c>
      <c r="P2380" t="str">
        <f t="shared" si="75"/>
        <v/>
      </c>
      <c r="Q2380" t="str">
        <f>IFERROR(VLOOKUP(D2380,'Team Data'!C:AB,15,FALSE),"")</f>
        <v/>
      </c>
      <c r="R2380" t="str">
        <f>IFERROR(VLOOKUP('OB Format'!D2380,'Team Data'!C:AB,24,FALSE),"")</f>
        <v/>
      </c>
      <c r="S2380" t="str">
        <f>IFERROR(VLOOKUP('OB Format'!D2380,'Team Data'!C:AC,25,FALSE),"")</f>
        <v/>
      </c>
    </row>
    <row r="2381" spans="5:19" x14ac:dyDescent="0.25">
      <c r="E2381" t="str">
        <f>IFERROR(VLOOKUP(D2381,'Team Data'!C:AB,4,FALSE),"")</f>
        <v/>
      </c>
      <c r="F2381" t="str">
        <f>IFERROR(VLOOKUP(D2381,'Team Data'!C:AB,5,FALSE),"")</f>
        <v/>
      </c>
      <c r="G2381" t="str">
        <f>IFERROR(VLOOKUP('OB Format'!D2381,'Team Data'!C:AB,17,FALSE),"")</f>
        <v/>
      </c>
      <c r="H2381" t="str">
        <f>IFERROR(VLOOKUP(D2381,'Team Data'!C:AB,7,FALSE),"")</f>
        <v/>
      </c>
      <c r="I2381" t="str">
        <f>IFERROR(VLOOKUP(D2381,'Team Data'!C:AB,14,FALSE),"")</f>
        <v/>
      </c>
      <c r="J2381" t="str">
        <f>IFERROR(VLOOKUP(D2381,'Team Data'!C:AB,8,FALSE),"")</f>
        <v/>
      </c>
      <c r="K2381" t="str">
        <f>IFERROR(VLOOKUP(D2381,'Team Data'!C:AB,9,FALSE),"")</f>
        <v/>
      </c>
      <c r="L2381" t="str">
        <f>IFERROR(VLOOKUP(D2381,'Team Data'!C:AB,10,FALSE),"")</f>
        <v/>
      </c>
      <c r="M2381" t="str">
        <f t="shared" ref="M2381:M2444" si="76">IFERROR(H2381-(J2381+L2381+K2381),"")</f>
        <v/>
      </c>
      <c r="N2381" t="str">
        <f>IFERROR(VLOOKUP(D2381,'Team Data'!C:AB,23,FALSE),"")</f>
        <v/>
      </c>
      <c r="O2381" t="str">
        <f>IFERROR(VLOOKUP(D2381,'Team Data'!C:AB,22,FALSE),"")</f>
        <v/>
      </c>
      <c r="P2381" t="str">
        <f t="shared" ref="P2381:P2444" si="77">IFERROR(E2381-(H2381+N2381+Q2381+I2381+O2381),"")</f>
        <v/>
      </c>
      <c r="Q2381" t="str">
        <f>IFERROR(VLOOKUP(D2381,'Team Data'!C:AB,15,FALSE),"")</f>
        <v/>
      </c>
      <c r="R2381" t="str">
        <f>IFERROR(VLOOKUP('OB Format'!D2381,'Team Data'!C:AB,24,FALSE),"")</f>
        <v/>
      </c>
      <c r="S2381" t="str">
        <f>IFERROR(VLOOKUP('OB Format'!D2381,'Team Data'!C:AC,25,FALSE),"")</f>
        <v/>
      </c>
    </row>
    <row r="2382" spans="5:19" x14ac:dyDescent="0.25">
      <c r="E2382" t="str">
        <f>IFERROR(VLOOKUP(D2382,'Team Data'!C:AB,4,FALSE),"")</f>
        <v/>
      </c>
      <c r="F2382" t="str">
        <f>IFERROR(VLOOKUP(D2382,'Team Data'!C:AB,5,FALSE),"")</f>
        <v/>
      </c>
      <c r="G2382" t="str">
        <f>IFERROR(VLOOKUP('OB Format'!D2382,'Team Data'!C:AB,17,FALSE),"")</f>
        <v/>
      </c>
      <c r="H2382" t="str">
        <f>IFERROR(VLOOKUP(D2382,'Team Data'!C:AB,7,FALSE),"")</f>
        <v/>
      </c>
      <c r="I2382" t="str">
        <f>IFERROR(VLOOKUP(D2382,'Team Data'!C:AB,14,FALSE),"")</f>
        <v/>
      </c>
      <c r="J2382" t="str">
        <f>IFERROR(VLOOKUP(D2382,'Team Data'!C:AB,8,FALSE),"")</f>
        <v/>
      </c>
      <c r="K2382" t="str">
        <f>IFERROR(VLOOKUP(D2382,'Team Data'!C:AB,9,FALSE),"")</f>
        <v/>
      </c>
      <c r="L2382" t="str">
        <f>IFERROR(VLOOKUP(D2382,'Team Data'!C:AB,10,FALSE),"")</f>
        <v/>
      </c>
      <c r="M2382" t="str">
        <f t="shared" si="76"/>
        <v/>
      </c>
      <c r="N2382" t="str">
        <f>IFERROR(VLOOKUP(D2382,'Team Data'!C:AB,23,FALSE),"")</f>
        <v/>
      </c>
      <c r="O2382" t="str">
        <f>IFERROR(VLOOKUP(D2382,'Team Data'!C:AB,22,FALSE),"")</f>
        <v/>
      </c>
      <c r="P2382" t="str">
        <f t="shared" si="77"/>
        <v/>
      </c>
      <c r="Q2382" t="str">
        <f>IFERROR(VLOOKUP(D2382,'Team Data'!C:AB,15,FALSE),"")</f>
        <v/>
      </c>
      <c r="R2382" t="str">
        <f>IFERROR(VLOOKUP('OB Format'!D2382,'Team Data'!C:AB,24,FALSE),"")</f>
        <v/>
      </c>
      <c r="S2382" t="str">
        <f>IFERROR(VLOOKUP('OB Format'!D2382,'Team Data'!C:AC,25,FALSE),"")</f>
        <v/>
      </c>
    </row>
    <row r="2383" spans="5:19" x14ac:dyDescent="0.25">
      <c r="E2383" t="str">
        <f>IFERROR(VLOOKUP(D2383,'Team Data'!C:AB,4,FALSE),"")</f>
        <v/>
      </c>
      <c r="F2383" t="str">
        <f>IFERROR(VLOOKUP(D2383,'Team Data'!C:AB,5,FALSE),"")</f>
        <v/>
      </c>
      <c r="G2383" t="str">
        <f>IFERROR(VLOOKUP('OB Format'!D2383,'Team Data'!C:AB,17,FALSE),"")</f>
        <v/>
      </c>
      <c r="H2383" t="str">
        <f>IFERROR(VLOOKUP(D2383,'Team Data'!C:AB,7,FALSE),"")</f>
        <v/>
      </c>
      <c r="I2383" t="str">
        <f>IFERROR(VLOOKUP(D2383,'Team Data'!C:AB,14,FALSE),"")</f>
        <v/>
      </c>
      <c r="J2383" t="str">
        <f>IFERROR(VLOOKUP(D2383,'Team Data'!C:AB,8,FALSE),"")</f>
        <v/>
      </c>
      <c r="K2383" t="str">
        <f>IFERROR(VLOOKUP(D2383,'Team Data'!C:AB,9,FALSE),"")</f>
        <v/>
      </c>
      <c r="L2383" t="str">
        <f>IFERROR(VLOOKUP(D2383,'Team Data'!C:AB,10,FALSE),"")</f>
        <v/>
      </c>
      <c r="M2383" t="str">
        <f t="shared" si="76"/>
        <v/>
      </c>
      <c r="N2383" t="str">
        <f>IFERROR(VLOOKUP(D2383,'Team Data'!C:AB,23,FALSE),"")</f>
        <v/>
      </c>
      <c r="O2383" t="str">
        <f>IFERROR(VLOOKUP(D2383,'Team Data'!C:AB,22,FALSE),"")</f>
        <v/>
      </c>
      <c r="P2383" t="str">
        <f t="shared" si="77"/>
        <v/>
      </c>
      <c r="Q2383" t="str">
        <f>IFERROR(VLOOKUP(D2383,'Team Data'!C:AB,15,FALSE),"")</f>
        <v/>
      </c>
      <c r="R2383" t="str">
        <f>IFERROR(VLOOKUP('OB Format'!D2383,'Team Data'!C:AB,24,FALSE),"")</f>
        <v/>
      </c>
      <c r="S2383" t="str">
        <f>IFERROR(VLOOKUP('OB Format'!D2383,'Team Data'!C:AC,25,FALSE),"")</f>
        <v/>
      </c>
    </row>
    <row r="2384" spans="5:19" x14ac:dyDescent="0.25">
      <c r="E2384" t="str">
        <f>IFERROR(VLOOKUP(D2384,'Team Data'!C:AB,4,FALSE),"")</f>
        <v/>
      </c>
      <c r="F2384" t="str">
        <f>IFERROR(VLOOKUP(D2384,'Team Data'!C:AB,5,FALSE),"")</f>
        <v/>
      </c>
      <c r="G2384" t="str">
        <f>IFERROR(VLOOKUP('OB Format'!D2384,'Team Data'!C:AB,17,FALSE),"")</f>
        <v/>
      </c>
      <c r="H2384" t="str">
        <f>IFERROR(VLOOKUP(D2384,'Team Data'!C:AB,7,FALSE),"")</f>
        <v/>
      </c>
      <c r="I2384" t="str">
        <f>IFERROR(VLOOKUP(D2384,'Team Data'!C:AB,14,FALSE),"")</f>
        <v/>
      </c>
      <c r="J2384" t="str">
        <f>IFERROR(VLOOKUP(D2384,'Team Data'!C:AB,8,FALSE),"")</f>
        <v/>
      </c>
      <c r="K2384" t="str">
        <f>IFERROR(VLOOKUP(D2384,'Team Data'!C:AB,9,FALSE),"")</f>
        <v/>
      </c>
      <c r="L2384" t="str">
        <f>IFERROR(VLOOKUP(D2384,'Team Data'!C:AB,10,FALSE),"")</f>
        <v/>
      </c>
      <c r="M2384" t="str">
        <f t="shared" si="76"/>
        <v/>
      </c>
      <c r="N2384" t="str">
        <f>IFERROR(VLOOKUP(D2384,'Team Data'!C:AB,23,FALSE),"")</f>
        <v/>
      </c>
      <c r="O2384" t="str">
        <f>IFERROR(VLOOKUP(D2384,'Team Data'!C:AB,22,FALSE),"")</f>
        <v/>
      </c>
      <c r="P2384" t="str">
        <f t="shared" si="77"/>
        <v/>
      </c>
      <c r="Q2384" t="str">
        <f>IFERROR(VLOOKUP(D2384,'Team Data'!C:AB,15,FALSE),"")</f>
        <v/>
      </c>
      <c r="R2384" t="str">
        <f>IFERROR(VLOOKUP('OB Format'!D2384,'Team Data'!C:AB,24,FALSE),"")</f>
        <v/>
      </c>
      <c r="S2384" t="str">
        <f>IFERROR(VLOOKUP('OB Format'!D2384,'Team Data'!C:AC,25,FALSE),"")</f>
        <v/>
      </c>
    </row>
    <row r="2385" spans="5:19" x14ac:dyDescent="0.25">
      <c r="E2385" t="str">
        <f>IFERROR(VLOOKUP(D2385,'Team Data'!C:AB,4,FALSE),"")</f>
        <v/>
      </c>
      <c r="F2385" t="str">
        <f>IFERROR(VLOOKUP(D2385,'Team Data'!C:AB,5,FALSE),"")</f>
        <v/>
      </c>
      <c r="G2385" t="str">
        <f>IFERROR(VLOOKUP('OB Format'!D2385,'Team Data'!C:AB,17,FALSE),"")</f>
        <v/>
      </c>
      <c r="H2385" t="str">
        <f>IFERROR(VLOOKUP(D2385,'Team Data'!C:AB,7,FALSE),"")</f>
        <v/>
      </c>
      <c r="I2385" t="str">
        <f>IFERROR(VLOOKUP(D2385,'Team Data'!C:AB,14,FALSE),"")</f>
        <v/>
      </c>
      <c r="J2385" t="str">
        <f>IFERROR(VLOOKUP(D2385,'Team Data'!C:AB,8,FALSE),"")</f>
        <v/>
      </c>
      <c r="K2385" t="str">
        <f>IFERROR(VLOOKUP(D2385,'Team Data'!C:AB,9,FALSE),"")</f>
        <v/>
      </c>
      <c r="L2385" t="str">
        <f>IFERROR(VLOOKUP(D2385,'Team Data'!C:AB,10,FALSE),"")</f>
        <v/>
      </c>
      <c r="M2385" t="str">
        <f t="shared" si="76"/>
        <v/>
      </c>
      <c r="N2385" t="str">
        <f>IFERROR(VLOOKUP(D2385,'Team Data'!C:AB,23,FALSE),"")</f>
        <v/>
      </c>
      <c r="O2385" t="str">
        <f>IFERROR(VLOOKUP(D2385,'Team Data'!C:AB,22,FALSE),"")</f>
        <v/>
      </c>
      <c r="P2385" t="str">
        <f t="shared" si="77"/>
        <v/>
      </c>
      <c r="Q2385" t="str">
        <f>IFERROR(VLOOKUP(D2385,'Team Data'!C:AB,15,FALSE),"")</f>
        <v/>
      </c>
      <c r="R2385" t="str">
        <f>IFERROR(VLOOKUP('OB Format'!D2385,'Team Data'!C:AB,24,FALSE),"")</f>
        <v/>
      </c>
      <c r="S2385" t="str">
        <f>IFERROR(VLOOKUP('OB Format'!D2385,'Team Data'!C:AC,25,FALSE),"")</f>
        <v/>
      </c>
    </row>
    <row r="2386" spans="5:19" x14ac:dyDescent="0.25">
      <c r="E2386" t="str">
        <f>IFERROR(VLOOKUP(D2386,'Team Data'!C:AB,4,FALSE),"")</f>
        <v/>
      </c>
      <c r="F2386" t="str">
        <f>IFERROR(VLOOKUP(D2386,'Team Data'!C:AB,5,FALSE),"")</f>
        <v/>
      </c>
      <c r="G2386" t="str">
        <f>IFERROR(VLOOKUP('OB Format'!D2386,'Team Data'!C:AB,17,FALSE),"")</f>
        <v/>
      </c>
      <c r="H2386" t="str">
        <f>IFERROR(VLOOKUP(D2386,'Team Data'!C:AB,7,FALSE),"")</f>
        <v/>
      </c>
      <c r="I2386" t="str">
        <f>IFERROR(VLOOKUP(D2386,'Team Data'!C:AB,14,FALSE),"")</f>
        <v/>
      </c>
      <c r="J2386" t="str">
        <f>IFERROR(VLOOKUP(D2386,'Team Data'!C:AB,8,FALSE),"")</f>
        <v/>
      </c>
      <c r="K2386" t="str">
        <f>IFERROR(VLOOKUP(D2386,'Team Data'!C:AB,9,FALSE),"")</f>
        <v/>
      </c>
      <c r="L2386" t="str">
        <f>IFERROR(VLOOKUP(D2386,'Team Data'!C:AB,10,FALSE),"")</f>
        <v/>
      </c>
      <c r="M2386" t="str">
        <f t="shared" si="76"/>
        <v/>
      </c>
      <c r="N2386" t="str">
        <f>IFERROR(VLOOKUP(D2386,'Team Data'!C:AB,23,FALSE),"")</f>
        <v/>
      </c>
      <c r="O2386" t="str">
        <f>IFERROR(VLOOKUP(D2386,'Team Data'!C:AB,22,FALSE),"")</f>
        <v/>
      </c>
      <c r="P2386" t="str">
        <f t="shared" si="77"/>
        <v/>
      </c>
      <c r="Q2386" t="str">
        <f>IFERROR(VLOOKUP(D2386,'Team Data'!C:AB,15,FALSE),"")</f>
        <v/>
      </c>
      <c r="R2386" t="str">
        <f>IFERROR(VLOOKUP('OB Format'!D2386,'Team Data'!C:AB,24,FALSE),"")</f>
        <v/>
      </c>
      <c r="S2386" t="str">
        <f>IFERROR(VLOOKUP('OB Format'!D2386,'Team Data'!C:AC,25,FALSE),"")</f>
        <v/>
      </c>
    </row>
    <row r="2387" spans="5:19" x14ac:dyDescent="0.25">
      <c r="E2387" t="str">
        <f>IFERROR(VLOOKUP(D2387,'Team Data'!C:AB,4,FALSE),"")</f>
        <v/>
      </c>
      <c r="F2387" t="str">
        <f>IFERROR(VLOOKUP(D2387,'Team Data'!C:AB,5,FALSE),"")</f>
        <v/>
      </c>
      <c r="G2387" t="str">
        <f>IFERROR(VLOOKUP('OB Format'!D2387,'Team Data'!C:AB,17,FALSE),"")</f>
        <v/>
      </c>
      <c r="H2387" t="str">
        <f>IFERROR(VLOOKUP(D2387,'Team Data'!C:AB,7,FALSE),"")</f>
        <v/>
      </c>
      <c r="I2387" t="str">
        <f>IFERROR(VLOOKUP(D2387,'Team Data'!C:AB,14,FALSE),"")</f>
        <v/>
      </c>
      <c r="J2387" t="str">
        <f>IFERROR(VLOOKUP(D2387,'Team Data'!C:AB,8,FALSE),"")</f>
        <v/>
      </c>
      <c r="K2387" t="str">
        <f>IFERROR(VLOOKUP(D2387,'Team Data'!C:AB,9,FALSE),"")</f>
        <v/>
      </c>
      <c r="L2387" t="str">
        <f>IFERROR(VLOOKUP(D2387,'Team Data'!C:AB,10,FALSE),"")</f>
        <v/>
      </c>
      <c r="M2387" t="str">
        <f t="shared" si="76"/>
        <v/>
      </c>
      <c r="N2387" t="str">
        <f>IFERROR(VLOOKUP(D2387,'Team Data'!C:AB,23,FALSE),"")</f>
        <v/>
      </c>
      <c r="O2387" t="str">
        <f>IFERROR(VLOOKUP(D2387,'Team Data'!C:AB,22,FALSE),"")</f>
        <v/>
      </c>
      <c r="P2387" t="str">
        <f t="shared" si="77"/>
        <v/>
      </c>
      <c r="Q2387" t="str">
        <f>IFERROR(VLOOKUP(D2387,'Team Data'!C:AB,15,FALSE),"")</f>
        <v/>
      </c>
      <c r="R2387" t="str">
        <f>IFERROR(VLOOKUP('OB Format'!D2387,'Team Data'!C:AB,24,FALSE),"")</f>
        <v/>
      </c>
      <c r="S2387" t="str">
        <f>IFERROR(VLOOKUP('OB Format'!D2387,'Team Data'!C:AC,25,FALSE),"")</f>
        <v/>
      </c>
    </row>
    <row r="2388" spans="5:19" x14ac:dyDescent="0.25">
      <c r="E2388" t="str">
        <f>IFERROR(VLOOKUP(D2388,'Team Data'!C:AB,4,FALSE),"")</f>
        <v/>
      </c>
      <c r="F2388" t="str">
        <f>IFERROR(VLOOKUP(D2388,'Team Data'!C:AB,5,FALSE),"")</f>
        <v/>
      </c>
      <c r="G2388" t="str">
        <f>IFERROR(VLOOKUP('OB Format'!D2388,'Team Data'!C:AB,17,FALSE),"")</f>
        <v/>
      </c>
      <c r="H2388" t="str">
        <f>IFERROR(VLOOKUP(D2388,'Team Data'!C:AB,7,FALSE),"")</f>
        <v/>
      </c>
      <c r="I2388" t="str">
        <f>IFERROR(VLOOKUP(D2388,'Team Data'!C:AB,14,FALSE),"")</f>
        <v/>
      </c>
      <c r="J2388" t="str">
        <f>IFERROR(VLOOKUP(D2388,'Team Data'!C:AB,8,FALSE),"")</f>
        <v/>
      </c>
      <c r="K2388" t="str">
        <f>IFERROR(VLOOKUP(D2388,'Team Data'!C:AB,9,FALSE),"")</f>
        <v/>
      </c>
      <c r="L2388" t="str">
        <f>IFERROR(VLOOKUP(D2388,'Team Data'!C:AB,10,FALSE),"")</f>
        <v/>
      </c>
      <c r="M2388" t="str">
        <f t="shared" si="76"/>
        <v/>
      </c>
      <c r="N2388" t="str">
        <f>IFERROR(VLOOKUP(D2388,'Team Data'!C:AB,23,FALSE),"")</f>
        <v/>
      </c>
      <c r="O2388" t="str">
        <f>IFERROR(VLOOKUP(D2388,'Team Data'!C:AB,22,FALSE),"")</f>
        <v/>
      </c>
      <c r="P2388" t="str">
        <f t="shared" si="77"/>
        <v/>
      </c>
      <c r="Q2388" t="str">
        <f>IFERROR(VLOOKUP(D2388,'Team Data'!C:AB,15,FALSE),"")</f>
        <v/>
      </c>
      <c r="R2388" t="str">
        <f>IFERROR(VLOOKUP('OB Format'!D2388,'Team Data'!C:AB,24,FALSE),"")</f>
        <v/>
      </c>
      <c r="S2388" t="str">
        <f>IFERROR(VLOOKUP('OB Format'!D2388,'Team Data'!C:AC,25,FALSE),"")</f>
        <v/>
      </c>
    </row>
    <row r="2389" spans="5:19" x14ac:dyDescent="0.25">
      <c r="E2389" t="str">
        <f>IFERROR(VLOOKUP(D2389,'Team Data'!C:AB,4,FALSE),"")</f>
        <v/>
      </c>
      <c r="F2389" t="str">
        <f>IFERROR(VLOOKUP(D2389,'Team Data'!C:AB,5,FALSE),"")</f>
        <v/>
      </c>
      <c r="G2389" t="str">
        <f>IFERROR(VLOOKUP('OB Format'!D2389,'Team Data'!C:AB,17,FALSE),"")</f>
        <v/>
      </c>
      <c r="H2389" t="str">
        <f>IFERROR(VLOOKUP(D2389,'Team Data'!C:AB,7,FALSE),"")</f>
        <v/>
      </c>
      <c r="I2389" t="str">
        <f>IFERROR(VLOOKUP(D2389,'Team Data'!C:AB,14,FALSE),"")</f>
        <v/>
      </c>
      <c r="J2389" t="str">
        <f>IFERROR(VLOOKUP(D2389,'Team Data'!C:AB,8,FALSE),"")</f>
        <v/>
      </c>
      <c r="K2389" t="str">
        <f>IFERROR(VLOOKUP(D2389,'Team Data'!C:AB,9,FALSE),"")</f>
        <v/>
      </c>
      <c r="L2389" t="str">
        <f>IFERROR(VLOOKUP(D2389,'Team Data'!C:AB,10,FALSE),"")</f>
        <v/>
      </c>
      <c r="M2389" t="str">
        <f t="shared" si="76"/>
        <v/>
      </c>
      <c r="N2389" t="str">
        <f>IFERROR(VLOOKUP(D2389,'Team Data'!C:AB,23,FALSE),"")</f>
        <v/>
      </c>
      <c r="O2389" t="str">
        <f>IFERROR(VLOOKUP(D2389,'Team Data'!C:AB,22,FALSE),"")</f>
        <v/>
      </c>
      <c r="P2389" t="str">
        <f t="shared" si="77"/>
        <v/>
      </c>
      <c r="Q2389" t="str">
        <f>IFERROR(VLOOKUP(D2389,'Team Data'!C:AB,15,FALSE),"")</f>
        <v/>
      </c>
      <c r="R2389" t="str">
        <f>IFERROR(VLOOKUP('OB Format'!D2389,'Team Data'!C:AB,24,FALSE),"")</f>
        <v/>
      </c>
      <c r="S2389" t="str">
        <f>IFERROR(VLOOKUP('OB Format'!D2389,'Team Data'!C:AC,25,FALSE),"")</f>
        <v/>
      </c>
    </row>
    <row r="2390" spans="5:19" x14ac:dyDescent="0.25">
      <c r="E2390" t="str">
        <f>IFERROR(VLOOKUP(D2390,'Team Data'!C:AB,4,FALSE),"")</f>
        <v/>
      </c>
      <c r="F2390" t="str">
        <f>IFERROR(VLOOKUP(D2390,'Team Data'!C:AB,5,FALSE),"")</f>
        <v/>
      </c>
      <c r="G2390" t="str">
        <f>IFERROR(VLOOKUP('OB Format'!D2390,'Team Data'!C:AB,17,FALSE),"")</f>
        <v/>
      </c>
      <c r="H2390" t="str">
        <f>IFERROR(VLOOKUP(D2390,'Team Data'!C:AB,7,FALSE),"")</f>
        <v/>
      </c>
      <c r="I2390" t="str">
        <f>IFERROR(VLOOKUP(D2390,'Team Data'!C:AB,14,FALSE),"")</f>
        <v/>
      </c>
      <c r="J2390" t="str">
        <f>IFERROR(VLOOKUP(D2390,'Team Data'!C:AB,8,FALSE),"")</f>
        <v/>
      </c>
      <c r="K2390" t="str">
        <f>IFERROR(VLOOKUP(D2390,'Team Data'!C:AB,9,FALSE),"")</f>
        <v/>
      </c>
      <c r="L2390" t="str">
        <f>IFERROR(VLOOKUP(D2390,'Team Data'!C:AB,10,FALSE),"")</f>
        <v/>
      </c>
      <c r="M2390" t="str">
        <f t="shared" si="76"/>
        <v/>
      </c>
      <c r="N2390" t="str">
        <f>IFERROR(VLOOKUP(D2390,'Team Data'!C:AB,23,FALSE),"")</f>
        <v/>
      </c>
      <c r="O2390" t="str">
        <f>IFERROR(VLOOKUP(D2390,'Team Data'!C:AB,22,FALSE),"")</f>
        <v/>
      </c>
      <c r="P2390" t="str">
        <f t="shared" si="77"/>
        <v/>
      </c>
      <c r="Q2390" t="str">
        <f>IFERROR(VLOOKUP(D2390,'Team Data'!C:AB,15,FALSE),"")</f>
        <v/>
      </c>
      <c r="R2390" t="str">
        <f>IFERROR(VLOOKUP('OB Format'!D2390,'Team Data'!C:AB,24,FALSE),"")</f>
        <v/>
      </c>
      <c r="S2390" t="str">
        <f>IFERROR(VLOOKUP('OB Format'!D2390,'Team Data'!C:AC,25,FALSE),"")</f>
        <v/>
      </c>
    </row>
    <row r="2391" spans="5:19" x14ac:dyDescent="0.25">
      <c r="E2391" t="str">
        <f>IFERROR(VLOOKUP(D2391,'Team Data'!C:AB,4,FALSE),"")</f>
        <v/>
      </c>
      <c r="F2391" t="str">
        <f>IFERROR(VLOOKUP(D2391,'Team Data'!C:AB,5,FALSE),"")</f>
        <v/>
      </c>
      <c r="G2391" t="str">
        <f>IFERROR(VLOOKUP('OB Format'!D2391,'Team Data'!C:AB,17,FALSE),"")</f>
        <v/>
      </c>
      <c r="H2391" t="str">
        <f>IFERROR(VLOOKUP(D2391,'Team Data'!C:AB,7,FALSE),"")</f>
        <v/>
      </c>
      <c r="I2391" t="str">
        <f>IFERROR(VLOOKUP(D2391,'Team Data'!C:AB,14,FALSE),"")</f>
        <v/>
      </c>
      <c r="J2391" t="str">
        <f>IFERROR(VLOOKUP(D2391,'Team Data'!C:AB,8,FALSE),"")</f>
        <v/>
      </c>
      <c r="K2391" t="str">
        <f>IFERROR(VLOOKUP(D2391,'Team Data'!C:AB,9,FALSE),"")</f>
        <v/>
      </c>
      <c r="L2391" t="str">
        <f>IFERROR(VLOOKUP(D2391,'Team Data'!C:AB,10,FALSE),"")</f>
        <v/>
      </c>
      <c r="M2391" t="str">
        <f t="shared" si="76"/>
        <v/>
      </c>
      <c r="N2391" t="str">
        <f>IFERROR(VLOOKUP(D2391,'Team Data'!C:AB,23,FALSE),"")</f>
        <v/>
      </c>
      <c r="O2391" t="str">
        <f>IFERROR(VLOOKUP(D2391,'Team Data'!C:AB,22,FALSE),"")</f>
        <v/>
      </c>
      <c r="P2391" t="str">
        <f t="shared" si="77"/>
        <v/>
      </c>
      <c r="Q2391" t="str">
        <f>IFERROR(VLOOKUP(D2391,'Team Data'!C:AB,15,FALSE),"")</f>
        <v/>
      </c>
      <c r="R2391" t="str">
        <f>IFERROR(VLOOKUP('OB Format'!D2391,'Team Data'!C:AB,24,FALSE),"")</f>
        <v/>
      </c>
      <c r="S2391" t="str">
        <f>IFERROR(VLOOKUP('OB Format'!D2391,'Team Data'!C:AC,25,FALSE),"")</f>
        <v/>
      </c>
    </row>
    <row r="2392" spans="5:19" x14ac:dyDescent="0.25">
      <c r="E2392" t="str">
        <f>IFERROR(VLOOKUP(D2392,'Team Data'!C:AB,4,FALSE),"")</f>
        <v/>
      </c>
      <c r="F2392" t="str">
        <f>IFERROR(VLOOKUP(D2392,'Team Data'!C:AB,5,FALSE),"")</f>
        <v/>
      </c>
      <c r="G2392" t="str">
        <f>IFERROR(VLOOKUP('OB Format'!D2392,'Team Data'!C:AB,17,FALSE),"")</f>
        <v/>
      </c>
      <c r="H2392" t="str">
        <f>IFERROR(VLOOKUP(D2392,'Team Data'!C:AB,7,FALSE),"")</f>
        <v/>
      </c>
      <c r="I2392" t="str">
        <f>IFERROR(VLOOKUP(D2392,'Team Data'!C:AB,14,FALSE),"")</f>
        <v/>
      </c>
      <c r="J2392" t="str">
        <f>IFERROR(VLOOKUP(D2392,'Team Data'!C:AB,8,FALSE),"")</f>
        <v/>
      </c>
      <c r="K2392" t="str">
        <f>IFERROR(VLOOKUP(D2392,'Team Data'!C:AB,9,FALSE),"")</f>
        <v/>
      </c>
      <c r="L2392" t="str">
        <f>IFERROR(VLOOKUP(D2392,'Team Data'!C:AB,10,FALSE),"")</f>
        <v/>
      </c>
      <c r="M2392" t="str">
        <f t="shared" si="76"/>
        <v/>
      </c>
      <c r="N2392" t="str">
        <f>IFERROR(VLOOKUP(D2392,'Team Data'!C:AB,23,FALSE),"")</f>
        <v/>
      </c>
      <c r="O2392" t="str">
        <f>IFERROR(VLOOKUP(D2392,'Team Data'!C:AB,22,FALSE),"")</f>
        <v/>
      </c>
      <c r="P2392" t="str">
        <f t="shared" si="77"/>
        <v/>
      </c>
      <c r="Q2392" t="str">
        <f>IFERROR(VLOOKUP(D2392,'Team Data'!C:AB,15,FALSE),"")</f>
        <v/>
      </c>
      <c r="R2392" t="str">
        <f>IFERROR(VLOOKUP('OB Format'!D2392,'Team Data'!C:AB,24,FALSE),"")</f>
        <v/>
      </c>
      <c r="S2392" t="str">
        <f>IFERROR(VLOOKUP('OB Format'!D2392,'Team Data'!C:AC,25,FALSE),"")</f>
        <v/>
      </c>
    </row>
    <row r="2393" spans="5:19" x14ac:dyDescent="0.25">
      <c r="E2393" t="str">
        <f>IFERROR(VLOOKUP(D2393,'Team Data'!C:AB,4,FALSE),"")</f>
        <v/>
      </c>
      <c r="F2393" t="str">
        <f>IFERROR(VLOOKUP(D2393,'Team Data'!C:AB,5,FALSE),"")</f>
        <v/>
      </c>
      <c r="G2393" t="str">
        <f>IFERROR(VLOOKUP('OB Format'!D2393,'Team Data'!C:AB,17,FALSE),"")</f>
        <v/>
      </c>
      <c r="H2393" t="str">
        <f>IFERROR(VLOOKUP(D2393,'Team Data'!C:AB,7,FALSE),"")</f>
        <v/>
      </c>
      <c r="I2393" t="str">
        <f>IFERROR(VLOOKUP(D2393,'Team Data'!C:AB,14,FALSE),"")</f>
        <v/>
      </c>
      <c r="J2393" t="str">
        <f>IFERROR(VLOOKUP(D2393,'Team Data'!C:AB,8,FALSE),"")</f>
        <v/>
      </c>
      <c r="K2393" t="str">
        <f>IFERROR(VLOOKUP(D2393,'Team Data'!C:AB,9,FALSE),"")</f>
        <v/>
      </c>
      <c r="L2393" t="str">
        <f>IFERROR(VLOOKUP(D2393,'Team Data'!C:AB,10,FALSE),"")</f>
        <v/>
      </c>
      <c r="M2393" t="str">
        <f t="shared" si="76"/>
        <v/>
      </c>
      <c r="N2393" t="str">
        <f>IFERROR(VLOOKUP(D2393,'Team Data'!C:AB,23,FALSE),"")</f>
        <v/>
      </c>
      <c r="O2393" t="str">
        <f>IFERROR(VLOOKUP(D2393,'Team Data'!C:AB,22,FALSE),"")</f>
        <v/>
      </c>
      <c r="P2393" t="str">
        <f t="shared" si="77"/>
        <v/>
      </c>
      <c r="Q2393" t="str">
        <f>IFERROR(VLOOKUP(D2393,'Team Data'!C:AB,15,FALSE),"")</f>
        <v/>
      </c>
      <c r="R2393" t="str">
        <f>IFERROR(VLOOKUP('OB Format'!D2393,'Team Data'!C:AB,24,FALSE),"")</f>
        <v/>
      </c>
      <c r="S2393" t="str">
        <f>IFERROR(VLOOKUP('OB Format'!D2393,'Team Data'!C:AC,25,FALSE),"")</f>
        <v/>
      </c>
    </row>
    <row r="2394" spans="5:19" x14ac:dyDescent="0.25">
      <c r="E2394" t="str">
        <f>IFERROR(VLOOKUP(D2394,'Team Data'!C:AB,4,FALSE),"")</f>
        <v/>
      </c>
      <c r="F2394" t="str">
        <f>IFERROR(VLOOKUP(D2394,'Team Data'!C:AB,5,FALSE),"")</f>
        <v/>
      </c>
      <c r="G2394" t="str">
        <f>IFERROR(VLOOKUP('OB Format'!D2394,'Team Data'!C:AB,17,FALSE),"")</f>
        <v/>
      </c>
      <c r="H2394" t="str">
        <f>IFERROR(VLOOKUP(D2394,'Team Data'!C:AB,7,FALSE),"")</f>
        <v/>
      </c>
      <c r="I2394" t="str">
        <f>IFERROR(VLOOKUP(D2394,'Team Data'!C:AB,14,FALSE),"")</f>
        <v/>
      </c>
      <c r="J2394" t="str">
        <f>IFERROR(VLOOKUP(D2394,'Team Data'!C:AB,8,FALSE),"")</f>
        <v/>
      </c>
      <c r="K2394" t="str">
        <f>IFERROR(VLOOKUP(D2394,'Team Data'!C:AB,9,FALSE),"")</f>
        <v/>
      </c>
      <c r="L2394" t="str">
        <f>IFERROR(VLOOKUP(D2394,'Team Data'!C:AB,10,FALSE),"")</f>
        <v/>
      </c>
      <c r="M2394" t="str">
        <f t="shared" si="76"/>
        <v/>
      </c>
      <c r="N2394" t="str">
        <f>IFERROR(VLOOKUP(D2394,'Team Data'!C:AB,23,FALSE),"")</f>
        <v/>
      </c>
      <c r="O2394" t="str">
        <f>IFERROR(VLOOKUP(D2394,'Team Data'!C:AB,22,FALSE),"")</f>
        <v/>
      </c>
      <c r="P2394" t="str">
        <f t="shared" si="77"/>
        <v/>
      </c>
      <c r="Q2394" t="str">
        <f>IFERROR(VLOOKUP(D2394,'Team Data'!C:AB,15,FALSE),"")</f>
        <v/>
      </c>
      <c r="R2394" t="str">
        <f>IFERROR(VLOOKUP('OB Format'!D2394,'Team Data'!C:AB,24,FALSE),"")</f>
        <v/>
      </c>
      <c r="S2394" t="str">
        <f>IFERROR(VLOOKUP('OB Format'!D2394,'Team Data'!C:AC,25,FALSE),"")</f>
        <v/>
      </c>
    </row>
    <row r="2395" spans="5:19" x14ac:dyDescent="0.25">
      <c r="E2395" t="str">
        <f>IFERROR(VLOOKUP(D2395,'Team Data'!C:AB,4,FALSE),"")</f>
        <v/>
      </c>
      <c r="F2395" t="str">
        <f>IFERROR(VLOOKUP(D2395,'Team Data'!C:AB,5,FALSE),"")</f>
        <v/>
      </c>
      <c r="G2395" t="str">
        <f>IFERROR(VLOOKUP('OB Format'!D2395,'Team Data'!C:AB,17,FALSE),"")</f>
        <v/>
      </c>
      <c r="H2395" t="str">
        <f>IFERROR(VLOOKUP(D2395,'Team Data'!C:AB,7,FALSE),"")</f>
        <v/>
      </c>
      <c r="I2395" t="str">
        <f>IFERROR(VLOOKUP(D2395,'Team Data'!C:AB,14,FALSE),"")</f>
        <v/>
      </c>
      <c r="J2395" t="str">
        <f>IFERROR(VLOOKUP(D2395,'Team Data'!C:AB,8,FALSE),"")</f>
        <v/>
      </c>
      <c r="K2395" t="str">
        <f>IFERROR(VLOOKUP(D2395,'Team Data'!C:AB,9,FALSE),"")</f>
        <v/>
      </c>
      <c r="L2395" t="str">
        <f>IFERROR(VLOOKUP(D2395,'Team Data'!C:AB,10,FALSE),"")</f>
        <v/>
      </c>
      <c r="M2395" t="str">
        <f t="shared" si="76"/>
        <v/>
      </c>
      <c r="N2395" t="str">
        <f>IFERROR(VLOOKUP(D2395,'Team Data'!C:AB,23,FALSE),"")</f>
        <v/>
      </c>
      <c r="O2395" t="str">
        <f>IFERROR(VLOOKUP(D2395,'Team Data'!C:AB,22,FALSE),"")</f>
        <v/>
      </c>
      <c r="P2395" t="str">
        <f t="shared" si="77"/>
        <v/>
      </c>
      <c r="Q2395" t="str">
        <f>IFERROR(VLOOKUP(D2395,'Team Data'!C:AB,15,FALSE),"")</f>
        <v/>
      </c>
      <c r="R2395" t="str">
        <f>IFERROR(VLOOKUP('OB Format'!D2395,'Team Data'!C:AB,24,FALSE),"")</f>
        <v/>
      </c>
      <c r="S2395" t="str">
        <f>IFERROR(VLOOKUP('OB Format'!D2395,'Team Data'!C:AC,25,FALSE),"")</f>
        <v/>
      </c>
    </row>
    <row r="2396" spans="5:19" x14ac:dyDescent="0.25">
      <c r="E2396" t="str">
        <f>IFERROR(VLOOKUP(D2396,'Team Data'!C:AB,4,FALSE),"")</f>
        <v/>
      </c>
      <c r="F2396" t="str">
        <f>IFERROR(VLOOKUP(D2396,'Team Data'!C:AB,5,FALSE),"")</f>
        <v/>
      </c>
      <c r="G2396" t="str">
        <f>IFERROR(VLOOKUP('OB Format'!D2396,'Team Data'!C:AB,17,FALSE),"")</f>
        <v/>
      </c>
      <c r="H2396" t="str">
        <f>IFERROR(VLOOKUP(D2396,'Team Data'!C:AB,7,FALSE),"")</f>
        <v/>
      </c>
      <c r="I2396" t="str">
        <f>IFERROR(VLOOKUP(D2396,'Team Data'!C:AB,14,FALSE),"")</f>
        <v/>
      </c>
      <c r="J2396" t="str">
        <f>IFERROR(VLOOKUP(D2396,'Team Data'!C:AB,8,FALSE),"")</f>
        <v/>
      </c>
      <c r="K2396" t="str">
        <f>IFERROR(VLOOKUP(D2396,'Team Data'!C:AB,9,FALSE),"")</f>
        <v/>
      </c>
      <c r="L2396" t="str">
        <f>IFERROR(VLOOKUP(D2396,'Team Data'!C:AB,10,FALSE),"")</f>
        <v/>
      </c>
      <c r="M2396" t="str">
        <f t="shared" si="76"/>
        <v/>
      </c>
      <c r="N2396" t="str">
        <f>IFERROR(VLOOKUP(D2396,'Team Data'!C:AB,23,FALSE),"")</f>
        <v/>
      </c>
      <c r="O2396" t="str">
        <f>IFERROR(VLOOKUP(D2396,'Team Data'!C:AB,22,FALSE),"")</f>
        <v/>
      </c>
      <c r="P2396" t="str">
        <f t="shared" si="77"/>
        <v/>
      </c>
      <c r="Q2396" t="str">
        <f>IFERROR(VLOOKUP(D2396,'Team Data'!C:AB,15,FALSE),"")</f>
        <v/>
      </c>
      <c r="R2396" t="str">
        <f>IFERROR(VLOOKUP('OB Format'!D2396,'Team Data'!C:AB,24,FALSE),"")</f>
        <v/>
      </c>
      <c r="S2396" t="str">
        <f>IFERROR(VLOOKUP('OB Format'!D2396,'Team Data'!C:AC,25,FALSE),"")</f>
        <v/>
      </c>
    </row>
    <row r="2397" spans="5:19" x14ac:dyDescent="0.25">
      <c r="E2397" t="str">
        <f>IFERROR(VLOOKUP(D2397,'Team Data'!C:AB,4,FALSE),"")</f>
        <v/>
      </c>
      <c r="F2397" t="str">
        <f>IFERROR(VLOOKUP(D2397,'Team Data'!C:AB,5,FALSE),"")</f>
        <v/>
      </c>
      <c r="G2397" t="str">
        <f>IFERROR(VLOOKUP('OB Format'!D2397,'Team Data'!C:AB,17,FALSE),"")</f>
        <v/>
      </c>
      <c r="H2397" t="str">
        <f>IFERROR(VLOOKUP(D2397,'Team Data'!C:AB,7,FALSE),"")</f>
        <v/>
      </c>
      <c r="I2397" t="str">
        <f>IFERROR(VLOOKUP(D2397,'Team Data'!C:AB,14,FALSE),"")</f>
        <v/>
      </c>
      <c r="J2397" t="str">
        <f>IFERROR(VLOOKUP(D2397,'Team Data'!C:AB,8,FALSE),"")</f>
        <v/>
      </c>
      <c r="K2397" t="str">
        <f>IFERROR(VLOOKUP(D2397,'Team Data'!C:AB,9,FALSE),"")</f>
        <v/>
      </c>
      <c r="L2397" t="str">
        <f>IFERROR(VLOOKUP(D2397,'Team Data'!C:AB,10,FALSE),"")</f>
        <v/>
      </c>
      <c r="M2397" t="str">
        <f t="shared" si="76"/>
        <v/>
      </c>
      <c r="N2397" t="str">
        <f>IFERROR(VLOOKUP(D2397,'Team Data'!C:AB,23,FALSE),"")</f>
        <v/>
      </c>
      <c r="O2397" t="str">
        <f>IFERROR(VLOOKUP(D2397,'Team Data'!C:AB,22,FALSE),"")</f>
        <v/>
      </c>
      <c r="P2397" t="str">
        <f t="shared" si="77"/>
        <v/>
      </c>
      <c r="Q2397" t="str">
        <f>IFERROR(VLOOKUP(D2397,'Team Data'!C:AB,15,FALSE),"")</f>
        <v/>
      </c>
      <c r="R2397" t="str">
        <f>IFERROR(VLOOKUP('OB Format'!D2397,'Team Data'!C:AB,24,FALSE),"")</f>
        <v/>
      </c>
      <c r="S2397" t="str">
        <f>IFERROR(VLOOKUP('OB Format'!D2397,'Team Data'!C:AC,25,FALSE),"")</f>
        <v/>
      </c>
    </row>
    <row r="2398" spans="5:19" x14ac:dyDescent="0.25">
      <c r="E2398" t="str">
        <f>IFERROR(VLOOKUP(D2398,'Team Data'!C:AB,4,FALSE),"")</f>
        <v/>
      </c>
      <c r="F2398" t="str">
        <f>IFERROR(VLOOKUP(D2398,'Team Data'!C:AB,5,FALSE),"")</f>
        <v/>
      </c>
      <c r="G2398" t="str">
        <f>IFERROR(VLOOKUP('OB Format'!D2398,'Team Data'!C:AB,17,FALSE),"")</f>
        <v/>
      </c>
      <c r="H2398" t="str">
        <f>IFERROR(VLOOKUP(D2398,'Team Data'!C:AB,7,FALSE),"")</f>
        <v/>
      </c>
      <c r="I2398" t="str">
        <f>IFERROR(VLOOKUP(D2398,'Team Data'!C:AB,14,FALSE),"")</f>
        <v/>
      </c>
      <c r="J2398" t="str">
        <f>IFERROR(VLOOKUP(D2398,'Team Data'!C:AB,8,FALSE),"")</f>
        <v/>
      </c>
      <c r="K2398" t="str">
        <f>IFERROR(VLOOKUP(D2398,'Team Data'!C:AB,9,FALSE),"")</f>
        <v/>
      </c>
      <c r="L2398" t="str">
        <f>IFERROR(VLOOKUP(D2398,'Team Data'!C:AB,10,FALSE),"")</f>
        <v/>
      </c>
      <c r="M2398" t="str">
        <f t="shared" si="76"/>
        <v/>
      </c>
      <c r="N2398" t="str">
        <f>IFERROR(VLOOKUP(D2398,'Team Data'!C:AB,23,FALSE),"")</f>
        <v/>
      </c>
      <c r="O2398" t="str">
        <f>IFERROR(VLOOKUP(D2398,'Team Data'!C:AB,22,FALSE),"")</f>
        <v/>
      </c>
      <c r="P2398" t="str">
        <f t="shared" si="77"/>
        <v/>
      </c>
      <c r="Q2398" t="str">
        <f>IFERROR(VLOOKUP(D2398,'Team Data'!C:AB,15,FALSE),"")</f>
        <v/>
      </c>
      <c r="R2398" t="str">
        <f>IFERROR(VLOOKUP('OB Format'!D2398,'Team Data'!C:AB,24,FALSE),"")</f>
        <v/>
      </c>
      <c r="S2398" t="str">
        <f>IFERROR(VLOOKUP('OB Format'!D2398,'Team Data'!C:AC,25,FALSE),"")</f>
        <v/>
      </c>
    </row>
    <row r="2399" spans="5:19" x14ac:dyDescent="0.25">
      <c r="E2399" t="str">
        <f>IFERROR(VLOOKUP(D2399,'Team Data'!C:AB,4,FALSE),"")</f>
        <v/>
      </c>
      <c r="F2399" t="str">
        <f>IFERROR(VLOOKUP(D2399,'Team Data'!C:AB,5,FALSE),"")</f>
        <v/>
      </c>
      <c r="G2399" t="str">
        <f>IFERROR(VLOOKUP('OB Format'!D2399,'Team Data'!C:AB,17,FALSE),"")</f>
        <v/>
      </c>
      <c r="H2399" t="str">
        <f>IFERROR(VLOOKUP(D2399,'Team Data'!C:AB,7,FALSE),"")</f>
        <v/>
      </c>
      <c r="I2399" t="str">
        <f>IFERROR(VLOOKUP(D2399,'Team Data'!C:AB,14,FALSE),"")</f>
        <v/>
      </c>
      <c r="J2399" t="str">
        <f>IFERROR(VLOOKUP(D2399,'Team Data'!C:AB,8,FALSE),"")</f>
        <v/>
      </c>
      <c r="K2399" t="str">
        <f>IFERROR(VLOOKUP(D2399,'Team Data'!C:AB,9,FALSE),"")</f>
        <v/>
      </c>
      <c r="L2399" t="str">
        <f>IFERROR(VLOOKUP(D2399,'Team Data'!C:AB,10,FALSE),"")</f>
        <v/>
      </c>
      <c r="M2399" t="str">
        <f t="shared" si="76"/>
        <v/>
      </c>
      <c r="N2399" t="str">
        <f>IFERROR(VLOOKUP(D2399,'Team Data'!C:AB,23,FALSE),"")</f>
        <v/>
      </c>
      <c r="O2399" t="str">
        <f>IFERROR(VLOOKUP(D2399,'Team Data'!C:AB,22,FALSE),"")</f>
        <v/>
      </c>
      <c r="P2399" t="str">
        <f t="shared" si="77"/>
        <v/>
      </c>
      <c r="Q2399" t="str">
        <f>IFERROR(VLOOKUP(D2399,'Team Data'!C:AB,15,FALSE),"")</f>
        <v/>
      </c>
      <c r="R2399" t="str">
        <f>IFERROR(VLOOKUP('OB Format'!D2399,'Team Data'!C:AB,24,FALSE),"")</f>
        <v/>
      </c>
      <c r="S2399" t="str">
        <f>IFERROR(VLOOKUP('OB Format'!D2399,'Team Data'!C:AC,25,FALSE),"")</f>
        <v/>
      </c>
    </row>
    <row r="2400" spans="5:19" x14ac:dyDescent="0.25">
      <c r="E2400" t="str">
        <f>IFERROR(VLOOKUP(D2400,'Team Data'!C:AB,4,FALSE),"")</f>
        <v/>
      </c>
      <c r="F2400" t="str">
        <f>IFERROR(VLOOKUP(D2400,'Team Data'!C:AB,5,FALSE),"")</f>
        <v/>
      </c>
      <c r="G2400" t="str">
        <f>IFERROR(VLOOKUP('OB Format'!D2400,'Team Data'!C:AB,17,FALSE),"")</f>
        <v/>
      </c>
      <c r="H2400" t="str">
        <f>IFERROR(VLOOKUP(D2400,'Team Data'!C:AB,7,FALSE),"")</f>
        <v/>
      </c>
      <c r="I2400" t="str">
        <f>IFERROR(VLOOKUP(D2400,'Team Data'!C:AB,14,FALSE),"")</f>
        <v/>
      </c>
      <c r="J2400" t="str">
        <f>IFERROR(VLOOKUP(D2400,'Team Data'!C:AB,8,FALSE),"")</f>
        <v/>
      </c>
      <c r="K2400" t="str">
        <f>IFERROR(VLOOKUP(D2400,'Team Data'!C:AB,9,FALSE),"")</f>
        <v/>
      </c>
      <c r="L2400" t="str">
        <f>IFERROR(VLOOKUP(D2400,'Team Data'!C:AB,10,FALSE),"")</f>
        <v/>
      </c>
      <c r="M2400" t="str">
        <f t="shared" si="76"/>
        <v/>
      </c>
      <c r="N2400" t="str">
        <f>IFERROR(VLOOKUP(D2400,'Team Data'!C:AB,23,FALSE),"")</f>
        <v/>
      </c>
      <c r="O2400" t="str">
        <f>IFERROR(VLOOKUP(D2400,'Team Data'!C:AB,22,FALSE),"")</f>
        <v/>
      </c>
      <c r="P2400" t="str">
        <f t="shared" si="77"/>
        <v/>
      </c>
      <c r="Q2400" t="str">
        <f>IFERROR(VLOOKUP(D2400,'Team Data'!C:AB,15,FALSE),"")</f>
        <v/>
      </c>
      <c r="R2400" t="str">
        <f>IFERROR(VLOOKUP('OB Format'!D2400,'Team Data'!C:AB,24,FALSE),"")</f>
        <v/>
      </c>
      <c r="S2400" t="str">
        <f>IFERROR(VLOOKUP('OB Format'!D2400,'Team Data'!C:AC,25,FALSE),"")</f>
        <v/>
      </c>
    </row>
    <row r="2401" spans="5:19" x14ac:dyDescent="0.25">
      <c r="E2401" t="str">
        <f>IFERROR(VLOOKUP(D2401,'Team Data'!C:AB,4,FALSE),"")</f>
        <v/>
      </c>
      <c r="F2401" t="str">
        <f>IFERROR(VLOOKUP(D2401,'Team Data'!C:AB,5,FALSE),"")</f>
        <v/>
      </c>
      <c r="G2401" t="str">
        <f>IFERROR(VLOOKUP('OB Format'!D2401,'Team Data'!C:AB,17,FALSE),"")</f>
        <v/>
      </c>
      <c r="H2401" t="str">
        <f>IFERROR(VLOOKUP(D2401,'Team Data'!C:AB,7,FALSE),"")</f>
        <v/>
      </c>
      <c r="I2401" t="str">
        <f>IFERROR(VLOOKUP(D2401,'Team Data'!C:AB,14,FALSE),"")</f>
        <v/>
      </c>
      <c r="J2401" t="str">
        <f>IFERROR(VLOOKUP(D2401,'Team Data'!C:AB,8,FALSE),"")</f>
        <v/>
      </c>
      <c r="K2401" t="str">
        <f>IFERROR(VLOOKUP(D2401,'Team Data'!C:AB,9,FALSE),"")</f>
        <v/>
      </c>
      <c r="L2401" t="str">
        <f>IFERROR(VLOOKUP(D2401,'Team Data'!C:AB,10,FALSE),"")</f>
        <v/>
      </c>
      <c r="M2401" t="str">
        <f t="shared" si="76"/>
        <v/>
      </c>
      <c r="N2401" t="str">
        <f>IFERROR(VLOOKUP(D2401,'Team Data'!C:AB,23,FALSE),"")</f>
        <v/>
      </c>
      <c r="O2401" t="str">
        <f>IFERROR(VLOOKUP(D2401,'Team Data'!C:AB,22,FALSE),"")</f>
        <v/>
      </c>
      <c r="P2401" t="str">
        <f t="shared" si="77"/>
        <v/>
      </c>
      <c r="Q2401" t="str">
        <f>IFERROR(VLOOKUP(D2401,'Team Data'!C:AB,15,FALSE),"")</f>
        <v/>
      </c>
      <c r="R2401" t="str">
        <f>IFERROR(VLOOKUP('OB Format'!D2401,'Team Data'!C:AB,24,FALSE),"")</f>
        <v/>
      </c>
      <c r="S2401" t="str">
        <f>IFERROR(VLOOKUP('OB Format'!D2401,'Team Data'!C:AC,25,FALSE),"")</f>
        <v/>
      </c>
    </row>
    <row r="2402" spans="5:19" x14ac:dyDescent="0.25">
      <c r="E2402" t="str">
        <f>IFERROR(VLOOKUP(D2402,'Team Data'!C:AB,4,FALSE),"")</f>
        <v/>
      </c>
      <c r="F2402" t="str">
        <f>IFERROR(VLOOKUP(D2402,'Team Data'!C:AB,5,FALSE),"")</f>
        <v/>
      </c>
      <c r="G2402" t="str">
        <f>IFERROR(VLOOKUP('OB Format'!D2402,'Team Data'!C:AB,17,FALSE),"")</f>
        <v/>
      </c>
      <c r="H2402" t="str">
        <f>IFERROR(VLOOKUP(D2402,'Team Data'!C:AB,7,FALSE),"")</f>
        <v/>
      </c>
      <c r="I2402" t="str">
        <f>IFERROR(VLOOKUP(D2402,'Team Data'!C:AB,14,FALSE),"")</f>
        <v/>
      </c>
      <c r="J2402" t="str">
        <f>IFERROR(VLOOKUP(D2402,'Team Data'!C:AB,8,FALSE),"")</f>
        <v/>
      </c>
      <c r="K2402" t="str">
        <f>IFERROR(VLOOKUP(D2402,'Team Data'!C:AB,9,FALSE),"")</f>
        <v/>
      </c>
      <c r="L2402" t="str">
        <f>IFERROR(VLOOKUP(D2402,'Team Data'!C:AB,10,FALSE),"")</f>
        <v/>
      </c>
      <c r="M2402" t="str">
        <f t="shared" si="76"/>
        <v/>
      </c>
      <c r="N2402" t="str">
        <f>IFERROR(VLOOKUP(D2402,'Team Data'!C:AB,23,FALSE),"")</f>
        <v/>
      </c>
      <c r="O2402" t="str">
        <f>IFERROR(VLOOKUP(D2402,'Team Data'!C:AB,22,FALSE),"")</f>
        <v/>
      </c>
      <c r="P2402" t="str">
        <f t="shared" si="77"/>
        <v/>
      </c>
      <c r="Q2402" t="str">
        <f>IFERROR(VLOOKUP(D2402,'Team Data'!C:AB,15,FALSE),"")</f>
        <v/>
      </c>
      <c r="R2402" t="str">
        <f>IFERROR(VLOOKUP('OB Format'!D2402,'Team Data'!C:AB,24,FALSE),"")</f>
        <v/>
      </c>
      <c r="S2402" t="str">
        <f>IFERROR(VLOOKUP('OB Format'!D2402,'Team Data'!C:AC,25,FALSE),"")</f>
        <v/>
      </c>
    </row>
    <row r="2403" spans="5:19" x14ac:dyDescent="0.25">
      <c r="E2403" t="str">
        <f>IFERROR(VLOOKUP(D2403,'Team Data'!C:AB,4,FALSE),"")</f>
        <v/>
      </c>
      <c r="F2403" t="str">
        <f>IFERROR(VLOOKUP(D2403,'Team Data'!C:AB,5,FALSE),"")</f>
        <v/>
      </c>
      <c r="G2403" t="str">
        <f>IFERROR(VLOOKUP('OB Format'!D2403,'Team Data'!C:AB,17,FALSE),"")</f>
        <v/>
      </c>
      <c r="H2403" t="str">
        <f>IFERROR(VLOOKUP(D2403,'Team Data'!C:AB,7,FALSE),"")</f>
        <v/>
      </c>
      <c r="I2403" t="str">
        <f>IFERROR(VLOOKUP(D2403,'Team Data'!C:AB,14,FALSE),"")</f>
        <v/>
      </c>
      <c r="J2403" t="str">
        <f>IFERROR(VLOOKUP(D2403,'Team Data'!C:AB,8,FALSE),"")</f>
        <v/>
      </c>
      <c r="K2403" t="str">
        <f>IFERROR(VLOOKUP(D2403,'Team Data'!C:AB,9,FALSE),"")</f>
        <v/>
      </c>
      <c r="L2403" t="str">
        <f>IFERROR(VLOOKUP(D2403,'Team Data'!C:AB,10,FALSE),"")</f>
        <v/>
      </c>
      <c r="M2403" t="str">
        <f t="shared" si="76"/>
        <v/>
      </c>
      <c r="N2403" t="str">
        <f>IFERROR(VLOOKUP(D2403,'Team Data'!C:AB,23,FALSE),"")</f>
        <v/>
      </c>
      <c r="O2403" t="str">
        <f>IFERROR(VLOOKUP(D2403,'Team Data'!C:AB,22,FALSE),"")</f>
        <v/>
      </c>
      <c r="P2403" t="str">
        <f t="shared" si="77"/>
        <v/>
      </c>
      <c r="Q2403" t="str">
        <f>IFERROR(VLOOKUP(D2403,'Team Data'!C:AB,15,FALSE),"")</f>
        <v/>
      </c>
      <c r="R2403" t="str">
        <f>IFERROR(VLOOKUP('OB Format'!D2403,'Team Data'!C:AB,24,FALSE),"")</f>
        <v/>
      </c>
      <c r="S2403" t="str">
        <f>IFERROR(VLOOKUP('OB Format'!D2403,'Team Data'!C:AC,25,FALSE),"")</f>
        <v/>
      </c>
    </row>
    <row r="2404" spans="5:19" x14ac:dyDescent="0.25">
      <c r="E2404" t="str">
        <f>IFERROR(VLOOKUP(D2404,'Team Data'!C:AB,4,FALSE),"")</f>
        <v/>
      </c>
      <c r="F2404" t="str">
        <f>IFERROR(VLOOKUP(D2404,'Team Data'!C:AB,5,FALSE),"")</f>
        <v/>
      </c>
      <c r="G2404" t="str">
        <f>IFERROR(VLOOKUP('OB Format'!D2404,'Team Data'!C:AB,17,FALSE),"")</f>
        <v/>
      </c>
      <c r="H2404" t="str">
        <f>IFERROR(VLOOKUP(D2404,'Team Data'!C:AB,7,FALSE),"")</f>
        <v/>
      </c>
      <c r="I2404" t="str">
        <f>IFERROR(VLOOKUP(D2404,'Team Data'!C:AB,14,FALSE),"")</f>
        <v/>
      </c>
      <c r="J2404" t="str">
        <f>IFERROR(VLOOKUP(D2404,'Team Data'!C:AB,8,FALSE),"")</f>
        <v/>
      </c>
      <c r="K2404" t="str">
        <f>IFERROR(VLOOKUP(D2404,'Team Data'!C:AB,9,FALSE),"")</f>
        <v/>
      </c>
      <c r="L2404" t="str">
        <f>IFERROR(VLOOKUP(D2404,'Team Data'!C:AB,10,FALSE),"")</f>
        <v/>
      </c>
      <c r="M2404" t="str">
        <f t="shared" si="76"/>
        <v/>
      </c>
      <c r="N2404" t="str">
        <f>IFERROR(VLOOKUP(D2404,'Team Data'!C:AB,23,FALSE),"")</f>
        <v/>
      </c>
      <c r="O2404" t="str">
        <f>IFERROR(VLOOKUP(D2404,'Team Data'!C:AB,22,FALSE),"")</f>
        <v/>
      </c>
      <c r="P2404" t="str">
        <f t="shared" si="77"/>
        <v/>
      </c>
      <c r="Q2404" t="str">
        <f>IFERROR(VLOOKUP(D2404,'Team Data'!C:AB,15,FALSE),"")</f>
        <v/>
      </c>
      <c r="R2404" t="str">
        <f>IFERROR(VLOOKUP('OB Format'!D2404,'Team Data'!C:AB,24,FALSE),"")</f>
        <v/>
      </c>
      <c r="S2404" t="str">
        <f>IFERROR(VLOOKUP('OB Format'!D2404,'Team Data'!C:AC,25,FALSE),"")</f>
        <v/>
      </c>
    </row>
    <row r="2405" spans="5:19" x14ac:dyDescent="0.25">
      <c r="E2405" t="str">
        <f>IFERROR(VLOOKUP(D2405,'Team Data'!C:AB,4,FALSE),"")</f>
        <v/>
      </c>
      <c r="F2405" t="str">
        <f>IFERROR(VLOOKUP(D2405,'Team Data'!C:AB,5,FALSE),"")</f>
        <v/>
      </c>
      <c r="G2405" t="str">
        <f>IFERROR(VLOOKUP('OB Format'!D2405,'Team Data'!C:AB,17,FALSE),"")</f>
        <v/>
      </c>
      <c r="H2405" t="str">
        <f>IFERROR(VLOOKUP(D2405,'Team Data'!C:AB,7,FALSE),"")</f>
        <v/>
      </c>
      <c r="I2405" t="str">
        <f>IFERROR(VLOOKUP(D2405,'Team Data'!C:AB,14,FALSE),"")</f>
        <v/>
      </c>
      <c r="J2405" t="str">
        <f>IFERROR(VLOOKUP(D2405,'Team Data'!C:AB,8,FALSE),"")</f>
        <v/>
      </c>
      <c r="K2405" t="str">
        <f>IFERROR(VLOOKUP(D2405,'Team Data'!C:AB,9,FALSE),"")</f>
        <v/>
      </c>
      <c r="L2405" t="str">
        <f>IFERROR(VLOOKUP(D2405,'Team Data'!C:AB,10,FALSE),"")</f>
        <v/>
      </c>
      <c r="M2405" t="str">
        <f t="shared" si="76"/>
        <v/>
      </c>
      <c r="N2405" t="str">
        <f>IFERROR(VLOOKUP(D2405,'Team Data'!C:AB,23,FALSE),"")</f>
        <v/>
      </c>
      <c r="O2405" t="str">
        <f>IFERROR(VLOOKUP(D2405,'Team Data'!C:AB,22,FALSE),"")</f>
        <v/>
      </c>
      <c r="P2405" t="str">
        <f t="shared" si="77"/>
        <v/>
      </c>
      <c r="Q2405" t="str">
        <f>IFERROR(VLOOKUP(D2405,'Team Data'!C:AB,15,FALSE),"")</f>
        <v/>
      </c>
      <c r="R2405" t="str">
        <f>IFERROR(VLOOKUP('OB Format'!D2405,'Team Data'!C:AB,24,FALSE),"")</f>
        <v/>
      </c>
      <c r="S2405" t="str">
        <f>IFERROR(VLOOKUP('OB Format'!D2405,'Team Data'!C:AC,25,FALSE),"")</f>
        <v/>
      </c>
    </row>
    <row r="2406" spans="5:19" x14ac:dyDescent="0.25">
      <c r="E2406" t="str">
        <f>IFERROR(VLOOKUP(D2406,'Team Data'!C:AB,4,FALSE),"")</f>
        <v/>
      </c>
      <c r="F2406" t="str">
        <f>IFERROR(VLOOKUP(D2406,'Team Data'!C:AB,5,FALSE),"")</f>
        <v/>
      </c>
      <c r="G2406" t="str">
        <f>IFERROR(VLOOKUP('OB Format'!D2406,'Team Data'!C:AB,17,FALSE),"")</f>
        <v/>
      </c>
      <c r="H2406" t="str">
        <f>IFERROR(VLOOKUP(D2406,'Team Data'!C:AB,7,FALSE),"")</f>
        <v/>
      </c>
      <c r="I2406" t="str">
        <f>IFERROR(VLOOKUP(D2406,'Team Data'!C:AB,14,FALSE),"")</f>
        <v/>
      </c>
      <c r="J2406" t="str">
        <f>IFERROR(VLOOKUP(D2406,'Team Data'!C:AB,8,FALSE),"")</f>
        <v/>
      </c>
      <c r="K2406" t="str">
        <f>IFERROR(VLOOKUP(D2406,'Team Data'!C:AB,9,FALSE),"")</f>
        <v/>
      </c>
      <c r="L2406" t="str">
        <f>IFERROR(VLOOKUP(D2406,'Team Data'!C:AB,10,FALSE),"")</f>
        <v/>
      </c>
      <c r="M2406" t="str">
        <f t="shared" si="76"/>
        <v/>
      </c>
      <c r="N2406" t="str">
        <f>IFERROR(VLOOKUP(D2406,'Team Data'!C:AB,23,FALSE),"")</f>
        <v/>
      </c>
      <c r="O2406" t="str">
        <f>IFERROR(VLOOKUP(D2406,'Team Data'!C:AB,22,FALSE),"")</f>
        <v/>
      </c>
      <c r="P2406" t="str">
        <f t="shared" si="77"/>
        <v/>
      </c>
      <c r="Q2406" t="str">
        <f>IFERROR(VLOOKUP(D2406,'Team Data'!C:AB,15,FALSE),"")</f>
        <v/>
      </c>
      <c r="R2406" t="str">
        <f>IFERROR(VLOOKUP('OB Format'!D2406,'Team Data'!C:AB,24,FALSE),"")</f>
        <v/>
      </c>
      <c r="S2406" t="str">
        <f>IFERROR(VLOOKUP('OB Format'!D2406,'Team Data'!C:AC,25,FALSE),"")</f>
        <v/>
      </c>
    </row>
    <row r="2407" spans="5:19" x14ac:dyDescent="0.25">
      <c r="E2407" t="str">
        <f>IFERROR(VLOOKUP(D2407,'Team Data'!C:AB,4,FALSE),"")</f>
        <v/>
      </c>
      <c r="F2407" t="str">
        <f>IFERROR(VLOOKUP(D2407,'Team Data'!C:AB,5,FALSE),"")</f>
        <v/>
      </c>
      <c r="G2407" t="str">
        <f>IFERROR(VLOOKUP('OB Format'!D2407,'Team Data'!C:AB,17,FALSE),"")</f>
        <v/>
      </c>
      <c r="H2407" t="str">
        <f>IFERROR(VLOOKUP(D2407,'Team Data'!C:AB,7,FALSE),"")</f>
        <v/>
      </c>
      <c r="I2407" t="str">
        <f>IFERROR(VLOOKUP(D2407,'Team Data'!C:AB,14,FALSE),"")</f>
        <v/>
      </c>
      <c r="J2407" t="str">
        <f>IFERROR(VLOOKUP(D2407,'Team Data'!C:AB,8,FALSE),"")</f>
        <v/>
      </c>
      <c r="K2407" t="str">
        <f>IFERROR(VLOOKUP(D2407,'Team Data'!C:AB,9,FALSE),"")</f>
        <v/>
      </c>
      <c r="L2407" t="str">
        <f>IFERROR(VLOOKUP(D2407,'Team Data'!C:AB,10,FALSE),"")</f>
        <v/>
      </c>
      <c r="M2407" t="str">
        <f t="shared" si="76"/>
        <v/>
      </c>
      <c r="N2407" t="str">
        <f>IFERROR(VLOOKUP(D2407,'Team Data'!C:AB,23,FALSE),"")</f>
        <v/>
      </c>
      <c r="O2407" t="str">
        <f>IFERROR(VLOOKUP(D2407,'Team Data'!C:AB,22,FALSE),"")</f>
        <v/>
      </c>
      <c r="P2407" t="str">
        <f t="shared" si="77"/>
        <v/>
      </c>
      <c r="Q2407" t="str">
        <f>IFERROR(VLOOKUP(D2407,'Team Data'!C:AB,15,FALSE),"")</f>
        <v/>
      </c>
      <c r="R2407" t="str">
        <f>IFERROR(VLOOKUP('OB Format'!D2407,'Team Data'!C:AB,24,FALSE),"")</f>
        <v/>
      </c>
      <c r="S2407" t="str">
        <f>IFERROR(VLOOKUP('OB Format'!D2407,'Team Data'!C:AC,25,FALSE),"")</f>
        <v/>
      </c>
    </row>
    <row r="2408" spans="5:19" x14ac:dyDescent="0.25">
      <c r="E2408" t="str">
        <f>IFERROR(VLOOKUP(D2408,'Team Data'!C:AB,4,FALSE),"")</f>
        <v/>
      </c>
      <c r="F2408" t="str">
        <f>IFERROR(VLOOKUP(D2408,'Team Data'!C:AB,5,FALSE),"")</f>
        <v/>
      </c>
      <c r="G2408" t="str">
        <f>IFERROR(VLOOKUP('OB Format'!D2408,'Team Data'!C:AB,17,FALSE),"")</f>
        <v/>
      </c>
      <c r="H2408" t="str">
        <f>IFERROR(VLOOKUP(D2408,'Team Data'!C:AB,7,FALSE),"")</f>
        <v/>
      </c>
      <c r="I2408" t="str">
        <f>IFERROR(VLOOKUP(D2408,'Team Data'!C:AB,14,FALSE),"")</f>
        <v/>
      </c>
      <c r="J2408" t="str">
        <f>IFERROR(VLOOKUP(D2408,'Team Data'!C:AB,8,FALSE),"")</f>
        <v/>
      </c>
      <c r="K2408" t="str">
        <f>IFERROR(VLOOKUP(D2408,'Team Data'!C:AB,9,FALSE),"")</f>
        <v/>
      </c>
      <c r="L2408" t="str">
        <f>IFERROR(VLOOKUP(D2408,'Team Data'!C:AB,10,FALSE),"")</f>
        <v/>
      </c>
      <c r="M2408" t="str">
        <f t="shared" si="76"/>
        <v/>
      </c>
      <c r="N2408" t="str">
        <f>IFERROR(VLOOKUP(D2408,'Team Data'!C:AB,23,FALSE),"")</f>
        <v/>
      </c>
      <c r="O2408" t="str">
        <f>IFERROR(VLOOKUP(D2408,'Team Data'!C:AB,22,FALSE),"")</f>
        <v/>
      </c>
      <c r="P2408" t="str">
        <f t="shared" si="77"/>
        <v/>
      </c>
      <c r="Q2408" t="str">
        <f>IFERROR(VLOOKUP(D2408,'Team Data'!C:AB,15,FALSE),"")</f>
        <v/>
      </c>
      <c r="R2408" t="str">
        <f>IFERROR(VLOOKUP('OB Format'!D2408,'Team Data'!C:AB,24,FALSE),"")</f>
        <v/>
      </c>
      <c r="S2408" t="str">
        <f>IFERROR(VLOOKUP('OB Format'!D2408,'Team Data'!C:AC,25,FALSE),"")</f>
        <v/>
      </c>
    </row>
    <row r="2409" spans="5:19" x14ac:dyDescent="0.25">
      <c r="E2409" t="str">
        <f>IFERROR(VLOOKUP(D2409,'Team Data'!C:AB,4,FALSE),"")</f>
        <v/>
      </c>
      <c r="F2409" t="str">
        <f>IFERROR(VLOOKUP(D2409,'Team Data'!C:AB,5,FALSE),"")</f>
        <v/>
      </c>
      <c r="G2409" t="str">
        <f>IFERROR(VLOOKUP('OB Format'!D2409,'Team Data'!C:AB,17,FALSE),"")</f>
        <v/>
      </c>
      <c r="H2409" t="str">
        <f>IFERROR(VLOOKUP(D2409,'Team Data'!C:AB,7,FALSE),"")</f>
        <v/>
      </c>
      <c r="I2409" t="str">
        <f>IFERROR(VLOOKUP(D2409,'Team Data'!C:AB,14,FALSE),"")</f>
        <v/>
      </c>
      <c r="J2409" t="str">
        <f>IFERROR(VLOOKUP(D2409,'Team Data'!C:AB,8,FALSE),"")</f>
        <v/>
      </c>
      <c r="K2409" t="str">
        <f>IFERROR(VLOOKUP(D2409,'Team Data'!C:AB,9,FALSE),"")</f>
        <v/>
      </c>
      <c r="L2409" t="str">
        <f>IFERROR(VLOOKUP(D2409,'Team Data'!C:AB,10,FALSE),"")</f>
        <v/>
      </c>
      <c r="M2409" t="str">
        <f t="shared" si="76"/>
        <v/>
      </c>
      <c r="N2409" t="str">
        <f>IFERROR(VLOOKUP(D2409,'Team Data'!C:AB,23,FALSE),"")</f>
        <v/>
      </c>
      <c r="O2409" t="str">
        <f>IFERROR(VLOOKUP(D2409,'Team Data'!C:AB,22,FALSE),"")</f>
        <v/>
      </c>
      <c r="P2409" t="str">
        <f t="shared" si="77"/>
        <v/>
      </c>
      <c r="Q2409" t="str">
        <f>IFERROR(VLOOKUP(D2409,'Team Data'!C:AB,15,FALSE),"")</f>
        <v/>
      </c>
      <c r="R2409" t="str">
        <f>IFERROR(VLOOKUP('OB Format'!D2409,'Team Data'!C:AB,24,FALSE),"")</f>
        <v/>
      </c>
      <c r="S2409" t="str">
        <f>IFERROR(VLOOKUP('OB Format'!D2409,'Team Data'!C:AC,25,FALSE),"")</f>
        <v/>
      </c>
    </row>
    <row r="2410" spans="5:19" x14ac:dyDescent="0.25">
      <c r="E2410" t="str">
        <f>IFERROR(VLOOKUP(D2410,'Team Data'!C:AB,4,FALSE),"")</f>
        <v/>
      </c>
      <c r="F2410" t="str">
        <f>IFERROR(VLOOKUP(D2410,'Team Data'!C:AB,5,FALSE),"")</f>
        <v/>
      </c>
      <c r="G2410" t="str">
        <f>IFERROR(VLOOKUP('OB Format'!D2410,'Team Data'!C:AB,17,FALSE),"")</f>
        <v/>
      </c>
      <c r="H2410" t="str">
        <f>IFERROR(VLOOKUP(D2410,'Team Data'!C:AB,7,FALSE),"")</f>
        <v/>
      </c>
      <c r="I2410" t="str">
        <f>IFERROR(VLOOKUP(D2410,'Team Data'!C:AB,14,FALSE),"")</f>
        <v/>
      </c>
      <c r="J2410" t="str">
        <f>IFERROR(VLOOKUP(D2410,'Team Data'!C:AB,8,FALSE),"")</f>
        <v/>
      </c>
      <c r="K2410" t="str">
        <f>IFERROR(VLOOKUP(D2410,'Team Data'!C:AB,9,FALSE),"")</f>
        <v/>
      </c>
      <c r="L2410" t="str">
        <f>IFERROR(VLOOKUP(D2410,'Team Data'!C:AB,10,FALSE),"")</f>
        <v/>
      </c>
      <c r="M2410" t="str">
        <f t="shared" si="76"/>
        <v/>
      </c>
      <c r="N2410" t="str">
        <f>IFERROR(VLOOKUP(D2410,'Team Data'!C:AB,23,FALSE),"")</f>
        <v/>
      </c>
      <c r="O2410" t="str">
        <f>IFERROR(VLOOKUP(D2410,'Team Data'!C:AB,22,FALSE),"")</f>
        <v/>
      </c>
      <c r="P2410" t="str">
        <f t="shared" si="77"/>
        <v/>
      </c>
      <c r="Q2410" t="str">
        <f>IFERROR(VLOOKUP(D2410,'Team Data'!C:AB,15,FALSE),"")</f>
        <v/>
      </c>
      <c r="R2410" t="str">
        <f>IFERROR(VLOOKUP('OB Format'!D2410,'Team Data'!C:AB,24,FALSE),"")</f>
        <v/>
      </c>
      <c r="S2410" t="str">
        <f>IFERROR(VLOOKUP('OB Format'!D2410,'Team Data'!C:AC,25,FALSE),"")</f>
        <v/>
      </c>
    </row>
    <row r="2411" spans="5:19" x14ac:dyDescent="0.25">
      <c r="E2411" t="str">
        <f>IFERROR(VLOOKUP(D2411,'Team Data'!C:AB,4,FALSE),"")</f>
        <v/>
      </c>
      <c r="F2411" t="str">
        <f>IFERROR(VLOOKUP(D2411,'Team Data'!C:AB,5,FALSE),"")</f>
        <v/>
      </c>
      <c r="G2411" t="str">
        <f>IFERROR(VLOOKUP('OB Format'!D2411,'Team Data'!C:AB,17,FALSE),"")</f>
        <v/>
      </c>
      <c r="H2411" t="str">
        <f>IFERROR(VLOOKUP(D2411,'Team Data'!C:AB,7,FALSE),"")</f>
        <v/>
      </c>
      <c r="I2411" t="str">
        <f>IFERROR(VLOOKUP(D2411,'Team Data'!C:AB,14,FALSE),"")</f>
        <v/>
      </c>
      <c r="J2411" t="str">
        <f>IFERROR(VLOOKUP(D2411,'Team Data'!C:AB,8,FALSE),"")</f>
        <v/>
      </c>
      <c r="K2411" t="str">
        <f>IFERROR(VLOOKUP(D2411,'Team Data'!C:AB,9,FALSE),"")</f>
        <v/>
      </c>
      <c r="L2411" t="str">
        <f>IFERROR(VLOOKUP(D2411,'Team Data'!C:AB,10,FALSE),"")</f>
        <v/>
      </c>
      <c r="M2411" t="str">
        <f t="shared" si="76"/>
        <v/>
      </c>
      <c r="N2411" t="str">
        <f>IFERROR(VLOOKUP(D2411,'Team Data'!C:AB,23,FALSE),"")</f>
        <v/>
      </c>
      <c r="O2411" t="str">
        <f>IFERROR(VLOOKUP(D2411,'Team Data'!C:AB,22,FALSE),"")</f>
        <v/>
      </c>
      <c r="P2411" t="str">
        <f t="shared" si="77"/>
        <v/>
      </c>
      <c r="Q2411" t="str">
        <f>IFERROR(VLOOKUP(D2411,'Team Data'!C:AB,15,FALSE),"")</f>
        <v/>
      </c>
      <c r="R2411" t="str">
        <f>IFERROR(VLOOKUP('OB Format'!D2411,'Team Data'!C:AB,24,FALSE),"")</f>
        <v/>
      </c>
      <c r="S2411" t="str">
        <f>IFERROR(VLOOKUP('OB Format'!D2411,'Team Data'!C:AC,25,FALSE),"")</f>
        <v/>
      </c>
    </row>
    <row r="2412" spans="5:19" x14ac:dyDescent="0.25">
      <c r="E2412" t="str">
        <f>IFERROR(VLOOKUP(D2412,'Team Data'!C:AB,4,FALSE),"")</f>
        <v/>
      </c>
      <c r="F2412" t="str">
        <f>IFERROR(VLOOKUP(D2412,'Team Data'!C:AB,5,FALSE),"")</f>
        <v/>
      </c>
      <c r="G2412" t="str">
        <f>IFERROR(VLOOKUP('OB Format'!D2412,'Team Data'!C:AB,17,FALSE),"")</f>
        <v/>
      </c>
      <c r="H2412" t="str">
        <f>IFERROR(VLOOKUP(D2412,'Team Data'!C:AB,7,FALSE),"")</f>
        <v/>
      </c>
      <c r="I2412" t="str">
        <f>IFERROR(VLOOKUP(D2412,'Team Data'!C:AB,14,FALSE),"")</f>
        <v/>
      </c>
      <c r="J2412" t="str">
        <f>IFERROR(VLOOKUP(D2412,'Team Data'!C:AB,8,FALSE),"")</f>
        <v/>
      </c>
      <c r="K2412" t="str">
        <f>IFERROR(VLOOKUP(D2412,'Team Data'!C:AB,9,FALSE),"")</f>
        <v/>
      </c>
      <c r="L2412" t="str">
        <f>IFERROR(VLOOKUP(D2412,'Team Data'!C:AB,10,FALSE),"")</f>
        <v/>
      </c>
      <c r="M2412" t="str">
        <f t="shared" si="76"/>
        <v/>
      </c>
      <c r="N2412" t="str">
        <f>IFERROR(VLOOKUP(D2412,'Team Data'!C:AB,23,FALSE),"")</f>
        <v/>
      </c>
      <c r="O2412" t="str">
        <f>IFERROR(VLOOKUP(D2412,'Team Data'!C:AB,22,FALSE),"")</f>
        <v/>
      </c>
      <c r="P2412" t="str">
        <f t="shared" si="77"/>
        <v/>
      </c>
      <c r="Q2412" t="str">
        <f>IFERROR(VLOOKUP(D2412,'Team Data'!C:AB,15,FALSE),"")</f>
        <v/>
      </c>
      <c r="R2412" t="str">
        <f>IFERROR(VLOOKUP('OB Format'!D2412,'Team Data'!C:AB,24,FALSE),"")</f>
        <v/>
      </c>
      <c r="S2412" t="str">
        <f>IFERROR(VLOOKUP('OB Format'!D2412,'Team Data'!C:AC,25,FALSE),"")</f>
        <v/>
      </c>
    </row>
    <row r="2413" spans="5:19" x14ac:dyDescent="0.25">
      <c r="E2413" t="str">
        <f>IFERROR(VLOOKUP(D2413,'Team Data'!C:AB,4,FALSE),"")</f>
        <v/>
      </c>
      <c r="F2413" t="str">
        <f>IFERROR(VLOOKUP(D2413,'Team Data'!C:AB,5,FALSE),"")</f>
        <v/>
      </c>
      <c r="G2413" t="str">
        <f>IFERROR(VLOOKUP('OB Format'!D2413,'Team Data'!C:AB,17,FALSE),"")</f>
        <v/>
      </c>
      <c r="H2413" t="str">
        <f>IFERROR(VLOOKUP(D2413,'Team Data'!C:AB,7,FALSE),"")</f>
        <v/>
      </c>
      <c r="I2413" t="str">
        <f>IFERROR(VLOOKUP(D2413,'Team Data'!C:AB,14,FALSE),"")</f>
        <v/>
      </c>
      <c r="J2413" t="str">
        <f>IFERROR(VLOOKUP(D2413,'Team Data'!C:AB,8,FALSE),"")</f>
        <v/>
      </c>
      <c r="K2413" t="str">
        <f>IFERROR(VLOOKUP(D2413,'Team Data'!C:AB,9,FALSE),"")</f>
        <v/>
      </c>
      <c r="L2413" t="str">
        <f>IFERROR(VLOOKUP(D2413,'Team Data'!C:AB,10,FALSE),"")</f>
        <v/>
      </c>
      <c r="M2413" t="str">
        <f t="shared" si="76"/>
        <v/>
      </c>
      <c r="N2413" t="str">
        <f>IFERROR(VLOOKUP(D2413,'Team Data'!C:AB,23,FALSE),"")</f>
        <v/>
      </c>
      <c r="O2413" t="str">
        <f>IFERROR(VLOOKUP(D2413,'Team Data'!C:AB,22,FALSE),"")</f>
        <v/>
      </c>
      <c r="P2413" t="str">
        <f t="shared" si="77"/>
        <v/>
      </c>
      <c r="Q2413" t="str">
        <f>IFERROR(VLOOKUP(D2413,'Team Data'!C:AB,15,FALSE),"")</f>
        <v/>
      </c>
      <c r="R2413" t="str">
        <f>IFERROR(VLOOKUP('OB Format'!D2413,'Team Data'!C:AB,24,FALSE),"")</f>
        <v/>
      </c>
      <c r="S2413" t="str">
        <f>IFERROR(VLOOKUP('OB Format'!D2413,'Team Data'!C:AC,25,FALSE),"")</f>
        <v/>
      </c>
    </row>
    <row r="2414" spans="5:19" x14ac:dyDescent="0.25">
      <c r="E2414" t="str">
        <f>IFERROR(VLOOKUP(D2414,'Team Data'!C:AB,4,FALSE),"")</f>
        <v/>
      </c>
      <c r="F2414" t="str">
        <f>IFERROR(VLOOKUP(D2414,'Team Data'!C:AB,5,FALSE),"")</f>
        <v/>
      </c>
      <c r="G2414" t="str">
        <f>IFERROR(VLOOKUP('OB Format'!D2414,'Team Data'!C:AB,17,FALSE),"")</f>
        <v/>
      </c>
      <c r="H2414" t="str">
        <f>IFERROR(VLOOKUP(D2414,'Team Data'!C:AB,7,FALSE),"")</f>
        <v/>
      </c>
      <c r="I2414" t="str">
        <f>IFERROR(VLOOKUP(D2414,'Team Data'!C:AB,14,FALSE),"")</f>
        <v/>
      </c>
      <c r="J2414" t="str">
        <f>IFERROR(VLOOKUP(D2414,'Team Data'!C:AB,8,FALSE),"")</f>
        <v/>
      </c>
      <c r="K2414" t="str">
        <f>IFERROR(VLOOKUP(D2414,'Team Data'!C:AB,9,FALSE),"")</f>
        <v/>
      </c>
      <c r="L2414" t="str">
        <f>IFERROR(VLOOKUP(D2414,'Team Data'!C:AB,10,FALSE),"")</f>
        <v/>
      </c>
      <c r="M2414" t="str">
        <f t="shared" si="76"/>
        <v/>
      </c>
      <c r="N2414" t="str">
        <f>IFERROR(VLOOKUP(D2414,'Team Data'!C:AB,23,FALSE),"")</f>
        <v/>
      </c>
      <c r="O2414" t="str">
        <f>IFERROR(VLOOKUP(D2414,'Team Data'!C:AB,22,FALSE),"")</f>
        <v/>
      </c>
      <c r="P2414" t="str">
        <f t="shared" si="77"/>
        <v/>
      </c>
      <c r="Q2414" t="str">
        <f>IFERROR(VLOOKUP(D2414,'Team Data'!C:AB,15,FALSE),"")</f>
        <v/>
      </c>
      <c r="R2414" t="str">
        <f>IFERROR(VLOOKUP('OB Format'!D2414,'Team Data'!C:AB,24,FALSE),"")</f>
        <v/>
      </c>
      <c r="S2414" t="str">
        <f>IFERROR(VLOOKUP('OB Format'!D2414,'Team Data'!C:AC,25,FALSE),"")</f>
        <v/>
      </c>
    </row>
    <row r="2415" spans="5:19" x14ac:dyDescent="0.25">
      <c r="E2415" t="str">
        <f>IFERROR(VLOOKUP(D2415,'Team Data'!C:AB,4,FALSE),"")</f>
        <v/>
      </c>
      <c r="F2415" t="str">
        <f>IFERROR(VLOOKUP(D2415,'Team Data'!C:AB,5,FALSE),"")</f>
        <v/>
      </c>
      <c r="G2415" t="str">
        <f>IFERROR(VLOOKUP('OB Format'!D2415,'Team Data'!C:AB,17,FALSE),"")</f>
        <v/>
      </c>
      <c r="H2415" t="str">
        <f>IFERROR(VLOOKUP(D2415,'Team Data'!C:AB,7,FALSE),"")</f>
        <v/>
      </c>
      <c r="I2415" t="str">
        <f>IFERROR(VLOOKUP(D2415,'Team Data'!C:AB,14,FALSE),"")</f>
        <v/>
      </c>
      <c r="J2415" t="str">
        <f>IFERROR(VLOOKUP(D2415,'Team Data'!C:AB,8,FALSE),"")</f>
        <v/>
      </c>
      <c r="K2415" t="str">
        <f>IFERROR(VLOOKUP(D2415,'Team Data'!C:AB,9,FALSE),"")</f>
        <v/>
      </c>
      <c r="L2415" t="str">
        <f>IFERROR(VLOOKUP(D2415,'Team Data'!C:AB,10,FALSE),"")</f>
        <v/>
      </c>
      <c r="M2415" t="str">
        <f t="shared" si="76"/>
        <v/>
      </c>
      <c r="N2415" t="str">
        <f>IFERROR(VLOOKUP(D2415,'Team Data'!C:AB,23,FALSE),"")</f>
        <v/>
      </c>
      <c r="O2415" t="str">
        <f>IFERROR(VLOOKUP(D2415,'Team Data'!C:AB,22,FALSE),"")</f>
        <v/>
      </c>
      <c r="P2415" t="str">
        <f t="shared" si="77"/>
        <v/>
      </c>
      <c r="Q2415" t="str">
        <f>IFERROR(VLOOKUP(D2415,'Team Data'!C:AB,15,FALSE),"")</f>
        <v/>
      </c>
      <c r="R2415" t="str">
        <f>IFERROR(VLOOKUP('OB Format'!D2415,'Team Data'!C:AB,24,FALSE),"")</f>
        <v/>
      </c>
      <c r="S2415" t="str">
        <f>IFERROR(VLOOKUP('OB Format'!D2415,'Team Data'!C:AC,25,FALSE),"")</f>
        <v/>
      </c>
    </row>
    <row r="2416" spans="5:19" x14ac:dyDescent="0.25">
      <c r="E2416" t="str">
        <f>IFERROR(VLOOKUP(D2416,'Team Data'!C:AB,4,FALSE),"")</f>
        <v/>
      </c>
      <c r="F2416" t="str">
        <f>IFERROR(VLOOKUP(D2416,'Team Data'!C:AB,5,FALSE),"")</f>
        <v/>
      </c>
      <c r="G2416" t="str">
        <f>IFERROR(VLOOKUP('OB Format'!D2416,'Team Data'!C:AB,17,FALSE),"")</f>
        <v/>
      </c>
      <c r="H2416" t="str">
        <f>IFERROR(VLOOKUP(D2416,'Team Data'!C:AB,7,FALSE),"")</f>
        <v/>
      </c>
      <c r="I2416" t="str">
        <f>IFERROR(VLOOKUP(D2416,'Team Data'!C:AB,14,FALSE),"")</f>
        <v/>
      </c>
      <c r="J2416" t="str">
        <f>IFERROR(VLOOKUP(D2416,'Team Data'!C:AB,8,FALSE),"")</f>
        <v/>
      </c>
      <c r="K2416" t="str">
        <f>IFERROR(VLOOKUP(D2416,'Team Data'!C:AB,9,FALSE),"")</f>
        <v/>
      </c>
      <c r="L2416" t="str">
        <f>IFERROR(VLOOKUP(D2416,'Team Data'!C:AB,10,FALSE),"")</f>
        <v/>
      </c>
      <c r="M2416" t="str">
        <f t="shared" si="76"/>
        <v/>
      </c>
      <c r="N2416" t="str">
        <f>IFERROR(VLOOKUP(D2416,'Team Data'!C:AB,23,FALSE),"")</f>
        <v/>
      </c>
      <c r="O2416" t="str">
        <f>IFERROR(VLOOKUP(D2416,'Team Data'!C:AB,22,FALSE),"")</f>
        <v/>
      </c>
      <c r="P2416" t="str">
        <f t="shared" si="77"/>
        <v/>
      </c>
      <c r="Q2416" t="str">
        <f>IFERROR(VLOOKUP(D2416,'Team Data'!C:AB,15,FALSE),"")</f>
        <v/>
      </c>
      <c r="R2416" t="str">
        <f>IFERROR(VLOOKUP('OB Format'!D2416,'Team Data'!C:AB,24,FALSE),"")</f>
        <v/>
      </c>
      <c r="S2416" t="str">
        <f>IFERROR(VLOOKUP('OB Format'!D2416,'Team Data'!C:AC,25,FALSE),"")</f>
        <v/>
      </c>
    </row>
    <row r="2417" spans="5:19" x14ac:dyDescent="0.25">
      <c r="E2417" t="str">
        <f>IFERROR(VLOOKUP(D2417,'Team Data'!C:AB,4,FALSE),"")</f>
        <v/>
      </c>
      <c r="F2417" t="str">
        <f>IFERROR(VLOOKUP(D2417,'Team Data'!C:AB,5,FALSE),"")</f>
        <v/>
      </c>
      <c r="G2417" t="str">
        <f>IFERROR(VLOOKUP('OB Format'!D2417,'Team Data'!C:AB,17,FALSE),"")</f>
        <v/>
      </c>
      <c r="H2417" t="str">
        <f>IFERROR(VLOOKUP(D2417,'Team Data'!C:AB,7,FALSE),"")</f>
        <v/>
      </c>
      <c r="I2417" t="str">
        <f>IFERROR(VLOOKUP(D2417,'Team Data'!C:AB,14,FALSE),"")</f>
        <v/>
      </c>
      <c r="J2417" t="str">
        <f>IFERROR(VLOOKUP(D2417,'Team Data'!C:AB,8,FALSE),"")</f>
        <v/>
      </c>
      <c r="K2417" t="str">
        <f>IFERROR(VLOOKUP(D2417,'Team Data'!C:AB,9,FALSE),"")</f>
        <v/>
      </c>
      <c r="L2417" t="str">
        <f>IFERROR(VLOOKUP(D2417,'Team Data'!C:AB,10,FALSE),"")</f>
        <v/>
      </c>
      <c r="M2417" t="str">
        <f t="shared" si="76"/>
        <v/>
      </c>
      <c r="N2417" t="str">
        <f>IFERROR(VLOOKUP(D2417,'Team Data'!C:AB,23,FALSE),"")</f>
        <v/>
      </c>
      <c r="O2417" t="str">
        <f>IFERROR(VLOOKUP(D2417,'Team Data'!C:AB,22,FALSE),"")</f>
        <v/>
      </c>
      <c r="P2417" t="str">
        <f t="shared" si="77"/>
        <v/>
      </c>
      <c r="Q2417" t="str">
        <f>IFERROR(VLOOKUP(D2417,'Team Data'!C:AB,15,FALSE),"")</f>
        <v/>
      </c>
      <c r="R2417" t="str">
        <f>IFERROR(VLOOKUP('OB Format'!D2417,'Team Data'!C:AB,24,FALSE),"")</f>
        <v/>
      </c>
      <c r="S2417" t="str">
        <f>IFERROR(VLOOKUP('OB Format'!D2417,'Team Data'!C:AC,25,FALSE),"")</f>
        <v/>
      </c>
    </row>
    <row r="2418" spans="5:19" x14ac:dyDescent="0.25">
      <c r="E2418" t="str">
        <f>IFERROR(VLOOKUP(D2418,'Team Data'!C:AB,4,FALSE),"")</f>
        <v/>
      </c>
      <c r="F2418" t="str">
        <f>IFERROR(VLOOKUP(D2418,'Team Data'!C:AB,5,FALSE),"")</f>
        <v/>
      </c>
      <c r="G2418" t="str">
        <f>IFERROR(VLOOKUP('OB Format'!D2418,'Team Data'!C:AB,17,FALSE),"")</f>
        <v/>
      </c>
      <c r="H2418" t="str">
        <f>IFERROR(VLOOKUP(D2418,'Team Data'!C:AB,7,FALSE),"")</f>
        <v/>
      </c>
      <c r="I2418" t="str">
        <f>IFERROR(VLOOKUP(D2418,'Team Data'!C:AB,14,FALSE),"")</f>
        <v/>
      </c>
      <c r="J2418" t="str">
        <f>IFERROR(VLOOKUP(D2418,'Team Data'!C:AB,8,FALSE),"")</f>
        <v/>
      </c>
      <c r="K2418" t="str">
        <f>IFERROR(VLOOKUP(D2418,'Team Data'!C:AB,9,FALSE),"")</f>
        <v/>
      </c>
      <c r="L2418" t="str">
        <f>IFERROR(VLOOKUP(D2418,'Team Data'!C:AB,10,FALSE),"")</f>
        <v/>
      </c>
      <c r="M2418" t="str">
        <f t="shared" si="76"/>
        <v/>
      </c>
      <c r="N2418" t="str">
        <f>IFERROR(VLOOKUP(D2418,'Team Data'!C:AB,23,FALSE),"")</f>
        <v/>
      </c>
      <c r="O2418" t="str">
        <f>IFERROR(VLOOKUP(D2418,'Team Data'!C:AB,22,FALSE),"")</f>
        <v/>
      </c>
      <c r="P2418" t="str">
        <f t="shared" si="77"/>
        <v/>
      </c>
      <c r="Q2418" t="str">
        <f>IFERROR(VLOOKUP(D2418,'Team Data'!C:AB,15,FALSE),"")</f>
        <v/>
      </c>
      <c r="R2418" t="str">
        <f>IFERROR(VLOOKUP('OB Format'!D2418,'Team Data'!C:AB,24,FALSE),"")</f>
        <v/>
      </c>
      <c r="S2418" t="str">
        <f>IFERROR(VLOOKUP('OB Format'!D2418,'Team Data'!C:AC,25,FALSE),"")</f>
        <v/>
      </c>
    </row>
    <row r="2419" spans="5:19" x14ac:dyDescent="0.25">
      <c r="E2419" t="str">
        <f>IFERROR(VLOOKUP(D2419,'Team Data'!C:AB,4,FALSE),"")</f>
        <v/>
      </c>
      <c r="F2419" t="str">
        <f>IFERROR(VLOOKUP(D2419,'Team Data'!C:AB,5,FALSE),"")</f>
        <v/>
      </c>
      <c r="G2419" t="str">
        <f>IFERROR(VLOOKUP('OB Format'!D2419,'Team Data'!C:AB,17,FALSE),"")</f>
        <v/>
      </c>
      <c r="H2419" t="str">
        <f>IFERROR(VLOOKUP(D2419,'Team Data'!C:AB,7,FALSE),"")</f>
        <v/>
      </c>
      <c r="I2419" t="str">
        <f>IFERROR(VLOOKUP(D2419,'Team Data'!C:AB,14,FALSE),"")</f>
        <v/>
      </c>
      <c r="J2419" t="str">
        <f>IFERROR(VLOOKUP(D2419,'Team Data'!C:AB,8,FALSE),"")</f>
        <v/>
      </c>
      <c r="K2419" t="str">
        <f>IFERROR(VLOOKUP(D2419,'Team Data'!C:AB,9,FALSE),"")</f>
        <v/>
      </c>
      <c r="L2419" t="str">
        <f>IFERROR(VLOOKUP(D2419,'Team Data'!C:AB,10,FALSE),"")</f>
        <v/>
      </c>
      <c r="M2419" t="str">
        <f t="shared" si="76"/>
        <v/>
      </c>
      <c r="N2419" t="str">
        <f>IFERROR(VLOOKUP(D2419,'Team Data'!C:AB,23,FALSE),"")</f>
        <v/>
      </c>
      <c r="O2419" t="str">
        <f>IFERROR(VLOOKUP(D2419,'Team Data'!C:AB,22,FALSE),"")</f>
        <v/>
      </c>
      <c r="P2419" t="str">
        <f t="shared" si="77"/>
        <v/>
      </c>
      <c r="Q2419" t="str">
        <f>IFERROR(VLOOKUP(D2419,'Team Data'!C:AB,15,FALSE),"")</f>
        <v/>
      </c>
      <c r="R2419" t="str">
        <f>IFERROR(VLOOKUP('OB Format'!D2419,'Team Data'!C:AB,24,FALSE),"")</f>
        <v/>
      </c>
      <c r="S2419" t="str">
        <f>IFERROR(VLOOKUP('OB Format'!D2419,'Team Data'!C:AC,25,FALSE),"")</f>
        <v/>
      </c>
    </row>
    <row r="2420" spans="5:19" x14ac:dyDescent="0.25">
      <c r="E2420" t="str">
        <f>IFERROR(VLOOKUP(D2420,'Team Data'!C:AB,4,FALSE),"")</f>
        <v/>
      </c>
      <c r="F2420" t="str">
        <f>IFERROR(VLOOKUP(D2420,'Team Data'!C:AB,5,FALSE),"")</f>
        <v/>
      </c>
      <c r="G2420" t="str">
        <f>IFERROR(VLOOKUP('OB Format'!D2420,'Team Data'!C:AB,17,FALSE),"")</f>
        <v/>
      </c>
      <c r="H2420" t="str">
        <f>IFERROR(VLOOKUP(D2420,'Team Data'!C:AB,7,FALSE),"")</f>
        <v/>
      </c>
      <c r="I2420" t="str">
        <f>IFERROR(VLOOKUP(D2420,'Team Data'!C:AB,14,FALSE),"")</f>
        <v/>
      </c>
      <c r="J2420" t="str">
        <f>IFERROR(VLOOKUP(D2420,'Team Data'!C:AB,8,FALSE),"")</f>
        <v/>
      </c>
      <c r="K2420" t="str">
        <f>IFERROR(VLOOKUP(D2420,'Team Data'!C:AB,9,FALSE),"")</f>
        <v/>
      </c>
      <c r="L2420" t="str">
        <f>IFERROR(VLOOKUP(D2420,'Team Data'!C:AB,10,FALSE),"")</f>
        <v/>
      </c>
      <c r="M2420" t="str">
        <f t="shared" si="76"/>
        <v/>
      </c>
      <c r="N2420" t="str">
        <f>IFERROR(VLOOKUP(D2420,'Team Data'!C:AB,23,FALSE),"")</f>
        <v/>
      </c>
      <c r="O2420" t="str">
        <f>IFERROR(VLOOKUP(D2420,'Team Data'!C:AB,22,FALSE),"")</f>
        <v/>
      </c>
      <c r="P2420" t="str">
        <f t="shared" si="77"/>
        <v/>
      </c>
      <c r="Q2420" t="str">
        <f>IFERROR(VLOOKUP(D2420,'Team Data'!C:AB,15,FALSE),"")</f>
        <v/>
      </c>
      <c r="R2420" t="str">
        <f>IFERROR(VLOOKUP('OB Format'!D2420,'Team Data'!C:AB,24,FALSE),"")</f>
        <v/>
      </c>
      <c r="S2420" t="str">
        <f>IFERROR(VLOOKUP('OB Format'!D2420,'Team Data'!C:AC,25,FALSE),"")</f>
        <v/>
      </c>
    </row>
    <row r="2421" spans="5:19" x14ac:dyDescent="0.25">
      <c r="E2421" t="str">
        <f>IFERROR(VLOOKUP(D2421,'Team Data'!C:AB,4,FALSE),"")</f>
        <v/>
      </c>
      <c r="F2421" t="str">
        <f>IFERROR(VLOOKUP(D2421,'Team Data'!C:AB,5,FALSE),"")</f>
        <v/>
      </c>
      <c r="G2421" t="str">
        <f>IFERROR(VLOOKUP('OB Format'!D2421,'Team Data'!C:AB,17,FALSE),"")</f>
        <v/>
      </c>
      <c r="H2421" t="str">
        <f>IFERROR(VLOOKUP(D2421,'Team Data'!C:AB,7,FALSE),"")</f>
        <v/>
      </c>
      <c r="I2421" t="str">
        <f>IFERROR(VLOOKUP(D2421,'Team Data'!C:AB,14,FALSE),"")</f>
        <v/>
      </c>
      <c r="J2421" t="str">
        <f>IFERROR(VLOOKUP(D2421,'Team Data'!C:AB,8,FALSE),"")</f>
        <v/>
      </c>
      <c r="K2421" t="str">
        <f>IFERROR(VLOOKUP(D2421,'Team Data'!C:AB,9,FALSE),"")</f>
        <v/>
      </c>
      <c r="L2421" t="str">
        <f>IFERROR(VLOOKUP(D2421,'Team Data'!C:AB,10,FALSE),"")</f>
        <v/>
      </c>
      <c r="M2421" t="str">
        <f t="shared" si="76"/>
        <v/>
      </c>
      <c r="N2421" t="str">
        <f>IFERROR(VLOOKUP(D2421,'Team Data'!C:AB,23,FALSE),"")</f>
        <v/>
      </c>
      <c r="O2421" t="str">
        <f>IFERROR(VLOOKUP(D2421,'Team Data'!C:AB,22,FALSE),"")</f>
        <v/>
      </c>
      <c r="P2421" t="str">
        <f t="shared" si="77"/>
        <v/>
      </c>
      <c r="Q2421" t="str">
        <f>IFERROR(VLOOKUP(D2421,'Team Data'!C:AB,15,FALSE),"")</f>
        <v/>
      </c>
      <c r="R2421" t="str">
        <f>IFERROR(VLOOKUP('OB Format'!D2421,'Team Data'!C:AB,24,FALSE),"")</f>
        <v/>
      </c>
      <c r="S2421" t="str">
        <f>IFERROR(VLOOKUP('OB Format'!D2421,'Team Data'!C:AC,25,FALSE),"")</f>
        <v/>
      </c>
    </row>
    <row r="2422" spans="5:19" x14ac:dyDescent="0.25">
      <c r="E2422" t="str">
        <f>IFERROR(VLOOKUP(D2422,'Team Data'!C:AB,4,FALSE),"")</f>
        <v/>
      </c>
      <c r="F2422" t="str">
        <f>IFERROR(VLOOKUP(D2422,'Team Data'!C:AB,5,FALSE),"")</f>
        <v/>
      </c>
      <c r="G2422" t="str">
        <f>IFERROR(VLOOKUP('OB Format'!D2422,'Team Data'!C:AB,17,FALSE),"")</f>
        <v/>
      </c>
      <c r="H2422" t="str">
        <f>IFERROR(VLOOKUP(D2422,'Team Data'!C:AB,7,FALSE),"")</f>
        <v/>
      </c>
      <c r="I2422" t="str">
        <f>IFERROR(VLOOKUP(D2422,'Team Data'!C:AB,14,FALSE),"")</f>
        <v/>
      </c>
      <c r="J2422" t="str">
        <f>IFERROR(VLOOKUP(D2422,'Team Data'!C:AB,8,FALSE),"")</f>
        <v/>
      </c>
      <c r="K2422" t="str">
        <f>IFERROR(VLOOKUP(D2422,'Team Data'!C:AB,9,FALSE),"")</f>
        <v/>
      </c>
      <c r="L2422" t="str">
        <f>IFERROR(VLOOKUP(D2422,'Team Data'!C:AB,10,FALSE),"")</f>
        <v/>
      </c>
      <c r="M2422" t="str">
        <f t="shared" si="76"/>
        <v/>
      </c>
      <c r="N2422" t="str">
        <f>IFERROR(VLOOKUP(D2422,'Team Data'!C:AB,23,FALSE),"")</f>
        <v/>
      </c>
      <c r="O2422" t="str">
        <f>IFERROR(VLOOKUP(D2422,'Team Data'!C:AB,22,FALSE),"")</f>
        <v/>
      </c>
      <c r="P2422" t="str">
        <f t="shared" si="77"/>
        <v/>
      </c>
      <c r="Q2422" t="str">
        <f>IFERROR(VLOOKUP(D2422,'Team Data'!C:AB,15,FALSE),"")</f>
        <v/>
      </c>
      <c r="R2422" t="str">
        <f>IFERROR(VLOOKUP('OB Format'!D2422,'Team Data'!C:AB,24,FALSE),"")</f>
        <v/>
      </c>
      <c r="S2422" t="str">
        <f>IFERROR(VLOOKUP('OB Format'!D2422,'Team Data'!C:AC,25,FALSE),"")</f>
        <v/>
      </c>
    </row>
    <row r="2423" spans="5:19" x14ac:dyDescent="0.25">
      <c r="E2423" t="str">
        <f>IFERROR(VLOOKUP(D2423,'Team Data'!C:AB,4,FALSE),"")</f>
        <v/>
      </c>
      <c r="F2423" t="str">
        <f>IFERROR(VLOOKUP(D2423,'Team Data'!C:AB,5,FALSE),"")</f>
        <v/>
      </c>
      <c r="G2423" t="str">
        <f>IFERROR(VLOOKUP('OB Format'!D2423,'Team Data'!C:AB,17,FALSE),"")</f>
        <v/>
      </c>
      <c r="H2423" t="str">
        <f>IFERROR(VLOOKUP(D2423,'Team Data'!C:AB,7,FALSE),"")</f>
        <v/>
      </c>
      <c r="I2423" t="str">
        <f>IFERROR(VLOOKUP(D2423,'Team Data'!C:AB,14,FALSE),"")</f>
        <v/>
      </c>
      <c r="J2423" t="str">
        <f>IFERROR(VLOOKUP(D2423,'Team Data'!C:AB,8,FALSE),"")</f>
        <v/>
      </c>
      <c r="K2423" t="str">
        <f>IFERROR(VLOOKUP(D2423,'Team Data'!C:AB,9,FALSE),"")</f>
        <v/>
      </c>
      <c r="L2423" t="str">
        <f>IFERROR(VLOOKUP(D2423,'Team Data'!C:AB,10,FALSE),"")</f>
        <v/>
      </c>
      <c r="M2423" t="str">
        <f t="shared" si="76"/>
        <v/>
      </c>
      <c r="N2423" t="str">
        <f>IFERROR(VLOOKUP(D2423,'Team Data'!C:AB,23,FALSE),"")</f>
        <v/>
      </c>
      <c r="O2423" t="str">
        <f>IFERROR(VLOOKUP(D2423,'Team Data'!C:AB,22,FALSE),"")</f>
        <v/>
      </c>
      <c r="P2423" t="str">
        <f t="shared" si="77"/>
        <v/>
      </c>
      <c r="Q2423" t="str">
        <f>IFERROR(VLOOKUP(D2423,'Team Data'!C:AB,15,FALSE),"")</f>
        <v/>
      </c>
      <c r="R2423" t="str">
        <f>IFERROR(VLOOKUP('OB Format'!D2423,'Team Data'!C:AB,24,FALSE),"")</f>
        <v/>
      </c>
      <c r="S2423" t="str">
        <f>IFERROR(VLOOKUP('OB Format'!D2423,'Team Data'!C:AC,25,FALSE),"")</f>
        <v/>
      </c>
    </row>
    <row r="2424" spans="5:19" x14ac:dyDescent="0.25">
      <c r="E2424" t="str">
        <f>IFERROR(VLOOKUP(D2424,'Team Data'!C:AB,4,FALSE),"")</f>
        <v/>
      </c>
      <c r="F2424" t="str">
        <f>IFERROR(VLOOKUP(D2424,'Team Data'!C:AB,5,FALSE),"")</f>
        <v/>
      </c>
      <c r="G2424" t="str">
        <f>IFERROR(VLOOKUP('OB Format'!D2424,'Team Data'!C:AB,17,FALSE),"")</f>
        <v/>
      </c>
      <c r="H2424" t="str">
        <f>IFERROR(VLOOKUP(D2424,'Team Data'!C:AB,7,FALSE),"")</f>
        <v/>
      </c>
      <c r="I2424" t="str">
        <f>IFERROR(VLOOKUP(D2424,'Team Data'!C:AB,14,FALSE),"")</f>
        <v/>
      </c>
      <c r="J2424" t="str">
        <f>IFERROR(VLOOKUP(D2424,'Team Data'!C:AB,8,FALSE),"")</f>
        <v/>
      </c>
      <c r="K2424" t="str">
        <f>IFERROR(VLOOKUP(D2424,'Team Data'!C:AB,9,FALSE),"")</f>
        <v/>
      </c>
      <c r="L2424" t="str">
        <f>IFERROR(VLOOKUP(D2424,'Team Data'!C:AB,10,FALSE),"")</f>
        <v/>
      </c>
      <c r="M2424" t="str">
        <f t="shared" si="76"/>
        <v/>
      </c>
      <c r="N2424" t="str">
        <f>IFERROR(VLOOKUP(D2424,'Team Data'!C:AB,23,FALSE),"")</f>
        <v/>
      </c>
      <c r="O2424" t="str">
        <f>IFERROR(VLOOKUP(D2424,'Team Data'!C:AB,22,FALSE),"")</f>
        <v/>
      </c>
      <c r="P2424" t="str">
        <f t="shared" si="77"/>
        <v/>
      </c>
      <c r="Q2424" t="str">
        <f>IFERROR(VLOOKUP(D2424,'Team Data'!C:AB,15,FALSE),"")</f>
        <v/>
      </c>
      <c r="R2424" t="str">
        <f>IFERROR(VLOOKUP('OB Format'!D2424,'Team Data'!C:AB,24,FALSE),"")</f>
        <v/>
      </c>
      <c r="S2424" t="str">
        <f>IFERROR(VLOOKUP('OB Format'!D2424,'Team Data'!C:AC,25,FALSE),"")</f>
        <v/>
      </c>
    </row>
    <row r="2425" spans="5:19" x14ac:dyDescent="0.25">
      <c r="E2425" t="str">
        <f>IFERROR(VLOOKUP(D2425,'Team Data'!C:AB,4,FALSE),"")</f>
        <v/>
      </c>
      <c r="F2425" t="str">
        <f>IFERROR(VLOOKUP(D2425,'Team Data'!C:AB,5,FALSE),"")</f>
        <v/>
      </c>
      <c r="G2425" t="str">
        <f>IFERROR(VLOOKUP('OB Format'!D2425,'Team Data'!C:AB,17,FALSE),"")</f>
        <v/>
      </c>
      <c r="H2425" t="str">
        <f>IFERROR(VLOOKUP(D2425,'Team Data'!C:AB,7,FALSE),"")</f>
        <v/>
      </c>
      <c r="I2425" t="str">
        <f>IFERROR(VLOOKUP(D2425,'Team Data'!C:AB,14,FALSE),"")</f>
        <v/>
      </c>
      <c r="J2425" t="str">
        <f>IFERROR(VLOOKUP(D2425,'Team Data'!C:AB,8,FALSE),"")</f>
        <v/>
      </c>
      <c r="K2425" t="str">
        <f>IFERROR(VLOOKUP(D2425,'Team Data'!C:AB,9,FALSE),"")</f>
        <v/>
      </c>
      <c r="L2425" t="str">
        <f>IFERROR(VLOOKUP(D2425,'Team Data'!C:AB,10,FALSE),"")</f>
        <v/>
      </c>
      <c r="M2425" t="str">
        <f t="shared" si="76"/>
        <v/>
      </c>
      <c r="N2425" t="str">
        <f>IFERROR(VLOOKUP(D2425,'Team Data'!C:AB,23,FALSE),"")</f>
        <v/>
      </c>
      <c r="O2425" t="str">
        <f>IFERROR(VLOOKUP(D2425,'Team Data'!C:AB,22,FALSE),"")</f>
        <v/>
      </c>
      <c r="P2425" t="str">
        <f t="shared" si="77"/>
        <v/>
      </c>
      <c r="Q2425" t="str">
        <f>IFERROR(VLOOKUP(D2425,'Team Data'!C:AB,15,FALSE),"")</f>
        <v/>
      </c>
      <c r="R2425" t="str">
        <f>IFERROR(VLOOKUP('OB Format'!D2425,'Team Data'!C:AB,24,FALSE),"")</f>
        <v/>
      </c>
      <c r="S2425" t="str">
        <f>IFERROR(VLOOKUP('OB Format'!D2425,'Team Data'!C:AC,25,FALSE),"")</f>
        <v/>
      </c>
    </row>
    <row r="2426" spans="5:19" x14ac:dyDescent="0.25">
      <c r="E2426" t="str">
        <f>IFERROR(VLOOKUP(D2426,'Team Data'!C:AB,4,FALSE),"")</f>
        <v/>
      </c>
      <c r="F2426" t="str">
        <f>IFERROR(VLOOKUP(D2426,'Team Data'!C:AB,5,FALSE),"")</f>
        <v/>
      </c>
      <c r="G2426" t="str">
        <f>IFERROR(VLOOKUP('OB Format'!D2426,'Team Data'!C:AB,17,FALSE),"")</f>
        <v/>
      </c>
      <c r="H2426" t="str">
        <f>IFERROR(VLOOKUP(D2426,'Team Data'!C:AB,7,FALSE),"")</f>
        <v/>
      </c>
      <c r="I2426" t="str">
        <f>IFERROR(VLOOKUP(D2426,'Team Data'!C:AB,14,FALSE),"")</f>
        <v/>
      </c>
      <c r="J2426" t="str">
        <f>IFERROR(VLOOKUP(D2426,'Team Data'!C:AB,8,FALSE),"")</f>
        <v/>
      </c>
      <c r="K2426" t="str">
        <f>IFERROR(VLOOKUP(D2426,'Team Data'!C:AB,9,FALSE),"")</f>
        <v/>
      </c>
      <c r="L2426" t="str">
        <f>IFERROR(VLOOKUP(D2426,'Team Data'!C:AB,10,FALSE),"")</f>
        <v/>
      </c>
      <c r="M2426" t="str">
        <f t="shared" si="76"/>
        <v/>
      </c>
      <c r="N2426" t="str">
        <f>IFERROR(VLOOKUP(D2426,'Team Data'!C:AB,23,FALSE),"")</f>
        <v/>
      </c>
      <c r="O2426" t="str">
        <f>IFERROR(VLOOKUP(D2426,'Team Data'!C:AB,22,FALSE),"")</f>
        <v/>
      </c>
      <c r="P2426" t="str">
        <f t="shared" si="77"/>
        <v/>
      </c>
      <c r="Q2426" t="str">
        <f>IFERROR(VLOOKUP(D2426,'Team Data'!C:AB,15,FALSE),"")</f>
        <v/>
      </c>
      <c r="R2426" t="str">
        <f>IFERROR(VLOOKUP('OB Format'!D2426,'Team Data'!C:AB,24,FALSE),"")</f>
        <v/>
      </c>
      <c r="S2426" t="str">
        <f>IFERROR(VLOOKUP('OB Format'!D2426,'Team Data'!C:AC,25,FALSE),"")</f>
        <v/>
      </c>
    </row>
    <row r="2427" spans="5:19" x14ac:dyDescent="0.25">
      <c r="E2427" t="str">
        <f>IFERROR(VLOOKUP(D2427,'Team Data'!C:AB,4,FALSE),"")</f>
        <v/>
      </c>
      <c r="F2427" t="str">
        <f>IFERROR(VLOOKUP(D2427,'Team Data'!C:AB,5,FALSE),"")</f>
        <v/>
      </c>
      <c r="G2427" t="str">
        <f>IFERROR(VLOOKUP('OB Format'!D2427,'Team Data'!C:AB,17,FALSE),"")</f>
        <v/>
      </c>
      <c r="H2427" t="str">
        <f>IFERROR(VLOOKUP(D2427,'Team Data'!C:AB,7,FALSE),"")</f>
        <v/>
      </c>
      <c r="I2427" t="str">
        <f>IFERROR(VLOOKUP(D2427,'Team Data'!C:AB,14,FALSE),"")</f>
        <v/>
      </c>
      <c r="J2427" t="str">
        <f>IFERROR(VLOOKUP(D2427,'Team Data'!C:AB,8,FALSE),"")</f>
        <v/>
      </c>
      <c r="K2427" t="str">
        <f>IFERROR(VLOOKUP(D2427,'Team Data'!C:AB,9,FALSE),"")</f>
        <v/>
      </c>
      <c r="L2427" t="str">
        <f>IFERROR(VLOOKUP(D2427,'Team Data'!C:AB,10,FALSE),"")</f>
        <v/>
      </c>
      <c r="M2427" t="str">
        <f t="shared" si="76"/>
        <v/>
      </c>
      <c r="N2427" t="str">
        <f>IFERROR(VLOOKUP(D2427,'Team Data'!C:AB,23,FALSE),"")</f>
        <v/>
      </c>
      <c r="O2427" t="str">
        <f>IFERROR(VLOOKUP(D2427,'Team Data'!C:AB,22,FALSE),"")</f>
        <v/>
      </c>
      <c r="P2427" t="str">
        <f t="shared" si="77"/>
        <v/>
      </c>
      <c r="Q2427" t="str">
        <f>IFERROR(VLOOKUP(D2427,'Team Data'!C:AB,15,FALSE),"")</f>
        <v/>
      </c>
      <c r="R2427" t="str">
        <f>IFERROR(VLOOKUP('OB Format'!D2427,'Team Data'!C:AB,24,FALSE),"")</f>
        <v/>
      </c>
      <c r="S2427" t="str">
        <f>IFERROR(VLOOKUP('OB Format'!D2427,'Team Data'!C:AC,25,FALSE),"")</f>
        <v/>
      </c>
    </row>
    <row r="2428" spans="5:19" x14ac:dyDescent="0.25">
      <c r="E2428" t="str">
        <f>IFERROR(VLOOKUP(D2428,'Team Data'!C:AB,4,FALSE),"")</f>
        <v/>
      </c>
      <c r="F2428" t="str">
        <f>IFERROR(VLOOKUP(D2428,'Team Data'!C:AB,5,FALSE),"")</f>
        <v/>
      </c>
      <c r="G2428" t="str">
        <f>IFERROR(VLOOKUP('OB Format'!D2428,'Team Data'!C:AB,17,FALSE),"")</f>
        <v/>
      </c>
      <c r="H2428" t="str">
        <f>IFERROR(VLOOKUP(D2428,'Team Data'!C:AB,7,FALSE),"")</f>
        <v/>
      </c>
      <c r="I2428" t="str">
        <f>IFERROR(VLOOKUP(D2428,'Team Data'!C:AB,14,FALSE),"")</f>
        <v/>
      </c>
      <c r="J2428" t="str">
        <f>IFERROR(VLOOKUP(D2428,'Team Data'!C:AB,8,FALSE),"")</f>
        <v/>
      </c>
      <c r="K2428" t="str">
        <f>IFERROR(VLOOKUP(D2428,'Team Data'!C:AB,9,FALSE),"")</f>
        <v/>
      </c>
      <c r="L2428" t="str">
        <f>IFERROR(VLOOKUP(D2428,'Team Data'!C:AB,10,FALSE),"")</f>
        <v/>
      </c>
      <c r="M2428" t="str">
        <f t="shared" si="76"/>
        <v/>
      </c>
      <c r="N2428" t="str">
        <f>IFERROR(VLOOKUP(D2428,'Team Data'!C:AB,23,FALSE),"")</f>
        <v/>
      </c>
      <c r="O2428" t="str">
        <f>IFERROR(VLOOKUP(D2428,'Team Data'!C:AB,22,FALSE),"")</f>
        <v/>
      </c>
      <c r="P2428" t="str">
        <f t="shared" si="77"/>
        <v/>
      </c>
      <c r="Q2428" t="str">
        <f>IFERROR(VLOOKUP(D2428,'Team Data'!C:AB,15,FALSE),"")</f>
        <v/>
      </c>
      <c r="R2428" t="str">
        <f>IFERROR(VLOOKUP('OB Format'!D2428,'Team Data'!C:AB,24,FALSE),"")</f>
        <v/>
      </c>
      <c r="S2428" t="str">
        <f>IFERROR(VLOOKUP('OB Format'!D2428,'Team Data'!C:AC,25,FALSE),"")</f>
        <v/>
      </c>
    </row>
    <row r="2429" spans="5:19" x14ac:dyDescent="0.25">
      <c r="E2429" t="str">
        <f>IFERROR(VLOOKUP(D2429,'Team Data'!C:AB,4,FALSE),"")</f>
        <v/>
      </c>
      <c r="F2429" t="str">
        <f>IFERROR(VLOOKUP(D2429,'Team Data'!C:AB,5,FALSE),"")</f>
        <v/>
      </c>
      <c r="G2429" t="str">
        <f>IFERROR(VLOOKUP('OB Format'!D2429,'Team Data'!C:AB,17,FALSE),"")</f>
        <v/>
      </c>
      <c r="H2429" t="str">
        <f>IFERROR(VLOOKUP(D2429,'Team Data'!C:AB,7,FALSE),"")</f>
        <v/>
      </c>
      <c r="I2429" t="str">
        <f>IFERROR(VLOOKUP(D2429,'Team Data'!C:AB,14,FALSE),"")</f>
        <v/>
      </c>
      <c r="J2429" t="str">
        <f>IFERROR(VLOOKUP(D2429,'Team Data'!C:AB,8,FALSE),"")</f>
        <v/>
      </c>
      <c r="K2429" t="str">
        <f>IFERROR(VLOOKUP(D2429,'Team Data'!C:AB,9,FALSE),"")</f>
        <v/>
      </c>
      <c r="L2429" t="str">
        <f>IFERROR(VLOOKUP(D2429,'Team Data'!C:AB,10,FALSE),"")</f>
        <v/>
      </c>
      <c r="M2429" t="str">
        <f t="shared" si="76"/>
        <v/>
      </c>
      <c r="N2429" t="str">
        <f>IFERROR(VLOOKUP(D2429,'Team Data'!C:AB,23,FALSE),"")</f>
        <v/>
      </c>
      <c r="O2429" t="str">
        <f>IFERROR(VLOOKUP(D2429,'Team Data'!C:AB,22,FALSE),"")</f>
        <v/>
      </c>
      <c r="P2429" t="str">
        <f t="shared" si="77"/>
        <v/>
      </c>
      <c r="Q2429" t="str">
        <f>IFERROR(VLOOKUP(D2429,'Team Data'!C:AB,15,FALSE),"")</f>
        <v/>
      </c>
      <c r="R2429" t="str">
        <f>IFERROR(VLOOKUP('OB Format'!D2429,'Team Data'!C:AB,24,FALSE),"")</f>
        <v/>
      </c>
      <c r="S2429" t="str">
        <f>IFERROR(VLOOKUP('OB Format'!D2429,'Team Data'!C:AC,25,FALSE),"")</f>
        <v/>
      </c>
    </row>
    <row r="2430" spans="5:19" x14ac:dyDescent="0.25">
      <c r="E2430" t="str">
        <f>IFERROR(VLOOKUP(D2430,'Team Data'!C:AB,4,FALSE),"")</f>
        <v/>
      </c>
      <c r="F2430" t="str">
        <f>IFERROR(VLOOKUP(D2430,'Team Data'!C:AB,5,FALSE),"")</f>
        <v/>
      </c>
      <c r="G2430" t="str">
        <f>IFERROR(VLOOKUP('OB Format'!D2430,'Team Data'!C:AB,17,FALSE),"")</f>
        <v/>
      </c>
      <c r="H2430" t="str">
        <f>IFERROR(VLOOKUP(D2430,'Team Data'!C:AB,7,FALSE),"")</f>
        <v/>
      </c>
      <c r="I2430" t="str">
        <f>IFERROR(VLOOKUP(D2430,'Team Data'!C:AB,14,FALSE),"")</f>
        <v/>
      </c>
      <c r="J2430" t="str">
        <f>IFERROR(VLOOKUP(D2430,'Team Data'!C:AB,8,FALSE),"")</f>
        <v/>
      </c>
      <c r="K2430" t="str">
        <f>IFERROR(VLOOKUP(D2430,'Team Data'!C:AB,9,FALSE),"")</f>
        <v/>
      </c>
      <c r="L2430" t="str">
        <f>IFERROR(VLOOKUP(D2430,'Team Data'!C:AB,10,FALSE),"")</f>
        <v/>
      </c>
      <c r="M2430" t="str">
        <f t="shared" si="76"/>
        <v/>
      </c>
      <c r="N2430" t="str">
        <f>IFERROR(VLOOKUP(D2430,'Team Data'!C:AB,23,FALSE),"")</f>
        <v/>
      </c>
      <c r="O2430" t="str">
        <f>IFERROR(VLOOKUP(D2430,'Team Data'!C:AB,22,FALSE),"")</f>
        <v/>
      </c>
      <c r="P2430" t="str">
        <f t="shared" si="77"/>
        <v/>
      </c>
      <c r="Q2430" t="str">
        <f>IFERROR(VLOOKUP(D2430,'Team Data'!C:AB,15,FALSE),"")</f>
        <v/>
      </c>
      <c r="R2430" t="str">
        <f>IFERROR(VLOOKUP('OB Format'!D2430,'Team Data'!C:AB,24,FALSE),"")</f>
        <v/>
      </c>
      <c r="S2430" t="str">
        <f>IFERROR(VLOOKUP('OB Format'!D2430,'Team Data'!C:AC,25,FALSE),"")</f>
        <v/>
      </c>
    </row>
    <row r="2431" spans="5:19" x14ac:dyDescent="0.25">
      <c r="E2431" t="str">
        <f>IFERROR(VLOOKUP(D2431,'Team Data'!C:AB,4,FALSE),"")</f>
        <v/>
      </c>
      <c r="F2431" t="str">
        <f>IFERROR(VLOOKUP(D2431,'Team Data'!C:AB,5,FALSE),"")</f>
        <v/>
      </c>
      <c r="G2431" t="str">
        <f>IFERROR(VLOOKUP('OB Format'!D2431,'Team Data'!C:AB,17,FALSE),"")</f>
        <v/>
      </c>
      <c r="H2431" t="str">
        <f>IFERROR(VLOOKUP(D2431,'Team Data'!C:AB,7,FALSE),"")</f>
        <v/>
      </c>
      <c r="I2431" t="str">
        <f>IFERROR(VLOOKUP(D2431,'Team Data'!C:AB,14,FALSE),"")</f>
        <v/>
      </c>
      <c r="J2431" t="str">
        <f>IFERROR(VLOOKUP(D2431,'Team Data'!C:AB,8,FALSE),"")</f>
        <v/>
      </c>
      <c r="K2431" t="str">
        <f>IFERROR(VLOOKUP(D2431,'Team Data'!C:AB,9,FALSE),"")</f>
        <v/>
      </c>
      <c r="L2431" t="str">
        <f>IFERROR(VLOOKUP(D2431,'Team Data'!C:AB,10,FALSE),"")</f>
        <v/>
      </c>
      <c r="M2431" t="str">
        <f t="shared" si="76"/>
        <v/>
      </c>
      <c r="N2431" t="str">
        <f>IFERROR(VLOOKUP(D2431,'Team Data'!C:AB,23,FALSE),"")</f>
        <v/>
      </c>
      <c r="O2431" t="str">
        <f>IFERROR(VLOOKUP(D2431,'Team Data'!C:AB,22,FALSE),"")</f>
        <v/>
      </c>
      <c r="P2431" t="str">
        <f t="shared" si="77"/>
        <v/>
      </c>
      <c r="Q2431" t="str">
        <f>IFERROR(VLOOKUP(D2431,'Team Data'!C:AB,15,FALSE),"")</f>
        <v/>
      </c>
      <c r="R2431" t="str">
        <f>IFERROR(VLOOKUP('OB Format'!D2431,'Team Data'!C:AB,24,FALSE),"")</f>
        <v/>
      </c>
      <c r="S2431" t="str">
        <f>IFERROR(VLOOKUP('OB Format'!D2431,'Team Data'!C:AC,25,FALSE),"")</f>
        <v/>
      </c>
    </row>
    <row r="2432" spans="5:19" x14ac:dyDescent="0.25">
      <c r="E2432" t="str">
        <f>IFERROR(VLOOKUP(D2432,'Team Data'!C:AB,4,FALSE),"")</f>
        <v/>
      </c>
      <c r="F2432" t="str">
        <f>IFERROR(VLOOKUP(D2432,'Team Data'!C:AB,5,FALSE),"")</f>
        <v/>
      </c>
      <c r="G2432" t="str">
        <f>IFERROR(VLOOKUP('OB Format'!D2432,'Team Data'!C:AB,17,FALSE),"")</f>
        <v/>
      </c>
      <c r="H2432" t="str">
        <f>IFERROR(VLOOKUP(D2432,'Team Data'!C:AB,7,FALSE),"")</f>
        <v/>
      </c>
      <c r="I2432" t="str">
        <f>IFERROR(VLOOKUP(D2432,'Team Data'!C:AB,14,FALSE),"")</f>
        <v/>
      </c>
      <c r="J2432" t="str">
        <f>IFERROR(VLOOKUP(D2432,'Team Data'!C:AB,8,FALSE),"")</f>
        <v/>
      </c>
      <c r="K2432" t="str">
        <f>IFERROR(VLOOKUP(D2432,'Team Data'!C:AB,9,FALSE),"")</f>
        <v/>
      </c>
      <c r="L2432" t="str">
        <f>IFERROR(VLOOKUP(D2432,'Team Data'!C:AB,10,FALSE),"")</f>
        <v/>
      </c>
      <c r="M2432" t="str">
        <f t="shared" si="76"/>
        <v/>
      </c>
      <c r="N2432" t="str">
        <f>IFERROR(VLOOKUP(D2432,'Team Data'!C:AB,23,FALSE),"")</f>
        <v/>
      </c>
      <c r="O2432" t="str">
        <f>IFERROR(VLOOKUP(D2432,'Team Data'!C:AB,22,FALSE),"")</f>
        <v/>
      </c>
      <c r="P2432" t="str">
        <f t="shared" si="77"/>
        <v/>
      </c>
      <c r="Q2432" t="str">
        <f>IFERROR(VLOOKUP(D2432,'Team Data'!C:AB,15,FALSE),"")</f>
        <v/>
      </c>
      <c r="R2432" t="str">
        <f>IFERROR(VLOOKUP('OB Format'!D2432,'Team Data'!C:AB,24,FALSE),"")</f>
        <v/>
      </c>
      <c r="S2432" t="str">
        <f>IFERROR(VLOOKUP('OB Format'!D2432,'Team Data'!C:AC,25,FALSE),"")</f>
        <v/>
      </c>
    </row>
    <row r="2433" spans="5:19" x14ac:dyDescent="0.25">
      <c r="E2433" t="str">
        <f>IFERROR(VLOOKUP(D2433,'Team Data'!C:AB,4,FALSE),"")</f>
        <v/>
      </c>
      <c r="F2433" t="str">
        <f>IFERROR(VLOOKUP(D2433,'Team Data'!C:AB,5,FALSE),"")</f>
        <v/>
      </c>
      <c r="G2433" t="str">
        <f>IFERROR(VLOOKUP('OB Format'!D2433,'Team Data'!C:AB,17,FALSE),"")</f>
        <v/>
      </c>
      <c r="H2433" t="str">
        <f>IFERROR(VLOOKUP(D2433,'Team Data'!C:AB,7,FALSE),"")</f>
        <v/>
      </c>
      <c r="I2433" t="str">
        <f>IFERROR(VLOOKUP(D2433,'Team Data'!C:AB,14,FALSE),"")</f>
        <v/>
      </c>
      <c r="J2433" t="str">
        <f>IFERROR(VLOOKUP(D2433,'Team Data'!C:AB,8,FALSE),"")</f>
        <v/>
      </c>
      <c r="K2433" t="str">
        <f>IFERROR(VLOOKUP(D2433,'Team Data'!C:AB,9,FALSE),"")</f>
        <v/>
      </c>
      <c r="L2433" t="str">
        <f>IFERROR(VLOOKUP(D2433,'Team Data'!C:AB,10,FALSE),"")</f>
        <v/>
      </c>
      <c r="M2433" t="str">
        <f t="shared" si="76"/>
        <v/>
      </c>
      <c r="N2433" t="str">
        <f>IFERROR(VLOOKUP(D2433,'Team Data'!C:AB,23,FALSE),"")</f>
        <v/>
      </c>
      <c r="O2433" t="str">
        <f>IFERROR(VLOOKUP(D2433,'Team Data'!C:AB,22,FALSE),"")</f>
        <v/>
      </c>
      <c r="P2433" t="str">
        <f t="shared" si="77"/>
        <v/>
      </c>
      <c r="Q2433" t="str">
        <f>IFERROR(VLOOKUP(D2433,'Team Data'!C:AB,15,FALSE),"")</f>
        <v/>
      </c>
      <c r="R2433" t="str">
        <f>IFERROR(VLOOKUP('OB Format'!D2433,'Team Data'!C:AB,24,FALSE),"")</f>
        <v/>
      </c>
      <c r="S2433" t="str">
        <f>IFERROR(VLOOKUP('OB Format'!D2433,'Team Data'!C:AC,25,FALSE),"")</f>
        <v/>
      </c>
    </row>
    <row r="2434" spans="5:19" x14ac:dyDescent="0.25">
      <c r="E2434" t="str">
        <f>IFERROR(VLOOKUP(D2434,'Team Data'!C:AB,4,FALSE),"")</f>
        <v/>
      </c>
      <c r="F2434" t="str">
        <f>IFERROR(VLOOKUP(D2434,'Team Data'!C:AB,5,FALSE),"")</f>
        <v/>
      </c>
      <c r="G2434" t="str">
        <f>IFERROR(VLOOKUP('OB Format'!D2434,'Team Data'!C:AB,17,FALSE),"")</f>
        <v/>
      </c>
      <c r="H2434" t="str">
        <f>IFERROR(VLOOKUP(D2434,'Team Data'!C:AB,7,FALSE),"")</f>
        <v/>
      </c>
      <c r="I2434" t="str">
        <f>IFERROR(VLOOKUP(D2434,'Team Data'!C:AB,14,FALSE),"")</f>
        <v/>
      </c>
      <c r="J2434" t="str">
        <f>IFERROR(VLOOKUP(D2434,'Team Data'!C:AB,8,FALSE),"")</f>
        <v/>
      </c>
      <c r="K2434" t="str">
        <f>IFERROR(VLOOKUP(D2434,'Team Data'!C:AB,9,FALSE),"")</f>
        <v/>
      </c>
      <c r="L2434" t="str">
        <f>IFERROR(VLOOKUP(D2434,'Team Data'!C:AB,10,FALSE),"")</f>
        <v/>
      </c>
      <c r="M2434" t="str">
        <f t="shared" si="76"/>
        <v/>
      </c>
      <c r="N2434" t="str">
        <f>IFERROR(VLOOKUP(D2434,'Team Data'!C:AB,23,FALSE),"")</f>
        <v/>
      </c>
      <c r="O2434" t="str">
        <f>IFERROR(VLOOKUP(D2434,'Team Data'!C:AB,22,FALSE),"")</f>
        <v/>
      </c>
      <c r="P2434" t="str">
        <f t="shared" si="77"/>
        <v/>
      </c>
      <c r="Q2434" t="str">
        <f>IFERROR(VLOOKUP(D2434,'Team Data'!C:AB,15,FALSE),"")</f>
        <v/>
      </c>
      <c r="R2434" t="str">
        <f>IFERROR(VLOOKUP('OB Format'!D2434,'Team Data'!C:AB,24,FALSE),"")</f>
        <v/>
      </c>
      <c r="S2434" t="str">
        <f>IFERROR(VLOOKUP('OB Format'!D2434,'Team Data'!C:AC,25,FALSE),"")</f>
        <v/>
      </c>
    </row>
    <row r="2435" spans="5:19" x14ac:dyDescent="0.25">
      <c r="E2435" t="str">
        <f>IFERROR(VLOOKUP(D2435,'Team Data'!C:AB,4,FALSE),"")</f>
        <v/>
      </c>
      <c r="F2435" t="str">
        <f>IFERROR(VLOOKUP(D2435,'Team Data'!C:AB,5,FALSE),"")</f>
        <v/>
      </c>
      <c r="G2435" t="str">
        <f>IFERROR(VLOOKUP('OB Format'!D2435,'Team Data'!C:AB,17,FALSE),"")</f>
        <v/>
      </c>
      <c r="H2435" t="str">
        <f>IFERROR(VLOOKUP(D2435,'Team Data'!C:AB,7,FALSE),"")</f>
        <v/>
      </c>
      <c r="I2435" t="str">
        <f>IFERROR(VLOOKUP(D2435,'Team Data'!C:AB,14,FALSE),"")</f>
        <v/>
      </c>
      <c r="J2435" t="str">
        <f>IFERROR(VLOOKUP(D2435,'Team Data'!C:AB,8,FALSE),"")</f>
        <v/>
      </c>
      <c r="K2435" t="str">
        <f>IFERROR(VLOOKUP(D2435,'Team Data'!C:AB,9,FALSE),"")</f>
        <v/>
      </c>
      <c r="L2435" t="str">
        <f>IFERROR(VLOOKUP(D2435,'Team Data'!C:AB,10,FALSE),"")</f>
        <v/>
      </c>
      <c r="M2435" t="str">
        <f t="shared" si="76"/>
        <v/>
      </c>
      <c r="N2435" t="str">
        <f>IFERROR(VLOOKUP(D2435,'Team Data'!C:AB,23,FALSE),"")</f>
        <v/>
      </c>
      <c r="O2435" t="str">
        <f>IFERROR(VLOOKUP(D2435,'Team Data'!C:AB,22,FALSE),"")</f>
        <v/>
      </c>
      <c r="P2435" t="str">
        <f t="shared" si="77"/>
        <v/>
      </c>
      <c r="Q2435" t="str">
        <f>IFERROR(VLOOKUP(D2435,'Team Data'!C:AB,15,FALSE),"")</f>
        <v/>
      </c>
      <c r="R2435" t="str">
        <f>IFERROR(VLOOKUP('OB Format'!D2435,'Team Data'!C:AB,24,FALSE),"")</f>
        <v/>
      </c>
      <c r="S2435" t="str">
        <f>IFERROR(VLOOKUP('OB Format'!D2435,'Team Data'!C:AC,25,FALSE),"")</f>
        <v/>
      </c>
    </row>
    <row r="2436" spans="5:19" x14ac:dyDescent="0.25">
      <c r="E2436" t="str">
        <f>IFERROR(VLOOKUP(D2436,'Team Data'!C:AB,4,FALSE),"")</f>
        <v/>
      </c>
      <c r="F2436" t="str">
        <f>IFERROR(VLOOKUP(D2436,'Team Data'!C:AB,5,FALSE),"")</f>
        <v/>
      </c>
      <c r="G2436" t="str">
        <f>IFERROR(VLOOKUP('OB Format'!D2436,'Team Data'!C:AB,17,FALSE),"")</f>
        <v/>
      </c>
      <c r="H2436" t="str">
        <f>IFERROR(VLOOKUP(D2436,'Team Data'!C:AB,7,FALSE),"")</f>
        <v/>
      </c>
      <c r="I2436" t="str">
        <f>IFERROR(VLOOKUP(D2436,'Team Data'!C:AB,14,FALSE),"")</f>
        <v/>
      </c>
      <c r="J2436" t="str">
        <f>IFERROR(VLOOKUP(D2436,'Team Data'!C:AB,8,FALSE),"")</f>
        <v/>
      </c>
      <c r="K2436" t="str">
        <f>IFERROR(VLOOKUP(D2436,'Team Data'!C:AB,9,FALSE),"")</f>
        <v/>
      </c>
      <c r="L2436" t="str">
        <f>IFERROR(VLOOKUP(D2436,'Team Data'!C:AB,10,FALSE),"")</f>
        <v/>
      </c>
      <c r="M2436" t="str">
        <f t="shared" si="76"/>
        <v/>
      </c>
      <c r="N2436" t="str">
        <f>IFERROR(VLOOKUP(D2436,'Team Data'!C:AB,23,FALSE),"")</f>
        <v/>
      </c>
      <c r="O2436" t="str">
        <f>IFERROR(VLOOKUP(D2436,'Team Data'!C:AB,22,FALSE),"")</f>
        <v/>
      </c>
      <c r="P2436" t="str">
        <f t="shared" si="77"/>
        <v/>
      </c>
      <c r="Q2436" t="str">
        <f>IFERROR(VLOOKUP(D2436,'Team Data'!C:AB,15,FALSE),"")</f>
        <v/>
      </c>
      <c r="R2436" t="str">
        <f>IFERROR(VLOOKUP('OB Format'!D2436,'Team Data'!C:AB,24,FALSE),"")</f>
        <v/>
      </c>
      <c r="S2436" t="str">
        <f>IFERROR(VLOOKUP('OB Format'!D2436,'Team Data'!C:AC,25,FALSE),"")</f>
        <v/>
      </c>
    </row>
    <row r="2437" spans="5:19" x14ac:dyDescent="0.25">
      <c r="E2437" t="str">
        <f>IFERROR(VLOOKUP(D2437,'Team Data'!C:AB,4,FALSE),"")</f>
        <v/>
      </c>
      <c r="F2437" t="str">
        <f>IFERROR(VLOOKUP(D2437,'Team Data'!C:AB,5,FALSE),"")</f>
        <v/>
      </c>
      <c r="G2437" t="str">
        <f>IFERROR(VLOOKUP('OB Format'!D2437,'Team Data'!C:AB,17,FALSE),"")</f>
        <v/>
      </c>
      <c r="H2437" t="str">
        <f>IFERROR(VLOOKUP(D2437,'Team Data'!C:AB,7,FALSE),"")</f>
        <v/>
      </c>
      <c r="I2437" t="str">
        <f>IFERROR(VLOOKUP(D2437,'Team Data'!C:AB,14,FALSE),"")</f>
        <v/>
      </c>
      <c r="J2437" t="str">
        <f>IFERROR(VLOOKUP(D2437,'Team Data'!C:AB,8,FALSE),"")</f>
        <v/>
      </c>
      <c r="K2437" t="str">
        <f>IFERROR(VLOOKUP(D2437,'Team Data'!C:AB,9,FALSE),"")</f>
        <v/>
      </c>
      <c r="L2437" t="str">
        <f>IFERROR(VLOOKUP(D2437,'Team Data'!C:AB,10,FALSE),"")</f>
        <v/>
      </c>
      <c r="M2437" t="str">
        <f t="shared" si="76"/>
        <v/>
      </c>
      <c r="N2437" t="str">
        <f>IFERROR(VLOOKUP(D2437,'Team Data'!C:AB,23,FALSE),"")</f>
        <v/>
      </c>
      <c r="O2437" t="str">
        <f>IFERROR(VLOOKUP(D2437,'Team Data'!C:AB,22,FALSE),"")</f>
        <v/>
      </c>
      <c r="P2437" t="str">
        <f t="shared" si="77"/>
        <v/>
      </c>
      <c r="Q2437" t="str">
        <f>IFERROR(VLOOKUP(D2437,'Team Data'!C:AB,15,FALSE),"")</f>
        <v/>
      </c>
      <c r="R2437" t="str">
        <f>IFERROR(VLOOKUP('OB Format'!D2437,'Team Data'!C:AB,24,FALSE),"")</f>
        <v/>
      </c>
      <c r="S2437" t="str">
        <f>IFERROR(VLOOKUP('OB Format'!D2437,'Team Data'!C:AC,25,FALSE),"")</f>
        <v/>
      </c>
    </row>
    <row r="2438" spans="5:19" x14ac:dyDescent="0.25">
      <c r="E2438" t="str">
        <f>IFERROR(VLOOKUP(D2438,'Team Data'!C:AB,4,FALSE),"")</f>
        <v/>
      </c>
      <c r="F2438" t="str">
        <f>IFERROR(VLOOKUP(D2438,'Team Data'!C:AB,5,FALSE),"")</f>
        <v/>
      </c>
      <c r="G2438" t="str">
        <f>IFERROR(VLOOKUP('OB Format'!D2438,'Team Data'!C:AB,17,FALSE),"")</f>
        <v/>
      </c>
      <c r="H2438" t="str">
        <f>IFERROR(VLOOKUP(D2438,'Team Data'!C:AB,7,FALSE),"")</f>
        <v/>
      </c>
      <c r="I2438" t="str">
        <f>IFERROR(VLOOKUP(D2438,'Team Data'!C:AB,14,FALSE),"")</f>
        <v/>
      </c>
      <c r="J2438" t="str">
        <f>IFERROR(VLOOKUP(D2438,'Team Data'!C:AB,8,FALSE),"")</f>
        <v/>
      </c>
      <c r="K2438" t="str">
        <f>IFERROR(VLOOKUP(D2438,'Team Data'!C:AB,9,FALSE),"")</f>
        <v/>
      </c>
      <c r="L2438" t="str">
        <f>IFERROR(VLOOKUP(D2438,'Team Data'!C:AB,10,FALSE),"")</f>
        <v/>
      </c>
      <c r="M2438" t="str">
        <f t="shared" si="76"/>
        <v/>
      </c>
      <c r="N2438" t="str">
        <f>IFERROR(VLOOKUP(D2438,'Team Data'!C:AB,23,FALSE),"")</f>
        <v/>
      </c>
      <c r="O2438" t="str">
        <f>IFERROR(VLOOKUP(D2438,'Team Data'!C:AB,22,FALSE),"")</f>
        <v/>
      </c>
      <c r="P2438" t="str">
        <f t="shared" si="77"/>
        <v/>
      </c>
      <c r="Q2438" t="str">
        <f>IFERROR(VLOOKUP(D2438,'Team Data'!C:AB,15,FALSE),"")</f>
        <v/>
      </c>
      <c r="R2438" t="str">
        <f>IFERROR(VLOOKUP('OB Format'!D2438,'Team Data'!C:AB,24,FALSE),"")</f>
        <v/>
      </c>
      <c r="S2438" t="str">
        <f>IFERROR(VLOOKUP('OB Format'!D2438,'Team Data'!C:AC,25,FALSE),"")</f>
        <v/>
      </c>
    </row>
    <row r="2439" spans="5:19" x14ac:dyDescent="0.25">
      <c r="E2439" t="str">
        <f>IFERROR(VLOOKUP(D2439,'Team Data'!C:AB,4,FALSE),"")</f>
        <v/>
      </c>
      <c r="F2439" t="str">
        <f>IFERROR(VLOOKUP(D2439,'Team Data'!C:AB,5,FALSE),"")</f>
        <v/>
      </c>
      <c r="G2439" t="str">
        <f>IFERROR(VLOOKUP('OB Format'!D2439,'Team Data'!C:AB,17,FALSE),"")</f>
        <v/>
      </c>
      <c r="H2439" t="str">
        <f>IFERROR(VLOOKUP(D2439,'Team Data'!C:AB,7,FALSE),"")</f>
        <v/>
      </c>
      <c r="I2439" t="str">
        <f>IFERROR(VLOOKUP(D2439,'Team Data'!C:AB,14,FALSE),"")</f>
        <v/>
      </c>
      <c r="J2439" t="str">
        <f>IFERROR(VLOOKUP(D2439,'Team Data'!C:AB,8,FALSE),"")</f>
        <v/>
      </c>
      <c r="K2439" t="str">
        <f>IFERROR(VLOOKUP(D2439,'Team Data'!C:AB,9,FALSE),"")</f>
        <v/>
      </c>
      <c r="L2439" t="str">
        <f>IFERROR(VLOOKUP(D2439,'Team Data'!C:AB,10,FALSE),"")</f>
        <v/>
      </c>
      <c r="M2439" t="str">
        <f t="shared" si="76"/>
        <v/>
      </c>
      <c r="N2439" t="str">
        <f>IFERROR(VLOOKUP(D2439,'Team Data'!C:AB,23,FALSE),"")</f>
        <v/>
      </c>
      <c r="O2439" t="str">
        <f>IFERROR(VLOOKUP(D2439,'Team Data'!C:AB,22,FALSE),"")</f>
        <v/>
      </c>
      <c r="P2439" t="str">
        <f t="shared" si="77"/>
        <v/>
      </c>
      <c r="Q2439" t="str">
        <f>IFERROR(VLOOKUP(D2439,'Team Data'!C:AB,15,FALSE),"")</f>
        <v/>
      </c>
      <c r="R2439" t="str">
        <f>IFERROR(VLOOKUP('OB Format'!D2439,'Team Data'!C:AB,24,FALSE),"")</f>
        <v/>
      </c>
      <c r="S2439" t="str">
        <f>IFERROR(VLOOKUP('OB Format'!D2439,'Team Data'!C:AC,25,FALSE),"")</f>
        <v/>
      </c>
    </row>
    <row r="2440" spans="5:19" x14ac:dyDescent="0.25">
      <c r="E2440" t="str">
        <f>IFERROR(VLOOKUP(D2440,'Team Data'!C:AB,4,FALSE),"")</f>
        <v/>
      </c>
      <c r="F2440" t="str">
        <f>IFERROR(VLOOKUP(D2440,'Team Data'!C:AB,5,FALSE),"")</f>
        <v/>
      </c>
      <c r="G2440" t="str">
        <f>IFERROR(VLOOKUP('OB Format'!D2440,'Team Data'!C:AB,17,FALSE),"")</f>
        <v/>
      </c>
      <c r="H2440" t="str">
        <f>IFERROR(VLOOKUP(D2440,'Team Data'!C:AB,7,FALSE),"")</f>
        <v/>
      </c>
      <c r="I2440" t="str">
        <f>IFERROR(VLOOKUP(D2440,'Team Data'!C:AB,14,FALSE),"")</f>
        <v/>
      </c>
      <c r="J2440" t="str">
        <f>IFERROR(VLOOKUP(D2440,'Team Data'!C:AB,8,FALSE),"")</f>
        <v/>
      </c>
      <c r="K2440" t="str">
        <f>IFERROR(VLOOKUP(D2440,'Team Data'!C:AB,9,FALSE),"")</f>
        <v/>
      </c>
      <c r="L2440" t="str">
        <f>IFERROR(VLOOKUP(D2440,'Team Data'!C:AB,10,FALSE),"")</f>
        <v/>
      </c>
      <c r="M2440" t="str">
        <f t="shared" si="76"/>
        <v/>
      </c>
      <c r="N2440" t="str">
        <f>IFERROR(VLOOKUP(D2440,'Team Data'!C:AB,23,FALSE),"")</f>
        <v/>
      </c>
      <c r="O2440" t="str">
        <f>IFERROR(VLOOKUP(D2440,'Team Data'!C:AB,22,FALSE),"")</f>
        <v/>
      </c>
      <c r="P2440" t="str">
        <f t="shared" si="77"/>
        <v/>
      </c>
      <c r="Q2440" t="str">
        <f>IFERROR(VLOOKUP(D2440,'Team Data'!C:AB,15,FALSE),"")</f>
        <v/>
      </c>
      <c r="R2440" t="str">
        <f>IFERROR(VLOOKUP('OB Format'!D2440,'Team Data'!C:AB,24,FALSE),"")</f>
        <v/>
      </c>
      <c r="S2440" t="str">
        <f>IFERROR(VLOOKUP('OB Format'!D2440,'Team Data'!C:AC,25,FALSE),"")</f>
        <v/>
      </c>
    </row>
    <row r="2441" spans="5:19" x14ac:dyDescent="0.25">
      <c r="E2441" t="str">
        <f>IFERROR(VLOOKUP(D2441,'Team Data'!C:AB,4,FALSE),"")</f>
        <v/>
      </c>
      <c r="F2441" t="str">
        <f>IFERROR(VLOOKUP(D2441,'Team Data'!C:AB,5,FALSE),"")</f>
        <v/>
      </c>
      <c r="G2441" t="str">
        <f>IFERROR(VLOOKUP('OB Format'!D2441,'Team Data'!C:AB,17,FALSE),"")</f>
        <v/>
      </c>
      <c r="H2441" t="str">
        <f>IFERROR(VLOOKUP(D2441,'Team Data'!C:AB,7,FALSE),"")</f>
        <v/>
      </c>
      <c r="I2441" t="str">
        <f>IFERROR(VLOOKUP(D2441,'Team Data'!C:AB,14,FALSE),"")</f>
        <v/>
      </c>
      <c r="J2441" t="str">
        <f>IFERROR(VLOOKUP(D2441,'Team Data'!C:AB,8,FALSE),"")</f>
        <v/>
      </c>
      <c r="K2441" t="str">
        <f>IFERROR(VLOOKUP(D2441,'Team Data'!C:AB,9,FALSE),"")</f>
        <v/>
      </c>
      <c r="L2441" t="str">
        <f>IFERROR(VLOOKUP(D2441,'Team Data'!C:AB,10,FALSE),"")</f>
        <v/>
      </c>
      <c r="M2441" t="str">
        <f t="shared" si="76"/>
        <v/>
      </c>
      <c r="N2441" t="str">
        <f>IFERROR(VLOOKUP(D2441,'Team Data'!C:AB,23,FALSE),"")</f>
        <v/>
      </c>
      <c r="O2441" t="str">
        <f>IFERROR(VLOOKUP(D2441,'Team Data'!C:AB,22,FALSE),"")</f>
        <v/>
      </c>
      <c r="P2441" t="str">
        <f t="shared" si="77"/>
        <v/>
      </c>
      <c r="Q2441" t="str">
        <f>IFERROR(VLOOKUP(D2441,'Team Data'!C:AB,15,FALSE),"")</f>
        <v/>
      </c>
      <c r="R2441" t="str">
        <f>IFERROR(VLOOKUP('OB Format'!D2441,'Team Data'!C:AB,24,FALSE),"")</f>
        <v/>
      </c>
      <c r="S2441" t="str">
        <f>IFERROR(VLOOKUP('OB Format'!D2441,'Team Data'!C:AC,25,FALSE),"")</f>
        <v/>
      </c>
    </row>
    <row r="2442" spans="5:19" x14ac:dyDescent="0.25">
      <c r="E2442" t="str">
        <f>IFERROR(VLOOKUP(D2442,'Team Data'!C:AB,4,FALSE),"")</f>
        <v/>
      </c>
      <c r="F2442" t="str">
        <f>IFERROR(VLOOKUP(D2442,'Team Data'!C:AB,5,FALSE),"")</f>
        <v/>
      </c>
      <c r="G2442" t="str">
        <f>IFERROR(VLOOKUP('OB Format'!D2442,'Team Data'!C:AB,17,FALSE),"")</f>
        <v/>
      </c>
      <c r="H2442" t="str">
        <f>IFERROR(VLOOKUP(D2442,'Team Data'!C:AB,7,FALSE),"")</f>
        <v/>
      </c>
      <c r="I2442" t="str">
        <f>IFERROR(VLOOKUP(D2442,'Team Data'!C:AB,14,FALSE),"")</f>
        <v/>
      </c>
      <c r="J2442" t="str">
        <f>IFERROR(VLOOKUP(D2442,'Team Data'!C:AB,8,FALSE),"")</f>
        <v/>
      </c>
      <c r="K2442" t="str">
        <f>IFERROR(VLOOKUP(D2442,'Team Data'!C:AB,9,FALSE),"")</f>
        <v/>
      </c>
      <c r="L2442" t="str">
        <f>IFERROR(VLOOKUP(D2442,'Team Data'!C:AB,10,FALSE),"")</f>
        <v/>
      </c>
      <c r="M2442" t="str">
        <f t="shared" si="76"/>
        <v/>
      </c>
      <c r="N2442" t="str">
        <f>IFERROR(VLOOKUP(D2442,'Team Data'!C:AB,23,FALSE),"")</f>
        <v/>
      </c>
      <c r="O2442" t="str">
        <f>IFERROR(VLOOKUP(D2442,'Team Data'!C:AB,22,FALSE),"")</f>
        <v/>
      </c>
      <c r="P2442" t="str">
        <f t="shared" si="77"/>
        <v/>
      </c>
      <c r="Q2442" t="str">
        <f>IFERROR(VLOOKUP(D2442,'Team Data'!C:AB,15,FALSE),"")</f>
        <v/>
      </c>
      <c r="R2442" t="str">
        <f>IFERROR(VLOOKUP('OB Format'!D2442,'Team Data'!C:AB,24,FALSE),"")</f>
        <v/>
      </c>
      <c r="S2442" t="str">
        <f>IFERROR(VLOOKUP('OB Format'!D2442,'Team Data'!C:AC,25,FALSE),"")</f>
        <v/>
      </c>
    </row>
    <row r="2443" spans="5:19" x14ac:dyDescent="0.25">
      <c r="E2443" t="str">
        <f>IFERROR(VLOOKUP(D2443,'Team Data'!C:AB,4,FALSE),"")</f>
        <v/>
      </c>
      <c r="F2443" t="str">
        <f>IFERROR(VLOOKUP(D2443,'Team Data'!C:AB,5,FALSE),"")</f>
        <v/>
      </c>
      <c r="G2443" t="str">
        <f>IFERROR(VLOOKUP('OB Format'!D2443,'Team Data'!C:AB,17,FALSE),"")</f>
        <v/>
      </c>
      <c r="H2443" t="str">
        <f>IFERROR(VLOOKUP(D2443,'Team Data'!C:AB,7,FALSE),"")</f>
        <v/>
      </c>
      <c r="I2443" t="str">
        <f>IFERROR(VLOOKUP(D2443,'Team Data'!C:AB,14,FALSE),"")</f>
        <v/>
      </c>
      <c r="J2443" t="str">
        <f>IFERROR(VLOOKUP(D2443,'Team Data'!C:AB,8,FALSE),"")</f>
        <v/>
      </c>
      <c r="K2443" t="str">
        <f>IFERROR(VLOOKUP(D2443,'Team Data'!C:AB,9,FALSE),"")</f>
        <v/>
      </c>
      <c r="L2443" t="str">
        <f>IFERROR(VLOOKUP(D2443,'Team Data'!C:AB,10,FALSE),"")</f>
        <v/>
      </c>
      <c r="M2443" t="str">
        <f t="shared" si="76"/>
        <v/>
      </c>
      <c r="N2443" t="str">
        <f>IFERROR(VLOOKUP(D2443,'Team Data'!C:AB,23,FALSE),"")</f>
        <v/>
      </c>
      <c r="O2443" t="str">
        <f>IFERROR(VLOOKUP(D2443,'Team Data'!C:AB,22,FALSE),"")</f>
        <v/>
      </c>
      <c r="P2443" t="str">
        <f t="shared" si="77"/>
        <v/>
      </c>
      <c r="Q2443" t="str">
        <f>IFERROR(VLOOKUP(D2443,'Team Data'!C:AB,15,FALSE),"")</f>
        <v/>
      </c>
      <c r="R2443" t="str">
        <f>IFERROR(VLOOKUP('OB Format'!D2443,'Team Data'!C:AB,24,FALSE),"")</f>
        <v/>
      </c>
      <c r="S2443" t="str">
        <f>IFERROR(VLOOKUP('OB Format'!D2443,'Team Data'!C:AC,25,FALSE),"")</f>
        <v/>
      </c>
    </row>
    <row r="2444" spans="5:19" x14ac:dyDescent="0.25">
      <c r="E2444" t="str">
        <f>IFERROR(VLOOKUP(D2444,'Team Data'!C:AB,4,FALSE),"")</f>
        <v/>
      </c>
      <c r="F2444" t="str">
        <f>IFERROR(VLOOKUP(D2444,'Team Data'!C:AB,5,FALSE),"")</f>
        <v/>
      </c>
      <c r="G2444" t="str">
        <f>IFERROR(VLOOKUP('OB Format'!D2444,'Team Data'!C:AB,17,FALSE),"")</f>
        <v/>
      </c>
      <c r="H2444" t="str">
        <f>IFERROR(VLOOKUP(D2444,'Team Data'!C:AB,7,FALSE),"")</f>
        <v/>
      </c>
      <c r="I2444" t="str">
        <f>IFERROR(VLOOKUP(D2444,'Team Data'!C:AB,14,FALSE),"")</f>
        <v/>
      </c>
      <c r="J2444" t="str">
        <f>IFERROR(VLOOKUP(D2444,'Team Data'!C:AB,8,FALSE),"")</f>
        <v/>
      </c>
      <c r="K2444" t="str">
        <f>IFERROR(VLOOKUP(D2444,'Team Data'!C:AB,9,FALSE),"")</f>
        <v/>
      </c>
      <c r="L2444" t="str">
        <f>IFERROR(VLOOKUP(D2444,'Team Data'!C:AB,10,FALSE),"")</f>
        <v/>
      </c>
      <c r="M2444" t="str">
        <f t="shared" si="76"/>
        <v/>
      </c>
      <c r="N2444" t="str">
        <f>IFERROR(VLOOKUP(D2444,'Team Data'!C:AB,23,FALSE),"")</f>
        <v/>
      </c>
      <c r="O2444" t="str">
        <f>IFERROR(VLOOKUP(D2444,'Team Data'!C:AB,22,FALSE),"")</f>
        <v/>
      </c>
      <c r="P2444" t="str">
        <f t="shared" si="77"/>
        <v/>
      </c>
      <c r="Q2444" t="str">
        <f>IFERROR(VLOOKUP(D2444,'Team Data'!C:AB,15,FALSE),"")</f>
        <v/>
      </c>
      <c r="R2444" t="str">
        <f>IFERROR(VLOOKUP('OB Format'!D2444,'Team Data'!C:AB,24,FALSE),"")</f>
        <v/>
      </c>
      <c r="S2444" t="str">
        <f>IFERROR(VLOOKUP('OB Format'!D2444,'Team Data'!C:AC,25,FALSE),"")</f>
        <v/>
      </c>
    </row>
    <row r="2445" spans="5:19" x14ac:dyDescent="0.25">
      <c r="E2445" t="str">
        <f>IFERROR(VLOOKUP(D2445,'Team Data'!C:AB,4,FALSE),"")</f>
        <v/>
      </c>
      <c r="F2445" t="str">
        <f>IFERROR(VLOOKUP(D2445,'Team Data'!C:AB,5,FALSE),"")</f>
        <v/>
      </c>
      <c r="G2445" t="str">
        <f>IFERROR(VLOOKUP('OB Format'!D2445,'Team Data'!C:AB,17,FALSE),"")</f>
        <v/>
      </c>
      <c r="H2445" t="str">
        <f>IFERROR(VLOOKUP(D2445,'Team Data'!C:AB,7,FALSE),"")</f>
        <v/>
      </c>
      <c r="I2445" t="str">
        <f>IFERROR(VLOOKUP(D2445,'Team Data'!C:AB,14,FALSE),"")</f>
        <v/>
      </c>
      <c r="J2445" t="str">
        <f>IFERROR(VLOOKUP(D2445,'Team Data'!C:AB,8,FALSE),"")</f>
        <v/>
      </c>
      <c r="K2445" t="str">
        <f>IFERROR(VLOOKUP(D2445,'Team Data'!C:AB,9,FALSE),"")</f>
        <v/>
      </c>
      <c r="L2445" t="str">
        <f>IFERROR(VLOOKUP(D2445,'Team Data'!C:AB,10,FALSE),"")</f>
        <v/>
      </c>
      <c r="M2445" t="str">
        <f t="shared" ref="M2445:M2508" si="78">IFERROR(H2445-(J2445+L2445+K2445),"")</f>
        <v/>
      </c>
      <c r="N2445" t="str">
        <f>IFERROR(VLOOKUP(D2445,'Team Data'!C:AB,23,FALSE),"")</f>
        <v/>
      </c>
      <c r="O2445" t="str">
        <f>IFERROR(VLOOKUP(D2445,'Team Data'!C:AB,22,FALSE),"")</f>
        <v/>
      </c>
      <c r="P2445" t="str">
        <f t="shared" ref="P2445:P2508" si="79">IFERROR(E2445-(H2445+N2445+Q2445+I2445+O2445),"")</f>
        <v/>
      </c>
      <c r="Q2445" t="str">
        <f>IFERROR(VLOOKUP(D2445,'Team Data'!C:AB,15,FALSE),"")</f>
        <v/>
      </c>
      <c r="R2445" t="str">
        <f>IFERROR(VLOOKUP('OB Format'!D2445,'Team Data'!C:AB,24,FALSE),"")</f>
        <v/>
      </c>
      <c r="S2445" t="str">
        <f>IFERROR(VLOOKUP('OB Format'!D2445,'Team Data'!C:AC,25,FALSE),"")</f>
        <v/>
      </c>
    </row>
    <row r="2446" spans="5:19" x14ac:dyDescent="0.25">
      <c r="E2446" t="str">
        <f>IFERROR(VLOOKUP(D2446,'Team Data'!C:AB,4,FALSE),"")</f>
        <v/>
      </c>
      <c r="F2446" t="str">
        <f>IFERROR(VLOOKUP(D2446,'Team Data'!C:AB,5,FALSE),"")</f>
        <v/>
      </c>
      <c r="G2446" t="str">
        <f>IFERROR(VLOOKUP('OB Format'!D2446,'Team Data'!C:AB,17,FALSE),"")</f>
        <v/>
      </c>
      <c r="H2446" t="str">
        <f>IFERROR(VLOOKUP(D2446,'Team Data'!C:AB,7,FALSE),"")</f>
        <v/>
      </c>
      <c r="I2446" t="str">
        <f>IFERROR(VLOOKUP(D2446,'Team Data'!C:AB,14,FALSE),"")</f>
        <v/>
      </c>
      <c r="J2446" t="str">
        <f>IFERROR(VLOOKUP(D2446,'Team Data'!C:AB,8,FALSE),"")</f>
        <v/>
      </c>
      <c r="K2446" t="str">
        <f>IFERROR(VLOOKUP(D2446,'Team Data'!C:AB,9,FALSE),"")</f>
        <v/>
      </c>
      <c r="L2446" t="str">
        <f>IFERROR(VLOOKUP(D2446,'Team Data'!C:AB,10,FALSE),"")</f>
        <v/>
      </c>
      <c r="M2446" t="str">
        <f t="shared" si="78"/>
        <v/>
      </c>
      <c r="N2446" t="str">
        <f>IFERROR(VLOOKUP(D2446,'Team Data'!C:AB,23,FALSE),"")</f>
        <v/>
      </c>
      <c r="O2446" t="str">
        <f>IFERROR(VLOOKUP(D2446,'Team Data'!C:AB,22,FALSE),"")</f>
        <v/>
      </c>
      <c r="P2446" t="str">
        <f t="shared" si="79"/>
        <v/>
      </c>
      <c r="Q2446" t="str">
        <f>IFERROR(VLOOKUP(D2446,'Team Data'!C:AB,15,FALSE),"")</f>
        <v/>
      </c>
      <c r="R2446" t="str">
        <f>IFERROR(VLOOKUP('OB Format'!D2446,'Team Data'!C:AB,24,FALSE),"")</f>
        <v/>
      </c>
      <c r="S2446" t="str">
        <f>IFERROR(VLOOKUP('OB Format'!D2446,'Team Data'!C:AC,25,FALSE),"")</f>
        <v/>
      </c>
    </row>
    <row r="2447" spans="5:19" x14ac:dyDescent="0.25">
      <c r="E2447" t="str">
        <f>IFERROR(VLOOKUP(D2447,'Team Data'!C:AB,4,FALSE),"")</f>
        <v/>
      </c>
      <c r="F2447" t="str">
        <f>IFERROR(VLOOKUP(D2447,'Team Data'!C:AB,5,FALSE),"")</f>
        <v/>
      </c>
      <c r="G2447" t="str">
        <f>IFERROR(VLOOKUP('OB Format'!D2447,'Team Data'!C:AB,17,FALSE),"")</f>
        <v/>
      </c>
      <c r="H2447" t="str">
        <f>IFERROR(VLOOKUP(D2447,'Team Data'!C:AB,7,FALSE),"")</f>
        <v/>
      </c>
      <c r="I2447" t="str">
        <f>IFERROR(VLOOKUP(D2447,'Team Data'!C:AB,14,FALSE),"")</f>
        <v/>
      </c>
      <c r="J2447" t="str">
        <f>IFERROR(VLOOKUP(D2447,'Team Data'!C:AB,8,FALSE),"")</f>
        <v/>
      </c>
      <c r="K2447" t="str">
        <f>IFERROR(VLOOKUP(D2447,'Team Data'!C:AB,9,FALSE),"")</f>
        <v/>
      </c>
      <c r="L2447" t="str">
        <f>IFERROR(VLOOKUP(D2447,'Team Data'!C:AB,10,FALSE),"")</f>
        <v/>
      </c>
      <c r="M2447" t="str">
        <f t="shared" si="78"/>
        <v/>
      </c>
      <c r="N2447" t="str">
        <f>IFERROR(VLOOKUP(D2447,'Team Data'!C:AB,23,FALSE),"")</f>
        <v/>
      </c>
      <c r="O2447" t="str">
        <f>IFERROR(VLOOKUP(D2447,'Team Data'!C:AB,22,FALSE),"")</f>
        <v/>
      </c>
      <c r="P2447" t="str">
        <f t="shared" si="79"/>
        <v/>
      </c>
      <c r="Q2447" t="str">
        <f>IFERROR(VLOOKUP(D2447,'Team Data'!C:AB,15,FALSE),"")</f>
        <v/>
      </c>
      <c r="R2447" t="str">
        <f>IFERROR(VLOOKUP('OB Format'!D2447,'Team Data'!C:AB,24,FALSE),"")</f>
        <v/>
      </c>
      <c r="S2447" t="str">
        <f>IFERROR(VLOOKUP('OB Format'!D2447,'Team Data'!C:AC,25,FALSE),"")</f>
        <v/>
      </c>
    </row>
    <row r="2448" spans="5:19" x14ac:dyDescent="0.25">
      <c r="E2448" t="str">
        <f>IFERROR(VLOOKUP(D2448,'Team Data'!C:AB,4,FALSE),"")</f>
        <v/>
      </c>
      <c r="F2448" t="str">
        <f>IFERROR(VLOOKUP(D2448,'Team Data'!C:AB,5,FALSE),"")</f>
        <v/>
      </c>
      <c r="G2448" t="str">
        <f>IFERROR(VLOOKUP('OB Format'!D2448,'Team Data'!C:AB,17,FALSE),"")</f>
        <v/>
      </c>
      <c r="H2448" t="str">
        <f>IFERROR(VLOOKUP(D2448,'Team Data'!C:AB,7,FALSE),"")</f>
        <v/>
      </c>
      <c r="I2448" t="str">
        <f>IFERROR(VLOOKUP(D2448,'Team Data'!C:AB,14,FALSE),"")</f>
        <v/>
      </c>
      <c r="J2448" t="str">
        <f>IFERROR(VLOOKUP(D2448,'Team Data'!C:AB,8,FALSE),"")</f>
        <v/>
      </c>
      <c r="K2448" t="str">
        <f>IFERROR(VLOOKUP(D2448,'Team Data'!C:AB,9,FALSE),"")</f>
        <v/>
      </c>
      <c r="L2448" t="str">
        <f>IFERROR(VLOOKUP(D2448,'Team Data'!C:AB,10,FALSE),"")</f>
        <v/>
      </c>
      <c r="M2448" t="str">
        <f t="shared" si="78"/>
        <v/>
      </c>
      <c r="N2448" t="str">
        <f>IFERROR(VLOOKUP(D2448,'Team Data'!C:AB,23,FALSE),"")</f>
        <v/>
      </c>
      <c r="O2448" t="str">
        <f>IFERROR(VLOOKUP(D2448,'Team Data'!C:AB,22,FALSE),"")</f>
        <v/>
      </c>
      <c r="P2448" t="str">
        <f t="shared" si="79"/>
        <v/>
      </c>
      <c r="Q2448" t="str">
        <f>IFERROR(VLOOKUP(D2448,'Team Data'!C:AB,15,FALSE),"")</f>
        <v/>
      </c>
      <c r="R2448" t="str">
        <f>IFERROR(VLOOKUP('OB Format'!D2448,'Team Data'!C:AB,24,FALSE),"")</f>
        <v/>
      </c>
      <c r="S2448" t="str">
        <f>IFERROR(VLOOKUP('OB Format'!D2448,'Team Data'!C:AC,25,FALSE),"")</f>
        <v/>
      </c>
    </row>
    <row r="2449" spans="5:19" x14ac:dyDescent="0.25">
      <c r="E2449" t="str">
        <f>IFERROR(VLOOKUP(D2449,'Team Data'!C:AB,4,FALSE),"")</f>
        <v/>
      </c>
      <c r="F2449" t="str">
        <f>IFERROR(VLOOKUP(D2449,'Team Data'!C:AB,5,FALSE),"")</f>
        <v/>
      </c>
      <c r="G2449" t="str">
        <f>IFERROR(VLOOKUP('OB Format'!D2449,'Team Data'!C:AB,17,FALSE),"")</f>
        <v/>
      </c>
      <c r="H2449" t="str">
        <f>IFERROR(VLOOKUP(D2449,'Team Data'!C:AB,7,FALSE),"")</f>
        <v/>
      </c>
      <c r="I2449" t="str">
        <f>IFERROR(VLOOKUP(D2449,'Team Data'!C:AB,14,FALSE),"")</f>
        <v/>
      </c>
      <c r="J2449" t="str">
        <f>IFERROR(VLOOKUP(D2449,'Team Data'!C:AB,8,FALSE),"")</f>
        <v/>
      </c>
      <c r="K2449" t="str">
        <f>IFERROR(VLOOKUP(D2449,'Team Data'!C:AB,9,FALSE),"")</f>
        <v/>
      </c>
      <c r="L2449" t="str">
        <f>IFERROR(VLOOKUP(D2449,'Team Data'!C:AB,10,FALSE),"")</f>
        <v/>
      </c>
      <c r="M2449" t="str">
        <f t="shared" si="78"/>
        <v/>
      </c>
      <c r="N2449" t="str">
        <f>IFERROR(VLOOKUP(D2449,'Team Data'!C:AB,23,FALSE),"")</f>
        <v/>
      </c>
      <c r="O2449" t="str">
        <f>IFERROR(VLOOKUP(D2449,'Team Data'!C:AB,22,FALSE),"")</f>
        <v/>
      </c>
      <c r="P2449" t="str">
        <f t="shared" si="79"/>
        <v/>
      </c>
      <c r="Q2449" t="str">
        <f>IFERROR(VLOOKUP(D2449,'Team Data'!C:AB,15,FALSE),"")</f>
        <v/>
      </c>
      <c r="R2449" t="str">
        <f>IFERROR(VLOOKUP('OB Format'!D2449,'Team Data'!C:AB,24,FALSE),"")</f>
        <v/>
      </c>
      <c r="S2449" t="str">
        <f>IFERROR(VLOOKUP('OB Format'!D2449,'Team Data'!C:AC,25,FALSE),"")</f>
        <v/>
      </c>
    </row>
    <row r="2450" spans="5:19" x14ac:dyDescent="0.25">
      <c r="E2450" t="str">
        <f>IFERROR(VLOOKUP(D2450,'Team Data'!C:AB,4,FALSE),"")</f>
        <v/>
      </c>
      <c r="F2450" t="str">
        <f>IFERROR(VLOOKUP(D2450,'Team Data'!C:AB,5,FALSE),"")</f>
        <v/>
      </c>
      <c r="G2450" t="str">
        <f>IFERROR(VLOOKUP('OB Format'!D2450,'Team Data'!C:AB,17,FALSE),"")</f>
        <v/>
      </c>
      <c r="H2450" t="str">
        <f>IFERROR(VLOOKUP(D2450,'Team Data'!C:AB,7,FALSE),"")</f>
        <v/>
      </c>
      <c r="I2450" t="str">
        <f>IFERROR(VLOOKUP(D2450,'Team Data'!C:AB,14,FALSE),"")</f>
        <v/>
      </c>
      <c r="J2450" t="str">
        <f>IFERROR(VLOOKUP(D2450,'Team Data'!C:AB,8,FALSE),"")</f>
        <v/>
      </c>
      <c r="K2450" t="str">
        <f>IFERROR(VLOOKUP(D2450,'Team Data'!C:AB,9,FALSE),"")</f>
        <v/>
      </c>
      <c r="L2450" t="str">
        <f>IFERROR(VLOOKUP(D2450,'Team Data'!C:AB,10,FALSE),"")</f>
        <v/>
      </c>
      <c r="M2450" t="str">
        <f t="shared" si="78"/>
        <v/>
      </c>
      <c r="N2450" t="str">
        <f>IFERROR(VLOOKUP(D2450,'Team Data'!C:AB,23,FALSE),"")</f>
        <v/>
      </c>
      <c r="O2450" t="str">
        <f>IFERROR(VLOOKUP(D2450,'Team Data'!C:AB,22,FALSE),"")</f>
        <v/>
      </c>
      <c r="P2450" t="str">
        <f t="shared" si="79"/>
        <v/>
      </c>
      <c r="Q2450" t="str">
        <f>IFERROR(VLOOKUP(D2450,'Team Data'!C:AB,15,FALSE),"")</f>
        <v/>
      </c>
      <c r="R2450" t="str">
        <f>IFERROR(VLOOKUP('OB Format'!D2450,'Team Data'!C:AB,24,FALSE),"")</f>
        <v/>
      </c>
      <c r="S2450" t="str">
        <f>IFERROR(VLOOKUP('OB Format'!D2450,'Team Data'!C:AC,25,FALSE),"")</f>
        <v/>
      </c>
    </row>
    <row r="2451" spans="5:19" x14ac:dyDescent="0.25">
      <c r="E2451" t="str">
        <f>IFERROR(VLOOKUP(D2451,'Team Data'!C:AB,4,FALSE),"")</f>
        <v/>
      </c>
      <c r="F2451" t="str">
        <f>IFERROR(VLOOKUP(D2451,'Team Data'!C:AB,5,FALSE),"")</f>
        <v/>
      </c>
      <c r="G2451" t="str">
        <f>IFERROR(VLOOKUP('OB Format'!D2451,'Team Data'!C:AB,17,FALSE),"")</f>
        <v/>
      </c>
      <c r="H2451" t="str">
        <f>IFERROR(VLOOKUP(D2451,'Team Data'!C:AB,7,FALSE),"")</f>
        <v/>
      </c>
      <c r="I2451" t="str">
        <f>IFERROR(VLOOKUP(D2451,'Team Data'!C:AB,14,FALSE),"")</f>
        <v/>
      </c>
      <c r="J2451" t="str">
        <f>IFERROR(VLOOKUP(D2451,'Team Data'!C:AB,8,FALSE),"")</f>
        <v/>
      </c>
      <c r="K2451" t="str">
        <f>IFERROR(VLOOKUP(D2451,'Team Data'!C:AB,9,FALSE),"")</f>
        <v/>
      </c>
      <c r="L2451" t="str">
        <f>IFERROR(VLOOKUP(D2451,'Team Data'!C:AB,10,FALSE),"")</f>
        <v/>
      </c>
      <c r="M2451" t="str">
        <f t="shared" si="78"/>
        <v/>
      </c>
      <c r="N2451" t="str">
        <f>IFERROR(VLOOKUP(D2451,'Team Data'!C:AB,23,FALSE),"")</f>
        <v/>
      </c>
      <c r="O2451" t="str">
        <f>IFERROR(VLOOKUP(D2451,'Team Data'!C:AB,22,FALSE),"")</f>
        <v/>
      </c>
      <c r="P2451" t="str">
        <f t="shared" si="79"/>
        <v/>
      </c>
      <c r="Q2451" t="str">
        <f>IFERROR(VLOOKUP(D2451,'Team Data'!C:AB,15,FALSE),"")</f>
        <v/>
      </c>
      <c r="R2451" t="str">
        <f>IFERROR(VLOOKUP('OB Format'!D2451,'Team Data'!C:AB,24,FALSE),"")</f>
        <v/>
      </c>
      <c r="S2451" t="str">
        <f>IFERROR(VLOOKUP('OB Format'!D2451,'Team Data'!C:AC,25,FALSE),"")</f>
        <v/>
      </c>
    </row>
    <row r="2452" spans="5:19" x14ac:dyDescent="0.25">
      <c r="E2452" t="str">
        <f>IFERROR(VLOOKUP(D2452,'Team Data'!C:AB,4,FALSE),"")</f>
        <v/>
      </c>
      <c r="F2452" t="str">
        <f>IFERROR(VLOOKUP(D2452,'Team Data'!C:AB,5,FALSE),"")</f>
        <v/>
      </c>
      <c r="G2452" t="str">
        <f>IFERROR(VLOOKUP('OB Format'!D2452,'Team Data'!C:AB,17,FALSE),"")</f>
        <v/>
      </c>
      <c r="H2452" t="str">
        <f>IFERROR(VLOOKUP(D2452,'Team Data'!C:AB,7,FALSE),"")</f>
        <v/>
      </c>
      <c r="I2452" t="str">
        <f>IFERROR(VLOOKUP(D2452,'Team Data'!C:AB,14,FALSE),"")</f>
        <v/>
      </c>
      <c r="J2452" t="str">
        <f>IFERROR(VLOOKUP(D2452,'Team Data'!C:AB,8,FALSE),"")</f>
        <v/>
      </c>
      <c r="K2452" t="str">
        <f>IFERROR(VLOOKUP(D2452,'Team Data'!C:AB,9,FALSE),"")</f>
        <v/>
      </c>
      <c r="L2452" t="str">
        <f>IFERROR(VLOOKUP(D2452,'Team Data'!C:AB,10,FALSE),"")</f>
        <v/>
      </c>
      <c r="M2452" t="str">
        <f t="shared" si="78"/>
        <v/>
      </c>
      <c r="N2452" t="str">
        <f>IFERROR(VLOOKUP(D2452,'Team Data'!C:AB,23,FALSE),"")</f>
        <v/>
      </c>
      <c r="O2452" t="str">
        <f>IFERROR(VLOOKUP(D2452,'Team Data'!C:AB,22,FALSE),"")</f>
        <v/>
      </c>
      <c r="P2452" t="str">
        <f t="shared" si="79"/>
        <v/>
      </c>
      <c r="Q2452" t="str">
        <f>IFERROR(VLOOKUP(D2452,'Team Data'!C:AB,15,FALSE),"")</f>
        <v/>
      </c>
      <c r="R2452" t="str">
        <f>IFERROR(VLOOKUP('OB Format'!D2452,'Team Data'!C:AB,24,FALSE),"")</f>
        <v/>
      </c>
      <c r="S2452" t="str">
        <f>IFERROR(VLOOKUP('OB Format'!D2452,'Team Data'!C:AC,25,FALSE),"")</f>
        <v/>
      </c>
    </row>
    <row r="2453" spans="5:19" x14ac:dyDescent="0.25">
      <c r="E2453" t="str">
        <f>IFERROR(VLOOKUP(D2453,'Team Data'!C:AB,4,FALSE),"")</f>
        <v/>
      </c>
      <c r="F2453" t="str">
        <f>IFERROR(VLOOKUP(D2453,'Team Data'!C:AB,5,FALSE),"")</f>
        <v/>
      </c>
      <c r="G2453" t="str">
        <f>IFERROR(VLOOKUP('OB Format'!D2453,'Team Data'!C:AB,17,FALSE),"")</f>
        <v/>
      </c>
      <c r="H2453" t="str">
        <f>IFERROR(VLOOKUP(D2453,'Team Data'!C:AB,7,FALSE),"")</f>
        <v/>
      </c>
      <c r="I2453" t="str">
        <f>IFERROR(VLOOKUP(D2453,'Team Data'!C:AB,14,FALSE),"")</f>
        <v/>
      </c>
      <c r="J2453" t="str">
        <f>IFERROR(VLOOKUP(D2453,'Team Data'!C:AB,8,FALSE),"")</f>
        <v/>
      </c>
      <c r="K2453" t="str">
        <f>IFERROR(VLOOKUP(D2453,'Team Data'!C:AB,9,FALSE),"")</f>
        <v/>
      </c>
      <c r="L2453" t="str">
        <f>IFERROR(VLOOKUP(D2453,'Team Data'!C:AB,10,FALSE),"")</f>
        <v/>
      </c>
      <c r="M2453" t="str">
        <f t="shared" si="78"/>
        <v/>
      </c>
      <c r="N2453" t="str">
        <f>IFERROR(VLOOKUP(D2453,'Team Data'!C:AB,23,FALSE),"")</f>
        <v/>
      </c>
      <c r="O2453" t="str">
        <f>IFERROR(VLOOKUP(D2453,'Team Data'!C:AB,22,FALSE),"")</f>
        <v/>
      </c>
      <c r="P2453" t="str">
        <f t="shared" si="79"/>
        <v/>
      </c>
      <c r="Q2453" t="str">
        <f>IFERROR(VLOOKUP(D2453,'Team Data'!C:AB,15,FALSE),"")</f>
        <v/>
      </c>
      <c r="R2453" t="str">
        <f>IFERROR(VLOOKUP('OB Format'!D2453,'Team Data'!C:AB,24,FALSE),"")</f>
        <v/>
      </c>
      <c r="S2453" t="str">
        <f>IFERROR(VLOOKUP('OB Format'!D2453,'Team Data'!C:AC,25,FALSE),"")</f>
        <v/>
      </c>
    </row>
    <row r="2454" spans="5:19" x14ac:dyDescent="0.25">
      <c r="E2454" t="str">
        <f>IFERROR(VLOOKUP(D2454,'Team Data'!C:AB,4,FALSE),"")</f>
        <v/>
      </c>
      <c r="F2454" t="str">
        <f>IFERROR(VLOOKUP(D2454,'Team Data'!C:AB,5,FALSE),"")</f>
        <v/>
      </c>
      <c r="G2454" t="str">
        <f>IFERROR(VLOOKUP('OB Format'!D2454,'Team Data'!C:AB,17,FALSE),"")</f>
        <v/>
      </c>
      <c r="H2454" t="str">
        <f>IFERROR(VLOOKUP(D2454,'Team Data'!C:AB,7,FALSE),"")</f>
        <v/>
      </c>
      <c r="I2454" t="str">
        <f>IFERROR(VLOOKUP(D2454,'Team Data'!C:AB,14,FALSE),"")</f>
        <v/>
      </c>
      <c r="J2454" t="str">
        <f>IFERROR(VLOOKUP(D2454,'Team Data'!C:AB,8,FALSE),"")</f>
        <v/>
      </c>
      <c r="K2454" t="str">
        <f>IFERROR(VLOOKUP(D2454,'Team Data'!C:AB,9,FALSE),"")</f>
        <v/>
      </c>
      <c r="L2454" t="str">
        <f>IFERROR(VLOOKUP(D2454,'Team Data'!C:AB,10,FALSE),"")</f>
        <v/>
      </c>
      <c r="M2454" t="str">
        <f t="shared" si="78"/>
        <v/>
      </c>
      <c r="N2454" t="str">
        <f>IFERROR(VLOOKUP(D2454,'Team Data'!C:AB,23,FALSE),"")</f>
        <v/>
      </c>
      <c r="O2454" t="str">
        <f>IFERROR(VLOOKUP(D2454,'Team Data'!C:AB,22,FALSE),"")</f>
        <v/>
      </c>
      <c r="P2454" t="str">
        <f t="shared" si="79"/>
        <v/>
      </c>
      <c r="Q2454" t="str">
        <f>IFERROR(VLOOKUP(D2454,'Team Data'!C:AB,15,FALSE),"")</f>
        <v/>
      </c>
      <c r="R2454" t="str">
        <f>IFERROR(VLOOKUP('OB Format'!D2454,'Team Data'!C:AB,24,FALSE),"")</f>
        <v/>
      </c>
      <c r="S2454" t="str">
        <f>IFERROR(VLOOKUP('OB Format'!D2454,'Team Data'!C:AC,25,FALSE),"")</f>
        <v/>
      </c>
    </row>
    <row r="2455" spans="5:19" x14ac:dyDescent="0.25">
      <c r="E2455" t="str">
        <f>IFERROR(VLOOKUP(D2455,'Team Data'!C:AB,4,FALSE),"")</f>
        <v/>
      </c>
      <c r="F2455" t="str">
        <f>IFERROR(VLOOKUP(D2455,'Team Data'!C:AB,5,FALSE),"")</f>
        <v/>
      </c>
      <c r="G2455" t="str">
        <f>IFERROR(VLOOKUP('OB Format'!D2455,'Team Data'!C:AB,17,FALSE),"")</f>
        <v/>
      </c>
      <c r="H2455" t="str">
        <f>IFERROR(VLOOKUP(D2455,'Team Data'!C:AB,7,FALSE),"")</f>
        <v/>
      </c>
      <c r="I2455" t="str">
        <f>IFERROR(VLOOKUP(D2455,'Team Data'!C:AB,14,FALSE),"")</f>
        <v/>
      </c>
      <c r="J2455" t="str">
        <f>IFERROR(VLOOKUP(D2455,'Team Data'!C:AB,8,FALSE),"")</f>
        <v/>
      </c>
      <c r="K2455" t="str">
        <f>IFERROR(VLOOKUP(D2455,'Team Data'!C:AB,9,FALSE),"")</f>
        <v/>
      </c>
      <c r="L2455" t="str">
        <f>IFERROR(VLOOKUP(D2455,'Team Data'!C:AB,10,FALSE),"")</f>
        <v/>
      </c>
      <c r="M2455" t="str">
        <f t="shared" si="78"/>
        <v/>
      </c>
      <c r="N2455" t="str">
        <f>IFERROR(VLOOKUP(D2455,'Team Data'!C:AB,23,FALSE),"")</f>
        <v/>
      </c>
      <c r="O2455" t="str">
        <f>IFERROR(VLOOKUP(D2455,'Team Data'!C:AB,22,FALSE),"")</f>
        <v/>
      </c>
      <c r="P2455" t="str">
        <f t="shared" si="79"/>
        <v/>
      </c>
      <c r="Q2455" t="str">
        <f>IFERROR(VLOOKUP(D2455,'Team Data'!C:AB,15,FALSE),"")</f>
        <v/>
      </c>
      <c r="R2455" t="str">
        <f>IFERROR(VLOOKUP('OB Format'!D2455,'Team Data'!C:AB,24,FALSE),"")</f>
        <v/>
      </c>
      <c r="S2455" t="str">
        <f>IFERROR(VLOOKUP('OB Format'!D2455,'Team Data'!C:AC,25,FALSE),"")</f>
        <v/>
      </c>
    </row>
    <row r="2456" spans="5:19" x14ac:dyDescent="0.25">
      <c r="E2456" t="str">
        <f>IFERROR(VLOOKUP(D2456,'Team Data'!C:AB,4,FALSE),"")</f>
        <v/>
      </c>
      <c r="F2456" t="str">
        <f>IFERROR(VLOOKUP(D2456,'Team Data'!C:AB,5,FALSE),"")</f>
        <v/>
      </c>
      <c r="G2456" t="str">
        <f>IFERROR(VLOOKUP('OB Format'!D2456,'Team Data'!C:AB,17,FALSE),"")</f>
        <v/>
      </c>
      <c r="H2456" t="str">
        <f>IFERROR(VLOOKUP(D2456,'Team Data'!C:AB,7,FALSE),"")</f>
        <v/>
      </c>
      <c r="I2456" t="str">
        <f>IFERROR(VLOOKUP(D2456,'Team Data'!C:AB,14,FALSE),"")</f>
        <v/>
      </c>
      <c r="J2456" t="str">
        <f>IFERROR(VLOOKUP(D2456,'Team Data'!C:AB,8,FALSE),"")</f>
        <v/>
      </c>
      <c r="K2456" t="str">
        <f>IFERROR(VLOOKUP(D2456,'Team Data'!C:AB,9,FALSE),"")</f>
        <v/>
      </c>
      <c r="L2456" t="str">
        <f>IFERROR(VLOOKUP(D2456,'Team Data'!C:AB,10,FALSE),"")</f>
        <v/>
      </c>
      <c r="M2456" t="str">
        <f t="shared" si="78"/>
        <v/>
      </c>
      <c r="N2456" t="str">
        <f>IFERROR(VLOOKUP(D2456,'Team Data'!C:AB,23,FALSE),"")</f>
        <v/>
      </c>
      <c r="O2456" t="str">
        <f>IFERROR(VLOOKUP(D2456,'Team Data'!C:AB,22,FALSE),"")</f>
        <v/>
      </c>
      <c r="P2456" t="str">
        <f t="shared" si="79"/>
        <v/>
      </c>
      <c r="Q2456" t="str">
        <f>IFERROR(VLOOKUP(D2456,'Team Data'!C:AB,15,FALSE),"")</f>
        <v/>
      </c>
      <c r="R2456" t="str">
        <f>IFERROR(VLOOKUP('OB Format'!D2456,'Team Data'!C:AB,24,FALSE),"")</f>
        <v/>
      </c>
      <c r="S2456" t="str">
        <f>IFERROR(VLOOKUP('OB Format'!D2456,'Team Data'!C:AC,25,FALSE),"")</f>
        <v/>
      </c>
    </row>
    <row r="2457" spans="5:19" x14ac:dyDescent="0.25">
      <c r="E2457" t="str">
        <f>IFERROR(VLOOKUP(D2457,'Team Data'!C:AB,4,FALSE),"")</f>
        <v/>
      </c>
      <c r="F2457" t="str">
        <f>IFERROR(VLOOKUP(D2457,'Team Data'!C:AB,5,FALSE),"")</f>
        <v/>
      </c>
      <c r="G2457" t="str">
        <f>IFERROR(VLOOKUP('OB Format'!D2457,'Team Data'!C:AB,17,FALSE),"")</f>
        <v/>
      </c>
      <c r="H2457" t="str">
        <f>IFERROR(VLOOKUP(D2457,'Team Data'!C:AB,7,FALSE),"")</f>
        <v/>
      </c>
      <c r="I2457" t="str">
        <f>IFERROR(VLOOKUP(D2457,'Team Data'!C:AB,14,FALSE),"")</f>
        <v/>
      </c>
      <c r="J2457" t="str">
        <f>IFERROR(VLOOKUP(D2457,'Team Data'!C:AB,8,FALSE),"")</f>
        <v/>
      </c>
      <c r="K2457" t="str">
        <f>IFERROR(VLOOKUP(D2457,'Team Data'!C:AB,9,FALSE),"")</f>
        <v/>
      </c>
      <c r="L2457" t="str">
        <f>IFERROR(VLOOKUP(D2457,'Team Data'!C:AB,10,FALSE),"")</f>
        <v/>
      </c>
      <c r="M2457" t="str">
        <f t="shared" si="78"/>
        <v/>
      </c>
      <c r="N2457" t="str">
        <f>IFERROR(VLOOKUP(D2457,'Team Data'!C:AB,23,FALSE),"")</f>
        <v/>
      </c>
      <c r="O2457" t="str">
        <f>IFERROR(VLOOKUP(D2457,'Team Data'!C:AB,22,FALSE),"")</f>
        <v/>
      </c>
      <c r="P2457" t="str">
        <f t="shared" si="79"/>
        <v/>
      </c>
      <c r="Q2457" t="str">
        <f>IFERROR(VLOOKUP(D2457,'Team Data'!C:AB,15,FALSE),"")</f>
        <v/>
      </c>
      <c r="R2457" t="str">
        <f>IFERROR(VLOOKUP('OB Format'!D2457,'Team Data'!C:AB,24,FALSE),"")</f>
        <v/>
      </c>
      <c r="S2457" t="str">
        <f>IFERROR(VLOOKUP('OB Format'!D2457,'Team Data'!C:AC,25,FALSE),"")</f>
        <v/>
      </c>
    </row>
    <row r="2458" spans="5:19" x14ac:dyDescent="0.25">
      <c r="E2458" t="str">
        <f>IFERROR(VLOOKUP(D2458,'Team Data'!C:AB,4,FALSE),"")</f>
        <v/>
      </c>
      <c r="F2458" t="str">
        <f>IFERROR(VLOOKUP(D2458,'Team Data'!C:AB,5,FALSE),"")</f>
        <v/>
      </c>
      <c r="G2458" t="str">
        <f>IFERROR(VLOOKUP('OB Format'!D2458,'Team Data'!C:AB,17,FALSE),"")</f>
        <v/>
      </c>
      <c r="H2458" t="str">
        <f>IFERROR(VLOOKUP(D2458,'Team Data'!C:AB,7,FALSE),"")</f>
        <v/>
      </c>
      <c r="I2458" t="str">
        <f>IFERROR(VLOOKUP(D2458,'Team Data'!C:AB,14,FALSE),"")</f>
        <v/>
      </c>
      <c r="J2458" t="str">
        <f>IFERROR(VLOOKUP(D2458,'Team Data'!C:AB,8,FALSE),"")</f>
        <v/>
      </c>
      <c r="K2458" t="str">
        <f>IFERROR(VLOOKUP(D2458,'Team Data'!C:AB,9,FALSE),"")</f>
        <v/>
      </c>
      <c r="L2458" t="str">
        <f>IFERROR(VLOOKUP(D2458,'Team Data'!C:AB,10,FALSE),"")</f>
        <v/>
      </c>
      <c r="M2458" t="str">
        <f t="shared" si="78"/>
        <v/>
      </c>
      <c r="N2458" t="str">
        <f>IFERROR(VLOOKUP(D2458,'Team Data'!C:AB,23,FALSE),"")</f>
        <v/>
      </c>
      <c r="O2458" t="str">
        <f>IFERROR(VLOOKUP(D2458,'Team Data'!C:AB,22,FALSE),"")</f>
        <v/>
      </c>
      <c r="P2458" t="str">
        <f t="shared" si="79"/>
        <v/>
      </c>
      <c r="Q2458" t="str">
        <f>IFERROR(VLOOKUP(D2458,'Team Data'!C:AB,15,FALSE),"")</f>
        <v/>
      </c>
      <c r="R2458" t="str">
        <f>IFERROR(VLOOKUP('OB Format'!D2458,'Team Data'!C:AB,24,FALSE),"")</f>
        <v/>
      </c>
      <c r="S2458" t="str">
        <f>IFERROR(VLOOKUP('OB Format'!D2458,'Team Data'!C:AC,25,FALSE),"")</f>
        <v/>
      </c>
    </row>
    <row r="2459" spans="5:19" x14ac:dyDescent="0.25">
      <c r="E2459" t="str">
        <f>IFERROR(VLOOKUP(D2459,'Team Data'!C:AB,4,FALSE),"")</f>
        <v/>
      </c>
      <c r="F2459" t="str">
        <f>IFERROR(VLOOKUP(D2459,'Team Data'!C:AB,5,FALSE),"")</f>
        <v/>
      </c>
      <c r="G2459" t="str">
        <f>IFERROR(VLOOKUP('OB Format'!D2459,'Team Data'!C:AB,17,FALSE),"")</f>
        <v/>
      </c>
      <c r="H2459" t="str">
        <f>IFERROR(VLOOKUP(D2459,'Team Data'!C:AB,7,FALSE),"")</f>
        <v/>
      </c>
      <c r="I2459" t="str">
        <f>IFERROR(VLOOKUP(D2459,'Team Data'!C:AB,14,FALSE),"")</f>
        <v/>
      </c>
      <c r="J2459" t="str">
        <f>IFERROR(VLOOKUP(D2459,'Team Data'!C:AB,8,FALSE),"")</f>
        <v/>
      </c>
      <c r="K2459" t="str">
        <f>IFERROR(VLOOKUP(D2459,'Team Data'!C:AB,9,FALSE),"")</f>
        <v/>
      </c>
      <c r="L2459" t="str">
        <f>IFERROR(VLOOKUP(D2459,'Team Data'!C:AB,10,FALSE),"")</f>
        <v/>
      </c>
      <c r="M2459" t="str">
        <f t="shared" si="78"/>
        <v/>
      </c>
      <c r="N2459" t="str">
        <f>IFERROR(VLOOKUP(D2459,'Team Data'!C:AB,23,FALSE),"")</f>
        <v/>
      </c>
      <c r="O2459" t="str">
        <f>IFERROR(VLOOKUP(D2459,'Team Data'!C:AB,22,FALSE),"")</f>
        <v/>
      </c>
      <c r="P2459" t="str">
        <f t="shared" si="79"/>
        <v/>
      </c>
      <c r="Q2459" t="str">
        <f>IFERROR(VLOOKUP(D2459,'Team Data'!C:AB,15,FALSE),"")</f>
        <v/>
      </c>
      <c r="R2459" t="str">
        <f>IFERROR(VLOOKUP('OB Format'!D2459,'Team Data'!C:AB,24,FALSE),"")</f>
        <v/>
      </c>
      <c r="S2459" t="str">
        <f>IFERROR(VLOOKUP('OB Format'!D2459,'Team Data'!C:AC,25,FALSE),"")</f>
        <v/>
      </c>
    </row>
    <row r="2460" spans="5:19" x14ac:dyDescent="0.25">
      <c r="E2460" t="str">
        <f>IFERROR(VLOOKUP(D2460,'Team Data'!C:AB,4,FALSE),"")</f>
        <v/>
      </c>
      <c r="F2460" t="str">
        <f>IFERROR(VLOOKUP(D2460,'Team Data'!C:AB,5,FALSE),"")</f>
        <v/>
      </c>
      <c r="G2460" t="str">
        <f>IFERROR(VLOOKUP('OB Format'!D2460,'Team Data'!C:AB,17,FALSE),"")</f>
        <v/>
      </c>
      <c r="H2460" t="str">
        <f>IFERROR(VLOOKUP(D2460,'Team Data'!C:AB,7,FALSE),"")</f>
        <v/>
      </c>
      <c r="I2460" t="str">
        <f>IFERROR(VLOOKUP(D2460,'Team Data'!C:AB,14,FALSE),"")</f>
        <v/>
      </c>
      <c r="J2460" t="str">
        <f>IFERROR(VLOOKUP(D2460,'Team Data'!C:AB,8,FALSE),"")</f>
        <v/>
      </c>
      <c r="K2460" t="str">
        <f>IFERROR(VLOOKUP(D2460,'Team Data'!C:AB,9,FALSE),"")</f>
        <v/>
      </c>
      <c r="L2460" t="str">
        <f>IFERROR(VLOOKUP(D2460,'Team Data'!C:AB,10,FALSE),"")</f>
        <v/>
      </c>
      <c r="M2460" t="str">
        <f t="shared" si="78"/>
        <v/>
      </c>
      <c r="N2460" t="str">
        <f>IFERROR(VLOOKUP(D2460,'Team Data'!C:AB,23,FALSE),"")</f>
        <v/>
      </c>
      <c r="O2460" t="str">
        <f>IFERROR(VLOOKUP(D2460,'Team Data'!C:AB,22,FALSE),"")</f>
        <v/>
      </c>
      <c r="P2460" t="str">
        <f t="shared" si="79"/>
        <v/>
      </c>
      <c r="Q2460" t="str">
        <f>IFERROR(VLOOKUP(D2460,'Team Data'!C:AB,15,FALSE),"")</f>
        <v/>
      </c>
      <c r="R2460" t="str">
        <f>IFERROR(VLOOKUP('OB Format'!D2460,'Team Data'!C:AB,24,FALSE),"")</f>
        <v/>
      </c>
      <c r="S2460" t="str">
        <f>IFERROR(VLOOKUP('OB Format'!D2460,'Team Data'!C:AC,25,FALSE),"")</f>
        <v/>
      </c>
    </row>
    <row r="2461" spans="5:19" x14ac:dyDescent="0.25">
      <c r="E2461" t="str">
        <f>IFERROR(VLOOKUP(D2461,'Team Data'!C:AB,4,FALSE),"")</f>
        <v/>
      </c>
      <c r="F2461" t="str">
        <f>IFERROR(VLOOKUP(D2461,'Team Data'!C:AB,5,FALSE),"")</f>
        <v/>
      </c>
      <c r="G2461" t="str">
        <f>IFERROR(VLOOKUP('OB Format'!D2461,'Team Data'!C:AB,17,FALSE),"")</f>
        <v/>
      </c>
      <c r="H2461" t="str">
        <f>IFERROR(VLOOKUP(D2461,'Team Data'!C:AB,7,FALSE),"")</f>
        <v/>
      </c>
      <c r="I2461" t="str">
        <f>IFERROR(VLOOKUP(D2461,'Team Data'!C:AB,14,FALSE),"")</f>
        <v/>
      </c>
      <c r="J2461" t="str">
        <f>IFERROR(VLOOKUP(D2461,'Team Data'!C:AB,8,FALSE),"")</f>
        <v/>
      </c>
      <c r="K2461" t="str">
        <f>IFERROR(VLOOKUP(D2461,'Team Data'!C:AB,9,FALSE),"")</f>
        <v/>
      </c>
      <c r="L2461" t="str">
        <f>IFERROR(VLOOKUP(D2461,'Team Data'!C:AB,10,FALSE),"")</f>
        <v/>
      </c>
      <c r="M2461" t="str">
        <f t="shared" si="78"/>
        <v/>
      </c>
      <c r="N2461" t="str">
        <f>IFERROR(VLOOKUP(D2461,'Team Data'!C:AB,23,FALSE),"")</f>
        <v/>
      </c>
      <c r="O2461" t="str">
        <f>IFERROR(VLOOKUP(D2461,'Team Data'!C:AB,22,FALSE),"")</f>
        <v/>
      </c>
      <c r="P2461" t="str">
        <f t="shared" si="79"/>
        <v/>
      </c>
      <c r="Q2461" t="str">
        <f>IFERROR(VLOOKUP(D2461,'Team Data'!C:AB,15,FALSE),"")</f>
        <v/>
      </c>
      <c r="R2461" t="str">
        <f>IFERROR(VLOOKUP('OB Format'!D2461,'Team Data'!C:AB,24,FALSE),"")</f>
        <v/>
      </c>
      <c r="S2461" t="str">
        <f>IFERROR(VLOOKUP('OB Format'!D2461,'Team Data'!C:AC,25,FALSE),"")</f>
        <v/>
      </c>
    </row>
    <row r="2462" spans="5:19" x14ac:dyDescent="0.25">
      <c r="E2462" t="str">
        <f>IFERROR(VLOOKUP(D2462,'Team Data'!C:AB,4,FALSE),"")</f>
        <v/>
      </c>
      <c r="F2462" t="str">
        <f>IFERROR(VLOOKUP(D2462,'Team Data'!C:AB,5,FALSE),"")</f>
        <v/>
      </c>
      <c r="G2462" t="str">
        <f>IFERROR(VLOOKUP('OB Format'!D2462,'Team Data'!C:AB,17,FALSE),"")</f>
        <v/>
      </c>
      <c r="H2462" t="str">
        <f>IFERROR(VLOOKUP(D2462,'Team Data'!C:AB,7,FALSE),"")</f>
        <v/>
      </c>
      <c r="I2462" t="str">
        <f>IFERROR(VLOOKUP(D2462,'Team Data'!C:AB,14,FALSE),"")</f>
        <v/>
      </c>
      <c r="J2462" t="str">
        <f>IFERROR(VLOOKUP(D2462,'Team Data'!C:AB,8,FALSE),"")</f>
        <v/>
      </c>
      <c r="K2462" t="str">
        <f>IFERROR(VLOOKUP(D2462,'Team Data'!C:AB,9,FALSE),"")</f>
        <v/>
      </c>
      <c r="L2462" t="str">
        <f>IFERROR(VLOOKUP(D2462,'Team Data'!C:AB,10,FALSE),"")</f>
        <v/>
      </c>
      <c r="M2462" t="str">
        <f t="shared" si="78"/>
        <v/>
      </c>
      <c r="N2462" t="str">
        <f>IFERROR(VLOOKUP(D2462,'Team Data'!C:AB,23,FALSE),"")</f>
        <v/>
      </c>
      <c r="O2462" t="str">
        <f>IFERROR(VLOOKUP(D2462,'Team Data'!C:AB,22,FALSE),"")</f>
        <v/>
      </c>
      <c r="P2462" t="str">
        <f t="shared" si="79"/>
        <v/>
      </c>
      <c r="Q2462" t="str">
        <f>IFERROR(VLOOKUP(D2462,'Team Data'!C:AB,15,FALSE),"")</f>
        <v/>
      </c>
      <c r="R2462" t="str">
        <f>IFERROR(VLOOKUP('OB Format'!D2462,'Team Data'!C:AB,24,FALSE),"")</f>
        <v/>
      </c>
      <c r="S2462" t="str">
        <f>IFERROR(VLOOKUP('OB Format'!D2462,'Team Data'!C:AC,25,FALSE),"")</f>
        <v/>
      </c>
    </row>
    <row r="2463" spans="5:19" x14ac:dyDescent="0.25">
      <c r="E2463" t="str">
        <f>IFERROR(VLOOKUP(D2463,'Team Data'!C:AB,4,FALSE),"")</f>
        <v/>
      </c>
      <c r="F2463" t="str">
        <f>IFERROR(VLOOKUP(D2463,'Team Data'!C:AB,5,FALSE),"")</f>
        <v/>
      </c>
      <c r="G2463" t="str">
        <f>IFERROR(VLOOKUP('OB Format'!D2463,'Team Data'!C:AB,17,FALSE),"")</f>
        <v/>
      </c>
      <c r="H2463" t="str">
        <f>IFERROR(VLOOKUP(D2463,'Team Data'!C:AB,7,FALSE),"")</f>
        <v/>
      </c>
      <c r="I2463" t="str">
        <f>IFERROR(VLOOKUP(D2463,'Team Data'!C:AB,14,FALSE),"")</f>
        <v/>
      </c>
      <c r="J2463" t="str">
        <f>IFERROR(VLOOKUP(D2463,'Team Data'!C:AB,8,FALSE),"")</f>
        <v/>
      </c>
      <c r="K2463" t="str">
        <f>IFERROR(VLOOKUP(D2463,'Team Data'!C:AB,9,FALSE),"")</f>
        <v/>
      </c>
      <c r="L2463" t="str">
        <f>IFERROR(VLOOKUP(D2463,'Team Data'!C:AB,10,FALSE),"")</f>
        <v/>
      </c>
      <c r="M2463" t="str">
        <f t="shared" si="78"/>
        <v/>
      </c>
      <c r="N2463" t="str">
        <f>IFERROR(VLOOKUP(D2463,'Team Data'!C:AB,23,FALSE),"")</f>
        <v/>
      </c>
      <c r="O2463" t="str">
        <f>IFERROR(VLOOKUP(D2463,'Team Data'!C:AB,22,FALSE),"")</f>
        <v/>
      </c>
      <c r="P2463" t="str">
        <f t="shared" si="79"/>
        <v/>
      </c>
      <c r="Q2463" t="str">
        <f>IFERROR(VLOOKUP(D2463,'Team Data'!C:AB,15,FALSE),"")</f>
        <v/>
      </c>
      <c r="R2463" t="str">
        <f>IFERROR(VLOOKUP('OB Format'!D2463,'Team Data'!C:AB,24,FALSE),"")</f>
        <v/>
      </c>
      <c r="S2463" t="str">
        <f>IFERROR(VLOOKUP('OB Format'!D2463,'Team Data'!C:AC,25,FALSE),"")</f>
        <v/>
      </c>
    </row>
    <row r="2464" spans="5:19" x14ac:dyDescent="0.25">
      <c r="E2464" t="str">
        <f>IFERROR(VLOOKUP(D2464,'Team Data'!C:AB,4,FALSE),"")</f>
        <v/>
      </c>
      <c r="F2464" t="str">
        <f>IFERROR(VLOOKUP(D2464,'Team Data'!C:AB,5,FALSE),"")</f>
        <v/>
      </c>
      <c r="G2464" t="str">
        <f>IFERROR(VLOOKUP('OB Format'!D2464,'Team Data'!C:AB,17,FALSE),"")</f>
        <v/>
      </c>
      <c r="H2464" t="str">
        <f>IFERROR(VLOOKUP(D2464,'Team Data'!C:AB,7,FALSE),"")</f>
        <v/>
      </c>
      <c r="I2464" t="str">
        <f>IFERROR(VLOOKUP(D2464,'Team Data'!C:AB,14,FALSE),"")</f>
        <v/>
      </c>
      <c r="J2464" t="str">
        <f>IFERROR(VLOOKUP(D2464,'Team Data'!C:AB,8,FALSE),"")</f>
        <v/>
      </c>
      <c r="K2464" t="str">
        <f>IFERROR(VLOOKUP(D2464,'Team Data'!C:AB,9,FALSE),"")</f>
        <v/>
      </c>
      <c r="L2464" t="str">
        <f>IFERROR(VLOOKUP(D2464,'Team Data'!C:AB,10,FALSE),"")</f>
        <v/>
      </c>
      <c r="M2464" t="str">
        <f t="shared" si="78"/>
        <v/>
      </c>
      <c r="N2464" t="str">
        <f>IFERROR(VLOOKUP(D2464,'Team Data'!C:AB,23,FALSE),"")</f>
        <v/>
      </c>
      <c r="O2464" t="str">
        <f>IFERROR(VLOOKUP(D2464,'Team Data'!C:AB,22,FALSE),"")</f>
        <v/>
      </c>
      <c r="P2464" t="str">
        <f t="shared" si="79"/>
        <v/>
      </c>
      <c r="Q2464" t="str">
        <f>IFERROR(VLOOKUP(D2464,'Team Data'!C:AB,15,FALSE),"")</f>
        <v/>
      </c>
      <c r="R2464" t="str">
        <f>IFERROR(VLOOKUP('OB Format'!D2464,'Team Data'!C:AB,24,FALSE),"")</f>
        <v/>
      </c>
      <c r="S2464" t="str">
        <f>IFERROR(VLOOKUP('OB Format'!D2464,'Team Data'!C:AC,25,FALSE),"")</f>
        <v/>
      </c>
    </row>
    <row r="2465" spans="5:19" x14ac:dyDescent="0.25">
      <c r="E2465" t="str">
        <f>IFERROR(VLOOKUP(D2465,'Team Data'!C:AB,4,FALSE),"")</f>
        <v/>
      </c>
      <c r="F2465" t="str">
        <f>IFERROR(VLOOKUP(D2465,'Team Data'!C:AB,5,FALSE),"")</f>
        <v/>
      </c>
      <c r="G2465" t="str">
        <f>IFERROR(VLOOKUP('OB Format'!D2465,'Team Data'!C:AB,17,FALSE),"")</f>
        <v/>
      </c>
      <c r="H2465" t="str">
        <f>IFERROR(VLOOKUP(D2465,'Team Data'!C:AB,7,FALSE),"")</f>
        <v/>
      </c>
      <c r="I2465" t="str">
        <f>IFERROR(VLOOKUP(D2465,'Team Data'!C:AB,14,FALSE),"")</f>
        <v/>
      </c>
      <c r="J2465" t="str">
        <f>IFERROR(VLOOKUP(D2465,'Team Data'!C:AB,8,FALSE),"")</f>
        <v/>
      </c>
      <c r="K2465" t="str">
        <f>IFERROR(VLOOKUP(D2465,'Team Data'!C:AB,9,FALSE),"")</f>
        <v/>
      </c>
      <c r="L2465" t="str">
        <f>IFERROR(VLOOKUP(D2465,'Team Data'!C:AB,10,FALSE),"")</f>
        <v/>
      </c>
      <c r="M2465" t="str">
        <f t="shared" si="78"/>
        <v/>
      </c>
      <c r="N2465" t="str">
        <f>IFERROR(VLOOKUP(D2465,'Team Data'!C:AB,23,FALSE),"")</f>
        <v/>
      </c>
      <c r="O2465" t="str">
        <f>IFERROR(VLOOKUP(D2465,'Team Data'!C:AB,22,FALSE),"")</f>
        <v/>
      </c>
      <c r="P2465" t="str">
        <f t="shared" si="79"/>
        <v/>
      </c>
      <c r="Q2465" t="str">
        <f>IFERROR(VLOOKUP(D2465,'Team Data'!C:AB,15,FALSE),"")</f>
        <v/>
      </c>
      <c r="R2465" t="str">
        <f>IFERROR(VLOOKUP('OB Format'!D2465,'Team Data'!C:AB,24,FALSE),"")</f>
        <v/>
      </c>
      <c r="S2465" t="str">
        <f>IFERROR(VLOOKUP('OB Format'!D2465,'Team Data'!C:AC,25,FALSE),"")</f>
        <v/>
      </c>
    </row>
    <row r="2466" spans="5:19" x14ac:dyDescent="0.25">
      <c r="E2466" t="str">
        <f>IFERROR(VLOOKUP(D2466,'Team Data'!C:AB,4,FALSE),"")</f>
        <v/>
      </c>
      <c r="F2466" t="str">
        <f>IFERROR(VLOOKUP(D2466,'Team Data'!C:AB,5,FALSE),"")</f>
        <v/>
      </c>
      <c r="G2466" t="str">
        <f>IFERROR(VLOOKUP('OB Format'!D2466,'Team Data'!C:AB,17,FALSE),"")</f>
        <v/>
      </c>
      <c r="H2466" t="str">
        <f>IFERROR(VLOOKUP(D2466,'Team Data'!C:AB,7,FALSE),"")</f>
        <v/>
      </c>
      <c r="I2466" t="str">
        <f>IFERROR(VLOOKUP(D2466,'Team Data'!C:AB,14,FALSE),"")</f>
        <v/>
      </c>
      <c r="J2466" t="str">
        <f>IFERROR(VLOOKUP(D2466,'Team Data'!C:AB,8,FALSE),"")</f>
        <v/>
      </c>
      <c r="K2466" t="str">
        <f>IFERROR(VLOOKUP(D2466,'Team Data'!C:AB,9,FALSE),"")</f>
        <v/>
      </c>
      <c r="L2466" t="str">
        <f>IFERROR(VLOOKUP(D2466,'Team Data'!C:AB,10,FALSE),"")</f>
        <v/>
      </c>
      <c r="M2466" t="str">
        <f t="shared" si="78"/>
        <v/>
      </c>
      <c r="N2466" t="str">
        <f>IFERROR(VLOOKUP(D2466,'Team Data'!C:AB,23,FALSE),"")</f>
        <v/>
      </c>
      <c r="O2466" t="str">
        <f>IFERROR(VLOOKUP(D2466,'Team Data'!C:AB,22,FALSE),"")</f>
        <v/>
      </c>
      <c r="P2466" t="str">
        <f t="shared" si="79"/>
        <v/>
      </c>
      <c r="Q2466" t="str">
        <f>IFERROR(VLOOKUP(D2466,'Team Data'!C:AB,15,FALSE),"")</f>
        <v/>
      </c>
      <c r="R2466" t="str">
        <f>IFERROR(VLOOKUP('OB Format'!D2466,'Team Data'!C:AB,24,FALSE),"")</f>
        <v/>
      </c>
      <c r="S2466" t="str">
        <f>IFERROR(VLOOKUP('OB Format'!D2466,'Team Data'!C:AC,25,FALSE),"")</f>
        <v/>
      </c>
    </row>
    <row r="2467" spans="5:19" x14ac:dyDescent="0.25">
      <c r="E2467" t="str">
        <f>IFERROR(VLOOKUP(D2467,'Team Data'!C:AB,4,FALSE),"")</f>
        <v/>
      </c>
      <c r="F2467" t="str">
        <f>IFERROR(VLOOKUP(D2467,'Team Data'!C:AB,5,FALSE),"")</f>
        <v/>
      </c>
      <c r="G2467" t="str">
        <f>IFERROR(VLOOKUP('OB Format'!D2467,'Team Data'!C:AB,17,FALSE),"")</f>
        <v/>
      </c>
      <c r="H2467" t="str">
        <f>IFERROR(VLOOKUP(D2467,'Team Data'!C:AB,7,FALSE),"")</f>
        <v/>
      </c>
      <c r="I2467" t="str">
        <f>IFERROR(VLOOKUP(D2467,'Team Data'!C:AB,14,FALSE),"")</f>
        <v/>
      </c>
      <c r="J2467" t="str">
        <f>IFERROR(VLOOKUP(D2467,'Team Data'!C:AB,8,FALSE),"")</f>
        <v/>
      </c>
      <c r="K2467" t="str">
        <f>IFERROR(VLOOKUP(D2467,'Team Data'!C:AB,9,FALSE),"")</f>
        <v/>
      </c>
      <c r="L2467" t="str">
        <f>IFERROR(VLOOKUP(D2467,'Team Data'!C:AB,10,FALSE),"")</f>
        <v/>
      </c>
      <c r="M2467" t="str">
        <f t="shared" si="78"/>
        <v/>
      </c>
      <c r="N2467" t="str">
        <f>IFERROR(VLOOKUP(D2467,'Team Data'!C:AB,23,FALSE),"")</f>
        <v/>
      </c>
      <c r="O2467" t="str">
        <f>IFERROR(VLOOKUP(D2467,'Team Data'!C:AB,22,FALSE),"")</f>
        <v/>
      </c>
      <c r="P2467" t="str">
        <f t="shared" si="79"/>
        <v/>
      </c>
      <c r="Q2467" t="str">
        <f>IFERROR(VLOOKUP(D2467,'Team Data'!C:AB,15,FALSE),"")</f>
        <v/>
      </c>
      <c r="R2467" t="str">
        <f>IFERROR(VLOOKUP('OB Format'!D2467,'Team Data'!C:AB,24,FALSE),"")</f>
        <v/>
      </c>
      <c r="S2467" t="str">
        <f>IFERROR(VLOOKUP('OB Format'!D2467,'Team Data'!C:AC,25,FALSE),"")</f>
        <v/>
      </c>
    </row>
    <row r="2468" spans="5:19" x14ac:dyDescent="0.25">
      <c r="E2468" t="str">
        <f>IFERROR(VLOOKUP(D2468,'Team Data'!C:AB,4,FALSE),"")</f>
        <v/>
      </c>
      <c r="F2468" t="str">
        <f>IFERROR(VLOOKUP(D2468,'Team Data'!C:AB,5,FALSE),"")</f>
        <v/>
      </c>
      <c r="G2468" t="str">
        <f>IFERROR(VLOOKUP('OB Format'!D2468,'Team Data'!C:AB,17,FALSE),"")</f>
        <v/>
      </c>
      <c r="H2468" t="str">
        <f>IFERROR(VLOOKUP(D2468,'Team Data'!C:AB,7,FALSE),"")</f>
        <v/>
      </c>
      <c r="I2468" t="str">
        <f>IFERROR(VLOOKUP(D2468,'Team Data'!C:AB,14,FALSE),"")</f>
        <v/>
      </c>
      <c r="J2468" t="str">
        <f>IFERROR(VLOOKUP(D2468,'Team Data'!C:AB,8,FALSE),"")</f>
        <v/>
      </c>
      <c r="K2468" t="str">
        <f>IFERROR(VLOOKUP(D2468,'Team Data'!C:AB,9,FALSE),"")</f>
        <v/>
      </c>
      <c r="L2468" t="str">
        <f>IFERROR(VLOOKUP(D2468,'Team Data'!C:AB,10,FALSE),"")</f>
        <v/>
      </c>
      <c r="M2468" t="str">
        <f t="shared" si="78"/>
        <v/>
      </c>
      <c r="N2468" t="str">
        <f>IFERROR(VLOOKUP(D2468,'Team Data'!C:AB,23,FALSE),"")</f>
        <v/>
      </c>
      <c r="O2468" t="str">
        <f>IFERROR(VLOOKUP(D2468,'Team Data'!C:AB,22,FALSE),"")</f>
        <v/>
      </c>
      <c r="P2468" t="str">
        <f t="shared" si="79"/>
        <v/>
      </c>
      <c r="Q2468" t="str">
        <f>IFERROR(VLOOKUP(D2468,'Team Data'!C:AB,15,FALSE),"")</f>
        <v/>
      </c>
      <c r="R2468" t="str">
        <f>IFERROR(VLOOKUP('OB Format'!D2468,'Team Data'!C:AB,24,FALSE),"")</f>
        <v/>
      </c>
      <c r="S2468" t="str">
        <f>IFERROR(VLOOKUP('OB Format'!D2468,'Team Data'!C:AC,25,FALSE),"")</f>
        <v/>
      </c>
    </row>
    <row r="2469" spans="5:19" x14ac:dyDescent="0.25">
      <c r="E2469" t="str">
        <f>IFERROR(VLOOKUP(D2469,'Team Data'!C:AB,4,FALSE),"")</f>
        <v/>
      </c>
      <c r="F2469" t="str">
        <f>IFERROR(VLOOKUP(D2469,'Team Data'!C:AB,5,FALSE),"")</f>
        <v/>
      </c>
      <c r="G2469" t="str">
        <f>IFERROR(VLOOKUP('OB Format'!D2469,'Team Data'!C:AB,17,FALSE),"")</f>
        <v/>
      </c>
      <c r="H2469" t="str">
        <f>IFERROR(VLOOKUP(D2469,'Team Data'!C:AB,7,FALSE),"")</f>
        <v/>
      </c>
      <c r="I2469" t="str">
        <f>IFERROR(VLOOKUP(D2469,'Team Data'!C:AB,14,FALSE),"")</f>
        <v/>
      </c>
      <c r="J2469" t="str">
        <f>IFERROR(VLOOKUP(D2469,'Team Data'!C:AB,8,FALSE),"")</f>
        <v/>
      </c>
      <c r="K2469" t="str">
        <f>IFERROR(VLOOKUP(D2469,'Team Data'!C:AB,9,FALSE),"")</f>
        <v/>
      </c>
      <c r="L2469" t="str">
        <f>IFERROR(VLOOKUP(D2469,'Team Data'!C:AB,10,FALSE),"")</f>
        <v/>
      </c>
      <c r="M2469" t="str">
        <f t="shared" si="78"/>
        <v/>
      </c>
      <c r="N2469" t="str">
        <f>IFERROR(VLOOKUP(D2469,'Team Data'!C:AB,23,FALSE),"")</f>
        <v/>
      </c>
      <c r="O2469" t="str">
        <f>IFERROR(VLOOKUP(D2469,'Team Data'!C:AB,22,FALSE),"")</f>
        <v/>
      </c>
      <c r="P2469" t="str">
        <f t="shared" si="79"/>
        <v/>
      </c>
      <c r="Q2469" t="str">
        <f>IFERROR(VLOOKUP(D2469,'Team Data'!C:AB,15,FALSE),"")</f>
        <v/>
      </c>
      <c r="R2469" t="str">
        <f>IFERROR(VLOOKUP('OB Format'!D2469,'Team Data'!C:AB,24,FALSE),"")</f>
        <v/>
      </c>
      <c r="S2469" t="str">
        <f>IFERROR(VLOOKUP('OB Format'!D2469,'Team Data'!C:AC,25,FALSE),"")</f>
        <v/>
      </c>
    </row>
    <row r="2470" spans="5:19" x14ac:dyDescent="0.25">
      <c r="E2470" t="str">
        <f>IFERROR(VLOOKUP(D2470,'Team Data'!C:AB,4,FALSE),"")</f>
        <v/>
      </c>
      <c r="F2470" t="str">
        <f>IFERROR(VLOOKUP(D2470,'Team Data'!C:AB,5,FALSE),"")</f>
        <v/>
      </c>
      <c r="G2470" t="str">
        <f>IFERROR(VLOOKUP('OB Format'!D2470,'Team Data'!C:AB,17,FALSE),"")</f>
        <v/>
      </c>
      <c r="H2470" t="str">
        <f>IFERROR(VLOOKUP(D2470,'Team Data'!C:AB,7,FALSE),"")</f>
        <v/>
      </c>
      <c r="I2470" t="str">
        <f>IFERROR(VLOOKUP(D2470,'Team Data'!C:AB,14,FALSE),"")</f>
        <v/>
      </c>
      <c r="J2470" t="str">
        <f>IFERROR(VLOOKUP(D2470,'Team Data'!C:AB,8,FALSE),"")</f>
        <v/>
      </c>
      <c r="K2470" t="str">
        <f>IFERROR(VLOOKUP(D2470,'Team Data'!C:AB,9,FALSE),"")</f>
        <v/>
      </c>
      <c r="L2470" t="str">
        <f>IFERROR(VLOOKUP(D2470,'Team Data'!C:AB,10,FALSE),"")</f>
        <v/>
      </c>
      <c r="M2470" t="str">
        <f t="shared" si="78"/>
        <v/>
      </c>
      <c r="N2470" t="str">
        <f>IFERROR(VLOOKUP(D2470,'Team Data'!C:AB,23,FALSE),"")</f>
        <v/>
      </c>
      <c r="O2470" t="str">
        <f>IFERROR(VLOOKUP(D2470,'Team Data'!C:AB,22,FALSE),"")</f>
        <v/>
      </c>
      <c r="P2470" t="str">
        <f t="shared" si="79"/>
        <v/>
      </c>
      <c r="Q2470" t="str">
        <f>IFERROR(VLOOKUP(D2470,'Team Data'!C:AB,15,FALSE),"")</f>
        <v/>
      </c>
      <c r="R2470" t="str">
        <f>IFERROR(VLOOKUP('OB Format'!D2470,'Team Data'!C:AB,24,FALSE),"")</f>
        <v/>
      </c>
      <c r="S2470" t="str">
        <f>IFERROR(VLOOKUP('OB Format'!D2470,'Team Data'!C:AC,25,FALSE),"")</f>
        <v/>
      </c>
    </row>
    <row r="2471" spans="5:19" x14ac:dyDescent="0.25">
      <c r="E2471" t="str">
        <f>IFERROR(VLOOKUP(D2471,'Team Data'!C:AB,4,FALSE),"")</f>
        <v/>
      </c>
      <c r="F2471" t="str">
        <f>IFERROR(VLOOKUP(D2471,'Team Data'!C:AB,5,FALSE),"")</f>
        <v/>
      </c>
      <c r="G2471" t="str">
        <f>IFERROR(VLOOKUP('OB Format'!D2471,'Team Data'!C:AB,17,FALSE),"")</f>
        <v/>
      </c>
      <c r="H2471" t="str">
        <f>IFERROR(VLOOKUP(D2471,'Team Data'!C:AB,7,FALSE),"")</f>
        <v/>
      </c>
      <c r="I2471" t="str">
        <f>IFERROR(VLOOKUP(D2471,'Team Data'!C:AB,14,FALSE),"")</f>
        <v/>
      </c>
      <c r="J2471" t="str">
        <f>IFERROR(VLOOKUP(D2471,'Team Data'!C:AB,8,FALSE),"")</f>
        <v/>
      </c>
      <c r="K2471" t="str">
        <f>IFERROR(VLOOKUP(D2471,'Team Data'!C:AB,9,FALSE),"")</f>
        <v/>
      </c>
      <c r="L2471" t="str">
        <f>IFERROR(VLOOKUP(D2471,'Team Data'!C:AB,10,FALSE),"")</f>
        <v/>
      </c>
      <c r="M2471" t="str">
        <f t="shared" si="78"/>
        <v/>
      </c>
      <c r="N2471" t="str">
        <f>IFERROR(VLOOKUP(D2471,'Team Data'!C:AB,23,FALSE),"")</f>
        <v/>
      </c>
      <c r="O2471" t="str">
        <f>IFERROR(VLOOKUP(D2471,'Team Data'!C:AB,22,FALSE),"")</f>
        <v/>
      </c>
      <c r="P2471" t="str">
        <f t="shared" si="79"/>
        <v/>
      </c>
      <c r="Q2471" t="str">
        <f>IFERROR(VLOOKUP(D2471,'Team Data'!C:AB,15,FALSE),"")</f>
        <v/>
      </c>
      <c r="R2471" t="str">
        <f>IFERROR(VLOOKUP('OB Format'!D2471,'Team Data'!C:AB,24,FALSE),"")</f>
        <v/>
      </c>
      <c r="S2471" t="str">
        <f>IFERROR(VLOOKUP('OB Format'!D2471,'Team Data'!C:AC,25,FALSE),"")</f>
        <v/>
      </c>
    </row>
    <row r="2472" spans="5:19" x14ac:dyDescent="0.25">
      <c r="E2472" t="str">
        <f>IFERROR(VLOOKUP(D2472,'Team Data'!C:AB,4,FALSE),"")</f>
        <v/>
      </c>
      <c r="F2472" t="str">
        <f>IFERROR(VLOOKUP(D2472,'Team Data'!C:AB,5,FALSE),"")</f>
        <v/>
      </c>
      <c r="G2472" t="str">
        <f>IFERROR(VLOOKUP('OB Format'!D2472,'Team Data'!C:AB,17,FALSE),"")</f>
        <v/>
      </c>
      <c r="H2472" t="str">
        <f>IFERROR(VLOOKUP(D2472,'Team Data'!C:AB,7,FALSE),"")</f>
        <v/>
      </c>
      <c r="I2472" t="str">
        <f>IFERROR(VLOOKUP(D2472,'Team Data'!C:AB,14,FALSE),"")</f>
        <v/>
      </c>
      <c r="J2472" t="str">
        <f>IFERROR(VLOOKUP(D2472,'Team Data'!C:AB,8,FALSE),"")</f>
        <v/>
      </c>
      <c r="K2472" t="str">
        <f>IFERROR(VLOOKUP(D2472,'Team Data'!C:AB,9,FALSE),"")</f>
        <v/>
      </c>
      <c r="L2472" t="str">
        <f>IFERROR(VLOOKUP(D2472,'Team Data'!C:AB,10,FALSE),"")</f>
        <v/>
      </c>
      <c r="M2472" t="str">
        <f t="shared" si="78"/>
        <v/>
      </c>
      <c r="N2472" t="str">
        <f>IFERROR(VLOOKUP(D2472,'Team Data'!C:AB,23,FALSE),"")</f>
        <v/>
      </c>
      <c r="O2472" t="str">
        <f>IFERROR(VLOOKUP(D2472,'Team Data'!C:AB,22,FALSE),"")</f>
        <v/>
      </c>
      <c r="P2472" t="str">
        <f t="shared" si="79"/>
        <v/>
      </c>
      <c r="Q2472" t="str">
        <f>IFERROR(VLOOKUP(D2472,'Team Data'!C:AB,15,FALSE),"")</f>
        <v/>
      </c>
      <c r="R2472" t="str">
        <f>IFERROR(VLOOKUP('OB Format'!D2472,'Team Data'!C:AB,24,FALSE),"")</f>
        <v/>
      </c>
      <c r="S2472" t="str">
        <f>IFERROR(VLOOKUP('OB Format'!D2472,'Team Data'!C:AC,25,FALSE),"")</f>
        <v/>
      </c>
    </row>
    <row r="2473" spans="5:19" x14ac:dyDescent="0.25">
      <c r="E2473" t="str">
        <f>IFERROR(VLOOKUP(D2473,'Team Data'!C:AB,4,FALSE),"")</f>
        <v/>
      </c>
      <c r="F2473" t="str">
        <f>IFERROR(VLOOKUP(D2473,'Team Data'!C:AB,5,FALSE),"")</f>
        <v/>
      </c>
      <c r="G2473" t="str">
        <f>IFERROR(VLOOKUP('OB Format'!D2473,'Team Data'!C:AB,17,FALSE),"")</f>
        <v/>
      </c>
      <c r="H2473" t="str">
        <f>IFERROR(VLOOKUP(D2473,'Team Data'!C:AB,7,FALSE),"")</f>
        <v/>
      </c>
      <c r="I2473" t="str">
        <f>IFERROR(VLOOKUP(D2473,'Team Data'!C:AB,14,FALSE),"")</f>
        <v/>
      </c>
      <c r="J2473" t="str">
        <f>IFERROR(VLOOKUP(D2473,'Team Data'!C:AB,8,FALSE),"")</f>
        <v/>
      </c>
      <c r="K2473" t="str">
        <f>IFERROR(VLOOKUP(D2473,'Team Data'!C:AB,9,FALSE),"")</f>
        <v/>
      </c>
      <c r="L2473" t="str">
        <f>IFERROR(VLOOKUP(D2473,'Team Data'!C:AB,10,FALSE),"")</f>
        <v/>
      </c>
      <c r="M2473" t="str">
        <f t="shared" si="78"/>
        <v/>
      </c>
      <c r="N2473" t="str">
        <f>IFERROR(VLOOKUP(D2473,'Team Data'!C:AB,23,FALSE),"")</f>
        <v/>
      </c>
      <c r="O2473" t="str">
        <f>IFERROR(VLOOKUP(D2473,'Team Data'!C:AB,22,FALSE),"")</f>
        <v/>
      </c>
      <c r="P2473" t="str">
        <f t="shared" si="79"/>
        <v/>
      </c>
      <c r="Q2473" t="str">
        <f>IFERROR(VLOOKUP(D2473,'Team Data'!C:AB,15,FALSE),"")</f>
        <v/>
      </c>
      <c r="R2473" t="str">
        <f>IFERROR(VLOOKUP('OB Format'!D2473,'Team Data'!C:AB,24,FALSE),"")</f>
        <v/>
      </c>
      <c r="S2473" t="str">
        <f>IFERROR(VLOOKUP('OB Format'!D2473,'Team Data'!C:AC,25,FALSE),"")</f>
        <v/>
      </c>
    </row>
    <row r="2474" spans="5:19" x14ac:dyDescent="0.25">
      <c r="E2474" t="str">
        <f>IFERROR(VLOOKUP(D2474,'Team Data'!C:AB,4,FALSE),"")</f>
        <v/>
      </c>
      <c r="F2474" t="str">
        <f>IFERROR(VLOOKUP(D2474,'Team Data'!C:AB,5,FALSE),"")</f>
        <v/>
      </c>
      <c r="G2474" t="str">
        <f>IFERROR(VLOOKUP('OB Format'!D2474,'Team Data'!C:AB,17,FALSE),"")</f>
        <v/>
      </c>
      <c r="H2474" t="str">
        <f>IFERROR(VLOOKUP(D2474,'Team Data'!C:AB,7,FALSE),"")</f>
        <v/>
      </c>
      <c r="I2474" t="str">
        <f>IFERROR(VLOOKUP(D2474,'Team Data'!C:AB,14,FALSE),"")</f>
        <v/>
      </c>
      <c r="J2474" t="str">
        <f>IFERROR(VLOOKUP(D2474,'Team Data'!C:AB,8,FALSE),"")</f>
        <v/>
      </c>
      <c r="K2474" t="str">
        <f>IFERROR(VLOOKUP(D2474,'Team Data'!C:AB,9,FALSE),"")</f>
        <v/>
      </c>
      <c r="L2474" t="str">
        <f>IFERROR(VLOOKUP(D2474,'Team Data'!C:AB,10,FALSE),"")</f>
        <v/>
      </c>
      <c r="M2474" t="str">
        <f t="shared" si="78"/>
        <v/>
      </c>
      <c r="N2474" t="str">
        <f>IFERROR(VLOOKUP(D2474,'Team Data'!C:AB,23,FALSE),"")</f>
        <v/>
      </c>
      <c r="O2474" t="str">
        <f>IFERROR(VLOOKUP(D2474,'Team Data'!C:AB,22,FALSE),"")</f>
        <v/>
      </c>
      <c r="P2474" t="str">
        <f t="shared" si="79"/>
        <v/>
      </c>
      <c r="Q2474" t="str">
        <f>IFERROR(VLOOKUP(D2474,'Team Data'!C:AB,15,FALSE),"")</f>
        <v/>
      </c>
      <c r="R2474" t="str">
        <f>IFERROR(VLOOKUP('OB Format'!D2474,'Team Data'!C:AB,24,FALSE),"")</f>
        <v/>
      </c>
      <c r="S2474" t="str">
        <f>IFERROR(VLOOKUP('OB Format'!D2474,'Team Data'!C:AC,25,FALSE),"")</f>
        <v/>
      </c>
    </row>
    <row r="2475" spans="5:19" x14ac:dyDescent="0.25">
      <c r="E2475" t="str">
        <f>IFERROR(VLOOKUP(D2475,'Team Data'!C:AB,4,FALSE),"")</f>
        <v/>
      </c>
      <c r="F2475" t="str">
        <f>IFERROR(VLOOKUP(D2475,'Team Data'!C:AB,5,FALSE),"")</f>
        <v/>
      </c>
      <c r="G2475" t="str">
        <f>IFERROR(VLOOKUP('OB Format'!D2475,'Team Data'!C:AB,17,FALSE),"")</f>
        <v/>
      </c>
      <c r="H2475" t="str">
        <f>IFERROR(VLOOKUP(D2475,'Team Data'!C:AB,7,FALSE),"")</f>
        <v/>
      </c>
      <c r="I2475" t="str">
        <f>IFERROR(VLOOKUP(D2475,'Team Data'!C:AB,14,FALSE),"")</f>
        <v/>
      </c>
      <c r="J2475" t="str">
        <f>IFERROR(VLOOKUP(D2475,'Team Data'!C:AB,8,FALSE),"")</f>
        <v/>
      </c>
      <c r="K2475" t="str">
        <f>IFERROR(VLOOKUP(D2475,'Team Data'!C:AB,9,FALSE),"")</f>
        <v/>
      </c>
      <c r="L2475" t="str">
        <f>IFERROR(VLOOKUP(D2475,'Team Data'!C:AB,10,FALSE),"")</f>
        <v/>
      </c>
      <c r="M2475" t="str">
        <f t="shared" si="78"/>
        <v/>
      </c>
      <c r="N2475" t="str">
        <f>IFERROR(VLOOKUP(D2475,'Team Data'!C:AB,23,FALSE),"")</f>
        <v/>
      </c>
      <c r="O2475" t="str">
        <f>IFERROR(VLOOKUP(D2475,'Team Data'!C:AB,22,FALSE),"")</f>
        <v/>
      </c>
      <c r="P2475" t="str">
        <f t="shared" si="79"/>
        <v/>
      </c>
      <c r="Q2475" t="str">
        <f>IFERROR(VLOOKUP(D2475,'Team Data'!C:AB,15,FALSE),"")</f>
        <v/>
      </c>
      <c r="R2475" t="str">
        <f>IFERROR(VLOOKUP('OB Format'!D2475,'Team Data'!C:AB,24,FALSE),"")</f>
        <v/>
      </c>
      <c r="S2475" t="str">
        <f>IFERROR(VLOOKUP('OB Format'!D2475,'Team Data'!C:AC,25,FALSE),"")</f>
        <v/>
      </c>
    </row>
    <row r="2476" spans="5:19" x14ac:dyDescent="0.25">
      <c r="E2476" t="str">
        <f>IFERROR(VLOOKUP(D2476,'Team Data'!C:AB,4,FALSE),"")</f>
        <v/>
      </c>
      <c r="F2476" t="str">
        <f>IFERROR(VLOOKUP(D2476,'Team Data'!C:AB,5,FALSE),"")</f>
        <v/>
      </c>
      <c r="G2476" t="str">
        <f>IFERROR(VLOOKUP('OB Format'!D2476,'Team Data'!C:AB,17,FALSE),"")</f>
        <v/>
      </c>
      <c r="H2476" t="str">
        <f>IFERROR(VLOOKUP(D2476,'Team Data'!C:AB,7,FALSE),"")</f>
        <v/>
      </c>
      <c r="I2476" t="str">
        <f>IFERROR(VLOOKUP(D2476,'Team Data'!C:AB,14,FALSE),"")</f>
        <v/>
      </c>
      <c r="J2476" t="str">
        <f>IFERROR(VLOOKUP(D2476,'Team Data'!C:AB,8,FALSE),"")</f>
        <v/>
      </c>
      <c r="K2476" t="str">
        <f>IFERROR(VLOOKUP(D2476,'Team Data'!C:AB,9,FALSE),"")</f>
        <v/>
      </c>
      <c r="L2476" t="str">
        <f>IFERROR(VLOOKUP(D2476,'Team Data'!C:AB,10,FALSE),"")</f>
        <v/>
      </c>
      <c r="M2476" t="str">
        <f t="shared" si="78"/>
        <v/>
      </c>
      <c r="N2476" t="str">
        <f>IFERROR(VLOOKUP(D2476,'Team Data'!C:AB,23,FALSE),"")</f>
        <v/>
      </c>
      <c r="O2476" t="str">
        <f>IFERROR(VLOOKUP(D2476,'Team Data'!C:AB,22,FALSE),"")</f>
        <v/>
      </c>
      <c r="P2476" t="str">
        <f t="shared" si="79"/>
        <v/>
      </c>
      <c r="Q2476" t="str">
        <f>IFERROR(VLOOKUP(D2476,'Team Data'!C:AB,15,FALSE),"")</f>
        <v/>
      </c>
      <c r="R2476" t="str">
        <f>IFERROR(VLOOKUP('OB Format'!D2476,'Team Data'!C:AB,24,FALSE),"")</f>
        <v/>
      </c>
      <c r="S2476" t="str">
        <f>IFERROR(VLOOKUP('OB Format'!D2476,'Team Data'!C:AC,25,FALSE),"")</f>
        <v/>
      </c>
    </row>
    <row r="2477" spans="5:19" x14ac:dyDescent="0.25">
      <c r="E2477" t="str">
        <f>IFERROR(VLOOKUP(D2477,'Team Data'!C:AB,4,FALSE),"")</f>
        <v/>
      </c>
      <c r="F2477" t="str">
        <f>IFERROR(VLOOKUP(D2477,'Team Data'!C:AB,5,FALSE),"")</f>
        <v/>
      </c>
      <c r="G2477" t="str">
        <f>IFERROR(VLOOKUP('OB Format'!D2477,'Team Data'!C:AB,17,FALSE),"")</f>
        <v/>
      </c>
      <c r="H2477" t="str">
        <f>IFERROR(VLOOKUP(D2477,'Team Data'!C:AB,7,FALSE),"")</f>
        <v/>
      </c>
      <c r="I2477" t="str">
        <f>IFERROR(VLOOKUP(D2477,'Team Data'!C:AB,14,FALSE),"")</f>
        <v/>
      </c>
      <c r="J2477" t="str">
        <f>IFERROR(VLOOKUP(D2477,'Team Data'!C:AB,8,FALSE),"")</f>
        <v/>
      </c>
      <c r="K2477" t="str">
        <f>IFERROR(VLOOKUP(D2477,'Team Data'!C:AB,9,FALSE),"")</f>
        <v/>
      </c>
      <c r="L2477" t="str">
        <f>IFERROR(VLOOKUP(D2477,'Team Data'!C:AB,10,FALSE),"")</f>
        <v/>
      </c>
      <c r="M2477" t="str">
        <f t="shared" si="78"/>
        <v/>
      </c>
      <c r="N2477" t="str">
        <f>IFERROR(VLOOKUP(D2477,'Team Data'!C:AB,23,FALSE),"")</f>
        <v/>
      </c>
      <c r="O2477" t="str">
        <f>IFERROR(VLOOKUP(D2477,'Team Data'!C:AB,22,FALSE),"")</f>
        <v/>
      </c>
      <c r="P2477" t="str">
        <f t="shared" si="79"/>
        <v/>
      </c>
      <c r="Q2477" t="str">
        <f>IFERROR(VLOOKUP(D2477,'Team Data'!C:AB,15,FALSE),"")</f>
        <v/>
      </c>
      <c r="R2477" t="str">
        <f>IFERROR(VLOOKUP('OB Format'!D2477,'Team Data'!C:AB,24,FALSE),"")</f>
        <v/>
      </c>
      <c r="S2477" t="str">
        <f>IFERROR(VLOOKUP('OB Format'!D2477,'Team Data'!C:AC,25,FALSE),"")</f>
        <v/>
      </c>
    </row>
    <row r="2478" spans="5:19" x14ac:dyDescent="0.25">
      <c r="E2478" t="str">
        <f>IFERROR(VLOOKUP(D2478,'Team Data'!C:AB,4,FALSE),"")</f>
        <v/>
      </c>
      <c r="F2478" t="str">
        <f>IFERROR(VLOOKUP(D2478,'Team Data'!C:AB,5,FALSE),"")</f>
        <v/>
      </c>
      <c r="G2478" t="str">
        <f>IFERROR(VLOOKUP('OB Format'!D2478,'Team Data'!C:AB,17,FALSE),"")</f>
        <v/>
      </c>
      <c r="H2478" t="str">
        <f>IFERROR(VLOOKUP(D2478,'Team Data'!C:AB,7,FALSE),"")</f>
        <v/>
      </c>
      <c r="I2478" t="str">
        <f>IFERROR(VLOOKUP(D2478,'Team Data'!C:AB,14,FALSE),"")</f>
        <v/>
      </c>
      <c r="J2478" t="str">
        <f>IFERROR(VLOOKUP(D2478,'Team Data'!C:AB,8,FALSE),"")</f>
        <v/>
      </c>
      <c r="K2478" t="str">
        <f>IFERROR(VLOOKUP(D2478,'Team Data'!C:AB,9,FALSE),"")</f>
        <v/>
      </c>
      <c r="L2478" t="str">
        <f>IFERROR(VLOOKUP(D2478,'Team Data'!C:AB,10,FALSE),"")</f>
        <v/>
      </c>
      <c r="M2478" t="str">
        <f t="shared" si="78"/>
        <v/>
      </c>
      <c r="N2478" t="str">
        <f>IFERROR(VLOOKUP(D2478,'Team Data'!C:AB,23,FALSE),"")</f>
        <v/>
      </c>
      <c r="O2478" t="str">
        <f>IFERROR(VLOOKUP(D2478,'Team Data'!C:AB,22,FALSE),"")</f>
        <v/>
      </c>
      <c r="P2478" t="str">
        <f t="shared" si="79"/>
        <v/>
      </c>
      <c r="Q2478" t="str">
        <f>IFERROR(VLOOKUP(D2478,'Team Data'!C:AB,15,FALSE),"")</f>
        <v/>
      </c>
      <c r="R2478" t="str">
        <f>IFERROR(VLOOKUP('OB Format'!D2478,'Team Data'!C:AB,24,FALSE),"")</f>
        <v/>
      </c>
      <c r="S2478" t="str">
        <f>IFERROR(VLOOKUP('OB Format'!D2478,'Team Data'!C:AC,25,FALSE),"")</f>
        <v/>
      </c>
    </row>
    <row r="2479" spans="5:19" x14ac:dyDescent="0.25">
      <c r="E2479" t="str">
        <f>IFERROR(VLOOKUP(D2479,'Team Data'!C:AB,4,FALSE),"")</f>
        <v/>
      </c>
      <c r="F2479" t="str">
        <f>IFERROR(VLOOKUP(D2479,'Team Data'!C:AB,5,FALSE),"")</f>
        <v/>
      </c>
      <c r="G2479" t="str">
        <f>IFERROR(VLOOKUP('OB Format'!D2479,'Team Data'!C:AB,17,FALSE),"")</f>
        <v/>
      </c>
      <c r="H2479" t="str">
        <f>IFERROR(VLOOKUP(D2479,'Team Data'!C:AB,7,FALSE),"")</f>
        <v/>
      </c>
      <c r="I2479" t="str">
        <f>IFERROR(VLOOKUP(D2479,'Team Data'!C:AB,14,FALSE),"")</f>
        <v/>
      </c>
      <c r="J2479" t="str">
        <f>IFERROR(VLOOKUP(D2479,'Team Data'!C:AB,8,FALSE),"")</f>
        <v/>
      </c>
      <c r="K2479" t="str">
        <f>IFERROR(VLOOKUP(D2479,'Team Data'!C:AB,9,FALSE),"")</f>
        <v/>
      </c>
      <c r="L2479" t="str">
        <f>IFERROR(VLOOKUP(D2479,'Team Data'!C:AB,10,FALSE),"")</f>
        <v/>
      </c>
      <c r="M2479" t="str">
        <f t="shared" si="78"/>
        <v/>
      </c>
      <c r="N2479" t="str">
        <f>IFERROR(VLOOKUP(D2479,'Team Data'!C:AB,23,FALSE),"")</f>
        <v/>
      </c>
      <c r="O2479" t="str">
        <f>IFERROR(VLOOKUP(D2479,'Team Data'!C:AB,22,FALSE),"")</f>
        <v/>
      </c>
      <c r="P2479" t="str">
        <f t="shared" si="79"/>
        <v/>
      </c>
      <c r="Q2479" t="str">
        <f>IFERROR(VLOOKUP(D2479,'Team Data'!C:AB,15,FALSE),"")</f>
        <v/>
      </c>
      <c r="R2479" t="str">
        <f>IFERROR(VLOOKUP('OB Format'!D2479,'Team Data'!C:AB,24,FALSE),"")</f>
        <v/>
      </c>
      <c r="S2479" t="str">
        <f>IFERROR(VLOOKUP('OB Format'!D2479,'Team Data'!C:AC,25,FALSE),"")</f>
        <v/>
      </c>
    </row>
    <row r="2480" spans="5:19" x14ac:dyDescent="0.25">
      <c r="E2480" t="str">
        <f>IFERROR(VLOOKUP(D2480,'Team Data'!C:AB,4,FALSE),"")</f>
        <v/>
      </c>
      <c r="F2480" t="str">
        <f>IFERROR(VLOOKUP(D2480,'Team Data'!C:AB,5,FALSE),"")</f>
        <v/>
      </c>
      <c r="G2480" t="str">
        <f>IFERROR(VLOOKUP('OB Format'!D2480,'Team Data'!C:AB,17,FALSE),"")</f>
        <v/>
      </c>
      <c r="H2480" t="str">
        <f>IFERROR(VLOOKUP(D2480,'Team Data'!C:AB,7,FALSE),"")</f>
        <v/>
      </c>
      <c r="I2480" t="str">
        <f>IFERROR(VLOOKUP(D2480,'Team Data'!C:AB,14,FALSE),"")</f>
        <v/>
      </c>
      <c r="J2480" t="str">
        <f>IFERROR(VLOOKUP(D2480,'Team Data'!C:AB,8,FALSE),"")</f>
        <v/>
      </c>
      <c r="K2480" t="str">
        <f>IFERROR(VLOOKUP(D2480,'Team Data'!C:AB,9,FALSE),"")</f>
        <v/>
      </c>
      <c r="L2480" t="str">
        <f>IFERROR(VLOOKUP(D2480,'Team Data'!C:AB,10,FALSE),"")</f>
        <v/>
      </c>
      <c r="M2480" t="str">
        <f t="shared" si="78"/>
        <v/>
      </c>
      <c r="N2480" t="str">
        <f>IFERROR(VLOOKUP(D2480,'Team Data'!C:AB,23,FALSE),"")</f>
        <v/>
      </c>
      <c r="O2480" t="str">
        <f>IFERROR(VLOOKUP(D2480,'Team Data'!C:AB,22,FALSE),"")</f>
        <v/>
      </c>
      <c r="P2480" t="str">
        <f t="shared" si="79"/>
        <v/>
      </c>
      <c r="Q2480" t="str">
        <f>IFERROR(VLOOKUP(D2480,'Team Data'!C:AB,15,FALSE),"")</f>
        <v/>
      </c>
      <c r="R2480" t="str">
        <f>IFERROR(VLOOKUP('OB Format'!D2480,'Team Data'!C:AB,24,FALSE),"")</f>
        <v/>
      </c>
      <c r="S2480" t="str">
        <f>IFERROR(VLOOKUP('OB Format'!D2480,'Team Data'!C:AC,25,FALSE),"")</f>
        <v/>
      </c>
    </row>
    <row r="2481" spans="5:19" x14ac:dyDescent="0.25">
      <c r="E2481" t="str">
        <f>IFERROR(VLOOKUP(D2481,'Team Data'!C:AB,4,FALSE),"")</f>
        <v/>
      </c>
      <c r="F2481" t="str">
        <f>IFERROR(VLOOKUP(D2481,'Team Data'!C:AB,5,FALSE),"")</f>
        <v/>
      </c>
      <c r="G2481" t="str">
        <f>IFERROR(VLOOKUP('OB Format'!D2481,'Team Data'!C:AB,17,FALSE),"")</f>
        <v/>
      </c>
      <c r="H2481" t="str">
        <f>IFERROR(VLOOKUP(D2481,'Team Data'!C:AB,7,FALSE),"")</f>
        <v/>
      </c>
      <c r="I2481" t="str">
        <f>IFERROR(VLOOKUP(D2481,'Team Data'!C:AB,14,FALSE),"")</f>
        <v/>
      </c>
      <c r="J2481" t="str">
        <f>IFERROR(VLOOKUP(D2481,'Team Data'!C:AB,8,FALSE),"")</f>
        <v/>
      </c>
      <c r="K2481" t="str">
        <f>IFERROR(VLOOKUP(D2481,'Team Data'!C:AB,9,FALSE),"")</f>
        <v/>
      </c>
      <c r="L2481" t="str">
        <f>IFERROR(VLOOKUP(D2481,'Team Data'!C:AB,10,FALSE),"")</f>
        <v/>
      </c>
      <c r="M2481" t="str">
        <f t="shared" si="78"/>
        <v/>
      </c>
      <c r="N2481" t="str">
        <f>IFERROR(VLOOKUP(D2481,'Team Data'!C:AB,23,FALSE),"")</f>
        <v/>
      </c>
      <c r="O2481" t="str">
        <f>IFERROR(VLOOKUP(D2481,'Team Data'!C:AB,22,FALSE),"")</f>
        <v/>
      </c>
      <c r="P2481" t="str">
        <f t="shared" si="79"/>
        <v/>
      </c>
      <c r="Q2481" t="str">
        <f>IFERROR(VLOOKUP(D2481,'Team Data'!C:AB,15,FALSE),"")</f>
        <v/>
      </c>
      <c r="R2481" t="str">
        <f>IFERROR(VLOOKUP('OB Format'!D2481,'Team Data'!C:AB,24,FALSE),"")</f>
        <v/>
      </c>
      <c r="S2481" t="str">
        <f>IFERROR(VLOOKUP('OB Format'!D2481,'Team Data'!C:AC,25,FALSE),"")</f>
        <v/>
      </c>
    </row>
    <row r="2482" spans="5:19" x14ac:dyDescent="0.25">
      <c r="E2482" t="str">
        <f>IFERROR(VLOOKUP(D2482,'Team Data'!C:AB,4,FALSE),"")</f>
        <v/>
      </c>
      <c r="F2482" t="str">
        <f>IFERROR(VLOOKUP(D2482,'Team Data'!C:AB,5,FALSE),"")</f>
        <v/>
      </c>
      <c r="G2482" t="str">
        <f>IFERROR(VLOOKUP('OB Format'!D2482,'Team Data'!C:AB,17,FALSE),"")</f>
        <v/>
      </c>
      <c r="H2482" t="str">
        <f>IFERROR(VLOOKUP(D2482,'Team Data'!C:AB,7,FALSE),"")</f>
        <v/>
      </c>
      <c r="I2482" t="str">
        <f>IFERROR(VLOOKUP(D2482,'Team Data'!C:AB,14,FALSE),"")</f>
        <v/>
      </c>
      <c r="J2482" t="str">
        <f>IFERROR(VLOOKUP(D2482,'Team Data'!C:AB,8,FALSE),"")</f>
        <v/>
      </c>
      <c r="K2482" t="str">
        <f>IFERROR(VLOOKUP(D2482,'Team Data'!C:AB,9,FALSE),"")</f>
        <v/>
      </c>
      <c r="L2482" t="str">
        <f>IFERROR(VLOOKUP(D2482,'Team Data'!C:AB,10,FALSE),"")</f>
        <v/>
      </c>
      <c r="M2482" t="str">
        <f t="shared" si="78"/>
        <v/>
      </c>
      <c r="N2482" t="str">
        <f>IFERROR(VLOOKUP(D2482,'Team Data'!C:AB,23,FALSE),"")</f>
        <v/>
      </c>
      <c r="O2482" t="str">
        <f>IFERROR(VLOOKUP(D2482,'Team Data'!C:AB,22,FALSE),"")</f>
        <v/>
      </c>
      <c r="P2482" t="str">
        <f t="shared" si="79"/>
        <v/>
      </c>
      <c r="Q2482" t="str">
        <f>IFERROR(VLOOKUP(D2482,'Team Data'!C:AB,15,FALSE),"")</f>
        <v/>
      </c>
      <c r="R2482" t="str">
        <f>IFERROR(VLOOKUP('OB Format'!D2482,'Team Data'!C:AB,24,FALSE),"")</f>
        <v/>
      </c>
      <c r="S2482" t="str">
        <f>IFERROR(VLOOKUP('OB Format'!D2482,'Team Data'!C:AC,25,FALSE),"")</f>
        <v/>
      </c>
    </row>
    <row r="2483" spans="5:19" x14ac:dyDescent="0.25">
      <c r="E2483" t="str">
        <f>IFERROR(VLOOKUP(D2483,'Team Data'!C:AB,4,FALSE),"")</f>
        <v/>
      </c>
      <c r="F2483" t="str">
        <f>IFERROR(VLOOKUP(D2483,'Team Data'!C:AB,5,FALSE),"")</f>
        <v/>
      </c>
      <c r="G2483" t="str">
        <f>IFERROR(VLOOKUP('OB Format'!D2483,'Team Data'!C:AB,17,FALSE),"")</f>
        <v/>
      </c>
      <c r="H2483" t="str">
        <f>IFERROR(VLOOKUP(D2483,'Team Data'!C:AB,7,FALSE),"")</f>
        <v/>
      </c>
      <c r="I2483" t="str">
        <f>IFERROR(VLOOKUP(D2483,'Team Data'!C:AB,14,FALSE),"")</f>
        <v/>
      </c>
      <c r="J2483" t="str">
        <f>IFERROR(VLOOKUP(D2483,'Team Data'!C:AB,8,FALSE),"")</f>
        <v/>
      </c>
      <c r="K2483" t="str">
        <f>IFERROR(VLOOKUP(D2483,'Team Data'!C:AB,9,FALSE),"")</f>
        <v/>
      </c>
      <c r="L2483" t="str">
        <f>IFERROR(VLOOKUP(D2483,'Team Data'!C:AB,10,FALSE),"")</f>
        <v/>
      </c>
      <c r="M2483" t="str">
        <f t="shared" si="78"/>
        <v/>
      </c>
      <c r="N2483" t="str">
        <f>IFERROR(VLOOKUP(D2483,'Team Data'!C:AB,23,FALSE),"")</f>
        <v/>
      </c>
      <c r="O2483" t="str">
        <f>IFERROR(VLOOKUP(D2483,'Team Data'!C:AB,22,FALSE),"")</f>
        <v/>
      </c>
      <c r="P2483" t="str">
        <f t="shared" si="79"/>
        <v/>
      </c>
      <c r="Q2483" t="str">
        <f>IFERROR(VLOOKUP(D2483,'Team Data'!C:AB,15,FALSE),"")</f>
        <v/>
      </c>
      <c r="R2483" t="str">
        <f>IFERROR(VLOOKUP('OB Format'!D2483,'Team Data'!C:AB,24,FALSE),"")</f>
        <v/>
      </c>
      <c r="S2483" t="str">
        <f>IFERROR(VLOOKUP('OB Format'!D2483,'Team Data'!C:AC,25,FALSE),"")</f>
        <v/>
      </c>
    </row>
    <row r="2484" spans="5:19" x14ac:dyDescent="0.25">
      <c r="E2484" t="str">
        <f>IFERROR(VLOOKUP(D2484,'Team Data'!C:AB,4,FALSE),"")</f>
        <v/>
      </c>
      <c r="F2484" t="str">
        <f>IFERROR(VLOOKUP(D2484,'Team Data'!C:AB,5,FALSE),"")</f>
        <v/>
      </c>
      <c r="G2484" t="str">
        <f>IFERROR(VLOOKUP('OB Format'!D2484,'Team Data'!C:AB,17,FALSE),"")</f>
        <v/>
      </c>
      <c r="H2484" t="str">
        <f>IFERROR(VLOOKUP(D2484,'Team Data'!C:AB,7,FALSE),"")</f>
        <v/>
      </c>
      <c r="I2484" t="str">
        <f>IFERROR(VLOOKUP(D2484,'Team Data'!C:AB,14,FALSE),"")</f>
        <v/>
      </c>
      <c r="J2484" t="str">
        <f>IFERROR(VLOOKUP(D2484,'Team Data'!C:AB,8,FALSE),"")</f>
        <v/>
      </c>
      <c r="K2484" t="str">
        <f>IFERROR(VLOOKUP(D2484,'Team Data'!C:AB,9,FALSE),"")</f>
        <v/>
      </c>
      <c r="L2484" t="str">
        <f>IFERROR(VLOOKUP(D2484,'Team Data'!C:AB,10,FALSE),"")</f>
        <v/>
      </c>
      <c r="M2484" t="str">
        <f t="shared" si="78"/>
        <v/>
      </c>
      <c r="N2484" t="str">
        <f>IFERROR(VLOOKUP(D2484,'Team Data'!C:AB,23,FALSE),"")</f>
        <v/>
      </c>
      <c r="O2484" t="str">
        <f>IFERROR(VLOOKUP(D2484,'Team Data'!C:AB,22,FALSE),"")</f>
        <v/>
      </c>
      <c r="P2484" t="str">
        <f t="shared" si="79"/>
        <v/>
      </c>
      <c r="Q2484" t="str">
        <f>IFERROR(VLOOKUP(D2484,'Team Data'!C:AB,15,FALSE),"")</f>
        <v/>
      </c>
      <c r="R2484" t="str">
        <f>IFERROR(VLOOKUP('OB Format'!D2484,'Team Data'!C:AB,24,FALSE),"")</f>
        <v/>
      </c>
      <c r="S2484" t="str">
        <f>IFERROR(VLOOKUP('OB Format'!D2484,'Team Data'!C:AC,25,FALSE),"")</f>
        <v/>
      </c>
    </row>
    <row r="2485" spans="5:19" x14ac:dyDescent="0.25">
      <c r="E2485" t="str">
        <f>IFERROR(VLOOKUP(D2485,'Team Data'!C:AB,4,FALSE),"")</f>
        <v/>
      </c>
      <c r="F2485" t="str">
        <f>IFERROR(VLOOKUP(D2485,'Team Data'!C:AB,5,FALSE),"")</f>
        <v/>
      </c>
      <c r="G2485" t="str">
        <f>IFERROR(VLOOKUP('OB Format'!D2485,'Team Data'!C:AB,17,FALSE),"")</f>
        <v/>
      </c>
      <c r="H2485" t="str">
        <f>IFERROR(VLOOKUP(D2485,'Team Data'!C:AB,7,FALSE),"")</f>
        <v/>
      </c>
      <c r="I2485" t="str">
        <f>IFERROR(VLOOKUP(D2485,'Team Data'!C:AB,14,FALSE),"")</f>
        <v/>
      </c>
      <c r="J2485" t="str">
        <f>IFERROR(VLOOKUP(D2485,'Team Data'!C:AB,8,FALSE),"")</f>
        <v/>
      </c>
      <c r="K2485" t="str">
        <f>IFERROR(VLOOKUP(D2485,'Team Data'!C:AB,9,FALSE),"")</f>
        <v/>
      </c>
      <c r="L2485" t="str">
        <f>IFERROR(VLOOKUP(D2485,'Team Data'!C:AB,10,FALSE),"")</f>
        <v/>
      </c>
      <c r="M2485" t="str">
        <f t="shared" si="78"/>
        <v/>
      </c>
      <c r="N2485" t="str">
        <f>IFERROR(VLOOKUP(D2485,'Team Data'!C:AB,23,FALSE),"")</f>
        <v/>
      </c>
      <c r="O2485" t="str">
        <f>IFERROR(VLOOKUP(D2485,'Team Data'!C:AB,22,FALSE),"")</f>
        <v/>
      </c>
      <c r="P2485" t="str">
        <f t="shared" si="79"/>
        <v/>
      </c>
      <c r="Q2485" t="str">
        <f>IFERROR(VLOOKUP(D2485,'Team Data'!C:AB,15,FALSE),"")</f>
        <v/>
      </c>
      <c r="R2485" t="str">
        <f>IFERROR(VLOOKUP('OB Format'!D2485,'Team Data'!C:AB,24,FALSE),"")</f>
        <v/>
      </c>
      <c r="S2485" t="str">
        <f>IFERROR(VLOOKUP('OB Format'!D2485,'Team Data'!C:AC,25,FALSE),"")</f>
        <v/>
      </c>
    </row>
    <row r="2486" spans="5:19" x14ac:dyDescent="0.25">
      <c r="E2486" t="str">
        <f>IFERROR(VLOOKUP(D2486,'Team Data'!C:AB,4,FALSE),"")</f>
        <v/>
      </c>
      <c r="F2486" t="str">
        <f>IFERROR(VLOOKUP(D2486,'Team Data'!C:AB,5,FALSE),"")</f>
        <v/>
      </c>
      <c r="G2486" t="str">
        <f>IFERROR(VLOOKUP('OB Format'!D2486,'Team Data'!C:AB,17,FALSE),"")</f>
        <v/>
      </c>
      <c r="H2486" t="str">
        <f>IFERROR(VLOOKUP(D2486,'Team Data'!C:AB,7,FALSE),"")</f>
        <v/>
      </c>
      <c r="I2486" t="str">
        <f>IFERROR(VLOOKUP(D2486,'Team Data'!C:AB,14,FALSE),"")</f>
        <v/>
      </c>
      <c r="J2486" t="str">
        <f>IFERROR(VLOOKUP(D2486,'Team Data'!C:AB,8,FALSE),"")</f>
        <v/>
      </c>
      <c r="K2486" t="str">
        <f>IFERROR(VLOOKUP(D2486,'Team Data'!C:AB,9,FALSE),"")</f>
        <v/>
      </c>
      <c r="L2486" t="str">
        <f>IFERROR(VLOOKUP(D2486,'Team Data'!C:AB,10,FALSE),"")</f>
        <v/>
      </c>
      <c r="M2486" t="str">
        <f t="shared" si="78"/>
        <v/>
      </c>
      <c r="N2486" t="str">
        <f>IFERROR(VLOOKUP(D2486,'Team Data'!C:AB,23,FALSE),"")</f>
        <v/>
      </c>
      <c r="O2486" t="str">
        <f>IFERROR(VLOOKUP(D2486,'Team Data'!C:AB,22,FALSE),"")</f>
        <v/>
      </c>
      <c r="P2486" t="str">
        <f t="shared" si="79"/>
        <v/>
      </c>
      <c r="Q2486" t="str">
        <f>IFERROR(VLOOKUP(D2486,'Team Data'!C:AB,15,FALSE),"")</f>
        <v/>
      </c>
      <c r="R2486" t="str">
        <f>IFERROR(VLOOKUP('OB Format'!D2486,'Team Data'!C:AB,24,FALSE),"")</f>
        <v/>
      </c>
      <c r="S2486" t="str">
        <f>IFERROR(VLOOKUP('OB Format'!D2486,'Team Data'!C:AC,25,FALSE),"")</f>
        <v/>
      </c>
    </row>
    <row r="2487" spans="5:19" x14ac:dyDescent="0.25">
      <c r="E2487" t="str">
        <f>IFERROR(VLOOKUP(D2487,'Team Data'!C:AB,4,FALSE),"")</f>
        <v/>
      </c>
      <c r="F2487" t="str">
        <f>IFERROR(VLOOKUP(D2487,'Team Data'!C:AB,5,FALSE),"")</f>
        <v/>
      </c>
      <c r="G2487" t="str">
        <f>IFERROR(VLOOKUP('OB Format'!D2487,'Team Data'!C:AB,17,FALSE),"")</f>
        <v/>
      </c>
      <c r="H2487" t="str">
        <f>IFERROR(VLOOKUP(D2487,'Team Data'!C:AB,7,FALSE),"")</f>
        <v/>
      </c>
      <c r="I2487" t="str">
        <f>IFERROR(VLOOKUP(D2487,'Team Data'!C:AB,14,FALSE),"")</f>
        <v/>
      </c>
      <c r="J2487" t="str">
        <f>IFERROR(VLOOKUP(D2487,'Team Data'!C:AB,8,FALSE),"")</f>
        <v/>
      </c>
      <c r="K2487" t="str">
        <f>IFERROR(VLOOKUP(D2487,'Team Data'!C:AB,9,FALSE),"")</f>
        <v/>
      </c>
      <c r="L2487" t="str">
        <f>IFERROR(VLOOKUP(D2487,'Team Data'!C:AB,10,FALSE),"")</f>
        <v/>
      </c>
      <c r="M2487" t="str">
        <f t="shared" si="78"/>
        <v/>
      </c>
      <c r="N2487" t="str">
        <f>IFERROR(VLOOKUP(D2487,'Team Data'!C:AB,23,FALSE),"")</f>
        <v/>
      </c>
      <c r="O2487" t="str">
        <f>IFERROR(VLOOKUP(D2487,'Team Data'!C:AB,22,FALSE),"")</f>
        <v/>
      </c>
      <c r="P2487" t="str">
        <f t="shared" si="79"/>
        <v/>
      </c>
      <c r="Q2487" t="str">
        <f>IFERROR(VLOOKUP(D2487,'Team Data'!C:AB,15,FALSE),"")</f>
        <v/>
      </c>
      <c r="R2487" t="str">
        <f>IFERROR(VLOOKUP('OB Format'!D2487,'Team Data'!C:AB,24,FALSE),"")</f>
        <v/>
      </c>
      <c r="S2487" t="str">
        <f>IFERROR(VLOOKUP('OB Format'!D2487,'Team Data'!C:AC,25,FALSE),"")</f>
        <v/>
      </c>
    </row>
    <row r="2488" spans="5:19" x14ac:dyDescent="0.25">
      <c r="E2488" t="str">
        <f>IFERROR(VLOOKUP(D2488,'Team Data'!C:AB,4,FALSE),"")</f>
        <v/>
      </c>
      <c r="F2488" t="str">
        <f>IFERROR(VLOOKUP(D2488,'Team Data'!C:AB,5,FALSE),"")</f>
        <v/>
      </c>
      <c r="G2488" t="str">
        <f>IFERROR(VLOOKUP('OB Format'!D2488,'Team Data'!C:AB,17,FALSE),"")</f>
        <v/>
      </c>
      <c r="H2488" t="str">
        <f>IFERROR(VLOOKUP(D2488,'Team Data'!C:AB,7,FALSE),"")</f>
        <v/>
      </c>
      <c r="I2488" t="str">
        <f>IFERROR(VLOOKUP(D2488,'Team Data'!C:AB,14,FALSE),"")</f>
        <v/>
      </c>
      <c r="J2488" t="str">
        <f>IFERROR(VLOOKUP(D2488,'Team Data'!C:AB,8,FALSE),"")</f>
        <v/>
      </c>
      <c r="K2488" t="str">
        <f>IFERROR(VLOOKUP(D2488,'Team Data'!C:AB,9,FALSE),"")</f>
        <v/>
      </c>
      <c r="L2488" t="str">
        <f>IFERROR(VLOOKUP(D2488,'Team Data'!C:AB,10,FALSE),"")</f>
        <v/>
      </c>
      <c r="M2488" t="str">
        <f t="shared" si="78"/>
        <v/>
      </c>
      <c r="N2488" t="str">
        <f>IFERROR(VLOOKUP(D2488,'Team Data'!C:AB,23,FALSE),"")</f>
        <v/>
      </c>
      <c r="O2488" t="str">
        <f>IFERROR(VLOOKUP(D2488,'Team Data'!C:AB,22,FALSE),"")</f>
        <v/>
      </c>
      <c r="P2488" t="str">
        <f t="shared" si="79"/>
        <v/>
      </c>
      <c r="Q2488" t="str">
        <f>IFERROR(VLOOKUP(D2488,'Team Data'!C:AB,15,FALSE),"")</f>
        <v/>
      </c>
      <c r="R2488" t="str">
        <f>IFERROR(VLOOKUP('OB Format'!D2488,'Team Data'!C:AB,24,FALSE),"")</f>
        <v/>
      </c>
      <c r="S2488" t="str">
        <f>IFERROR(VLOOKUP('OB Format'!D2488,'Team Data'!C:AC,25,FALSE),"")</f>
        <v/>
      </c>
    </row>
    <row r="2489" spans="5:19" x14ac:dyDescent="0.25">
      <c r="E2489" t="str">
        <f>IFERROR(VLOOKUP(D2489,'Team Data'!C:AB,4,FALSE),"")</f>
        <v/>
      </c>
      <c r="F2489" t="str">
        <f>IFERROR(VLOOKUP(D2489,'Team Data'!C:AB,5,FALSE),"")</f>
        <v/>
      </c>
      <c r="G2489" t="str">
        <f>IFERROR(VLOOKUP('OB Format'!D2489,'Team Data'!C:AB,17,FALSE),"")</f>
        <v/>
      </c>
      <c r="H2489" t="str">
        <f>IFERROR(VLOOKUP(D2489,'Team Data'!C:AB,7,FALSE),"")</f>
        <v/>
      </c>
      <c r="I2489" t="str">
        <f>IFERROR(VLOOKUP(D2489,'Team Data'!C:AB,14,FALSE),"")</f>
        <v/>
      </c>
      <c r="J2489" t="str">
        <f>IFERROR(VLOOKUP(D2489,'Team Data'!C:AB,8,FALSE),"")</f>
        <v/>
      </c>
      <c r="K2489" t="str">
        <f>IFERROR(VLOOKUP(D2489,'Team Data'!C:AB,9,FALSE),"")</f>
        <v/>
      </c>
      <c r="L2489" t="str">
        <f>IFERROR(VLOOKUP(D2489,'Team Data'!C:AB,10,FALSE),"")</f>
        <v/>
      </c>
      <c r="M2489" t="str">
        <f t="shared" si="78"/>
        <v/>
      </c>
      <c r="N2489" t="str">
        <f>IFERROR(VLOOKUP(D2489,'Team Data'!C:AB,23,FALSE),"")</f>
        <v/>
      </c>
      <c r="O2489" t="str">
        <f>IFERROR(VLOOKUP(D2489,'Team Data'!C:AB,22,FALSE),"")</f>
        <v/>
      </c>
      <c r="P2489" t="str">
        <f t="shared" si="79"/>
        <v/>
      </c>
      <c r="Q2489" t="str">
        <f>IFERROR(VLOOKUP(D2489,'Team Data'!C:AB,15,FALSE),"")</f>
        <v/>
      </c>
      <c r="R2489" t="str">
        <f>IFERROR(VLOOKUP('OB Format'!D2489,'Team Data'!C:AB,24,FALSE),"")</f>
        <v/>
      </c>
      <c r="S2489" t="str">
        <f>IFERROR(VLOOKUP('OB Format'!D2489,'Team Data'!C:AC,25,FALSE),"")</f>
        <v/>
      </c>
    </row>
    <row r="2490" spans="5:19" x14ac:dyDescent="0.25">
      <c r="E2490" t="str">
        <f>IFERROR(VLOOKUP(D2490,'Team Data'!C:AB,4,FALSE),"")</f>
        <v/>
      </c>
      <c r="F2490" t="str">
        <f>IFERROR(VLOOKUP(D2490,'Team Data'!C:AB,5,FALSE),"")</f>
        <v/>
      </c>
      <c r="G2490" t="str">
        <f>IFERROR(VLOOKUP('OB Format'!D2490,'Team Data'!C:AB,17,FALSE),"")</f>
        <v/>
      </c>
      <c r="H2490" t="str">
        <f>IFERROR(VLOOKUP(D2490,'Team Data'!C:AB,7,FALSE),"")</f>
        <v/>
      </c>
      <c r="I2490" t="str">
        <f>IFERROR(VLOOKUP(D2490,'Team Data'!C:AB,14,FALSE),"")</f>
        <v/>
      </c>
      <c r="J2490" t="str">
        <f>IFERROR(VLOOKUP(D2490,'Team Data'!C:AB,8,FALSE),"")</f>
        <v/>
      </c>
      <c r="K2490" t="str">
        <f>IFERROR(VLOOKUP(D2490,'Team Data'!C:AB,9,FALSE),"")</f>
        <v/>
      </c>
      <c r="L2490" t="str">
        <f>IFERROR(VLOOKUP(D2490,'Team Data'!C:AB,10,FALSE),"")</f>
        <v/>
      </c>
      <c r="M2490" t="str">
        <f t="shared" si="78"/>
        <v/>
      </c>
      <c r="N2490" t="str">
        <f>IFERROR(VLOOKUP(D2490,'Team Data'!C:AB,23,FALSE),"")</f>
        <v/>
      </c>
      <c r="O2490" t="str">
        <f>IFERROR(VLOOKUP(D2490,'Team Data'!C:AB,22,FALSE),"")</f>
        <v/>
      </c>
      <c r="P2490" t="str">
        <f t="shared" si="79"/>
        <v/>
      </c>
      <c r="Q2490" t="str">
        <f>IFERROR(VLOOKUP(D2490,'Team Data'!C:AB,15,FALSE),"")</f>
        <v/>
      </c>
      <c r="R2490" t="str">
        <f>IFERROR(VLOOKUP('OB Format'!D2490,'Team Data'!C:AB,24,FALSE),"")</f>
        <v/>
      </c>
      <c r="S2490" t="str">
        <f>IFERROR(VLOOKUP('OB Format'!D2490,'Team Data'!C:AC,25,FALSE),"")</f>
        <v/>
      </c>
    </row>
    <row r="2491" spans="5:19" x14ac:dyDescent="0.25">
      <c r="E2491" t="str">
        <f>IFERROR(VLOOKUP(D2491,'Team Data'!C:AB,4,FALSE),"")</f>
        <v/>
      </c>
      <c r="F2491" t="str">
        <f>IFERROR(VLOOKUP(D2491,'Team Data'!C:AB,5,FALSE),"")</f>
        <v/>
      </c>
      <c r="G2491" t="str">
        <f>IFERROR(VLOOKUP('OB Format'!D2491,'Team Data'!C:AB,17,FALSE),"")</f>
        <v/>
      </c>
      <c r="H2491" t="str">
        <f>IFERROR(VLOOKUP(D2491,'Team Data'!C:AB,7,FALSE),"")</f>
        <v/>
      </c>
      <c r="I2491" t="str">
        <f>IFERROR(VLOOKUP(D2491,'Team Data'!C:AB,14,FALSE),"")</f>
        <v/>
      </c>
      <c r="J2491" t="str">
        <f>IFERROR(VLOOKUP(D2491,'Team Data'!C:AB,8,FALSE),"")</f>
        <v/>
      </c>
      <c r="K2491" t="str">
        <f>IFERROR(VLOOKUP(D2491,'Team Data'!C:AB,9,FALSE),"")</f>
        <v/>
      </c>
      <c r="L2491" t="str">
        <f>IFERROR(VLOOKUP(D2491,'Team Data'!C:AB,10,FALSE),"")</f>
        <v/>
      </c>
      <c r="M2491" t="str">
        <f t="shared" si="78"/>
        <v/>
      </c>
      <c r="N2491" t="str">
        <f>IFERROR(VLOOKUP(D2491,'Team Data'!C:AB,23,FALSE),"")</f>
        <v/>
      </c>
      <c r="O2491" t="str">
        <f>IFERROR(VLOOKUP(D2491,'Team Data'!C:AB,22,FALSE),"")</f>
        <v/>
      </c>
      <c r="P2491" t="str">
        <f t="shared" si="79"/>
        <v/>
      </c>
      <c r="Q2491" t="str">
        <f>IFERROR(VLOOKUP(D2491,'Team Data'!C:AB,15,FALSE),"")</f>
        <v/>
      </c>
      <c r="R2491" t="str">
        <f>IFERROR(VLOOKUP('OB Format'!D2491,'Team Data'!C:AB,24,FALSE),"")</f>
        <v/>
      </c>
      <c r="S2491" t="str">
        <f>IFERROR(VLOOKUP('OB Format'!D2491,'Team Data'!C:AC,25,FALSE),"")</f>
        <v/>
      </c>
    </row>
    <row r="2492" spans="5:19" x14ac:dyDescent="0.25">
      <c r="E2492" t="str">
        <f>IFERROR(VLOOKUP(D2492,'Team Data'!C:AB,4,FALSE),"")</f>
        <v/>
      </c>
      <c r="F2492" t="str">
        <f>IFERROR(VLOOKUP(D2492,'Team Data'!C:AB,5,FALSE),"")</f>
        <v/>
      </c>
      <c r="G2492" t="str">
        <f>IFERROR(VLOOKUP('OB Format'!D2492,'Team Data'!C:AB,17,FALSE),"")</f>
        <v/>
      </c>
      <c r="H2492" t="str">
        <f>IFERROR(VLOOKUP(D2492,'Team Data'!C:AB,7,FALSE),"")</f>
        <v/>
      </c>
      <c r="I2492" t="str">
        <f>IFERROR(VLOOKUP(D2492,'Team Data'!C:AB,14,FALSE),"")</f>
        <v/>
      </c>
      <c r="J2492" t="str">
        <f>IFERROR(VLOOKUP(D2492,'Team Data'!C:AB,8,FALSE),"")</f>
        <v/>
      </c>
      <c r="K2492" t="str">
        <f>IFERROR(VLOOKUP(D2492,'Team Data'!C:AB,9,FALSE),"")</f>
        <v/>
      </c>
      <c r="L2492" t="str">
        <f>IFERROR(VLOOKUP(D2492,'Team Data'!C:AB,10,FALSE),"")</f>
        <v/>
      </c>
      <c r="M2492" t="str">
        <f t="shared" si="78"/>
        <v/>
      </c>
      <c r="N2492" t="str">
        <f>IFERROR(VLOOKUP(D2492,'Team Data'!C:AB,23,FALSE),"")</f>
        <v/>
      </c>
      <c r="O2492" t="str">
        <f>IFERROR(VLOOKUP(D2492,'Team Data'!C:AB,22,FALSE),"")</f>
        <v/>
      </c>
      <c r="P2492" t="str">
        <f t="shared" si="79"/>
        <v/>
      </c>
      <c r="Q2492" t="str">
        <f>IFERROR(VLOOKUP(D2492,'Team Data'!C:AB,15,FALSE),"")</f>
        <v/>
      </c>
      <c r="R2492" t="str">
        <f>IFERROR(VLOOKUP('OB Format'!D2492,'Team Data'!C:AB,24,FALSE),"")</f>
        <v/>
      </c>
      <c r="S2492" t="str">
        <f>IFERROR(VLOOKUP('OB Format'!D2492,'Team Data'!C:AC,25,FALSE),"")</f>
        <v/>
      </c>
    </row>
    <row r="2493" spans="5:19" x14ac:dyDescent="0.25">
      <c r="E2493" t="str">
        <f>IFERROR(VLOOKUP(D2493,'Team Data'!C:AB,4,FALSE),"")</f>
        <v/>
      </c>
      <c r="F2493" t="str">
        <f>IFERROR(VLOOKUP(D2493,'Team Data'!C:AB,5,FALSE),"")</f>
        <v/>
      </c>
      <c r="G2493" t="str">
        <f>IFERROR(VLOOKUP('OB Format'!D2493,'Team Data'!C:AB,17,FALSE),"")</f>
        <v/>
      </c>
      <c r="H2493" t="str">
        <f>IFERROR(VLOOKUP(D2493,'Team Data'!C:AB,7,FALSE),"")</f>
        <v/>
      </c>
      <c r="I2493" t="str">
        <f>IFERROR(VLOOKUP(D2493,'Team Data'!C:AB,14,FALSE),"")</f>
        <v/>
      </c>
      <c r="J2493" t="str">
        <f>IFERROR(VLOOKUP(D2493,'Team Data'!C:AB,8,FALSE),"")</f>
        <v/>
      </c>
      <c r="K2493" t="str">
        <f>IFERROR(VLOOKUP(D2493,'Team Data'!C:AB,9,FALSE),"")</f>
        <v/>
      </c>
      <c r="L2493" t="str">
        <f>IFERROR(VLOOKUP(D2493,'Team Data'!C:AB,10,FALSE),"")</f>
        <v/>
      </c>
      <c r="M2493" t="str">
        <f t="shared" si="78"/>
        <v/>
      </c>
      <c r="N2493" t="str">
        <f>IFERROR(VLOOKUP(D2493,'Team Data'!C:AB,23,FALSE),"")</f>
        <v/>
      </c>
      <c r="O2493" t="str">
        <f>IFERROR(VLOOKUP(D2493,'Team Data'!C:AB,22,FALSE),"")</f>
        <v/>
      </c>
      <c r="P2493" t="str">
        <f t="shared" si="79"/>
        <v/>
      </c>
      <c r="Q2493" t="str">
        <f>IFERROR(VLOOKUP(D2493,'Team Data'!C:AB,15,FALSE),"")</f>
        <v/>
      </c>
      <c r="R2493" t="str">
        <f>IFERROR(VLOOKUP('OB Format'!D2493,'Team Data'!C:AB,24,FALSE),"")</f>
        <v/>
      </c>
      <c r="S2493" t="str">
        <f>IFERROR(VLOOKUP('OB Format'!D2493,'Team Data'!C:AC,25,FALSE),"")</f>
        <v/>
      </c>
    </row>
    <row r="2494" spans="5:19" x14ac:dyDescent="0.25">
      <c r="E2494" t="str">
        <f>IFERROR(VLOOKUP(D2494,'Team Data'!C:AB,4,FALSE),"")</f>
        <v/>
      </c>
      <c r="F2494" t="str">
        <f>IFERROR(VLOOKUP(D2494,'Team Data'!C:AB,5,FALSE),"")</f>
        <v/>
      </c>
      <c r="G2494" t="str">
        <f>IFERROR(VLOOKUP('OB Format'!D2494,'Team Data'!C:AB,17,FALSE),"")</f>
        <v/>
      </c>
      <c r="H2494" t="str">
        <f>IFERROR(VLOOKUP(D2494,'Team Data'!C:AB,7,FALSE),"")</f>
        <v/>
      </c>
      <c r="I2494" t="str">
        <f>IFERROR(VLOOKUP(D2494,'Team Data'!C:AB,14,FALSE),"")</f>
        <v/>
      </c>
      <c r="J2494" t="str">
        <f>IFERROR(VLOOKUP(D2494,'Team Data'!C:AB,8,FALSE),"")</f>
        <v/>
      </c>
      <c r="K2494" t="str">
        <f>IFERROR(VLOOKUP(D2494,'Team Data'!C:AB,9,FALSE),"")</f>
        <v/>
      </c>
      <c r="L2494" t="str">
        <f>IFERROR(VLOOKUP(D2494,'Team Data'!C:AB,10,FALSE),"")</f>
        <v/>
      </c>
      <c r="M2494" t="str">
        <f t="shared" si="78"/>
        <v/>
      </c>
      <c r="N2494" t="str">
        <f>IFERROR(VLOOKUP(D2494,'Team Data'!C:AB,23,FALSE),"")</f>
        <v/>
      </c>
      <c r="O2494" t="str">
        <f>IFERROR(VLOOKUP(D2494,'Team Data'!C:AB,22,FALSE),"")</f>
        <v/>
      </c>
      <c r="P2494" t="str">
        <f t="shared" si="79"/>
        <v/>
      </c>
      <c r="Q2494" t="str">
        <f>IFERROR(VLOOKUP(D2494,'Team Data'!C:AB,15,FALSE),"")</f>
        <v/>
      </c>
      <c r="R2494" t="str">
        <f>IFERROR(VLOOKUP('OB Format'!D2494,'Team Data'!C:AB,24,FALSE),"")</f>
        <v/>
      </c>
      <c r="S2494" t="str">
        <f>IFERROR(VLOOKUP('OB Format'!D2494,'Team Data'!C:AC,25,FALSE),"")</f>
        <v/>
      </c>
    </row>
    <row r="2495" spans="5:19" x14ac:dyDescent="0.25">
      <c r="E2495" t="str">
        <f>IFERROR(VLOOKUP(D2495,'Team Data'!C:AB,4,FALSE),"")</f>
        <v/>
      </c>
      <c r="F2495" t="str">
        <f>IFERROR(VLOOKUP(D2495,'Team Data'!C:AB,5,FALSE),"")</f>
        <v/>
      </c>
      <c r="G2495" t="str">
        <f>IFERROR(VLOOKUP('OB Format'!D2495,'Team Data'!C:AB,17,FALSE),"")</f>
        <v/>
      </c>
      <c r="H2495" t="str">
        <f>IFERROR(VLOOKUP(D2495,'Team Data'!C:AB,7,FALSE),"")</f>
        <v/>
      </c>
      <c r="I2495" t="str">
        <f>IFERROR(VLOOKUP(D2495,'Team Data'!C:AB,14,FALSE),"")</f>
        <v/>
      </c>
      <c r="J2495" t="str">
        <f>IFERROR(VLOOKUP(D2495,'Team Data'!C:AB,8,FALSE),"")</f>
        <v/>
      </c>
      <c r="K2495" t="str">
        <f>IFERROR(VLOOKUP(D2495,'Team Data'!C:AB,9,FALSE),"")</f>
        <v/>
      </c>
      <c r="L2495" t="str">
        <f>IFERROR(VLOOKUP(D2495,'Team Data'!C:AB,10,FALSE),"")</f>
        <v/>
      </c>
      <c r="M2495" t="str">
        <f t="shared" si="78"/>
        <v/>
      </c>
      <c r="N2495" t="str">
        <f>IFERROR(VLOOKUP(D2495,'Team Data'!C:AB,23,FALSE),"")</f>
        <v/>
      </c>
      <c r="O2495" t="str">
        <f>IFERROR(VLOOKUP(D2495,'Team Data'!C:AB,22,FALSE),"")</f>
        <v/>
      </c>
      <c r="P2495" t="str">
        <f t="shared" si="79"/>
        <v/>
      </c>
      <c r="Q2495" t="str">
        <f>IFERROR(VLOOKUP(D2495,'Team Data'!C:AB,15,FALSE),"")</f>
        <v/>
      </c>
      <c r="R2495" t="str">
        <f>IFERROR(VLOOKUP('OB Format'!D2495,'Team Data'!C:AB,24,FALSE),"")</f>
        <v/>
      </c>
      <c r="S2495" t="str">
        <f>IFERROR(VLOOKUP('OB Format'!D2495,'Team Data'!C:AC,25,FALSE),"")</f>
        <v/>
      </c>
    </row>
    <row r="2496" spans="5:19" x14ac:dyDescent="0.25">
      <c r="E2496" t="str">
        <f>IFERROR(VLOOKUP(D2496,'Team Data'!C:AB,4,FALSE),"")</f>
        <v/>
      </c>
      <c r="F2496" t="str">
        <f>IFERROR(VLOOKUP(D2496,'Team Data'!C:AB,5,FALSE),"")</f>
        <v/>
      </c>
      <c r="G2496" t="str">
        <f>IFERROR(VLOOKUP('OB Format'!D2496,'Team Data'!C:AB,17,FALSE),"")</f>
        <v/>
      </c>
      <c r="H2496" t="str">
        <f>IFERROR(VLOOKUP(D2496,'Team Data'!C:AB,7,FALSE),"")</f>
        <v/>
      </c>
      <c r="I2496" t="str">
        <f>IFERROR(VLOOKUP(D2496,'Team Data'!C:AB,14,FALSE),"")</f>
        <v/>
      </c>
      <c r="J2496" t="str">
        <f>IFERROR(VLOOKUP(D2496,'Team Data'!C:AB,8,FALSE),"")</f>
        <v/>
      </c>
      <c r="K2496" t="str">
        <f>IFERROR(VLOOKUP(D2496,'Team Data'!C:AB,9,FALSE),"")</f>
        <v/>
      </c>
      <c r="L2496" t="str">
        <f>IFERROR(VLOOKUP(D2496,'Team Data'!C:AB,10,FALSE),"")</f>
        <v/>
      </c>
      <c r="M2496" t="str">
        <f t="shared" si="78"/>
        <v/>
      </c>
      <c r="N2496" t="str">
        <f>IFERROR(VLOOKUP(D2496,'Team Data'!C:AB,23,FALSE),"")</f>
        <v/>
      </c>
      <c r="O2496" t="str">
        <f>IFERROR(VLOOKUP(D2496,'Team Data'!C:AB,22,FALSE),"")</f>
        <v/>
      </c>
      <c r="P2496" t="str">
        <f t="shared" si="79"/>
        <v/>
      </c>
      <c r="Q2496" t="str">
        <f>IFERROR(VLOOKUP(D2496,'Team Data'!C:AB,15,FALSE),"")</f>
        <v/>
      </c>
      <c r="R2496" t="str">
        <f>IFERROR(VLOOKUP('OB Format'!D2496,'Team Data'!C:AB,24,FALSE),"")</f>
        <v/>
      </c>
      <c r="S2496" t="str">
        <f>IFERROR(VLOOKUP('OB Format'!D2496,'Team Data'!C:AC,25,FALSE),"")</f>
        <v/>
      </c>
    </row>
    <row r="2497" spans="5:19" x14ac:dyDescent="0.25">
      <c r="E2497" t="str">
        <f>IFERROR(VLOOKUP(D2497,'Team Data'!C:AB,4,FALSE),"")</f>
        <v/>
      </c>
      <c r="F2497" t="str">
        <f>IFERROR(VLOOKUP(D2497,'Team Data'!C:AB,5,FALSE),"")</f>
        <v/>
      </c>
      <c r="G2497" t="str">
        <f>IFERROR(VLOOKUP('OB Format'!D2497,'Team Data'!C:AB,17,FALSE),"")</f>
        <v/>
      </c>
      <c r="H2497" t="str">
        <f>IFERROR(VLOOKUP(D2497,'Team Data'!C:AB,7,FALSE),"")</f>
        <v/>
      </c>
      <c r="I2497" t="str">
        <f>IFERROR(VLOOKUP(D2497,'Team Data'!C:AB,14,FALSE),"")</f>
        <v/>
      </c>
      <c r="J2497" t="str">
        <f>IFERROR(VLOOKUP(D2497,'Team Data'!C:AB,8,FALSE),"")</f>
        <v/>
      </c>
      <c r="K2497" t="str">
        <f>IFERROR(VLOOKUP(D2497,'Team Data'!C:AB,9,FALSE),"")</f>
        <v/>
      </c>
      <c r="L2497" t="str">
        <f>IFERROR(VLOOKUP(D2497,'Team Data'!C:AB,10,FALSE),"")</f>
        <v/>
      </c>
      <c r="M2497" t="str">
        <f t="shared" si="78"/>
        <v/>
      </c>
      <c r="N2497" t="str">
        <f>IFERROR(VLOOKUP(D2497,'Team Data'!C:AB,23,FALSE),"")</f>
        <v/>
      </c>
      <c r="O2497" t="str">
        <f>IFERROR(VLOOKUP(D2497,'Team Data'!C:AB,22,FALSE),"")</f>
        <v/>
      </c>
      <c r="P2497" t="str">
        <f t="shared" si="79"/>
        <v/>
      </c>
      <c r="Q2497" t="str">
        <f>IFERROR(VLOOKUP(D2497,'Team Data'!C:AB,15,FALSE),"")</f>
        <v/>
      </c>
      <c r="R2497" t="str">
        <f>IFERROR(VLOOKUP('OB Format'!D2497,'Team Data'!C:AB,24,FALSE),"")</f>
        <v/>
      </c>
      <c r="S2497" t="str">
        <f>IFERROR(VLOOKUP('OB Format'!D2497,'Team Data'!C:AC,25,FALSE),"")</f>
        <v/>
      </c>
    </row>
    <row r="2498" spans="5:19" x14ac:dyDescent="0.25">
      <c r="E2498" t="str">
        <f>IFERROR(VLOOKUP(D2498,'Team Data'!C:AB,4,FALSE),"")</f>
        <v/>
      </c>
      <c r="F2498" t="str">
        <f>IFERROR(VLOOKUP(D2498,'Team Data'!C:AB,5,FALSE),"")</f>
        <v/>
      </c>
      <c r="G2498" t="str">
        <f>IFERROR(VLOOKUP('OB Format'!D2498,'Team Data'!C:AB,17,FALSE),"")</f>
        <v/>
      </c>
      <c r="H2498" t="str">
        <f>IFERROR(VLOOKUP(D2498,'Team Data'!C:AB,7,FALSE),"")</f>
        <v/>
      </c>
      <c r="I2498" t="str">
        <f>IFERROR(VLOOKUP(D2498,'Team Data'!C:AB,14,FALSE),"")</f>
        <v/>
      </c>
      <c r="J2498" t="str">
        <f>IFERROR(VLOOKUP(D2498,'Team Data'!C:AB,8,FALSE),"")</f>
        <v/>
      </c>
      <c r="K2498" t="str">
        <f>IFERROR(VLOOKUP(D2498,'Team Data'!C:AB,9,FALSE),"")</f>
        <v/>
      </c>
      <c r="L2498" t="str">
        <f>IFERROR(VLOOKUP(D2498,'Team Data'!C:AB,10,FALSE),"")</f>
        <v/>
      </c>
      <c r="M2498" t="str">
        <f t="shared" si="78"/>
        <v/>
      </c>
      <c r="N2498" t="str">
        <f>IFERROR(VLOOKUP(D2498,'Team Data'!C:AB,23,FALSE),"")</f>
        <v/>
      </c>
      <c r="O2498" t="str">
        <f>IFERROR(VLOOKUP(D2498,'Team Data'!C:AB,22,FALSE),"")</f>
        <v/>
      </c>
      <c r="P2498" t="str">
        <f t="shared" si="79"/>
        <v/>
      </c>
      <c r="Q2498" t="str">
        <f>IFERROR(VLOOKUP(D2498,'Team Data'!C:AB,15,FALSE),"")</f>
        <v/>
      </c>
      <c r="R2498" t="str">
        <f>IFERROR(VLOOKUP('OB Format'!D2498,'Team Data'!C:AB,24,FALSE),"")</f>
        <v/>
      </c>
      <c r="S2498" t="str">
        <f>IFERROR(VLOOKUP('OB Format'!D2498,'Team Data'!C:AC,25,FALSE),"")</f>
        <v/>
      </c>
    </row>
    <row r="2499" spans="5:19" x14ac:dyDescent="0.25">
      <c r="E2499" t="str">
        <f>IFERROR(VLOOKUP(D2499,'Team Data'!C:AB,4,FALSE),"")</f>
        <v/>
      </c>
      <c r="F2499" t="str">
        <f>IFERROR(VLOOKUP(D2499,'Team Data'!C:AB,5,FALSE),"")</f>
        <v/>
      </c>
      <c r="G2499" t="str">
        <f>IFERROR(VLOOKUP('OB Format'!D2499,'Team Data'!C:AB,17,FALSE),"")</f>
        <v/>
      </c>
      <c r="H2499" t="str">
        <f>IFERROR(VLOOKUP(D2499,'Team Data'!C:AB,7,FALSE),"")</f>
        <v/>
      </c>
      <c r="I2499" t="str">
        <f>IFERROR(VLOOKUP(D2499,'Team Data'!C:AB,14,FALSE),"")</f>
        <v/>
      </c>
      <c r="J2499" t="str">
        <f>IFERROR(VLOOKUP(D2499,'Team Data'!C:AB,8,FALSE),"")</f>
        <v/>
      </c>
      <c r="K2499" t="str">
        <f>IFERROR(VLOOKUP(D2499,'Team Data'!C:AB,9,FALSE),"")</f>
        <v/>
      </c>
      <c r="L2499" t="str">
        <f>IFERROR(VLOOKUP(D2499,'Team Data'!C:AB,10,FALSE),"")</f>
        <v/>
      </c>
      <c r="M2499" t="str">
        <f t="shared" si="78"/>
        <v/>
      </c>
      <c r="N2499" t="str">
        <f>IFERROR(VLOOKUP(D2499,'Team Data'!C:AB,23,FALSE),"")</f>
        <v/>
      </c>
      <c r="O2499" t="str">
        <f>IFERROR(VLOOKUP(D2499,'Team Data'!C:AB,22,FALSE),"")</f>
        <v/>
      </c>
      <c r="P2499" t="str">
        <f t="shared" si="79"/>
        <v/>
      </c>
      <c r="Q2499" t="str">
        <f>IFERROR(VLOOKUP(D2499,'Team Data'!C:AB,15,FALSE),"")</f>
        <v/>
      </c>
      <c r="R2499" t="str">
        <f>IFERROR(VLOOKUP('OB Format'!D2499,'Team Data'!C:AB,24,FALSE),"")</f>
        <v/>
      </c>
      <c r="S2499" t="str">
        <f>IFERROR(VLOOKUP('OB Format'!D2499,'Team Data'!C:AC,25,FALSE),"")</f>
        <v/>
      </c>
    </row>
    <row r="2500" spans="5:19" x14ac:dyDescent="0.25">
      <c r="E2500" t="str">
        <f>IFERROR(VLOOKUP(D2500,'Team Data'!C:AB,4,FALSE),"")</f>
        <v/>
      </c>
      <c r="F2500" t="str">
        <f>IFERROR(VLOOKUP(D2500,'Team Data'!C:AB,5,FALSE),"")</f>
        <v/>
      </c>
      <c r="G2500" t="str">
        <f>IFERROR(VLOOKUP('OB Format'!D2500,'Team Data'!C:AB,17,FALSE),"")</f>
        <v/>
      </c>
      <c r="H2500" t="str">
        <f>IFERROR(VLOOKUP(D2500,'Team Data'!C:AB,7,FALSE),"")</f>
        <v/>
      </c>
      <c r="I2500" t="str">
        <f>IFERROR(VLOOKUP(D2500,'Team Data'!C:AB,14,FALSE),"")</f>
        <v/>
      </c>
      <c r="J2500" t="str">
        <f>IFERROR(VLOOKUP(D2500,'Team Data'!C:AB,8,FALSE),"")</f>
        <v/>
      </c>
      <c r="K2500" t="str">
        <f>IFERROR(VLOOKUP(D2500,'Team Data'!C:AB,9,FALSE),"")</f>
        <v/>
      </c>
      <c r="L2500" t="str">
        <f>IFERROR(VLOOKUP(D2500,'Team Data'!C:AB,10,FALSE),"")</f>
        <v/>
      </c>
      <c r="M2500" t="str">
        <f t="shared" si="78"/>
        <v/>
      </c>
      <c r="N2500" t="str">
        <f>IFERROR(VLOOKUP(D2500,'Team Data'!C:AB,23,FALSE),"")</f>
        <v/>
      </c>
      <c r="O2500" t="str">
        <f>IFERROR(VLOOKUP(D2500,'Team Data'!C:AB,22,FALSE),"")</f>
        <v/>
      </c>
      <c r="P2500" t="str">
        <f t="shared" si="79"/>
        <v/>
      </c>
      <c r="Q2500" t="str">
        <f>IFERROR(VLOOKUP(D2500,'Team Data'!C:AB,15,FALSE),"")</f>
        <v/>
      </c>
      <c r="R2500" t="str">
        <f>IFERROR(VLOOKUP('OB Format'!D2500,'Team Data'!C:AB,24,FALSE),"")</f>
        <v/>
      </c>
      <c r="S2500" t="str">
        <f>IFERROR(VLOOKUP('OB Format'!D2500,'Team Data'!C:AC,25,FALSE),"")</f>
        <v/>
      </c>
    </row>
    <row r="2501" spans="5:19" x14ac:dyDescent="0.25">
      <c r="E2501" t="str">
        <f>IFERROR(VLOOKUP(D2501,'Team Data'!C:AB,4,FALSE),"")</f>
        <v/>
      </c>
      <c r="F2501" t="str">
        <f>IFERROR(VLOOKUP(D2501,'Team Data'!C:AB,5,FALSE),"")</f>
        <v/>
      </c>
      <c r="G2501" t="str">
        <f>IFERROR(VLOOKUP('OB Format'!D2501,'Team Data'!C:AB,17,FALSE),"")</f>
        <v/>
      </c>
      <c r="H2501" t="str">
        <f>IFERROR(VLOOKUP(D2501,'Team Data'!C:AB,7,FALSE),"")</f>
        <v/>
      </c>
      <c r="I2501" t="str">
        <f>IFERROR(VLOOKUP(D2501,'Team Data'!C:AB,14,FALSE),"")</f>
        <v/>
      </c>
      <c r="J2501" t="str">
        <f>IFERROR(VLOOKUP(D2501,'Team Data'!C:AB,8,FALSE),"")</f>
        <v/>
      </c>
      <c r="K2501" t="str">
        <f>IFERROR(VLOOKUP(D2501,'Team Data'!C:AB,9,FALSE),"")</f>
        <v/>
      </c>
      <c r="L2501" t="str">
        <f>IFERROR(VLOOKUP(D2501,'Team Data'!C:AB,10,FALSE),"")</f>
        <v/>
      </c>
      <c r="M2501" t="str">
        <f t="shared" si="78"/>
        <v/>
      </c>
      <c r="N2501" t="str">
        <f>IFERROR(VLOOKUP(D2501,'Team Data'!C:AB,23,FALSE),"")</f>
        <v/>
      </c>
      <c r="O2501" t="str">
        <f>IFERROR(VLOOKUP(D2501,'Team Data'!C:AB,22,FALSE),"")</f>
        <v/>
      </c>
      <c r="P2501" t="str">
        <f t="shared" si="79"/>
        <v/>
      </c>
      <c r="Q2501" t="str">
        <f>IFERROR(VLOOKUP(D2501,'Team Data'!C:AB,15,FALSE),"")</f>
        <v/>
      </c>
      <c r="R2501" t="str">
        <f>IFERROR(VLOOKUP('OB Format'!D2501,'Team Data'!C:AB,24,FALSE),"")</f>
        <v/>
      </c>
      <c r="S2501" t="str">
        <f>IFERROR(VLOOKUP('OB Format'!D2501,'Team Data'!C:AC,25,FALSE),"")</f>
        <v/>
      </c>
    </row>
    <row r="2502" spans="5:19" x14ac:dyDescent="0.25">
      <c r="E2502" t="str">
        <f>IFERROR(VLOOKUP(D2502,'Team Data'!C:AB,4,FALSE),"")</f>
        <v/>
      </c>
      <c r="F2502" t="str">
        <f>IFERROR(VLOOKUP(D2502,'Team Data'!C:AB,5,FALSE),"")</f>
        <v/>
      </c>
      <c r="G2502" t="str">
        <f>IFERROR(VLOOKUP('OB Format'!D2502,'Team Data'!C:AB,17,FALSE),"")</f>
        <v/>
      </c>
      <c r="H2502" t="str">
        <f>IFERROR(VLOOKUP(D2502,'Team Data'!C:AB,7,FALSE),"")</f>
        <v/>
      </c>
      <c r="I2502" t="str">
        <f>IFERROR(VLOOKUP(D2502,'Team Data'!C:AB,14,FALSE),"")</f>
        <v/>
      </c>
      <c r="J2502" t="str">
        <f>IFERROR(VLOOKUP(D2502,'Team Data'!C:AB,8,FALSE),"")</f>
        <v/>
      </c>
      <c r="K2502" t="str">
        <f>IFERROR(VLOOKUP(D2502,'Team Data'!C:AB,9,FALSE),"")</f>
        <v/>
      </c>
      <c r="L2502" t="str">
        <f>IFERROR(VLOOKUP(D2502,'Team Data'!C:AB,10,FALSE),"")</f>
        <v/>
      </c>
      <c r="M2502" t="str">
        <f t="shared" si="78"/>
        <v/>
      </c>
      <c r="N2502" t="str">
        <f>IFERROR(VLOOKUP(D2502,'Team Data'!C:AB,23,FALSE),"")</f>
        <v/>
      </c>
      <c r="O2502" t="str">
        <f>IFERROR(VLOOKUP(D2502,'Team Data'!C:AB,22,FALSE),"")</f>
        <v/>
      </c>
      <c r="P2502" t="str">
        <f t="shared" si="79"/>
        <v/>
      </c>
      <c r="Q2502" t="str">
        <f>IFERROR(VLOOKUP(D2502,'Team Data'!C:AB,15,FALSE),"")</f>
        <v/>
      </c>
      <c r="R2502" t="str">
        <f>IFERROR(VLOOKUP('OB Format'!D2502,'Team Data'!C:AB,24,FALSE),"")</f>
        <v/>
      </c>
      <c r="S2502" t="str">
        <f>IFERROR(VLOOKUP('OB Format'!D2502,'Team Data'!C:AC,25,FALSE),"")</f>
        <v/>
      </c>
    </row>
    <row r="2503" spans="5:19" x14ac:dyDescent="0.25">
      <c r="E2503" t="str">
        <f>IFERROR(VLOOKUP(D2503,'Team Data'!C:AB,4,FALSE),"")</f>
        <v/>
      </c>
      <c r="F2503" t="str">
        <f>IFERROR(VLOOKUP(D2503,'Team Data'!C:AB,5,FALSE),"")</f>
        <v/>
      </c>
      <c r="G2503" t="str">
        <f>IFERROR(VLOOKUP('OB Format'!D2503,'Team Data'!C:AB,17,FALSE),"")</f>
        <v/>
      </c>
      <c r="H2503" t="str">
        <f>IFERROR(VLOOKUP(D2503,'Team Data'!C:AB,7,FALSE),"")</f>
        <v/>
      </c>
      <c r="I2503" t="str">
        <f>IFERROR(VLOOKUP(D2503,'Team Data'!C:AB,14,FALSE),"")</f>
        <v/>
      </c>
      <c r="J2503" t="str">
        <f>IFERROR(VLOOKUP(D2503,'Team Data'!C:AB,8,FALSE),"")</f>
        <v/>
      </c>
      <c r="K2503" t="str">
        <f>IFERROR(VLOOKUP(D2503,'Team Data'!C:AB,9,FALSE),"")</f>
        <v/>
      </c>
      <c r="L2503" t="str">
        <f>IFERROR(VLOOKUP(D2503,'Team Data'!C:AB,10,FALSE),"")</f>
        <v/>
      </c>
      <c r="M2503" t="str">
        <f t="shared" si="78"/>
        <v/>
      </c>
      <c r="N2503" t="str">
        <f>IFERROR(VLOOKUP(D2503,'Team Data'!C:AB,23,FALSE),"")</f>
        <v/>
      </c>
      <c r="O2503" t="str">
        <f>IFERROR(VLOOKUP(D2503,'Team Data'!C:AB,22,FALSE),"")</f>
        <v/>
      </c>
      <c r="P2503" t="str">
        <f t="shared" si="79"/>
        <v/>
      </c>
      <c r="Q2503" t="str">
        <f>IFERROR(VLOOKUP(D2503,'Team Data'!C:AB,15,FALSE),"")</f>
        <v/>
      </c>
      <c r="R2503" t="str">
        <f>IFERROR(VLOOKUP('OB Format'!D2503,'Team Data'!C:AB,24,FALSE),"")</f>
        <v/>
      </c>
      <c r="S2503" t="str">
        <f>IFERROR(VLOOKUP('OB Format'!D2503,'Team Data'!C:AC,25,FALSE),"")</f>
        <v/>
      </c>
    </row>
    <row r="2504" spans="5:19" x14ac:dyDescent="0.25">
      <c r="E2504" t="str">
        <f>IFERROR(VLOOKUP(D2504,'Team Data'!C:AB,4,FALSE),"")</f>
        <v/>
      </c>
      <c r="F2504" t="str">
        <f>IFERROR(VLOOKUP(D2504,'Team Data'!C:AB,5,FALSE),"")</f>
        <v/>
      </c>
      <c r="G2504" t="str">
        <f>IFERROR(VLOOKUP('OB Format'!D2504,'Team Data'!C:AB,17,FALSE),"")</f>
        <v/>
      </c>
      <c r="H2504" t="str">
        <f>IFERROR(VLOOKUP(D2504,'Team Data'!C:AB,7,FALSE),"")</f>
        <v/>
      </c>
      <c r="I2504" t="str">
        <f>IFERROR(VLOOKUP(D2504,'Team Data'!C:AB,14,FALSE),"")</f>
        <v/>
      </c>
      <c r="J2504" t="str">
        <f>IFERROR(VLOOKUP(D2504,'Team Data'!C:AB,8,FALSE),"")</f>
        <v/>
      </c>
      <c r="K2504" t="str">
        <f>IFERROR(VLOOKUP(D2504,'Team Data'!C:AB,9,FALSE),"")</f>
        <v/>
      </c>
      <c r="L2504" t="str">
        <f>IFERROR(VLOOKUP(D2504,'Team Data'!C:AB,10,FALSE),"")</f>
        <v/>
      </c>
      <c r="M2504" t="str">
        <f t="shared" si="78"/>
        <v/>
      </c>
      <c r="N2504" t="str">
        <f>IFERROR(VLOOKUP(D2504,'Team Data'!C:AB,23,FALSE),"")</f>
        <v/>
      </c>
      <c r="O2504" t="str">
        <f>IFERROR(VLOOKUP(D2504,'Team Data'!C:AB,22,FALSE),"")</f>
        <v/>
      </c>
      <c r="P2504" t="str">
        <f t="shared" si="79"/>
        <v/>
      </c>
      <c r="Q2504" t="str">
        <f>IFERROR(VLOOKUP(D2504,'Team Data'!C:AB,15,FALSE),"")</f>
        <v/>
      </c>
      <c r="R2504" t="str">
        <f>IFERROR(VLOOKUP('OB Format'!D2504,'Team Data'!C:AB,24,FALSE),"")</f>
        <v/>
      </c>
      <c r="S2504" t="str">
        <f>IFERROR(VLOOKUP('OB Format'!D2504,'Team Data'!C:AC,25,FALSE),"")</f>
        <v/>
      </c>
    </row>
    <row r="2505" spans="5:19" x14ac:dyDescent="0.25">
      <c r="E2505" t="str">
        <f>IFERROR(VLOOKUP(D2505,'Team Data'!C:AB,4,FALSE),"")</f>
        <v/>
      </c>
      <c r="F2505" t="str">
        <f>IFERROR(VLOOKUP(D2505,'Team Data'!C:AB,5,FALSE),"")</f>
        <v/>
      </c>
      <c r="G2505" t="str">
        <f>IFERROR(VLOOKUP('OB Format'!D2505,'Team Data'!C:AB,17,FALSE),"")</f>
        <v/>
      </c>
      <c r="H2505" t="str">
        <f>IFERROR(VLOOKUP(D2505,'Team Data'!C:AB,7,FALSE),"")</f>
        <v/>
      </c>
      <c r="I2505" t="str">
        <f>IFERROR(VLOOKUP(D2505,'Team Data'!C:AB,14,FALSE),"")</f>
        <v/>
      </c>
      <c r="J2505" t="str">
        <f>IFERROR(VLOOKUP(D2505,'Team Data'!C:AB,8,FALSE),"")</f>
        <v/>
      </c>
      <c r="K2505" t="str">
        <f>IFERROR(VLOOKUP(D2505,'Team Data'!C:AB,9,FALSE),"")</f>
        <v/>
      </c>
      <c r="L2505" t="str">
        <f>IFERROR(VLOOKUP(D2505,'Team Data'!C:AB,10,FALSE),"")</f>
        <v/>
      </c>
      <c r="M2505" t="str">
        <f t="shared" si="78"/>
        <v/>
      </c>
      <c r="N2505" t="str">
        <f>IFERROR(VLOOKUP(D2505,'Team Data'!C:AB,23,FALSE),"")</f>
        <v/>
      </c>
      <c r="O2505" t="str">
        <f>IFERROR(VLOOKUP(D2505,'Team Data'!C:AB,22,FALSE),"")</f>
        <v/>
      </c>
      <c r="P2505" t="str">
        <f t="shared" si="79"/>
        <v/>
      </c>
      <c r="Q2505" t="str">
        <f>IFERROR(VLOOKUP(D2505,'Team Data'!C:AB,15,FALSE),"")</f>
        <v/>
      </c>
      <c r="R2505" t="str">
        <f>IFERROR(VLOOKUP('OB Format'!D2505,'Team Data'!C:AB,24,FALSE),"")</f>
        <v/>
      </c>
      <c r="S2505" t="str">
        <f>IFERROR(VLOOKUP('OB Format'!D2505,'Team Data'!C:AC,25,FALSE),"")</f>
        <v/>
      </c>
    </row>
    <row r="2506" spans="5:19" x14ac:dyDescent="0.25">
      <c r="E2506" t="str">
        <f>IFERROR(VLOOKUP(D2506,'Team Data'!C:AB,4,FALSE),"")</f>
        <v/>
      </c>
      <c r="F2506" t="str">
        <f>IFERROR(VLOOKUP(D2506,'Team Data'!C:AB,5,FALSE),"")</f>
        <v/>
      </c>
      <c r="G2506" t="str">
        <f>IFERROR(VLOOKUP('OB Format'!D2506,'Team Data'!C:AB,17,FALSE),"")</f>
        <v/>
      </c>
      <c r="H2506" t="str">
        <f>IFERROR(VLOOKUP(D2506,'Team Data'!C:AB,7,FALSE),"")</f>
        <v/>
      </c>
      <c r="I2506" t="str">
        <f>IFERROR(VLOOKUP(D2506,'Team Data'!C:AB,14,FALSE),"")</f>
        <v/>
      </c>
      <c r="J2506" t="str">
        <f>IFERROR(VLOOKUP(D2506,'Team Data'!C:AB,8,FALSE),"")</f>
        <v/>
      </c>
      <c r="K2506" t="str">
        <f>IFERROR(VLOOKUP(D2506,'Team Data'!C:AB,9,FALSE),"")</f>
        <v/>
      </c>
      <c r="L2506" t="str">
        <f>IFERROR(VLOOKUP(D2506,'Team Data'!C:AB,10,FALSE),"")</f>
        <v/>
      </c>
      <c r="M2506" t="str">
        <f t="shared" si="78"/>
        <v/>
      </c>
      <c r="N2506" t="str">
        <f>IFERROR(VLOOKUP(D2506,'Team Data'!C:AB,23,FALSE),"")</f>
        <v/>
      </c>
      <c r="O2506" t="str">
        <f>IFERROR(VLOOKUP(D2506,'Team Data'!C:AB,22,FALSE),"")</f>
        <v/>
      </c>
      <c r="P2506" t="str">
        <f t="shared" si="79"/>
        <v/>
      </c>
      <c r="Q2506" t="str">
        <f>IFERROR(VLOOKUP(D2506,'Team Data'!C:AB,15,FALSE),"")</f>
        <v/>
      </c>
      <c r="R2506" t="str">
        <f>IFERROR(VLOOKUP('OB Format'!D2506,'Team Data'!C:AB,24,FALSE),"")</f>
        <v/>
      </c>
      <c r="S2506" t="str">
        <f>IFERROR(VLOOKUP('OB Format'!D2506,'Team Data'!C:AC,25,FALSE),"")</f>
        <v/>
      </c>
    </row>
    <row r="2507" spans="5:19" x14ac:dyDescent="0.25">
      <c r="E2507" t="str">
        <f>IFERROR(VLOOKUP(D2507,'Team Data'!C:AB,4,FALSE),"")</f>
        <v/>
      </c>
      <c r="F2507" t="str">
        <f>IFERROR(VLOOKUP(D2507,'Team Data'!C:AB,5,FALSE),"")</f>
        <v/>
      </c>
      <c r="G2507" t="str">
        <f>IFERROR(VLOOKUP('OB Format'!D2507,'Team Data'!C:AB,17,FALSE),"")</f>
        <v/>
      </c>
      <c r="H2507" t="str">
        <f>IFERROR(VLOOKUP(D2507,'Team Data'!C:AB,7,FALSE),"")</f>
        <v/>
      </c>
      <c r="I2507" t="str">
        <f>IFERROR(VLOOKUP(D2507,'Team Data'!C:AB,14,FALSE),"")</f>
        <v/>
      </c>
      <c r="J2507" t="str">
        <f>IFERROR(VLOOKUP(D2507,'Team Data'!C:AB,8,FALSE),"")</f>
        <v/>
      </c>
      <c r="K2507" t="str">
        <f>IFERROR(VLOOKUP(D2507,'Team Data'!C:AB,9,FALSE),"")</f>
        <v/>
      </c>
      <c r="L2507" t="str">
        <f>IFERROR(VLOOKUP(D2507,'Team Data'!C:AB,10,FALSE),"")</f>
        <v/>
      </c>
      <c r="M2507" t="str">
        <f t="shared" si="78"/>
        <v/>
      </c>
      <c r="N2507" t="str">
        <f>IFERROR(VLOOKUP(D2507,'Team Data'!C:AB,23,FALSE),"")</f>
        <v/>
      </c>
      <c r="O2507" t="str">
        <f>IFERROR(VLOOKUP(D2507,'Team Data'!C:AB,22,FALSE),"")</f>
        <v/>
      </c>
      <c r="P2507" t="str">
        <f t="shared" si="79"/>
        <v/>
      </c>
      <c r="Q2507" t="str">
        <f>IFERROR(VLOOKUP(D2507,'Team Data'!C:AB,15,FALSE),"")</f>
        <v/>
      </c>
      <c r="R2507" t="str">
        <f>IFERROR(VLOOKUP('OB Format'!D2507,'Team Data'!C:AB,24,FALSE),"")</f>
        <v/>
      </c>
      <c r="S2507" t="str">
        <f>IFERROR(VLOOKUP('OB Format'!D2507,'Team Data'!C:AC,25,FALSE),"")</f>
        <v/>
      </c>
    </row>
    <row r="2508" spans="5:19" x14ac:dyDescent="0.25">
      <c r="E2508" t="str">
        <f>IFERROR(VLOOKUP(D2508,'Team Data'!C:AB,4,FALSE),"")</f>
        <v/>
      </c>
      <c r="F2508" t="str">
        <f>IFERROR(VLOOKUP(D2508,'Team Data'!C:AB,5,FALSE),"")</f>
        <v/>
      </c>
      <c r="G2508" t="str">
        <f>IFERROR(VLOOKUP('OB Format'!D2508,'Team Data'!C:AB,17,FALSE),"")</f>
        <v/>
      </c>
      <c r="H2508" t="str">
        <f>IFERROR(VLOOKUP(D2508,'Team Data'!C:AB,7,FALSE),"")</f>
        <v/>
      </c>
      <c r="I2508" t="str">
        <f>IFERROR(VLOOKUP(D2508,'Team Data'!C:AB,14,FALSE),"")</f>
        <v/>
      </c>
      <c r="J2508" t="str">
        <f>IFERROR(VLOOKUP(D2508,'Team Data'!C:AB,8,FALSE),"")</f>
        <v/>
      </c>
      <c r="K2508" t="str">
        <f>IFERROR(VLOOKUP(D2508,'Team Data'!C:AB,9,FALSE),"")</f>
        <v/>
      </c>
      <c r="L2508" t="str">
        <f>IFERROR(VLOOKUP(D2508,'Team Data'!C:AB,10,FALSE),"")</f>
        <v/>
      </c>
      <c r="M2508" t="str">
        <f t="shared" si="78"/>
        <v/>
      </c>
      <c r="N2508" t="str">
        <f>IFERROR(VLOOKUP(D2508,'Team Data'!C:AB,23,FALSE),"")</f>
        <v/>
      </c>
      <c r="O2508" t="str">
        <f>IFERROR(VLOOKUP(D2508,'Team Data'!C:AB,22,FALSE),"")</f>
        <v/>
      </c>
      <c r="P2508" t="str">
        <f t="shared" si="79"/>
        <v/>
      </c>
      <c r="Q2508" t="str">
        <f>IFERROR(VLOOKUP(D2508,'Team Data'!C:AB,15,FALSE),"")</f>
        <v/>
      </c>
      <c r="R2508" t="str">
        <f>IFERROR(VLOOKUP('OB Format'!D2508,'Team Data'!C:AB,24,FALSE),"")</f>
        <v/>
      </c>
      <c r="S2508" t="str">
        <f>IFERROR(VLOOKUP('OB Format'!D2508,'Team Data'!C:AC,25,FALSE),"")</f>
        <v/>
      </c>
    </row>
    <row r="2509" spans="5:19" x14ac:dyDescent="0.25">
      <c r="E2509" t="str">
        <f>IFERROR(VLOOKUP(D2509,'Team Data'!C:AB,4,FALSE),"")</f>
        <v/>
      </c>
      <c r="F2509" t="str">
        <f>IFERROR(VLOOKUP(D2509,'Team Data'!C:AB,5,FALSE),"")</f>
        <v/>
      </c>
      <c r="G2509" t="str">
        <f>IFERROR(VLOOKUP('OB Format'!D2509,'Team Data'!C:AB,17,FALSE),"")</f>
        <v/>
      </c>
      <c r="H2509" t="str">
        <f>IFERROR(VLOOKUP(D2509,'Team Data'!C:AB,7,FALSE),"")</f>
        <v/>
      </c>
      <c r="I2509" t="str">
        <f>IFERROR(VLOOKUP(D2509,'Team Data'!C:AB,14,FALSE),"")</f>
        <v/>
      </c>
      <c r="J2509" t="str">
        <f>IFERROR(VLOOKUP(D2509,'Team Data'!C:AB,8,FALSE),"")</f>
        <v/>
      </c>
      <c r="K2509" t="str">
        <f>IFERROR(VLOOKUP(D2509,'Team Data'!C:AB,9,FALSE),"")</f>
        <v/>
      </c>
      <c r="L2509" t="str">
        <f>IFERROR(VLOOKUP(D2509,'Team Data'!C:AB,10,FALSE),"")</f>
        <v/>
      </c>
      <c r="M2509" t="str">
        <f t="shared" ref="M2509:M2572" si="80">IFERROR(H2509-(J2509+L2509+K2509),"")</f>
        <v/>
      </c>
      <c r="N2509" t="str">
        <f>IFERROR(VLOOKUP(D2509,'Team Data'!C:AB,23,FALSE),"")</f>
        <v/>
      </c>
      <c r="O2509" t="str">
        <f>IFERROR(VLOOKUP(D2509,'Team Data'!C:AB,22,FALSE),"")</f>
        <v/>
      </c>
      <c r="P2509" t="str">
        <f t="shared" ref="P2509:P2572" si="81">IFERROR(E2509-(H2509+N2509+Q2509+I2509+O2509),"")</f>
        <v/>
      </c>
      <c r="Q2509" t="str">
        <f>IFERROR(VLOOKUP(D2509,'Team Data'!C:AB,15,FALSE),"")</f>
        <v/>
      </c>
      <c r="R2509" t="str">
        <f>IFERROR(VLOOKUP('OB Format'!D2509,'Team Data'!C:AB,24,FALSE),"")</f>
        <v/>
      </c>
      <c r="S2509" t="str">
        <f>IFERROR(VLOOKUP('OB Format'!D2509,'Team Data'!C:AC,25,FALSE),"")</f>
        <v/>
      </c>
    </row>
    <row r="2510" spans="5:19" x14ac:dyDescent="0.25">
      <c r="E2510" t="str">
        <f>IFERROR(VLOOKUP(D2510,'Team Data'!C:AB,4,FALSE),"")</f>
        <v/>
      </c>
      <c r="F2510" t="str">
        <f>IFERROR(VLOOKUP(D2510,'Team Data'!C:AB,5,FALSE),"")</f>
        <v/>
      </c>
      <c r="G2510" t="str">
        <f>IFERROR(VLOOKUP('OB Format'!D2510,'Team Data'!C:AB,17,FALSE),"")</f>
        <v/>
      </c>
      <c r="H2510" t="str">
        <f>IFERROR(VLOOKUP(D2510,'Team Data'!C:AB,7,FALSE),"")</f>
        <v/>
      </c>
      <c r="I2510" t="str">
        <f>IFERROR(VLOOKUP(D2510,'Team Data'!C:AB,14,FALSE),"")</f>
        <v/>
      </c>
      <c r="J2510" t="str">
        <f>IFERROR(VLOOKUP(D2510,'Team Data'!C:AB,8,FALSE),"")</f>
        <v/>
      </c>
      <c r="K2510" t="str">
        <f>IFERROR(VLOOKUP(D2510,'Team Data'!C:AB,9,FALSE),"")</f>
        <v/>
      </c>
      <c r="L2510" t="str">
        <f>IFERROR(VLOOKUP(D2510,'Team Data'!C:AB,10,FALSE),"")</f>
        <v/>
      </c>
      <c r="M2510" t="str">
        <f t="shared" si="80"/>
        <v/>
      </c>
      <c r="N2510" t="str">
        <f>IFERROR(VLOOKUP(D2510,'Team Data'!C:AB,23,FALSE),"")</f>
        <v/>
      </c>
      <c r="O2510" t="str">
        <f>IFERROR(VLOOKUP(D2510,'Team Data'!C:AB,22,FALSE),"")</f>
        <v/>
      </c>
      <c r="P2510" t="str">
        <f t="shared" si="81"/>
        <v/>
      </c>
      <c r="Q2510" t="str">
        <f>IFERROR(VLOOKUP(D2510,'Team Data'!C:AB,15,FALSE),"")</f>
        <v/>
      </c>
      <c r="R2510" t="str">
        <f>IFERROR(VLOOKUP('OB Format'!D2510,'Team Data'!C:AB,24,FALSE),"")</f>
        <v/>
      </c>
      <c r="S2510" t="str">
        <f>IFERROR(VLOOKUP('OB Format'!D2510,'Team Data'!C:AC,25,FALSE),"")</f>
        <v/>
      </c>
    </row>
    <row r="2511" spans="5:19" x14ac:dyDescent="0.25">
      <c r="E2511" t="str">
        <f>IFERROR(VLOOKUP(D2511,'Team Data'!C:AB,4,FALSE),"")</f>
        <v/>
      </c>
      <c r="F2511" t="str">
        <f>IFERROR(VLOOKUP(D2511,'Team Data'!C:AB,5,FALSE),"")</f>
        <v/>
      </c>
      <c r="G2511" t="str">
        <f>IFERROR(VLOOKUP('OB Format'!D2511,'Team Data'!C:AB,17,FALSE),"")</f>
        <v/>
      </c>
      <c r="H2511" t="str">
        <f>IFERROR(VLOOKUP(D2511,'Team Data'!C:AB,7,FALSE),"")</f>
        <v/>
      </c>
      <c r="I2511" t="str">
        <f>IFERROR(VLOOKUP(D2511,'Team Data'!C:AB,14,FALSE),"")</f>
        <v/>
      </c>
      <c r="J2511" t="str">
        <f>IFERROR(VLOOKUP(D2511,'Team Data'!C:AB,8,FALSE),"")</f>
        <v/>
      </c>
      <c r="K2511" t="str">
        <f>IFERROR(VLOOKUP(D2511,'Team Data'!C:AB,9,FALSE),"")</f>
        <v/>
      </c>
      <c r="L2511" t="str">
        <f>IFERROR(VLOOKUP(D2511,'Team Data'!C:AB,10,FALSE),"")</f>
        <v/>
      </c>
      <c r="M2511" t="str">
        <f t="shared" si="80"/>
        <v/>
      </c>
      <c r="N2511" t="str">
        <f>IFERROR(VLOOKUP(D2511,'Team Data'!C:AB,23,FALSE),"")</f>
        <v/>
      </c>
      <c r="O2511" t="str">
        <f>IFERROR(VLOOKUP(D2511,'Team Data'!C:AB,22,FALSE),"")</f>
        <v/>
      </c>
      <c r="P2511" t="str">
        <f t="shared" si="81"/>
        <v/>
      </c>
      <c r="Q2511" t="str">
        <f>IFERROR(VLOOKUP(D2511,'Team Data'!C:AB,15,FALSE),"")</f>
        <v/>
      </c>
      <c r="R2511" t="str">
        <f>IFERROR(VLOOKUP('OB Format'!D2511,'Team Data'!C:AB,24,FALSE),"")</f>
        <v/>
      </c>
      <c r="S2511" t="str">
        <f>IFERROR(VLOOKUP('OB Format'!D2511,'Team Data'!C:AC,25,FALSE),"")</f>
        <v/>
      </c>
    </row>
    <row r="2512" spans="5:19" x14ac:dyDescent="0.25">
      <c r="E2512" t="str">
        <f>IFERROR(VLOOKUP(D2512,'Team Data'!C:AB,4,FALSE),"")</f>
        <v/>
      </c>
      <c r="F2512" t="str">
        <f>IFERROR(VLOOKUP(D2512,'Team Data'!C:AB,5,FALSE),"")</f>
        <v/>
      </c>
      <c r="G2512" t="str">
        <f>IFERROR(VLOOKUP('OB Format'!D2512,'Team Data'!C:AB,17,FALSE),"")</f>
        <v/>
      </c>
      <c r="H2512" t="str">
        <f>IFERROR(VLOOKUP(D2512,'Team Data'!C:AB,7,FALSE),"")</f>
        <v/>
      </c>
      <c r="I2512" t="str">
        <f>IFERROR(VLOOKUP(D2512,'Team Data'!C:AB,14,FALSE),"")</f>
        <v/>
      </c>
      <c r="J2512" t="str">
        <f>IFERROR(VLOOKUP(D2512,'Team Data'!C:AB,8,FALSE),"")</f>
        <v/>
      </c>
      <c r="K2512" t="str">
        <f>IFERROR(VLOOKUP(D2512,'Team Data'!C:AB,9,FALSE),"")</f>
        <v/>
      </c>
      <c r="L2512" t="str">
        <f>IFERROR(VLOOKUP(D2512,'Team Data'!C:AB,10,FALSE),"")</f>
        <v/>
      </c>
      <c r="M2512" t="str">
        <f t="shared" si="80"/>
        <v/>
      </c>
      <c r="N2512" t="str">
        <f>IFERROR(VLOOKUP(D2512,'Team Data'!C:AB,23,FALSE),"")</f>
        <v/>
      </c>
      <c r="O2512" t="str">
        <f>IFERROR(VLOOKUP(D2512,'Team Data'!C:AB,22,FALSE),"")</f>
        <v/>
      </c>
      <c r="P2512" t="str">
        <f t="shared" si="81"/>
        <v/>
      </c>
      <c r="Q2512" t="str">
        <f>IFERROR(VLOOKUP(D2512,'Team Data'!C:AB,15,FALSE),"")</f>
        <v/>
      </c>
      <c r="R2512" t="str">
        <f>IFERROR(VLOOKUP('OB Format'!D2512,'Team Data'!C:AB,24,FALSE),"")</f>
        <v/>
      </c>
      <c r="S2512" t="str">
        <f>IFERROR(VLOOKUP('OB Format'!D2512,'Team Data'!C:AC,25,FALSE),"")</f>
        <v/>
      </c>
    </row>
    <row r="2513" spans="5:19" x14ac:dyDescent="0.25">
      <c r="E2513" t="str">
        <f>IFERROR(VLOOKUP(D2513,'Team Data'!C:AB,4,FALSE),"")</f>
        <v/>
      </c>
      <c r="F2513" t="str">
        <f>IFERROR(VLOOKUP(D2513,'Team Data'!C:AB,5,FALSE),"")</f>
        <v/>
      </c>
      <c r="G2513" t="str">
        <f>IFERROR(VLOOKUP('OB Format'!D2513,'Team Data'!C:AB,17,FALSE),"")</f>
        <v/>
      </c>
      <c r="H2513" t="str">
        <f>IFERROR(VLOOKUP(D2513,'Team Data'!C:AB,7,FALSE),"")</f>
        <v/>
      </c>
      <c r="I2513" t="str">
        <f>IFERROR(VLOOKUP(D2513,'Team Data'!C:AB,14,FALSE),"")</f>
        <v/>
      </c>
      <c r="J2513" t="str">
        <f>IFERROR(VLOOKUP(D2513,'Team Data'!C:AB,8,FALSE),"")</f>
        <v/>
      </c>
      <c r="K2513" t="str">
        <f>IFERROR(VLOOKUP(D2513,'Team Data'!C:AB,9,FALSE),"")</f>
        <v/>
      </c>
      <c r="L2513" t="str">
        <f>IFERROR(VLOOKUP(D2513,'Team Data'!C:AB,10,FALSE),"")</f>
        <v/>
      </c>
      <c r="M2513" t="str">
        <f t="shared" si="80"/>
        <v/>
      </c>
      <c r="N2513" t="str">
        <f>IFERROR(VLOOKUP(D2513,'Team Data'!C:AB,23,FALSE),"")</f>
        <v/>
      </c>
      <c r="O2513" t="str">
        <f>IFERROR(VLOOKUP(D2513,'Team Data'!C:AB,22,FALSE),"")</f>
        <v/>
      </c>
      <c r="P2513" t="str">
        <f t="shared" si="81"/>
        <v/>
      </c>
      <c r="Q2513" t="str">
        <f>IFERROR(VLOOKUP(D2513,'Team Data'!C:AB,15,FALSE),"")</f>
        <v/>
      </c>
      <c r="R2513" t="str">
        <f>IFERROR(VLOOKUP('OB Format'!D2513,'Team Data'!C:AB,24,FALSE),"")</f>
        <v/>
      </c>
      <c r="S2513" t="str">
        <f>IFERROR(VLOOKUP('OB Format'!D2513,'Team Data'!C:AC,25,FALSE),"")</f>
        <v/>
      </c>
    </row>
    <row r="2514" spans="5:19" x14ac:dyDescent="0.25">
      <c r="E2514" t="str">
        <f>IFERROR(VLOOKUP(D2514,'Team Data'!C:AB,4,FALSE),"")</f>
        <v/>
      </c>
      <c r="F2514" t="str">
        <f>IFERROR(VLOOKUP(D2514,'Team Data'!C:AB,5,FALSE),"")</f>
        <v/>
      </c>
      <c r="G2514" t="str">
        <f>IFERROR(VLOOKUP('OB Format'!D2514,'Team Data'!C:AB,17,FALSE),"")</f>
        <v/>
      </c>
      <c r="H2514" t="str">
        <f>IFERROR(VLOOKUP(D2514,'Team Data'!C:AB,7,FALSE),"")</f>
        <v/>
      </c>
      <c r="I2514" t="str">
        <f>IFERROR(VLOOKUP(D2514,'Team Data'!C:AB,14,FALSE),"")</f>
        <v/>
      </c>
      <c r="J2514" t="str">
        <f>IFERROR(VLOOKUP(D2514,'Team Data'!C:AB,8,FALSE),"")</f>
        <v/>
      </c>
      <c r="K2514" t="str">
        <f>IFERROR(VLOOKUP(D2514,'Team Data'!C:AB,9,FALSE),"")</f>
        <v/>
      </c>
      <c r="L2514" t="str">
        <f>IFERROR(VLOOKUP(D2514,'Team Data'!C:AB,10,FALSE),"")</f>
        <v/>
      </c>
      <c r="M2514" t="str">
        <f t="shared" si="80"/>
        <v/>
      </c>
      <c r="N2514" t="str">
        <f>IFERROR(VLOOKUP(D2514,'Team Data'!C:AB,23,FALSE),"")</f>
        <v/>
      </c>
      <c r="O2514" t="str">
        <f>IFERROR(VLOOKUP(D2514,'Team Data'!C:AB,22,FALSE),"")</f>
        <v/>
      </c>
      <c r="P2514" t="str">
        <f t="shared" si="81"/>
        <v/>
      </c>
      <c r="Q2514" t="str">
        <f>IFERROR(VLOOKUP(D2514,'Team Data'!C:AB,15,FALSE),"")</f>
        <v/>
      </c>
      <c r="R2514" t="str">
        <f>IFERROR(VLOOKUP('OB Format'!D2514,'Team Data'!C:AB,24,FALSE),"")</f>
        <v/>
      </c>
      <c r="S2514" t="str">
        <f>IFERROR(VLOOKUP('OB Format'!D2514,'Team Data'!C:AC,25,FALSE),"")</f>
        <v/>
      </c>
    </row>
    <row r="2515" spans="5:19" x14ac:dyDescent="0.25">
      <c r="E2515" t="str">
        <f>IFERROR(VLOOKUP(D2515,'Team Data'!C:AB,4,FALSE),"")</f>
        <v/>
      </c>
      <c r="F2515" t="str">
        <f>IFERROR(VLOOKUP(D2515,'Team Data'!C:AB,5,FALSE),"")</f>
        <v/>
      </c>
      <c r="G2515" t="str">
        <f>IFERROR(VLOOKUP('OB Format'!D2515,'Team Data'!C:AB,17,FALSE),"")</f>
        <v/>
      </c>
      <c r="H2515" t="str">
        <f>IFERROR(VLOOKUP(D2515,'Team Data'!C:AB,7,FALSE),"")</f>
        <v/>
      </c>
      <c r="I2515" t="str">
        <f>IFERROR(VLOOKUP(D2515,'Team Data'!C:AB,14,FALSE),"")</f>
        <v/>
      </c>
      <c r="J2515" t="str">
        <f>IFERROR(VLOOKUP(D2515,'Team Data'!C:AB,8,FALSE),"")</f>
        <v/>
      </c>
      <c r="K2515" t="str">
        <f>IFERROR(VLOOKUP(D2515,'Team Data'!C:AB,9,FALSE),"")</f>
        <v/>
      </c>
      <c r="L2515" t="str">
        <f>IFERROR(VLOOKUP(D2515,'Team Data'!C:AB,10,FALSE),"")</f>
        <v/>
      </c>
      <c r="M2515" t="str">
        <f t="shared" si="80"/>
        <v/>
      </c>
      <c r="N2515" t="str">
        <f>IFERROR(VLOOKUP(D2515,'Team Data'!C:AB,23,FALSE),"")</f>
        <v/>
      </c>
      <c r="O2515" t="str">
        <f>IFERROR(VLOOKUP(D2515,'Team Data'!C:AB,22,FALSE),"")</f>
        <v/>
      </c>
      <c r="P2515" t="str">
        <f t="shared" si="81"/>
        <v/>
      </c>
      <c r="Q2515" t="str">
        <f>IFERROR(VLOOKUP(D2515,'Team Data'!C:AB,15,FALSE),"")</f>
        <v/>
      </c>
      <c r="R2515" t="str">
        <f>IFERROR(VLOOKUP('OB Format'!D2515,'Team Data'!C:AB,24,FALSE),"")</f>
        <v/>
      </c>
      <c r="S2515" t="str">
        <f>IFERROR(VLOOKUP('OB Format'!D2515,'Team Data'!C:AC,25,FALSE),"")</f>
        <v/>
      </c>
    </row>
    <row r="2516" spans="5:19" x14ac:dyDescent="0.25">
      <c r="E2516" t="str">
        <f>IFERROR(VLOOKUP(D2516,'Team Data'!C:AB,4,FALSE),"")</f>
        <v/>
      </c>
      <c r="F2516" t="str">
        <f>IFERROR(VLOOKUP(D2516,'Team Data'!C:AB,5,FALSE),"")</f>
        <v/>
      </c>
      <c r="G2516" t="str">
        <f>IFERROR(VLOOKUP('OB Format'!D2516,'Team Data'!C:AB,17,FALSE),"")</f>
        <v/>
      </c>
      <c r="H2516" t="str">
        <f>IFERROR(VLOOKUP(D2516,'Team Data'!C:AB,7,FALSE),"")</f>
        <v/>
      </c>
      <c r="I2516" t="str">
        <f>IFERROR(VLOOKUP(D2516,'Team Data'!C:AB,14,FALSE),"")</f>
        <v/>
      </c>
      <c r="J2516" t="str">
        <f>IFERROR(VLOOKUP(D2516,'Team Data'!C:AB,8,FALSE),"")</f>
        <v/>
      </c>
      <c r="K2516" t="str">
        <f>IFERROR(VLOOKUP(D2516,'Team Data'!C:AB,9,FALSE),"")</f>
        <v/>
      </c>
      <c r="L2516" t="str">
        <f>IFERROR(VLOOKUP(D2516,'Team Data'!C:AB,10,FALSE),"")</f>
        <v/>
      </c>
      <c r="M2516" t="str">
        <f t="shared" si="80"/>
        <v/>
      </c>
      <c r="N2516" t="str">
        <f>IFERROR(VLOOKUP(D2516,'Team Data'!C:AB,23,FALSE),"")</f>
        <v/>
      </c>
      <c r="O2516" t="str">
        <f>IFERROR(VLOOKUP(D2516,'Team Data'!C:AB,22,FALSE),"")</f>
        <v/>
      </c>
      <c r="P2516" t="str">
        <f t="shared" si="81"/>
        <v/>
      </c>
      <c r="Q2516" t="str">
        <f>IFERROR(VLOOKUP(D2516,'Team Data'!C:AB,15,FALSE),"")</f>
        <v/>
      </c>
      <c r="R2516" t="str">
        <f>IFERROR(VLOOKUP('OB Format'!D2516,'Team Data'!C:AB,24,FALSE),"")</f>
        <v/>
      </c>
      <c r="S2516" t="str">
        <f>IFERROR(VLOOKUP('OB Format'!D2516,'Team Data'!C:AC,25,FALSE),"")</f>
        <v/>
      </c>
    </row>
    <row r="2517" spans="5:19" x14ac:dyDescent="0.25">
      <c r="E2517" t="str">
        <f>IFERROR(VLOOKUP(D2517,'Team Data'!C:AB,4,FALSE),"")</f>
        <v/>
      </c>
      <c r="F2517" t="str">
        <f>IFERROR(VLOOKUP(D2517,'Team Data'!C:AB,5,FALSE),"")</f>
        <v/>
      </c>
      <c r="G2517" t="str">
        <f>IFERROR(VLOOKUP('OB Format'!D2517,'Team Data'!C:AB,17,FALSE),"")</f>
        <v/>
      </c>
      <c r="H2517" t="str">
        <f>IFERROR(VLOOKUP(D2517,'Team Data'!C:AB,7,FALSE),"")</f>
        <v/>
      </c>
      <c r="I2517" t="str">
        <f>IFERROR(VLOOKUP(D2517,'Team Data'!C:AB,14,FALSE),"")</f>
        <v/>
      </c>
      <c r="J2517" t="str">
        <f>IFERROR(VLOOKUP(D2517,'Team Data'!C:AB,8,FALSE),"")</f>
        <v/>
      </c>
      <c r="K2517" t="str">
        <f>IFERROR(VLOOKUP(D2517,'Team Data'!C:AB,9,FALSE),"")</f>
        <v/>
      </c>
      <c r="L2517" t="str">
        <f>IFERROR(VLOOKUP(D2517,'Team Data'!C:AB,10,FALSE),"")</f>
        <v/>
      </c>
      <c r="M2517" t="str">
        <f t="shared" si="80"/>
        <v/>
      </c>
      <c r="N2517" t="str">
        <f>IFERROR(VLOOKUP(D2517,'Team Data'!C:AB,23,FALSE),"")</f>
        <v/>
      </c>
      <c r="O2517" t="str">
        <f>IFERROR(VLOOKUP(D2517,'Team Data'!C:AB,22,FALSE),"")</f>
        <v/>
      </c>
      <c r="P2517" t="str">
        <f t="shared" si="81"/>
        <v/>
      </c>
      <c r="Q2517" t="str">
        <f>IFERROR(VLOOKUP(D2517,'Team Data'!C:AB,15,FALSE),"")</f>
        <v/>
      </c>
      <c r="R2517" t="str">
        <f>IFERROR(VLOOKUP('OB Format'!D2517,'Team Data'!C:AB,24,FALSE),"")</f>
        <v/>
      </c>
      <c r="S2517" t="str">
        <f>IFERROR(VLOOKUP('OB Format'!D2517,'Team Data'!C:AC,25,FALSE),"")</f>
        <v/>
      </c>
    </row>
    <row r="2518" spans="5:19" x14ac:dyDescent="0.25">
      <c r="E2518" t="str">
        <f>IFERROR(VLOOKUP(D2518,'Team Data'!C:AB,4,FALSE),"")</f>
        <v/>
      </c>
      <c r="F2518" t="str">
        <f>IFERROR(VLOOKUP(D2518,'Team Data'!C:AB,5,FALSE),"")</f>
        <v/>
      </c>
      <c r="G2518" t="str">
        <f>IFERROR(VLOOKUP('OB Format'!D2518,'Team Data'!C:AB,17,FALSE),"")</f>
        <v/>
      </c>
      <c r="H2518" t="str">
        <f>IFERROR(VLOOKUP(D2518,'Team Data'!C:AB,7,FALSE),"")</f>
        <v/>
      </c>
      <c r="I2518" t="str">
        <f>IFERROR(VLOOKUP(D2518,'Team Data'!C:AB,14,FALSE),"")</f>
        <v/>
      </c>
      <c r="J2518" t="str">
        <f>IFERROR(VLOOKUP(D2518,'Team Data'!C:AB,8,FALSE),"")</f>
        <v/>
      </c>
      <c r="K2518" t="str">
        <f>IFERROR(VLOOKUP(D2518,'Team Data'!C:AB,9,FALSE),"")</f>
        <v/>
      </c>
      <c r="L2518" t="str">
        <f>IFERROR(VLOOKUP(D2518,'Team Data'!C:AB,10,FALSE),"")</f>
        <v/>
      </c>
      <c r="M2518" t="str">
        <f t="shared" si="80"/>
        <v/>
      </c>
      <c r="N2518" t="str">
        <f>IFERROR(VLOOKUP(D2518,'Team Data'!C:AB,23,FALSE),"")</f>
        <v/>
      </c>
      <c r="O2518" t="str">
        <f>IFERROR(VLOOKUP(D2518,'Team Data'!C:AB,22,FALSE),"")</f>
        <v/>
      </c>
      <c r="P2518" t="str">
        <f t="shared" si="81"/>
        <v/>
      </c>
      <c r="Q2518" t="str">
        <f>IFERROR(VLOOKUP(D2518,'Team Data'!C:AB,15,FALSE),"")</f>
        <v/>
      </c>
      <c r="R2518" t="str">
        <f>IFERROR(VLOOKUP('OB Format'!D2518,'Team Data'!C:AB,24,FALSE),"")</f>
        <v/>
      </c>
      <c r="S2518" t="str">
        <f>IFERROR(VLOOKUP('OB Format'!D2518,'Team Data'!C:AC,25,FALSE),"")</f>
        <v/>
      </c>
    </row>
    <row r="2519" spans="5:19" x14ac:dyDescent="0.25">
      <c r="E2519" t="str">
        <f>IFERROR(VLOOKUP(D2519,'Team Data'!C:AB,4,FALSE),"")</f>
        <v/>
      </c>
      <c r="F2519" t="str">
        <f>IFERROR(VLOOKUP(D2519,'Team Data'!C:AB,5,FALSE),"")</f>
        <v/>
      </c>
      <c r="G2519" t="str">
        <f>IFERROR(VLOOKUP('OB Format'!D2519,'Team Data'!C:AB,17,FALSE),"")</f>
        <v/>
      </c>
      <c r="H2519" t="str">
        <f>IFERROR(VLOOKUP(D2519,'Team Data'!C:AB,7,FALSE),"")</f>
        <v/>
      </c>
      <c r="I2519" t="str">
        <f>IFERROR(VLOOKUP(D2519,'Team Data'!C:AB,14,FALSE),"")</f>
        <v/>
      </c>
      <c r="J2519" t="str">
        <f>IFERROR(VLOOKUP(D2519,'Team Data'!C:AB,8,FALSE),"")</f>
        <v/>
      </c>
      <c r="K2519" t="str">
        <f>IFERROR(VLOOKUP(D2519,'Team Data'!C:AB,9,FALSE),"")</f>
        <v/>
      </c>
      <c r="L2519" t="str">
        <f>IFERROR(VLOOKUP(D2519,'Team Data'!C:AB,10,FALSE),"")</f>
        <v/>
      </c>
      <c r="M2519" t="str">
        <f t="shared" si="80"/>
        <v/>
      </c>
      <c r="N2519" t="str">
        <f>IFERROR(VLOOKUP(D2519,'Team Data'!C:AB,23,FALSE),"")</f>
        <v/>
      </c>
      <c r="O2519" t="str">
        <f>IFERROR(VLOOKUP(D2519,'Team Data'!C:AB,22,FALSE),"")</f>
        <v/>
      </c>
      <c r="P2519" t="str">
        <f t="shared" si="81"/>
        <v/>
      </c>
      <c r="Q2519" t="str">
        <f>IFERROR(VLOOKUP(D2519,'Team Data'!C:AB,15,FALSE),"")</f>
        <v/>
      </c>
      <c r="R2519" t="str">
        <f>IFERROR(VLOOKUP('OB Format'!D2519,'Team Data'!C:AB,24,FALSE),"")</f>
        <v/>
      </c>
      <c r="S2519" t="str">
        <f>IFERROR(VLOOKUP('OB Format'!D2519,'Team Data'!C:AC,25,FALSE),"")</f>
        <v/>
      </c>
    </row>
    <row r="2520" spans="5:19" x14ac:dyDescent="0.25">
      <c r="E2520" t="str">
        <f>IFERROR(VLOOKUP(D2520,'Team Data'!C:AB,4,FALSE),"")</f>
        <v/>
      </c>
      <c r="F2520" t="str">
        <f>IFERROR(VLOOKUP(D2520,'Team Data'!C:AB,5,FALSE),"")</f>
        <v/>
      </c>
      <c r="G2520" t="str">
        <f>IFERROR(VLOOKUP('OB Format'!D2520,'Team Data'!C:AB,17,FALSE),"")</f>
        <v/>
      </c>
      <c r="H2520" t="str">
        <f>IFERROR(VLOOKUP(D2520,'Team Data'!C:AB,7,FALSE),"")</f>
        <v/>
      </c>
      <c r="I2520" t="str">
        <f>IFERROR(VLOOKUP(D2520,'Team Data'!C:AB,14,FALSE),"")</f>
        <v/>
      </c>
      <c r="J2520" t="str">
        <f>IFERROR(VLOOKUP(D2520,'Team Data'!C:AB,8,FALSE),"")</f>
        <v/>
      </c>
      <c r="K2520" t="str">
        <f>IFERROR(VLOOKUP(D2520,'Team Data'!C:AB,9,FALSE),"")</f>
        <v/>
      </c>
      <c r="L2520" t="str">
        <f>IFERROR(VLOOKUP(D2520,'Team Data'!C:AB,10,FALSE),"")</f>
        <v/>
      </c>
      <c r="M2520" t="str">
        <f t="shared" si="80"/>
        <v/>
      </c>
      <c r="N2520" t="str">
        <f>IFERROR(VLOOKUP(D2520,'Team Data'!C:AB,23,FALSE),"")</f>
        <v/>
      </c>
      <c r="O2520" t="str">
        <f>IFERROR(VLOOKUP(D2520,'Team Data'!C:AB,22,FALSE),"")</f>
        <v/>
      </c>
      <c r="P2520" t="str">
        <f t="shared" si="81"/>
        <v/>
      </c>
      <c r="Q2520" t="str">
        <f>IFERROR(VLOOKUP(D2520,'Team Data'!C:AB,15,FALSE),"")</f>
        <v/>
      </c>
      <c r="R2520" t="str">
        <f>IFERROR(VLOOKUP('OB Format'!D2520,'Team Data'!C:AB,24,FALSE),"")</f>
        <v/>
      </c>
      <c r="S2520" t="str">
        <f>IFERROR(VLOOKUP('OB Format'!D2520,'Team Data'!C:AC,25,FALSE),"")</f>
        <v/>
      </c>
    </row>
    <row r="2521" spans="5:19" x14ac:dyDescent="0.25">
      <c r="E2521" t="str">
        <f>IFERROR(VLOOKUP(D2521,'Team Data'!C:AB,4,FALSE),"")</f>
        <v/>
      </c>
      <c r="F2521" t="str">
        <f>IFERROR(VLOOKUP(D2521,'Team Data'!C:AB,5,FALSE),"")</f>
        <v/>
      </c>
      <c r="G2521" t="str">
        <f>IFERROR(VLOOKUP('OB Format'!D2521,'Team Data'!C:AB,17,FALSE),"")</f>
        <v/>
      </c>
      <c r="H2521" t="str">
        <f>IFERROR(VLOOKUP(D2521,'Team Data'!C:AB,7,FALSE),"")</f>
        <v/>
      </c>
      <c r="I2521" t="str">
        <f>IFERROR(VLOOKUP(D2521,'Team Data'!C:AB,14,FALSE),"")</f>
        <v/>
      </c>
      <c r="J2521" t="str">
        <f>IFERROR(VLOOKUP(D2521,'Team Data'!C:AB,8,FALSE),"")</f>
        <v/>
      </c>
      <c r="K2521" t="str">
        <f>IFERROR(VLOOKUP(D2521,'Team Data'!C:AB,9,FALSE),"")</f>
        <v/>
      </c>
      <c r="L2521" t="str">
        <f>IFERROR(VLOOKUP(D2521,'Team Data'!C:AB,10,FALSE),"")</f>
        <v/>
      </c>
      <c r="M2521" t="str">
        <f t="shared" si="80"/>
        <v/>
      </c>
      <c r="N2521" t="str">
        <f>IFERROR(VLOOKUP(D2521,'Team Data'!C:AB,23,FALSE),"")</f>
        <v/>
      </c>
      <c r="O2521" t="str">
        <f>IFERROR(VLOOKUP(D2521,'Team Data'!C:AB,22,FALSE),"")</f>
        <v/>
      </c>
      <c r="P2521" t="str">
        <f t="shared" si="81"/>
        <v/>
      </c>
      <c r="Q2521" t="str">
        <f>IFERROR(VLOOKUP(D2521,'Team Data'!C:AB,15,FALSE),"")</f>
        <v/>
      </c>
      <c r="R2521" t="str">
        <f>IFERROR(VLOOKUP('OB Format'!D2521,'Team Data'!C:AB,24,FALSE),"")</f>
        <v/>
      </c>
      <c r="S2521" t="str">
        <f>IFERROR(VLOOKUP('OB Format'!D2521,'Team Data'!C:AC,25,FALSE),"")</f>
        <v/>
      </c>
    </row>
    <row r="2522" spans="5:19" x14ac:dyDescent="0.25">
      <c r="E2522" t="str">
        <f>IFERROR(VLOOKUP(D2522,'Team Data'!C:AB,4,FALSE),"")</f>
        <v/>
      </c>
      <c r="F2522" t="str">
        <f>IFERROR(VLOOKUP(D2522,'Team Data'!C:AB,5,FALSE),"")</f>
        <v/>
      </c>
      <c r="G2522" t="str">
        <f>IFERROR(VLOOKUP('OB Format'!D2522,'Team Data'!C:AB,17,FALSE),"")</f>
        <v/>
      </c>
      <c r="H2522" t="str">
        <f>IFERROR(VLOOKUP(D2522,'Team Data'!C:AB,7,FALSE),"")</f>
        <v/>
      </c>
      <c r="I2522" t="str">
        <f>IFERROR(VLOOKUP(D2522,'Team Data'!C:AB,14,FALSE),"")</f>
        <v/>
      </c>
      <c r="J2522" t="str">
        <f>IFERROR(VLOOKUP(D2522,'Team Data'!C:AB,8,FALSE),"")</f>
        <v/>
      </c>
      <c r="K2522" t="str">
        <f>IFERROR(VLOOKUP(D2522,'Team Data'!C:AB,9,FALSE),"")</f>
        <v/>
      </c>
      <c r="L2522" t="str">
        <f>IFERROR(VLOOKUP(D2522,'Team Data'!C:AB,10,FALSE),"")</f>
        <v/>
      </c>
      <c r="M2522" t="str">
        <f t="shared" si="80"/>
        <v/>
      </c>
      <c r="N2522" t="str">
        <f>IFERROR(VLOOKUP(D2522,'Team Data'!C:AB,23,FALSE),"")</f>
        <v/>
      </c>
      <c r="O2522" t="str">
        <f>IFERROR(VLOOKUP(D2522,'Team Data'!C:AB,22,FALSE),"")</f>
        <v/>
      </c>
      <c r="P2522" t="str">
        <f t="shared" si="81"/>
        <v/>
      </c>
      <c r="Q2522" t="str">
        <f>IFERROR(VLOOKUP(D2522,'Team Data'!C:AB,15,FALSE),"")</f>
        <v/>
      </c>
      <c r="R2522" t="str">
        <f>IFERROR(VLOOKUP('OB Format'!D2522,'Team Data'!C:AB,24,FALSE),"")</f>
        <v/>
      </c>
      <c r="S2522" t="str">
        <f>IFERROR(VLOOKUP('OB Format'!D2522,'Team Data'!C:AC,25,FALSE),"")</f>
        <v/>
      </c>
    </row>
    <row r="2523" spans="5:19" x14ac:dyDescent="0.25">
      <c r="E2523" t="str">
        <f>IFERROR(VLOOKUP(D2523,'Team Data'!C:AB,4,FALSE),"")</f>
        <v/>
      </c>
      <c r="F2523" t="str">
        <f>IFERROR(VLOOKUP(D2523,'Team Data'!C:AB,5,FALSE),"")</f>
        <v/>
      </c>
      <c r="G2523" t="str">
        <f>IFERROR(VLOOKUP('OB Format'!D2523,'Team Data'!C:AB,17,FALSE),"")</f>
        <v/>
      </c>
      <c r="H2523" t="str">
        <f>IFERROR(VLOOKUP(D2523,'Team Data'!C:AB,7,FALSE),"")</f>
        <v/>
      </c>
      <c r="I2523" t="str">
        <f>IFERROR(VLOOKUP(D2523,'Team Data'!C:AB,14,FALSE),"")</f>
        <v/>
      </c>
      <c r="J2523" t="str">
        <f>IFERROR(VLOOKUP(D2523,'Team Data'!C:AB,8,FALSE),"")</f>
        <v/>
      </c>
      <c r="K2523" t="str">
        <f>IFERROR(VLOOKUP(D2523,'Team Data'!C:AB,9,FALSE),"")</f>
        <v/>
      </c>
      <c r="L2523" t="str">
        <f>IFERROR(VLOOKUP(D2523,'Team Data'!C:AB,10,FALSE),"")</f>
        <v/>
      </c>
      <c r="M2523" t="str">
        <f t="shared" si="80"/>
        <v/>
      </c>
      <c r="N2523" t="str">
        <f>IFERROR(VLOOKUP(D2523,'Team Data'!C:AB,23,FALSE),"")</f>
        <v/>
      </c>
      <c r="O2523" t="str">
        <f>IFERROR(VLOOKUP(D2523,'Team Data'!C:AB,22,FALSE),"")</f>
        <v/>
      </c>
      <c r="P2523" t="str">
        <f t="shared" si="81"/>
        <v/>
      </c>
      <c r="Q2523" t="str">
        <f>IFERROR(VLOOKUP(D2523,'Team Data'!C:AB,15,FALSE),"")</f>
        <v/>
      </c>
      <c r="R2523" t="str">
        <f>IFERROR(VLOOKUP('OB Format'!D2523,'Team Data'!C:AB,24,FALSE),"")</f>
        <v/>
      </c>
      <c r="S2523" t="str">
        <f>IFERROR(VLOOKUP('OB Format'!D2523,'Team Data'!C:AC,25,FALSE),"")</f>
        <v/>
      </c>
    </row>
    <row r="2524" spans="5:19" x14ac:dyDescent="0.25">
      <c r="E2524" t="str">
        <f>IFERROR(VLOOKUP(D2524,'Team Data'!C:AB,4,FALSE),"")</f>
        <v/>
      </c>
      <c r="F2524" t="str">
        <f>IFERROR(VLOOKUP(D2524,'Team Data'!C:AB,5,FALSE),"")</f>
        <v/>
      </c>
      <c r="G2524" t="str">
        <f>IFERROR(VLOOKUP('OB Format'!D2524,'Team Data'!C:AB,17,FALSE),"")</f>
        <v/>
      </c>
      <c r="H2524" t="str">
        <f>IFERROR(VLOOKUP(D2524,'Team Data'!C:AB,7,FALSE),"")</f>
        <v/>
      </c>
      <c r="I2524" t="str">
        <f>IFERROR(VLOOKUP(D2524,'Team Data'!C:AB,14,FALSE),"")</f>
        <v/>
      </c>
      <c r="J2524" t="str">
        <f>IFERROR(VLOOKUP(D2524,'Team Data'!C:AB,8,FALSE),"")</f>
        <v/>
      </c>
      <c r="K2524" t="str">
        <f>IFERROR(VLOOKUP(D2524,'Team Data'!C:AB,9,FALSE),"")</f>
        <v/>
      </c>
      <c r="L2524" t="str">
        <f>IFERROR(VLOOKUP(D2524,'Team Data'!C:AB,10,FALSE),"")</f>
        <v/>
      </c>
      <c r="M2524" t="str">
        <f t="shared" si="80"/>
        <v/>
      </c>
      <c r="N2524" t="str">
        <f>IFERROR(VLOOKUP(D2524,'Team Data'!C:AB,23,FALSE),"")</f>
        <v/>
      </c>
      <c r="O2524" t="str">
        <f>IFERROR(VLOOKUP(D2524,'Team Data'!C:AB,22,FALSE),"")</f>
        <v/>
      </c>
      <c r="P2524" t="str">
        <f t="shared" si="81"/>
        <v/>
      </c>
      <c r="Q2524" t="str">
        <f>IFERROR(VLOOKUP(D2524,'Team Data'!C:AB,15,FALSE),"")</f>
        <v/>
      </c>
      <c r="R2524" t="str">
        <f>IFERROR(VLOOKUP('OB Format'!D2524,'Team Data'!C:AB,24,FALSE),"")</f>
        <v/>
      </c>
      <c r="S2524" t="str">
        <f>IFERROR(VLOOKUP('OB Format'!D2524,'Team Data'!C:AC,25,FALSE),"")</f>
        <v/>
      </c>
    </row>
    <row r="2525" spans="5:19" x14ac:dyDescent="0.25">
      <c r="E2525" t="str">
        <f>IFERROR(VLOOKUP(D2525,'Team Data'!C:AB,4,FALSE),"")</f>
        <v/>
      </c>
      <c r="F2525" t="str">
        <f>IFERROR(VLOOKUP(D2525,'Team Data'!C:AB,5,FALSE),"")</f>
        <v/>
      </c>
      <c r="G2525" t="str">
        <f>IFERROR(VLOOKUP('OB Format'!D2525,'Team Data'!C:AB,17,FALSE),"")</f>
        <v/>
      </c>
      <c r="H2525" t="str">
        <f>IFERROR(VLOOKUP(D2525,'Team Data'!C:AB,7,FALSE),"")</f>
        <v/>
      </c>
      <c r="I2525" t="str">
        <f>IFERROR(VLOOKUP(D2525,'Team Data'!C:AB,14,FALSE),"")</f>
        <v/>
      </c>
      <c r="J2525" t="str">
        <f>IFERROR(VLOOKUP(D2525,'Team Data'!C:AB,8,FALSE),"")</f>
        <v/>
      </c>
      <c r="K2525" t="str">
        <f>IFERROR(VLOOKUP(D2525,'Team Data'!C:AB,9,FALSE),"")</f>
        <v/>
      </c>
      <c r="L2525" t="str">
        <f>IFERROR(VLOOKUP(D2525,'Team Data'!C:AB,10,FALSE),"")</f>
        <v/>
      </c>
      <c r="M2525" t="str">
        <f t="shared" si="80"/>
        <v/>
      </c>
      <c r="N2525" t="str">
        <f>IFERROR(VLOOKUP(D2525,'Team Data'!C:AB,23,FALSE),"")</f>
        <v/>
      </c>
      <c r="O2525" t="str">
        <f>IFERROR(VLOOKUP(D2525,'Team Data'!C:AB,22,FALSE),"")</f>
        <v/>
      </c>
      <c r="P2525" t="str">
        <f t="shared" si="81"/>
        <v/>
      </c>
      <c r="Q2525" t="str">
        <f>IFERROR(VLOOKUP(D2525,'Team Data'!C:AB,15,FALSE),"")</f>
        <v/>
      </c>
      <c r="R2525" t="str">
        <f>IFERROR(VLOOKUP('OB Format'!D2525,'Team Data'!C:AB,24,FALSE),"")</f>
        <v/>
      </c>
      <c r="S2525" t="str">
        <f>IFERROR(VLOOKUP('OB Format'!D2525,'Team Data'!C:AC,25,FALSE),"")</f>
        <v/>
      </c>
    </row>
    <row r="2526" spans="5:19" x14ac:dyDescent="0.25">
      <c r="E2526" t="str">
        <f>IFERROR(VLOOKUP(D2526,'Team Data'!C:AB,4,FALSE),"")</f>
        <v/>
      </c>
      <c r="F2526" t="str">
        <f>IFERROR(VLOOKUP(D2526,'Team Data'!C:AB,5,FALSE),"")</f>
        <v/>
      </c>
      <c r="G2526" t="str">
        <f>IFERROR(VLOOKUP('OB Format'!D2526,'Team Data'!C:AB,17,FALSE),"")</f>
        <v/>
      </c>
      <c r="H2526" t="str">
        <f>IFERROR(VLOOKUP(D2526,'Team Data'!C:AB,7,FALSE),"")</f>
        <v/>
      </c>
      <c r="I2526" t="str">
        <f>IFERROR(VLOOKUP(D2526,'Team Data'!C:AB,14,FALSE),"")</f>
        <v/>
      </c>
      <c r="J2526" t="str">
        <f>IFERROR(VLOOKUP(D2526,'Team Data'!C:AB,8,FALSE),"")</f>
        <v/>
      </c>
      <c r="K2526" t="str">
        <f>IFERROR(VLOOKUP(D2526,'Team Data'!C:AB,9,FALSE),"")</f>
        <v/>
      </c>
      <c r="L2526" t="str">
        <f>IFERROR(VLOOKUP(D2526,'Team Data'!C:AB,10,FALSE),"")</f>
        <v/>
      </c>
      <c r="M2526" t="str">
        <f t="shared" si="80"/>
        <v/>
      </c>
      <c r="N2526" t="str">
        <f>IFERROR(VLOOKUP(D2526,'Team Data'!C:AB,23,FALSE),"")</f>
        <v/>
      </c>
      <c r="O2526" t="str">
        <f>IFERROR(VLOOKUP(D2526,'Team Data'!C:AB,22,FALSE),"")</f>
        <v/>
      </c>
      <c r="P2526" t="str">
        <f t="shared" si="81"/>
        <v/>
      </c>
      <c r="Q2526" t="str">
        <f>IFERROR(VLOOKUP(D2526,'Team Data'!C:AB,15,FALSE),"")</f>
        <v/>
      </c>
      <c r="R2526" t="str">
        <f>IFERROR(VLOOKUP('OB Format'!D2526,'Team Data'!C:AB,24,FALSE),"")</f>
        <v/>
      </c>
      <c r="S2526" t="str">
        <f>IFERROR(VLOOKUP('OB Format'!D2526,'Team Data'!C:AC,25,FALSE),"")</f>
        <v/>
      </c>
    </row>
    <row r="2527" spans="5:19" x14ac:dyDescent="0.25">
      <c r="E2527" t="str">
        <f>IFERROR(VLOOKUP(D2527,'Team Data'!C:AB,4,FALSE),"")</f>
        <v/>
      </c>
      <c r="F2527" t="str">
        <f>IFERROR(VLOOKUP(D2527,'Team Data'!C:AB,5,FALSE),"")</f>
        <v/>
      </c>
      <c r="G2527" t="str">
        <f>IFERROR(VLOOKUP('OB Format'!D2527,'Team Data'!C:AB,17,FALSE),"")</f>
        <v/>
      </c>
      <c r="H2527" t="str">
        <f>IFERROR(VLOOKUP(D2527,'Team Data'!C:AB,7,FALSE),"")</f>
        <v/>
      </c>
      <c r="I2527" t="str">
        <f>IFERROR(VLOOKUP(D2527,'Team Data'!C:AB,14,FALSE),"")</f>
        <v/>
      </c>
      <c r="J2527" t="str">
        <f>IFERROR(VLOOKUP(D2527,'Team Data'!C:AB,8,FALSE),"")</f>
        <v/>
      </c>
      <c r="K2527" t="str">
        <f>IFERROR(VLOOKUP(D2527,'Team Data'!C:AB,9,FALSE),"")</f>
        <v/>
      </c>
      <c r="L2527" t="str">
        <f>IFERROR(VLOOKUP(D2527,'Team Data'!C:AB,10,FALSE),"")</f>
        <v/>
      </c>
      <c r="M2527" t="str">
        <f t="shared" si="80"/>
        <v/>
      </c>
      <c r="N2527" t="str">
        <f>IFERROR(VLOOKUP(D2527,'Team Data'!C:AB,23,FALSE),"")</f>
        <v/>
      </c>
      <c r="O2527" t="str">
        <f>IFERROR(VLOOKUP(D2527,'Team Data'!C:AB,22,FALSE),"")</f>
        <v/>
      </c>
      <c r="P2527" t="str">
        <f t="shared" si="81"/>
        <v/>
      </c>
      <c r="Q2527" t="str">
        <f>IFERROR(VLOOKUP(D2527,'Team Data'!C:AB,15,FALSE),"")</f>
        <v/>
      </c>
      <c r="R2527" t="str">
        <f>IFERROR(VLOOKUP('OB Format'!D2527,'Team Data'!C:AB,24,FALSE),"")</f>
        <v/>
      </c>
      <c r="S2527" t="str">
        <f>IFERROR(VLOOKUP('OB Format'!D2527,'Team Data'!C:AC,25,FALSE),"")</f>
        <v/>
      </c>
    </row>
    <row r="2528" spans="5:19" x14ac:dyDescent="0.25">
      <c r="E2528" t="str">
        <f>IFERROR(VLOOKUP(D2528,'Team Data'!C:AB,4,FALSE),"")</f>
        <v/>
      </c>
      <c r="F2528" t="str">
        <f>IFERROR(VLOOKUP(D2528,'Team Data'!C:AB,5,FALSE),"")</f>
        <v/>
      </c>
      <c r="G2528" t="str">
        <f>IFERROR(VLOOKUP('OB Format'!D2528,'Team Data'!C:AB,17,FALSE),"")</f>
        <v/>
      </c>
      <c r="H2528" t="str">
        <f>IFERROR(VLOOKUP(D2528,'Team Data'!C:AB,7,FALSE),"")</f>
        <v/>
      </c>
      <c r="I2528" t="str">
        <f>IFERROR(VLOOKUP(D2528,'Team Data'!C:AB,14,FALSE),"")</f>
        <v/>
      </c>
      <c r="J2528" t="str">
        <f>IFERROR(VLOOKUP(D2528,'Team Data'!C:AB,8,FALSE),"")</f>
        <v/>
      </c>
      <c r="K2528" t="str">
        <f>IFERROR(VLOOKUP(D2528,'Team Data'!C:AB,9,FALSE),"")</f>
        <v/>
      </c>
      <c r="L2528" t="str">
        <f>IFERROR(VLOOKUP(D2528,'Team Data'!C:AB,10,FALSE),"")</f>
        <v/>
      </c>
      <c r="M2528" t="str">
        <f t="shared" si="80"/>
        <v/>
      </c>
      <c r="N2528" t="str">
        <f>IFERROR(VLOOKUP(D2528,'Team Data'!C:AB,23,FALSE),"")</f>
        <v/>
      </c>
      <c r="O2528" t="str">
        <f>IFERROR(VLOOKUP(D2528,'Team Data'!C:AB,22,FALSE),"")</f>
        <v/>
      </c>
      <c r="P2528" t="str">
        <f t="shared" si="81"/>
        <v/>
      </c>
      <c r="Q2528" t="str">
        <f>IFERROR(VLOOKUP(D2528,'Team Data'!C:AB,15,FALSE),"")</f>
        <v/>
      </c>
      <c r="R2528" t="str">
        <f>IFERROR(VLOOKUP('OB Format'!D2528,'Team Data'!C:AB,24,FALSE),"")</f>
        <v/>
      </c>
      <c r="S2528" t="str">
        <f>IFERROR(VLOOKUP('OB Format'!D2528,'Team Data'!C:AC,25,FALSE),"")</f>
        <v/>
      </c>
    </row>
    <row r="2529" spans="5:19" x14ac:dyDescent="0.25">
      <c r="E2529" t="str">
        <f>IFERROR(VLOOKUP(D2529,'Team Data'!C:AB,4,FALSE),"")</f>
        <v/>
      </c>
      <c r="F2529" t="str">
        <f>IFERROR(VLOOKUP(D2529,'Team Data'!C:AB,5,FALSE),"")</f>
        <v/>
      </c>
      <c r="G2529" t="str">
        <f>IFERROR(VLOOKUP('OB Format'!D2529,'Team Data'!C:AB,17,FALSE),"")</f>
        <v/>
      </c>
      <c r="H2529" t="str">
        <f>IFERROR(VLOOKUP(D2529,'Team Data'!C:AB,7,FALSE),"")</f>
        <v/>
      </c>
      <c r="I2529" t="str">
        <f>IFERROR(VLOOKUP(D2529,'Team Data'!C:AB,14,FALSE),"")</f>
        <v/>
      </c>
      <c r="J2529" t="str">
        <f>IFERROR(VLOOKUP(D2529,'Team Data'!C:AB,8,FALSE),"")</f>
        <v/>
      </c>
      <c r="K2529" t="str">
        <f>IFERROR(VLOOKUP(D2529,'Team Data'!C:AB,9,FALSE),"")</f>
        <v/>
      </c>
      <c r="L2529" t="str">
        <f>IFERROR(VLOOKUP(D2529,'Team Data'!C:AB,10,FALSE),"")</f>
        <v/>
      </c>
      <c r="M2529" t="str">
        <f t="shared" si="80"/>
        <v/>
      </c>
      <c r="N2529" t="str">
        <f>IFERROR(VLOOKUP(D2529,'Team Data'!C:AB,23,FALSE),"")</f>
        <v/>
      </c>
      <c r="O2529" t="str">
        <f>IFERROR(VLOOKUP(D2529,'Team Data'!C:AB,22,FALSE),"")</f>
        <v/>
      </c>
      <c r="P2529" t="str">
        <f t="shared" si="81"/>
        <v/>
      </c>
      <c r="Q2529" t="str">
        <f>IFERROR(VLOOKUP(D2529,'Team Data'!C:AB,15,FALSE),"")</f>
        <v/>
      </c>
      <c r="R2529" t="str">
        <f>IFERROR(VLOOKUP('OB Format'!D2529,'Team Data'!C:AB,24,FALSE),"")</f>
        <v/>
      </c>
      <c r="S2529" t="str">
        <f>IFERROR(VLOOKUP('OB Format'!D2529,'Team Data'!C:AC,25,FALSE),"")</f>
        <v/>
      </c>
    </row>
    <row r="2530" spans="5:19" x14ac:dyDescent="0.25">
      <c r="E2530" t="str">
        <f>IFERROR(VLOOKUP(D2530,'Team Data'!C:AB,4,FALSE),"")</f>
        <v/>
      </c>
      <c r="F2530" t="str">
        <f>IFERROR(VLOOKUP(D2530,'Team Data'!C:AB,5,FALSE),"")</f>
        <v/>
      </c>
      <c r="G2530" t="str">
        <f>IFERROR(VLOOKUP('OB Format'!D2530,'Team Data'!C:AB,17,FALSE),"")</f>
        <v/>
      </c>
      <c r="H2530" t="str">
        <f>IFERROR(VLOOKUP(D2530,'Team Data'!C:AB,7,FALSE),"")</f>
        <v/>
      </c>
      <c r="I2530" t="str">
        <f>IFERROR(VLOOKUP(D2530,'Team Data'!C:AB,14,FALSE),"")</f>
        <v/>
      </c>
      <c r="J2530" t="str">
        <f>IFERROR(VLOOKUP(D2530,'Team Data'!C:AB,8,FALSE),"")</f>
        <v/>
      </c>
      <c r="K2530" t="str">
        <f>IFERROR(VLOOKUP(D2530,'Team Data'!C:AB,9,FALSE),"")</f>
        <v/>
      </c>
      <c r="L2530" t="str">
        <f>IFERROR(VLOOKUP(D2530,'Team Data'!C:AB,10,FALSE),"")</f>
        <v/>
      </c>
      <c r="M2530" t="str">
        <f t="shared" si="80"/>
        <v/>
      </c>
      <c r="N2530" t="str">
        <f>IFERROR(VLOOKUP(D2530,'Team Data'!C:AB,23,FALSE),"")</f>
        <v/>
      </c>
      <c r="O2530" t="str">
        <f>IFERROR(VLOOKUP(D2530,'Team Data'!C:AB,22,FALSE),"")</f>
        <v/>
      </c>
      <c r="P2530" t="str">
        <f t="shared" si="81"/>
        <v/>
      </c>
      <c r="Q2530" t="str">
        <f>IFERROR(VLOOKUP(D2530,'Team Data'!C:AB,15,FALSE),"")</f>
        <v/>
      </c>
      <c r="R2530" t="str">
        <f>IFERROR(VLOOKUP('OB Format'!D2530,'Team Data'!C:AB,24,FALSE),"")</f>
        <v/>
      </c>
      <c r="S2530" t="str">
        <f>IFERROR(VLOOKUP('OB Format'!D2530,'Team Data'!C:AC,25,FALSE),"")</f>
        <v/>
      </c>
    </row>
    <row r="2531" spans="5:19" x14ac:dyDescent="0.25">
      <c r="E2531" t="str">
        <f>IFERROR(VLOOKUP(D2531,'Team Data'!C:AB,4,FALSE),"")</f>
        <v/>
      </c>
      <c r="F2531" t="str">
        <f>IFERROR(VLOOKUP(D2531,'Team Data'!C:AB,5,FALSE),"")</f>
        <v/>
      </c>
      <c r="G2531" t="str">
        <f>IFERROR(VLOOKUP('OB Format'!D2531,'Team Data'!C:AB,17,FALSE),"")</f>
        <v/>
      </c>
      <c r="H2531" t="str">
        <f>IFERROR(VLOOKUP(D2531,'Team Data'!C:AB,7,FALSE),"")</f>
        <v/>
      </c>
      <c r="I2531" t="str">
        <f>IFERROR(VLOOKUP(D2531,'Team Data'!C:AB,14,FALSE),"")</f>
        <v/>
      </c>
      <c r="J2531" t="str">
        <f>IFERROR(VLOOKUP(D2531,'Team Data'!C:AB,8,FALSE),"")</f>
        <v/>
      </c>
      <c r="K2531" t="str">
        <f>IFERROR(VLOOKUP(D2531,'Team Data'!C:AB,9,FALSE),"")</f>
        <v/>
      </c>
      <c r="L2531" t="str">
        <f>IFERROR(VLOOKUP(D2531,'Team Data'!C:AB,10,FALSE),"")</f>
        <v/>
      </c>
      <c r="M2531" t="str">
        <f t="shared" si="80"/>
        <v/>
      </c>
      <c r="N2531" t="str">
        <f>IFERROR(VLOOKUP(D2531,'Team Data'!C:AB,23,FALSE),"")</f>
        <v/>
      </c>
      <c r="O2531" t="str">
        <f>IFERROR(VLOOKUP(D2531,'Team Data'!C:AB,22,FALSE),"")</f>
        <v/>
      </c>
      <c r="P2531" t="str">
        <f t="shared" si="81"/>
        <v/>
      </c>
      <c r="Q2531" t="str">
        <f>IFERROR(VLOOKUP(D2531,'Team Data'!C:AB,15,FALSE),"")</f>
        <v/>
      </c>
      <c r="R2531" t="str">
        <f>IFERROR(VLOOKUP('OB Format'!D2531,'Team Data'!C:AB,24,FALSE),"")</f>
        <v/>
      </c>
      <c r="S2531" t="str">
        <f>IFERROR(VLOOKUP('OB Format'!D2531,'Team Data'!C:AC,25,FALSE),"")</f>
        <v/>
      </c>
    </row>
    <row r="2532" spans="5:19" x14ac:dyDescent="0.25">
      <c r="E2532" t="str">
        <f>IFERROR(VLOOKUP(D2532,'Team Data'!C:AB,4,FALSE),"")</f>
        <v/>
      </c>
      <c r="F2532" t="str">
        <f>IFERROR(VLOOKUP(D2532,'Team Data'!C:AB,5,FALSE),"")</f>
        <v/>
      </c>
      <c r="G2532" t="str">
        <f>IFERROR(VLOOKUP('OB Format'!D2532,'Team Data'!C:AB,17,FALSE),"")</f>
        <v/>
      </c>
      <c r="H2532" t="str">
        <f>IFERROR(VLOOKUP(D2532,'Team Data'!C:AB,7,FALSE),"")</f>
        <v/>
      </c>
      <c r="I2532" t="str">
        <f>IFERROR(VLOOKUP(D2532,'Team Data'!C:AB,14,FALSE),"")</f>
        <v/>
      </c>
      <c r="J2532" t="str">
        <f>IFERROR(VLOOKUP(D2532,'Team Data'!C:AB,8,FALSE),"")</f>
        <v/>
      </c>
      <c r="K2532" t="str">
        <f>IFERROR(VLOOKUP(D2532,'Team Data'!C:AB,9,FALSE),"")</f>
        <v/>
      </c>
      <c r="L2532" t="str">
        <f>IFERROR(VLOOKUP(D2532,'Team Data'!C:AB,10,FALSE),"")</f>
        <v/>
      </c>
      <c r="M2532" t="str">
        <f t="shared" si="80"/>
        <v/>
      </c>
      <c r="N2532" t="str">
        <f>IFERROR(VLOOKUP(D2532,'Team Data'!C:AB,23,FALSE),"")</f>
        <v/>
      </c>
      <c r="O2532" t="str">
        <f>IFERROR(VLOOKUP(D2532,'Team Data'!C:AB,22,FALSE),"")</f>
        <v/>
      </c>
      <c r="P2532" t="str">
        <f t="shared" si="81"/>
        <v/>
      </c>
      <c r="Q2532" t="str">
        <f>IFERROR(VLOOKUP(D2532,'Team Data'!C:AB,15,FALSE),"")</f>
        <v/>
      </c>
      <c r="R2532" t="str">
        <f>IFERROR(VLOOKUP('OB Format'!D2532,'Team Data'!C:AB,24,FALSE),"")</f>
        <v/>
      </c>
      <c r="S2532" t="str">
        <f>IFERROR(VLOOKUP('OB Format'!D2532,'Team Data'!C:AC,25,FALSE),"")</f>
        <v/>
      </c>
    </row>
    <row r="2533" spans="5:19" x14ac:dyDescent="0.25">
      <c r="E2533" t="str">
        <f>IFERROR(VLOOKUP(D2533,'Team Data'!C:AB,4,FALSE),"")</f>
        <v/>
      </c>
      <c r="F2533" t="str">
        <f>IFERROR(VLOOKUP(D2533,'Team Data'!C:AB,5,FALSE),"")</f>
        <v/>
      </c>
      <c r="G2533" t="str">
        <f>IFERROR(VLOOKUP('OB Format'!D2533,'Team Data'!C:AB,17,FALSE),"")</f>
        <v/>
      </c>
      <c r="H2533" t="str">
        <f>IFERROR(VLOOKUP(D2533,'Team Data'!C:AB,7,FALSE),"")</f>
        <v/>
      </c>
      <c r="I2533" t="str">
        <f>IFERROR(VLOOKUP(D2533,'Team Data'!C:AB,14,FALSE),"")</f>
        <v/>
      </c>
      <c r="J2533" t="str">
        <f>IFERROR(VLOOKUP(D2533,'Team Data'!C:AB,8,FALSE),"")</f>
        <v/>
      </c>
      <c r="K2533" t="str">
        <f>IFERROR(VLOOKUP(D2533,'Team Data'!C:AB,9,FALSE),"")</f>
        <v/>
      </c>
      <c r="L2533" t="str">
        <f>IFERROR(VLOOKUP(D2533,'Team Data'!C:AB,10,FALSE),"")</f>
        <v/>
      </c>
      <c r="M2533" t="str">
        <f t="shared" si="80"/>
        <v/>
      </c>
      <c r="N2533" t="str">
        <f>IFERROR(VLOOKUP(D2533,'Team Data'!C:AB,23,FALSE),"")</f>
        <v/>
      </c>
      <c r="O2533" t="str">
        <f>IFERROR(VLOOKUP(D2533,'Team Data'!C:AB,22,FALSE),"")</f>
        <v/>
      </c>
      <c r="P2533" t="str">
        <f t="shared" si="81"/>
        <v/>
      </c>
      <c r="Q2533" t="str">
        <f>IFERROR(VLOOKUP(D2533,'Team Data'!C:AB,15,FALSE),"")</f>
        <v/>
      </c>
      <c r="R2533" t="str">
        <f>IFERROR(VLOOKUP('OB Format'!D2533,'Team Data'!C:AB,24,FALSE),"")</f>
        <v/>
      </c>
      <c r="S2533" t="str">
        <f>IFERROR(VLOOKUP('OB Format'!D2533,'Team Data'!C:AC,25,FALSE),"")</f>
        <v/>
      </c>
    </row>
    <row r="2534" spans="5:19" x14ac:dyDescent="0.25">
      <c r="E2534" t="str">
        <f>IFERROR(VLOOKUP(D2534,'Team Data'!C:AB,4,FALSE),"")</f>
        <v/>
      </c>
      <c r="F2534" t="str">
        <f>IFERROR(VLOOKUP(D2534,'Team Data'!C:AB,5,FALSE),"")</f>
        <v/>
      </c>
      <c r="G2534" t="str">
        <f>IFERROR(VLOOKUP('OB Format'!D2534,'Team Data'!C:AB,17,FALSE),"")</f>
        <v/>
      </c>
      <c r="H2534" t="str">
        <f>IFERROR(VLOOKUP(D2534,'Team Data'!C:AB,7,FALSE),"")</f>
        <v/>
      </c>
      <c r="I2534" t="str">
        <f>IFERROR(VLOOKUP(D2534,'Team Data'!C:AB,14,FALSE),"")</f>
        <v/>
      </c>
      <c r="J2534" t="str">
        <f>IFERROR(VLOOKUP(D2534,'Team Data'!C:AB,8,FALSE),"")</f>
        <v/>
      </c>
      <c r="K2534" t="str">
        <f>IFERROR(VLOOKUP(D2534,'Team Data'!C:AB,9,FALSE),"")</f>
        <v/>
      </c>
      <c r="L2534" t="str">
        <f>IFERROR(VLOOKUP(D2534,'Team Data'!C:AB,10,FALSE),"")</f>
        <v/>
      </c>
      <c r="M2534" t="str">
        <f t="shared" si="80"/>
        <v/>
      </c>
      <c r="N2534" t="str">
        <f>IFERROR(VLOOKUP(D2534,'Team Data'!C:AB,23,FALSE),"")</f>
        <v/>
      </c>
      <c r="O2534" t="str">
        <f>IFERROR(VLOOKUP(D2534,'Team Data'!C:AB,22,FALSE),"")</f>
        <v/>
      </c>
      <c r="P2534" t="str">
        <f t="shared" si="81"/>
        <v/>
      </c>
      <c r="Q2534" t="str">
        <f>IFERROR(VLOOKUP(D2534,'Team Data'!C:AB,15,FALSE),"")</f>
        <v/>
      </c>
      <c r="R2534" t="str">
        <f>IFERROR(VLOOKUP('OB Format'!D2534,'Team Data'!C:AB,24,FALSE),"")</f>
        <v/>
      </c>
      <c r="S2534" t="str">
        <f>IFERROR(VLOOKUP('OB Format'!D2534,'Team Data'!C:AC,25,FALSE),"")</f>
        <v/>
      </c>
    </row>
    <row r="2535" spans="5:19" x14ac:dyDescent="0.25">
      <c r="E2535" t="str">
        <f>IFERROR(VLOOKUP(D2535,'Team Data'!C:AB,4,FALSE),"")</f>
        <v/>
      </c>
      <c r="F2535" t="str">
        <f>IFERROR(VLOOKUP(D2535,'Team Data'!C:AB,5,FALSE),"")</f>
        <v/>
      </c>
      <c r="G2535" t="str">
        <f>IFERROR(VLOOKUP('OB Format'!D2535,'Team Data'!C:AB,17,FALSE),"")</f>
        <v/>
      </c>
      <c r="H2535" t="str">
        <f>IFERROR(VLOOKUP(D2535,'Team Data'!C:AB,7,FALSE),"")</f>
        <v/>
      </c>
      <c r="I2535" t="str">
        <f>IFERROR(VLOOKUP(D2535,'Team Data'!C:AB,14,FALSE),"")</f>
        <v/>
      </c>
      <c r="J2535" t="str">
        <f>IFERROR(VLOOKUP(D2535,'Team Data'!C:AB,8,FALSE),"")</f>
        <v/>
      </c>
      <c r="K2535" t="str">
        <f>IFERROR(VLOOKUP(D2535,'Team Data'!C:AB,9,FALSE),"")</f>
        <v/>
      </c>
      <c r="L2535" t="str">
        <f>IFERROR(VLOOKUP(D2535,'Team Data'!C:AB,10,FALSE),"")</f>
        <v/>
      </c>
      <c r="M2535" t="str">
        <f t="shared" si="80"/>
        <v/>
      </c>
      <c r="N2535" t="str">
        <f>IFERROR(VLOOKUP(D2535,'Team Data'!C:AB,23,FALSE),"")</f>
        <v/>
      </c>
      <c r="O2535" t="str">
        <f>IFERROR(VLOOKUP(D2535,'Team Data'!C:AB,22,FALSE),"")</f>
        <v/>
      </c>
      <c r="P2535" t="str">
        <f t="shared" si="81"/>
        <v/>
      </c>
      <c r="Q2535" t="str">
        <f>IFERROR(VLOOKUP(D2535,'Team Data'!C:AB,15,FALSE),"")</f>
        <v/>
      </c>
      <c r="R2535" t="str">
        <f>IFERROR(VLOOKUP('OB Format'!D2535,'Team Data'!C:AB,24,FALSE),"")</f>
        <v/>
      </c>
      <c r="S2535" t="str">
        <f>IFERROR(VLOOKUP('OB Format'!D2535,'Team Data'!C:AC,25,FALSE),"")</f>
        <v/>
      </c>
    </row>
    <row r="2536" spans="5:19" x14ac:dyDescent="0.25">
      <c r="E2536" t="str">
        <f>IFERROR(VLOOKUP(D2536,'Team Data'!C:AB,4,FALSE),"")</f>
        <v/>
      </c>
      <c r="F2536" t="str">
        <f>IFERROR(VLOOKUP(D2536,'Team Data'!C:AB,5,FALSE),"")</f>
        <v/>
      </c>
      <c r="G2536" t="str">
        <f>IFERROR(VLOOKUP('OB Format'!D2536,'Team Data'!C:AB,17,FALSE),"")</f>
        <v/>
      </c>
      <c r="H2536" t="str">
        <f>IFERROR(VLOOKUP(D2536,'Team Data'!C:AB,7,FALSE),"")</f>
        <v/>
      </c>
      <c r="I2536" t="str">
        <f>IFERROR(VLOOKUP(D2536,'Team Data'!C:AB,14,FALSE),"")</f>
        <v/>
      </c>
      <c r="J2536" t="str">
        <f>IFERROR(VLOOKUP(D2536,'Team Data'!C:AB,8,FALSE),"")</f>
        <v/>
      </c>
      <c r="K2536" t="str">
        <f>IFERROR(VLOOKUP(D2536,'Team Data'!C:AB,9,FALSE),"")</f>
        <v/>
      </c>
      <c r="L2536" t="str">
        <f>IFERROR(VLOOKUP(D2536,'Team Data'!C:AB,10,FALSE),"")</f>
        <v/>
      </c>
      <c r="M2536" t="str">
        <f t="shared" si="80"/>
        <v/>
      </c>
      <c r="N2536" t="str">
        <f>IFERROR(VLOOKUP(D2536,'Team Data'!C:AB,23,FALSE),"")</f>
        <v/>
      </c>
      <c r="O2536" t="str">
        <f>IFERROR(VLOOKUP(D2536,'Team Data'!C:AB,22,FALSE),"")</f>
        <v/>
      </c>
      <c r="P2536" t="str">
        <f t="shared" si="81"/>
        <v/>
      </c>
      <c r="Q2536" t="str">
        <f>IFERROR(VLOOKUP(D2536,'Team Data'!C:AB,15,FALSE),"")</f>
        <v/>
      </c>
      <c r="R2536" t="str">
        <f>IFERROR(VLOOKUP('OB Format'!D2536,'Team Data'!C:AB,24,FALSE),"")</f>
        <v/>
      </c>
      <c r="S2536" t="str">
        <f>IFERROR(VLOOKUP('OB Format'!D2536,'Team Data'!C:AC,25,FALSE),"")</f>
        <v/>
      </c>
    </row>
    <row r="2537" spans="5:19" x14ac:dyDescent="0.25">
      <c r="E2537" t="str">
        <f>IFERROR(VLOOKUP(D2537,'Team Data'!C:AB,4,FALSE),"")</f>
        <v/>
      </c>
      <c r="F2537" t="str">
        <f>IFERROR(VLOOKUP(D2537,'Team Data'!C:AB,5,FALSE),"")</f>
        <v/>
      </c>
      <c r="G2537" t="str">
        <f>IFERROR(VLOOKUP('OB Format'!D2537,'Team Data'!C:AB,17,FALSE),"")</f>
        <v/>
      </c>
      <c r="H2537" t="str">
        <f>IFERROR(VLOOKUP(D2537,'Team Data'!C:AB,7,FALSE),"")</f>
        <v/>
      </c>
      <c r="I2537" t="str">
        <f>IFERROR(VLOOKUP(D2537,'Team Data'!C:AB,14,FALSE),"")</f>
        <v/>
      </c>
      <c r="J2537" t="str">
        <f>IFERROR(VLOOKUP(D2537,'Team Data'!C:AB,8,FALSE),"")</f>
        <v/>
      </c>
      <c r="K2537" t="str">
        <f>IFERROR(VLOOKUP(D2537,'Team Data'!C:AB,9,FALSE),"")</f>
        <v/>
      </c>
      <c r="L2537" t="str">
        <f>IFERROR(VLOOKUP(D2537,'Team Data'!C:AB,10,FALSE),"")</f>
        <v/>
      </c>
      <c r="M2537" t="str">
        <f t="shared" si="80"/>
        <v/>
      </c>
      <c r="N2537" t="str">
        <f>IFERROR(VLOOKUP(D2537,'Team Data'!C:AB,23,FALSE),"")</f>
        <v/>
      </c>
      <c r="O2537" t="str">
        <f>IFERROR(VLOOKUP(D2537,'Team Data'!C:AB,22,FALSE),"")</f>
        <v/>
      </c>
      <c r="P2537" t="str">
        <f t="shared" si="81"/>
        <v/>
      </c>
      <c r="Q2537" t="str">
        <f>IFERROR(VLOOKUP(D2537,'Team Data'!C:AB,15,FALSE),"")</f>
        <v/>
      </c>
      <c r="R2537" t="str">
        <f>IFERROR(VLOOKUP('OB Format'!D2537,'Team Data'!C:AB,24,FALSE),"")</f>
        <v/>
      </c>
      <c r="S2537" t="str">
        <f>IFERROR(VLOOKUP('OB Format'!D2537,'Team Data'!C:AC,25,FALSE),"")</f>
        <v/>
      </c>
    </row>
    <row r="2538" spans="5:19" x14ac:dyDescent="0.25">
      <c r="E2538" t="str">
        <f>IFERROR(VLOOKUP(D2538,'Team Data'!C:AB,4,FALSE),"")</f>
        <v/>
      </c>
      <c r="F2538" t="str">
        <f>IFERROR(VLOOKUP(D2538,'Team Data'!C:AB,5,FALSE),"")</f>
        <v/>
      </c>
      <c r="G2538" t="str">
        <f>IFERROR(VLOOKUP('OB Format'!D2538,'Team Data'!C:AB,17,FALSE),"")</f>
        <v/>
      </c>
      <c r="H2538" t="str">
        <f>IFERROR(VLOOKUP(D2538,'Team Data'!C:AB,7,FALSE),"")</f>
        <v/>
      </c>
      <c r="I2538" t="str">
        <f>IFERROR(VLOOKUP(D2538,'Team Data'!C:AB,14,FALSE),"")</f>
        <v/>
      </c>
      <c r="J2538" t="str">
        <f>IFERROR(VLOOKUP(D2538,'Team Data'!C:AB,8,FALSE),"")</f>
        <v/>
      </c>
      <c r="K2538" t="str">
        <f>IFERROR(VLOOKUP(D2538,'Team Data'!C:AB,9,FALSE),"")</f>
        <v/>
      </c>
      <c r="L2538" t="str">
        <f>IFERROR(VLOOKUP(D2538,'Team Data'!C:AB,10,FALSE),"")</f>
        <v/>
      </c>
      <c r="M2538" t="str">
        <f t="shared" si="80"/>
        <v/>
      </c>
      <c r="N2538" t="str">
        <f>IFERROR(VLOOKUP(D2538,'Team Data'!C:AB,23,FALSE),"")</f>
        <v/>
      </c>
      <c r="O2538" t="str">
        <f>IFERROR(VLOOKUP(D2538,'Team Data'!C:AB,22,FALSE),"")</f>
        <v/>
      </c>
      <c r="P2538" t="str">
        <f t="shared" si="81"/>
        <v/>
      </c>
      <c r="Q2538" t="str">
        <f>IFERROR(VLOOKUP(D2538,'Team Data'!C:AB,15,FALSE),"")</f>
        <v/>
      </c>
      <c r="R2538" t="str">
        <f>IFERROR(VLOOKUP('OB Format'!D2538,'Team Data'!C:AB,24,FALSE),"")</f>
        <v/>
      </c>
      <c r="S2538" t="str">
        <f>IFERROR(VLOOKUP('OB Format'!D2538,'Team Data'!C:AC,25,FALSE),"")</f>
        <v/>
      </c>
    </row>
    <row r="2539" spans="5:19" x14ac:dyDescent="0.25">
      <c r="E2539" t="str">
        <f>IFERROR(VLOOKUP(D2539,'Team Data'!C:AB,4,FALSE),"")</f>
        <v/>
      </c>
      <c r="F2539" t="str">
        <f>IFERROR(VLOOKUP(D2539,'Team Data'!C:AB,5,FALSE),"")</f>
        <v/>
      </c>
      <c r="G2539" t="str">
        <f>IFERROR(VLOOKUP('OB Format'!D2539,'Team Data'!C:AB,17,FALSE),"")</f>
        <v/>
      </c>
      <c r="H2539" t="str">
        <f>IFERROR(VLOOKUP(D2539,'Team Data'!C:AB,7,FALSE),"")</f>
        <v/>
      </c>
      <c r="I2539" t="str">
        <f>IFERROR(VLOOKUP(D2539,'Team Data'!C:AB,14,FALSE),"")</f>
        <v/>
      </c>
      <c r="J2539" t="str">
        <f>IFERROR(VLOOKUP(D2539,'Team Data'!C:AB,8,FALSE),"")</f>
        <v/>
      </c>
      <c r="K2539" t="str">
        <f>IFERROR(VLOOKUP(D2539,'Team Data'!C:AB,9,FALSE),"")</f>
        <v/>
      </c>
      <c r="L2539" t="str">
        <f>IFERROR(VLOOKUP(D2539,'Team Data'!C:AB,10,FALSE),"")</f>
        <v/>
      </c>
      <c r="M2539" t="str">
        <f t="shared" si="80"/>
        <v/>
      </c>
      <c r="N2539" t="str">
        <f>IFERROR(VLOOKUP(D2539,'Team Data'!C:AB,23,FALSE),"")</f>
        <v/>
      </c>
      <c r="O2539" t="str">
        <f>IFERROR(VLOOKUP(D2539,'Team Data'!C:AB,22,FALSE),"")</f>
        <v/>
      </c>
      <c r="P2539" t="str">
        <f t="shared" si="81"/>
        <v/>
      </c>
      <c r="Q2539" t="str">
        <f>IFERROR(VLOOKUP(D2539,'Team Data'!C:AB,15,FALSE),"")</f>
        <v/>
      </c>
      <c r="R2539" t="str">
        <f>IFERROR(VLOOKUP('OB Format'!D2539,'Team Data'!C:AB,24,FALSE),"")</f>
        <v/>
      </c>
      <c r="S2539" t="str">
        <f>IFERROR(VLOOKUP('OB Format'!D2539,'Team Data'!C:AC,25,FALSE),"")</f>
        <v/>
      </c>
    </row>
    <row r="2540" spans="5:19" x14ac:dyDescent="0.25">
      <c r="E2540" t="str">
        <f>IFERROR(VLOOKUP(D2540,'Team Data'!C:AB,4,FALSE),"")</f>
        <v/>
      </c>
      <c r="F2540" t="str">
        <f>IFERROR(VLOOKUP(D2540,'Team Data'!C:AB,5,FALSE),"")</f>
        <v/>
      </c>
      <c r="G2540" t="str">
        <f>IFERROR(VLOOKUP('OB Format'!D2540,'Team Data'!C:AB,17,FALSE),"")</f>
        <v/>
      </c>
      <c r="H2540" t="str">
        <f>IFERROR(VLOOKUP(D2540,'Team Data'!C:AB,7,FALSE),"")</f>
        <v/>
      </c>
      <c r="I2540" t="str">
        <f>IFERROR(VLOOKUP(D2540,'Team Data'!C:AB,14,FALSE),"")</f>
        <v/>
      </c>
      <c r="J2540" t="str">
        <f>IFERROR(VLOOKUP(D2540,'Team Data'!C:AB,8,FALSE),"")</f>
        <v/>
      </c>
      <c r="K2540" t="str">
        <f>IFERROR(VLOOKUP(D2540,'Team Data'!C:AB,9,FALSE),"")</f>
        <v/>
      </c>
      <c r="L2540" t="str">
        <f>IFERROR(VLOOKUP(D2540,'Team Data'!C:AB,10,FALSE),"")</f>
        <v/>
      </c>
      <c r="M2540" t="str">
        <f t="shared" si="80"/>
        <v/>
      </c>
      <c r="N2540" t="str">
        <f>IFERROR(VLOOKUP(D2540,'Team Data'!C:AB,23,FALSE),"")</f>
        <v/>
      </c>
      <c r="O2540" t="str">
        <f>IFERROR(VLOOKUP(D2540,'Team Data'!C:AB,22,FALSE),"")</f>
        <v/>
      </c>
      <c r="P2540" t="str">
        <f t="shared" si="81"/>
        <v/>
      </c>
      <c r="Q2540" t="str">
        <f>IFERROR(VLOOKUP(D2540,'Team Data'!C:AB,15,FALSE),"")</f>
        <v/>
      </c>
      <c r="R2540" t="str">
        <f>IFERROR(VLOOKUP('OB Format'!D2540,'Team Data'!C:AB,24,FALSE),"")</f>
        <v/>
      </c>
      <c r="S2540" t="str">
        <f>IFERROR(VLOOKUP('OB Format'!D2540,'Team Data'!C:AC,25,FALSE),"")</f>
        <v/>
      </c>
    </row>
    <row r="2541" spans="5:19" x14ac:dyDescent="0.25">
      <c r="E2541" t="str">
        <f>IFERROR(VLOOKUP(D2541,'Team Data'!C:AB,4,FALSE),"")</f>
        <v/>
      </c>
      <c r="F2541" t="str">
        <f>IFERROR(VLOOKUP(D2541,'Team Data'!C:AB,5,FALSE),"")</f>
        <v/>
      </c>
      <c r="G2541" t="str">
        <f>IFERROR(VLOOKUP('OB Format'!D2541,'Team Data'!C:AB,17,FALSE),"")</f>
        <v/>
      </c>
      <c r="H2541" t="str">
        <f>IFERROR(VLOOKUP(D2541,'Team Data'!C:AB,7,FALSE),"")</f>
        <v/>
      </c>
      <c r="I2541" t="str">
        <f>IFERROR(VLOOKUP(D2541,'Team Data'!C:AB,14,FALSE),"")</f>
        <v/>
      </c>
      <c r="J2541" t="str">
        <f>IFERROR(VLOOKUP(D2541,'Team Data'!C:AB,8,FALSE),"")</f>
        <v/>
      </c>
      <c r="K2541" t="str">
        <f>IFERROR(VLOOKUP(D2541,'Team Data'!C:AB,9,FALSE),"")</f>
        <v/>
      </c>
      <c r="L2541" t="str">
        <f>IFERROR(VLOOKUP(D2541,'Team Data'!C:AB,10,FALSE),"")</f>
        <v/>
      </c>
      <c r="M2541" t="str">
        <f t="shared" si="80"/>
        <v/>
      </c>
      <c r="N2541" t="str">
        <f>IFERROR(VLOOKUP(D2541,'Team Data'!C:AB,23,FALSE),"")</f>
        <v/>
      </c>
      <c r="O2541" t="str">
        <f>IFERROR(VLOOKUP(D2541,'Team Data'!C:AB,22,FALSE),"")</f>
        <v/>
      </c>
      <c r="P2541" t="str">
        <f t="shared" si="81"/>
        <v/>
      </c>
      <c r="Q2541" t="str">
        <f>IFERROR(VLOOKUP(D2541,'Team Data'!C:AB,15,FALSE),"")</f>
        <v/>
      </c>
      <c r="R2541" t="str">
        <f>IFERROR(VLOOKUP('OB Format'!D2541,'Team Data'!C:AB,24,FALSE),"")</f>
        <v/>
      </c>
      <c r="S2541" t="str">
        <f>IFERROR(VLOOKUP('OB Format'!D2541,'Team Data'!C:AC,25,FALSE),"")</f>
        <v/>
      </c>
    </row>
    <row r="2542" spans="5:19" x14ac:dyDescent="0.25">
      <c r="E2542" t="str">
        <f>IFERROR(VLOOKUP(D2542,'Team Data'!C:AB,4,FALSE),"")</f>
        <v/>
      </c>
      <c r="F2542" t="str">
        <f>IFERROR(VLOOKUP(D2542,'Team Data'!C:AB,5,FALSE),"")</f>
        <v/>
      </c>
      <c r="G2542" t="str">
        <f>IFERROR(VLOOKUP('OB Format'!D2542,'Team Data'!C:AB,17,FALSE),"")</f>
        <v/>
      </c>
      <c r="H2542" t="str">
        <f>IFERROR(VLOOKUP(D2542,'Team Data'!C:AB,7,FALSE),"")</f>
        <v/>
      </c>
      <c r="I2542" t="str">
        <f>IFERROR(VLOOKUP(D2542,'Team Data'!C:AB,14,FALSE),"")</f>
        <v/>
      </c>
      <c r="J2542" t="str">
        <f>IFERROR(VLOOKUP(D2542,'Team Data'!C:AB,8,FALSE),"")</f>
        <v/>
      </c>
      <c r="K2542" t="str">
        <f>IFERROR(VLOOKUP(D2542,'Team Data'!C:AB,9,FALSE),"")</f>
        <v/>
      </c>
      <c r="L2542" t="str">
        <f>IFERROR(VLOOKUP(D2542,'Team Data'!C:AB,10,FALSE),"")</f>
        <v/>
      </c>
      <c r="M2542" t="str">
        <f t="shared" si="80"/>
        <v/>
      </c>
      <c r="N2542" t="str">
        <f>IFERROR(VLOOKUP(D2542,'Team Data'!C:AB,23,FALSE),"")</f>
        <v/>
      </c>
      <c r="O2542" t="str">
        <f>IFERROR(VLOOKUP(D2542,'Team Data'!C:AB,22,FALSE),"")</f>
        <v/>
      </c>
      <c r="P2542" t="str">
        <f t="shared" si="81"/>
        <v/>
      </c>
      <c r="Q2542" t="str">
        <f>IFERROR(VLOOKUP(D2542,'Team Data'!C:AB,15,FALSE),"")</f>
        <v/>
      </c>
      <c r="R2542" t="str">
        <f>IFERROR(VLOOKUP('OB Format'!D2542,'Team Data'!C:AB,24,FALSE),"")</f>
        <v/>
      </c>
      <c r="S2542" t="str">
        <f>IFERROR(VLOOKUP('OB Format'!D2542,'Team Data'!C:AC,25,FALSE),"")</f>
        <v/>
      </c>
    </row>
    <row r="2543" spans="5:19" x14ac:dyDescent="0.25">
      <c r="E2543" t="str">
        <f>IFERROR(VLOOKUP(D2543,'Team Data'!C:AB,4,FALSE),"")</f>
        <v/>
      </c>
      <c r="F2543" t="str">
        <f>IFERROR(VLOOKUP(D2543,'Team Data'!C:AB,5,FALSE),"")</f>
        <v/>
      </c>
      <c r="G2543" t="str">
        <f>IFERROR(VLOOKUP('OB Format'!D2543,'Team Data'!C:AB,17,FALSE),"")</f>
        <v/>
      </c>
      <c r="H2543" t="str">
        <f>IFERROR(VLOOKUP(D2543,'Team Data'!C:AB,7,FALSE),"")</f>
        <v/>
      </c>
      <c r="I2543" t="str">
        <f>IFERROR(VLOOKUP(D2543,'Team Data'!C:AB,14,FALSE),"")</f>
        <v/>
      </c>
      <c r="J2543" t="str">
        <f>IFERROR(VLOOKUP(D2543,'Team Data'!C:AB,8,FALSE),"")</f>
        <v/>
      </c>
      <c r="K2543" t="str">
        <f>IFERROR(VLOOKUP(D2543,'Team Data'!C:AB,9,FALSE),"")</f>
        <v/>
      </c>
      <c r="L2543" t="str">
        <f>IFERROR(VLOOKUP(D2543,'Team Data'!C:AB,10,FALSE),"")</f>
        <v/>
      </c>
      <c r="M2543" t="str">
        <f t="shared" si="80"/>
        <v/>
      </c>
      <c r="N2543" t="str">
        <f>IFERROR(VLOOKUP(D2543,'Team Data'!C:AB,23,FALSE),"")</f>
        <v/>
      </c>
      <c r="O2543" t="str">
        <f>IFERROR(VLOOKUP(D2543,'Team Data'!C:AB,22,FALSE),"")</f>
        <v/>
      </c>
      <c r="P2543" t="str">
        <f t="shared" si="81"/>
        <v/>
      </c>
      <c r="Q2543" t="str">
        <f>IFERROR(VLOOKUP(D2543,'Team Data'!C:AB,15,FALSE),"")</f>
        <v/>
      </c>
      <c r="R2543" t="str">
        <f>IFERROR(VLOOKUP('OB Format'!D2543,'Team Data'!C:AB,24,FALSE),"")</f>
        <v/>
      </c>
      <c r="S2543" t="str">
        <f>IFERROR(VLOOKUP('OB Format'!D2543,'Team Data'!C:AC,25,FALSE),"")</f>
        <v/>
      </c>
    </row>
    <row r="2544" spans="5:19" x14ac:dyDescent="0.25">
      <c r="E2544" t="str">
        <f>IFERROR(VLOOKUP(D2544,'Team Data'!C:AB,4,FALSE),"")</f>
        <v/>
      </c>
      <c r="F2544" t="str">
        <f>IFERROR(VLOOKUP(D2544,'Team Data'!C:AB,5,FALSE),"")</f>
        <v/>
      </c>
      <c r="G2544" t="str">
        <f>IFERROR(VLOOKUP('OB Format'!D2544,'Team Data'!C:AB,17,FALSE),"")</f>
        <v/>
      </c>
      <c r="H2544" t="str">
        <f>IFERROR(VLOOKUP(D2544,'Team Data'!C:AB,7,FALSE),"")</f>
        <v/>
      </c>
      <c r="I2544" t="str">
        <f>IFERROR(VLOOKUP(D2544,'Team Data'!C:AB,14,FALSE),"")</f>
        <v/>
      </c>
      <c r="J2544" t="str">
        <f>IFERROR(VLOOKUP(D2544,'Team Data'!C:AB,8,FALSE),"")</f>
        <v/>
      </c>
      <c r="K2544" t="str">
        <f>IFERROR(VLOOKUP(D2544,'Team Data'!C:AB,9,FALSE),"")</f>
        <v/>
      </c>
      <c r="L2544" t="str">
        <f>IFERROR(VLOOKUP(D2544,'Team Data'!C:AB,10,FALSE),"")</f>
        <v/>
      </c>
      <c r="M2544" t="str">
        <f t="shared" si="80"/>
        <v/>
      </c>
      <c r="N2544" t="str">
        <f>IFERROR(VLOOKUP(D2544,'Team Data'!C:AB,23,FALSE),"")</f>
        <v/>
      </c>
      <c r="O2544" t="str">
        <f>IFERROR(VLOOKUP(D2544,'Team Data'!C:AB,22,FALSE),"")</f>
        <v/>
      </c>
      <c r="P2544" t="str">
        <f t="shared" si="81"/>
        <v/>
      </c>
      <c r="Q2544" t="str">
        <f>IFERROR(VLOOKUP(D2544,'Team Data'!C:AB,15,FALSE),"")</f>
        <v/>
      </c>
      <c r="R2544" t="str">
        <f>IFERROR(VLOOKUP('OB Format'!D2544,'Team Data'!C:AB,24,FALSE),"")</f>
        <v/>
      </c>
      <c r="S2544" t="str">
        <f>IFERROR(VLOOKUP('OB Format'!D2544,'Team Data'!C:AC,25,FALSE),"")</f>
        <v/>
      </c>
    </row>
    <row r="2545" spans="5:19" x14ac:dyDescent="0.25">
      <c r="E2545" t="str">
        <f>IFERROR(VLOOKUP(D2545,'Team Data'!C:AB,4,FALSE),"")</f>
        <v/>
      </c>
      <c r="F2545" t="str">
        <f>IFERROR(VLOOKUP(D2545,'Team Data'!C:AB,5,FALSE),"")</f>
        <v/>
      </c>
      <c r="G2545" t="str">
        <f>IFERROR(VLOOKUP('OB Format'!D2545,'Team Data'!C:AB,17,FALSE),"")</f>
        <v/>
      </c>
      <c r="H2545" t="str">
        <f>IFERROR(VLOOKUP(D2545,'Team Data'!C:AB,7,FALSE),"")</f>
        <v/>
      </c>
      <c r="I2545" t="str">
        <f>IFERROR(VLOOKUP(D2545,'Team Data'!C:AB,14,FALSE),"")</f>
        <v/>
      </c>
      <c r="J2545" t="str">
        <f>IFERROR(VLOOKUP(D2545,'Team Data'!C:AB,8,FALSE),"")</f>
        <v/>
      </c>
      <c r="K2545" t="str">
        <f>IFERROR(VLOOKUP(D2545,'Team Data'!C:AB,9,FALSE),"")</f>
        <v/>
      </c>
      <c r="L2545" t="str">
        <f>IFERROR(VLOOKUP(D2545,'Team Data'!C:AB,10,FALSE),"")</f>
        <v/>
      </c>
      <c r="M2545" t="str">
        <f t="shared" si="80"/>
        <v/>
      </c>
      <c r="N2545" t="str">
        <f>IFERROR(VLOOKUP(D2545,'Team Data'!C:AB,23,FALSE),"")</f>
        <v/>
      </c>
      <c r="O2545" t="str">
        <f>IFERROR(VLOOKUP(D2545,'Team Data'!C:AB,22,FALSE),"")</f>
        <v/>
      </c>
      <c r="P2545" t="str">
        <f t="shared" si="81"/>
        <v/>
      </c>
      <c r="Q2545" t="str">
        <f>IFERROR(VLOOKUP(D2545,'Team Data'!C:AB,15,FALSE),"")</f>
        <v/>
      </c>
      <c r="R2545" t="str">
        <f>IFERROR(VLOOKUP('OB Format'!D2545,'Team Data'!C:AB,24,FALSE),"")</f>
        <v/>
      </c>
      <c r="S2545" t="str">
        <f>IFERROR(VLOOKUP('OB Format'!D2545,'Team Data'!C:AC,25,FALSE),"")</f>
        <v/>
      </c>
    </row>
    <row r="2546" spans="5:19" x14ac:dyDescent="0.25">
      <c r="E2546" t="str">
        <f>IFERROR(VLOOKUP(D2546,'Team Data'!C:AB,4,FALSE),"")</f>
        <v/>
      </c>
      <c r="F2546" t="str">
        <f>IFERROR(VLOOKUP(D2546,'Team Data'!C:AB,5,FALSE),"")</f>
        <v/>
      </c>
      <c r="G2546" t="str">
        <f>IFERROR(VLOOKUP('OB Format'!D2546,'Team Data'!C:AB,17,FALSE),"")</f>
        <v/>
      </c>
      <c r="H2546" t="str">
        <f>IFERROR(VLOOKUP(D2546,'Team Data'!C:AB,7,FALSE),"")</f>
        <v/>
      </c>
      <c r="I2546" t="str">
        <f>IFERROR(VLOOKUP(D2546,'Team Data'!C:AB,14,FALSE),"")</f>
        <v/>
      </c>
      <c r="J2546" t="str">
        <f>IFERROR(VLOOKUP(D2546,'Team Data'!C:AB,8,FALSE),"")</f>
        <v/>
      </c>
      <c r="K2546" t="str">
        <f>IFERROR(VLOOKUP(D2546,'Team Data'!C:AB,9,FALSE),"")</f>
        <v/>
      </c>
      <c r="L2546" t="str">
        <f>IFERROR(VLOOKUP(D2546,'Team Data'!C:AB,10,FALSE),"")</f>
        <v/>
      </c>
      <c r="M2546" t="str">
        <f t="shared" si="80"/>
        <v/>
      </c>
      <c r="N2546" t="str">
        <f>IFERROR(VLOOKUP(D2546,'Team Data'!C:AB,23,FALSE),"")</f>
        <v/>
      </c>
      <c r="O2546" t="str">
        <f>IFERROR(VLOOKUP(D2546,'Team Data'!C:AB,22,FALSE),"")</f>
        <v/>
      </c>
      <c r="P2546" t="str">
        <f t="shared" si="81"/>
        <v/>
      </c>
      <c r="Q2546" t="str">
        <f>IFERROR(VLOOKUP(D2546,'Team Data'!C:AB,15,FALSE),"")</f>
        <v/>
      </c>
      <c r="R2546" t="str">
        <f>IFERROR(VLOOKUP('OB Format'!D2546,'Team Data'!C:AB,24,FALSE),"")</f>
        <v/>
      </c>
      <c r="S2546" t="str">
        <f>IFERROR(VLOOKUP('OB Format'!D2546,'Team Data'!C:AC,25,FALSE),"")</f>
        <v/>
      </c>
    </row>
    <row r="2547" spans="5:19" x14ac:dyDescent="0.25">
      <c r="E2547" t="str">
        <f>IFERROR(VLOOKUP(D2547,'Team Data'!C:AB,4,FALSE),"")</f>
        <v/>
      </c>
      <c r="F2547" t="str">
        <f>IFERROR(VLOOKUP(D2547,'Team Data'!C:AB,5,FALSE),"")</f>
        <v/>
      </c>
      <c r="G2547" t="str">
        <f>IFERROR(VLOOKUP('OB Format'!D2547,'Team Data'!C:AB,17,FALSE),"")</f>
        <v/>
      </c>
      <c r="H2547" t="str">
        <f>IFERROR(VLOOKUP(D2547,'Team Data'!C:AB,7,FALSE),"")</f>
        <v/>
      </c>
      <c r="I2547" t="str">
        <f>IFERROR(VLOOKUP(D2547,'Team Data'!C:AB,14,FALSE),"")</f>
        <v/>
      </c>
      <c r="J2547" t="str">
        <f>IFERROR(VLOOKUP(D2547,'Team Data'!C:AB,8,FALSE),"")</f>
        <v/>
      </c>
      <c r="K2547" t="str">
        <f>IFERROR(VLOOKUP(D2547,'Team Data'!C:AB,9,FALSE),"")</f>
        <v/>
      </c>
      <c r="L2547" t="str">
        <f>IFERROR(VLOOKUP(D2547,'Team Data'!C:AB,10,FALSE),"")</f>
        <v/>
      </c>
      <c r="M2547" t="str">
        <f t="shared" si="80"/>
        <v/>
      </c>
      <c r="N2547" t="str">
        <f>IFERROR(VLOOKUP(D2547,'Team Data'!C:AB,23,FALSE),"")</f>
        <v/>
      </c>
      <c r="O2547" t="str">
        <f>IFERROR(VLOOKUP(D2547,'Team Data'!C:AB,22,FALSE),"")</f>
        <v/>
      </c>
      <c r="P2547" t="str">
        <f t="shared" si="81"/>
        <v/>
      </c>
      <c r="Q2547" t="str">
        <f>IFERROR(VLOOKUP(D2547,'Team Data'!C:AB,15,FALSE),"")</f>
        <v/>
      </c>
      <c r="R2547" t="str">
        <f>IFERROR(VLOOKUP('OB Format'!D2547,'Team Data'!C:AB,24,FALSE),"")</f>
        <v/>
      </c>
      <c r="S2547" t="str">
        <f>IFERROR(VLOOKUP('OB Format'!D2547,'Team Data'!C:AC,25,FALSE),"")</f>
        <v/>
      </c>
    </row>
    <row r="2548" spans="5:19" x14ac:dyDescent="0.25">
      <c r="E2548" t="str">
        <f>IFERROR(VLOOKUP(D2548,'Team Data'!C:AB,4,FALSE),"")</f>
        <v/>
      </c>
      <c r="F2548" t="str">
        <f>IFERROR(VLOOKUP(D2548,'Team Data'!C:AB,5,FALSE),"")</f>
        <v/>
      </c>
      <c r="G2548" t="str">
        <f>IFERROR(VLOOKUP('OB Format'!D2548,'Team Data'!C:AB,17,FALSE),"")</f>
        <v/>
      </c>
      <c r="H2548" t="str">
        <f>IFERROR(VLOOKUP(D2548,'Team Data'!C:AB,7,FALSE),"")</f>
        <v/>
      </c>
      <c r="I2548" t="str">
        <f>IFERROR(VLOOKUP(D2548,'Team Data'!C:AB,14,FALSE),"")</f>
        <v/>
      </c>
      <c r="J2548" t="str">
        <f>IFERROR(VLOOKUP(D2548,'Team Data'!C:AB,8,FALSE),"")</f>
        <v/>
      </c>
      <c r="K2548" t="str">
        <f>IFERROR(VLOOKUP(D2548,'Team Data'!C:AB,9,FALSE),"")</f>
        <v/>
      </c>
      <c r="L2548" t="str">
        <f>IFERROR(VLOOKUP(D2548,'Team Data'!C:AB,10,FALSE),"")</f>
        <v/>
      </c>
      <c r="M2548" t="str">
        <f t="shared" si="80"/>
        <v/>
      </c>
      <c r="N2548" t="str">
        <f>IFERROR(VLOOKUP(D2548,'Team Data'!C:AB,23,FALSE),"")</f>
        <v/>
      </c>
      <c r="O2548" t="str">
        <f>IFERROR(VLOOKUP(D2548,'Team Data'!C:AB,22,FALSE),"")</f>
        <v/>
      </c>
      <c r="P2548" t="str">
        <f t="shared" si="81"/>
        <v/>
      </c>
      <c r="Q2548" t="str">
        <f>IFERROR(VLOOKUP(D2548,'Team Data'!C:AB,15,FALSE),"")</f>
        <v/>
      </c>
      <c r="R2548" t="str">
        <f>IFERROR(VLOOKUP('OB Format'!D2548,'Team Data'!C:AB,24,FALSE),"")</f>
        <v/>
      </c>
      <c r="S2548" t="str">
        <f>IFERROR(VLOOKUP('OB Format'!D2548,'Team Data'!C:AC,25,FALSE),"")</f>
        <v/>
      </c>
    </row>
    <row r="2549" spans="5:19" x14ac:dyDescent="0.25">
      <c r="E2549" t="str">
        <f>IFERROR(VLOOKUP(D2549,'Team Data'!C:AB,4,FALSE),"")</f>
        <v/>
      </c>
      <c r="F2549" t="str">
        <f>IFERROR(VLOOKUP(D2549,'Team Data'!C:AB,5,FALSE),"")</f>
        <v/>
      </c>
      <c r="G2549" t="str">
        <f>IFERROR(VLOOKUP('OB Format'!D2549,'Team Data'!C:AB,17,FALSE),"")</f>
        <v/>
      </c>
      <c r="H2549" t="str">
        <f>IFERROR(VLOOKUP(D2549,'Team Data'!C:AB,7,FALSE),"")</f>
        <v/>
      </c>
      <c r="I2549" t="str">
        <f>IFERROR(VLOOKUP(D2549,'Team Data'!C:AB,14,FALSE),"")</f>
        <v/>
      </c>
      <c r="J2549" t="str">
        <f>IFERROR(VLOOKUP(D2549,'Team Data'!C:AB,8,FALSE),"")</f>
        <v/>
      </c>
      <c r="K2549" t="str">
        <f>IFERROR(VLOOKUP(D2549,'Team Data'!C:AB,9,FALSE),"")</f>
        <v/>
      </c>
      <c r="L2549" t="str">
        <f>IFERROR(VLOOKUP(D2549,'Team Data'!C:AB,10,FALSE),"")</f>
        <v/>
      </c>
      <c r="M2549" t="str">
        <f t="shared" si="80"/>
        <v/>
      </c>
      <c r="N2549" t="str">
        <f>IFERROR(VLOOKUP(D2549,'Team Data'!C:AB,23,FALSE),"")</f>
        <v/>
      </c>
      <c r="O2549" t="str">
        <f>IFERROR(VLOOKUP(D2549,'Team Data'!C:AB,22,FALSE),"")</f>
        <v/>
      </c>
      <c r="P2549" t="str">
        <f t="shared" si="81"/>
        <v/>
      </c>
      <c r="Q2549" t="str">
        <f>IFERROR(VLOOKUP(D2549,'Team Data'!C:AB,15,FALSE),"")</f>
        <v/>
      </c>
      <c r="R2549" t="str">
        <f>IFERROR(VLOOKUP('OB Format'!D2549,'Team Data'!C:AB,24,FALSE),"")</f>
        <v/>
      </c>
      <c r="S2549" t="str">
        <f>IFERROR(VLOOKUP('OB Format'!D2549,'Team Data'!C:AC,25,FALSE),"")</f>
        <v/>
      </c>
    </row>
    <row r="2550" spans="5:19" x14ac:dyDescent="0.25">
      <c r="E2550" t="str">
        <f>IFERROR(VLOOKUP(D2550,'Team Data'!C:AB,4,FALSE),"")</f>
        <v/>
      </c>
      <c r="F2550" t="str">
        <f>IFERROR(VLOOKUP(D2550,'Team Data'!C:AB,5,FALSE),"")</f>
        <v/>
      </c>
      <c r="G2550" t="str">
        <f>IFERROR(VLOOKUP('OB Format'!D2550,'Team Data'!C:AB,17,FALSE),"")</f>
        <v/>
      </c>
      <c r="H2550" t="str">
        <f>IFERROR(VLOOKUP(D2550,'Team Data'!C:AB,7,FALSE),"")</f>
        <v/>
      </c>
      <c r="I2550" t="str">
        <f>IFERROR(VLOOKUP(D2550,'Team Data'!C:AB,14,FALSE),"")</f>
        <v/>
      </c>
      <c r="J2550" t="str">
        <f>IFERROR(VLOOKUP(D2550,'Team Data'!C:AB,8,FALSE),"")</f>
        <v/>
      </c>
      <c r="K2550" t="str">
        <f>IFERROR(VLOOKUP(D2550,'Team Data'!C:AB,9,FALSE),"")</f>
        <v/>
      </c>
      <c r="L2550" t="str">
        <f>IFERROR(VLOOKUP(D2550,'Team Data'!C:AB,10,FALSE),"")</f>
        <v/>
      </c>
      <c r="M2550" t="str">
        <f t="shared" si="80"/>
        <v/>
      </c>
      <c r="N2550" t="str">
        <f>IFERROR(VLOOKUP(D2550,'Team Data'!C:AB,23,FALSE),"")</f>
        <v/>
      </c>
      <c r="O2550" t="str">
        <f>IFERROR(VLOOKUP(D2550,'Team Data'!C:AB,22,FALSE),"")</f>
        <v/>
      </c>
      <c r="P2550" t="str">
        <f t="shared" si="81"/>
        <v/>
      </c>
      <c r="Q2550" t="str">
        <f>IFERROR(VLOOKUP(D2550,'Team Data'!C:AB,15,FALSE),"")</f>
        <v/>
      </c>
      <c r="R2550" t="str">
        <f>IFERROR(VLOOKUP('OB Format'!D2550,'Team Data'!C:AB,24,FALSE),"")</f>
        <v/>
      </c>
      <c r="S2550" t="str">
        <f>IFERROR(VLOOKUP('OB Format'!D2550,'Team Data'!C:AC,25,FALSE),"")</f>
        <v/>
      </c>
    </row>
    <row r="2551" spans="5:19" x14ac:dyDescent="0.25">
      <c r="E2551" t="str">
        <f>IFERROR(VLOOKUP(D2551,'Team Data'!C:AB,4,FALSE),"")</f>
        <v/>
      </c>
      <c r="F2551" t="str">
        <f>IFERROR(VLOOKUP(D2551,'Team Data'!C:AB,5,FALSE),"")</f>
        <v/>
      </c>
      <c r="G2551" t="str">
        <f>IFERROR(VLOOKUP('OB Format'!D2551,'Team Data'!C:AB,17,FALSE),"")</f>
        <v/>
      </c>
      <c r="H2551" t="str">
        <f>IFERROR(VLOOKUP(D2551,'Team Data'!C:AB,7,FALSE),"")</f>
        <v/>
      </c>
      <c r="I2551" t="str">
        <f>IFERROR(VLOOKUP(D2551,'Team Data'!C:AB,14,FALSE),"")</f>
        <v/>
      </c>
      <c r="J2551" t="str">
        <f>IFERROR(VLOOKUP(D2551,'Team Data'!C:AB,8,FALSE),"")</f>
        <v/>
      </c>
      <c r="K2551" t="str">
        <f>IFERROR(VLOOKUP(D2551,'Team Data'!C:AB,9,FALSE),"")</f>
        <v/>
      </c>
      <c r="L2551" t="str">
        <f>IFERROR(VLOOKUP(D2551,'Team Data'!C:AB,10,FALSE),"")</f>
        <v/>
      </c>
      <c r="M2551" t="str">
        <f t="shared" si="80"/>
        <v/>
      </c>
      <c r="N2551" t="str">
        <f>IFERROR(VLOOKUP(D2551,'Team Data'!C:AB,23,FALSE),"")</f>
        <v/>
      </c>
      <c r="O2551" t="str">
        <f>IFERROR(VLOOKUP(D2551,'Team Data'!C:AB,22,FALSE),"")</f>
        <v/>
      </c>
      <c r="P2551" t="str">
        <f t="shared" si="81"/>
        <v/>
      </c>
      <c r="Q2551" t="str">
        <f>IFERROR(VLOOKUP(D2551,'Team Data'!C:AB,15,FALSE),"")</f>
        <v/>
      </c>
      <c r="R2551" t="str">
        <f>IFERROR(VLOOKUP('OB Format'!D2551,'Team Data'!C:AB,24,FALSE),"")</f>
        <v/>
      </c>
      <c r="S2551" t="str">
        <f>IFERROR(VLOOKUP('OB Format'!D2551,'Team Data'!C:AC,25,FALSE),"")</f>
        <v/>
      </c>
    </row>
    <row r="2552" spans="5:19" x14ac:dyDescent="0.25">
      <c r="E2552" t="str">
        <f>IFERROR(VLOOKUP(D2552,'Team Data'!C:AB,4,FALSE),"")</f>
        <v/>
      </c>
      <c r="F2552" t="str">
        <f>IFERROR(VLOOKUP(D2552,'Team Data'!C:AB,5,FALSE),"")</f>
        <v/>
      </c>
      <c r="G2552" t="str">
        <f>IFERROR(VLOOKUP('OB Format'!D2552,'Team Data'!C:AB,17,FALSE),"")</f>
        <v/>
      </c>
      <c r="H2552" t="str">
        <f>IFERROR(VLOOKUP(D2552,'Team Data'!C:AB,7,FALSE),"")</f>
        <v/>
      </c>
      <c r="I2552" t="str">
        <f>IFERROR(VLOOKUP(D2552,'Team Data'!C:AB,14,FALSE),"")</f>
        <v/>
      </c>
      <c r="J2552" t="str">
        <f>IFERROR(VLOOKUP(D2552,'Team Data'!C:AB,8,FALSE),"")</f>
        <v/>
      </c>
      <c r="K2552" t="str">
        <f>IFERROR(VLOOKUP(D2552,'Team Data'!C:AB,9,FALSE),"")</f>
        <v/>
      </c>
      <c r="L2552" t="str">
        <f>IFERROR(VLOOKUP(D2552,'Team Data'!C:AB,10,FALSE),"")</f>
        <v/>
      </c>
      <c r="M2552" t="str">
        <f t="shared" si="80"/>
        <v/>
      </c>
      <c r="N2552" t="str">
        <f>IFERROR(VLOOKUP(D2552,'Team Data'!C:AB,23,FALSE),"")</f>
        <v/>
      </c>
      <c r="O2552" t="str">
        <f>IFERROR(VLOOKUP(D2552,'Team Data'!C:AB,22,FALSE),"")</f>
        <v/>
      </c>
      <c r="P2552" t="str">
        <f t="shared" si="81"/>
        <v/>
      </c>
      <c r="Q2552" t="str">
        <f>IFERROR(VLOOKUP(D2552,'Team Data'!C:AB,15,FALSE),"")</f>
        <v/>
      </c>
      <c r="R2552" t="str">
        <f>IFERROR(VLOOKUP('OB Format'!D2552,'Team Data'!C:AB,24,FALSE),"")</f>
        <v/>
      </c>
      <c r="S2552" t="str">
        <f>IFERROR(VLOOKUP('OB Format'!D2552,'Team Data'!C:AC,25,FALSE),"")</f>
        <v/>
      </c>
    </row>
    <row r="2553" spans="5:19" x14ac:dyDescent="0.25">
      <c r="E2553" t="str">
        <f>IFERROR(VLOOKUP(D2553,'Team Data'!C:AB,4,FALSE),"")</f>
        <v/>
      </c>
      <c r="F2553" t="str">
        <f>IFERROR(VLOOKUP(D2553,'Team Data'!C:AB,5,FALSE),"")</f>
        <v/>
      </c>
      <c r="G2553" t="str">
        <f>IFERROR(VLOOKUP('OB Format'!D2553,'Team Data'!C:AB,17,FALSE),"")</f>
        <v/>
      </c>
      <c r="H2553" t="str">
        <f>IFERROR(VLOOKUP(D2553,'Team Data'!C:AB,7,FALSE),"")</f>
        <v/>
      </c>
      <c r="I2553" t="str">
        <f>IFERROR(VLOOKUP(D2553,'Team Data'!C:AB,14,FALSE),"")</f>
        <v/>
      </c>
      <c r="J2553" t="str">
        <f>IFERROR(VLOOKUP(D2553,'Team Data'!C:AB,8,FALSE),"")</f>
        <v/>
      </c>
      <c r="K2553" t="str">
        <f>IFERROR(VLOOKUP(D2553,'Team Data'!C:AB,9,FALSE),"")</f>
        <v/>
      </c>
      <c r="L2553" t="str">
        <f>IFERROR(VLOOKUP(D2553,'Team Data'!C:AB,10,FALSE),"")</f>
        <v/>
      </c>
      <c r="M2553" t="str">
        <f t="shared" si="80"/>
        <v/>
      </c>
      <c r="N2553" t="str">
        <f>IFERROR(VLOOKUP(D2553,'Team Data'!C:AB,23,FALSE),"")</f>
        <v/>
      </c>
      <c r="O2553" t="str">
        <f>IFERROR(VLOOKUP(D2553,'Team Data'!C:AB,22,FALSE),"")</f>
        <v/>
      </c>
      <c r="P2553" t="str">
        <f t="shared" si="81"/>
        <v/>
      </c>
      <c r="Q2553" t="str">
        <f>IFERROR(VLOOKUP(D2553,'Team Data'!C:AB,15,FALSE),"")</f>
        <v/>
      </c>
      <c r="R2553" t="str">
        <f>IFERROR(VLOOKUP('OB Format'!D2553,'Team Data'!C:AB,24,FALSE),"")</f>
        <v/>
      </c>
      <c r="S2553" t="str">
        <f>IFERROR(VLOOKUP('OB Format'!D2553,'Team Data'!C:AC,25,FALSE),"")</f>
        <v/>
      </c>
    </row>
    <row r="2554" spans="5:19" x14ac:dyDescent="0.25">
      <c r="E2554" t="str">
        <f>IFERROR(VLOOKUP(D2554,'Team Data'!C:AB,4,FALSE),"")</f>
        <v/>
      </c>
      <c r="F2554" t="str">
        <f>IFERROR(VLOOKUP(D2554,'Team Data'!C:AB,5,FALSE),"")</f>
        <v/>
      </c>
      <c r="G2554" t="str">
        <f>IFERROR(VLOOKUP('OB Format'!D2554,'Team Data'!C:AB,17,FALSE),"")</f>
        <v/>
      </c>
      <c r="H2554" t="str">
        <f>IFERROR(VLOOKUP(D2554,'Team Data'!C:AB,7,FALSE),"")</f>
        <v/>
      </c>
      <c r="I2554" t="str">
        <f>IFERROR(VLOOKUP(D2554,'Team Data'!C:AB,14,FALSE),"")</f>
        <v/>
      </c>
      <c r="J2554" t="str">
        <f>IFERROR(VLOOKUP(D2554,'Team Data'!C:AB,8,FALSE),"")</f>
        <v/>
      </c>
      <c r="K2554" t="str">
        <f>IFERROR(VLOOKUP(D2554,'Team Data'!C:AB,9,FALSE),"")</f>
        <v/>
      </c>
      <c r="L2554" t="str">
        <f>IFERROR(VLOOKUP(D2554,'Team Data'!C:AB,10,FALSE),"")</f>
        <v/>
      </c>
      <c r="M2554" t="str">
        <f t="shared" si="80"/>
        <v/>
      </c>
      <c r="N2554" t="str">
        <f>IFERROR(VLOOKUP(D2554,'Team Data'!C:AB,23,FALSE),"")</f>
        <v/>
      </c>
      <c r="O2554" t="str">
        <f>IFERROR(VLOOKUP(D2554,'Team Data'!C:AB,22,FALSE),"")</f>
        <v/>
      </c>
      <c r="P2554" t="str">
        <f t="shared" si="81"/>
        <v/>
      </c>
      <c r="Q2554" t="str">
        <f>IFERROR(VLOOKUP(D2554,'Team Data'!C:AB,15,FALSE),"")</f>
        <v/>
      </c>
      <c r="R2554" t="str">
        <f>IFERROR(VLOOKUP('OB Format'!D2554,'Team Data'!C:AB,24,FALSE),"")</f>
        <v/>
      </c>
      <c r="S2554" t="str">
        <f>IFERROR(VLOOKUP('OB Format'!D2554,'Team Data'!C:AC,25,FALSE),"")</f>
        <v/>
      </c>
    </row>
    <row r="2555" spans="5:19" x14ac:dyDescent="0.25">
      <c r="E2555" t="str">
        <f>IFERROR(VLOOKUP(D2555,'Team Data'!C:AB,4,FALSE),"")</f>
        <v/>
      </c>
      <c r="F2555" t="str">
        <f>IFERROR(VLOOKUP(D2555,'Team Data'!C:AB,5,FALSE),"")</f>
        <v/>
      </c>
      <c r="G2555" t="str">
        <f>IFERROR(VLOOKUP('OB Format'!D2555,'Team Data'!C:AB,17,FALSE),"")</f>
        <v/>
      </c>
      <c r="H2555" t="str">
        <f>IFERROR(VLOOKUP(D2555,'Team Data'!C:AB,7,FALSE),"")</f>
        <v/>
      </c>
      <c r="I2555" t="str">
        <f>IFERROR(VLOOKUP(D2555,'Team Data'!C:AB,14,FALSE),"")</f>
        <v/>
      </c>
      <c r="J2555" t="str">
        <f>IFERROR(VLOOKUP(D2555,'Team Data'!C:AB,8,FALSE),"")</f>
        <v/>
      </c>
      <c r="K2555" t="str">
        <f>IFERROR(VLOOKUP(D2555,'Team Data'!C:AB,9,FALSE),"")</f>
        <v/>
      </c>
      <c r="L2555" t="str">
        <f>IFERROR(VLOOKUP(D2555,'Team Data'!C:AB,10,FALSE),"")</f>
        <v/>
      </c>
      <c r="M2555" t="str">
        <f t="shared" si="80"/>
        <v/>
      </c>
      <c r="N2555" t="str">
        <f>IFERROR(VLOOKUP(D2555,'Team Data'!C:AB,23,FALSE),"")</f>
        <v/>
      </c>
      <c r="O2555" t="str">
        <f>IFERROR(VLOOKUP(D2555,'Team Data'!C:AB,22,FALSE),"")</f>
        <v/>
      </c>
      <c r="P2555" t="str">
        <f t="shared" si="81"/>
        <v/>
      </c>
      <c r="Q2555" t="str">
        <f>IFERROR(VLOOKUP(D2555,'Team Data'!C:AB,15,FALSE),"")</f>
        <v/>
      </c>
      <c r="R2555" t="str">
        <f>IFERROR(VLOOKUP('OB Format'!D2555,'Team Data'!C:AB,24,FALSE),"")</f>
        <v/>
      </c>
      <c r="S2555" t="str">
        <f>IFERROR(VLOOKUP('OB Format'!D2555,'Team Data'!C:AC,25,FALSE),"")</f>
        <v/>
      </c>
    </row>
    <row r="2556" spans="5:19" x14ac:dyDescent="0.25">
      <c r="E2556" t="str">
        <f>IFERROR(VLOOKUP(D2556,'Team Data'!C:AB,4,FALSE),"")</f>
        <v/>
      </c>
      <c r="F2556" t="str">
        <f>IFERROR(VLOOKUP(D2556,'Team Data'!C:AB,5,FALSE),"")</f>
        <v/>
      </c>
      <c r="G2556" t="str">
        <f>IFERROR(VLOOKUP('OB Format'!D2556,'Team Data'!C:AB,17,FALSE),"")</f>
        <v/>
      </c>
      <c r="H2556" t="str">
        <f>IFERROR(VLOOKUP(D2556,'Team Data'!C:AB,7,FALSE),"")</f>
        <v/>
      </c>
      <c r="I2556" t="str">
        <f>IFERROR(VLOOKUP(D2556,'Team Data'!C:AB,14,FALSE),"")</f>
        <v/>
      </c>
      <c r="J2556" t="str">
        <f>IFERROR(VLOOKUP(D2556,'Team Data'!C:AB,8,FALSE),"")</f>
        <v/>
      </c>
      <c r="K2556" t="str">
        <f>IFERROR(VLOOKUP(D2556,'Team Data'!C:AB,9,FALSE),"")</f>
        <v/>
      </c>
      <c r="L2556" t="str">
        <f>IFERROR(VLOOKUP(D2556,'Team Data'!C:AB,10,FALSE),"")</f>
        <v/>
      </c>
      <c r="M2556" t="str">
        <f t="shared" si="80"/>
        <v/>
      </c>
      <c r="N2556" t="str">
        <f>IFERROR(VLOOKUP(D2556,'Team Data'!C:AB,23,FALSE),"")</f>
        <v/>
      </c>
      <c r="O2556" t="str">
        <f>IFERROR(VLOOKUP(D2556,'Team Data'!C:AB,22,FALSE),"")</f>
        <v/>
      </c>
      <c r="P2556" t="str">
        <f t="shared" si="81"/>
        <v/>
      </c>
      <c r="Q2556" t="str">
        <f>IFERROR(VLOOKUP(D2556,'Team Data'!C:AB,15,FALSE),"")</f>
        <v/>
      </c>
      <c r="R2556" t="str">
        <f>IFERROR(VLOOKUP('OB Format'!D2556,'Team Data'!C:AB,24,FALSE),"")</f>
        <v/>
      </c>
      <c r="S2556" t="str">
        <f>IFERROR(VLOOKUP('OB Format'!D2556,'Team Data'!C:AC,25,FALSE),"")</f>
        <v/>
      </c>
    </row>
    <row r="2557" spans="5:19" x14ac:dyDescent="0.25">
      <c r="E2557" t="str">
        <f>IFERROR(VLOOKUP(D2557,'Team Data'!C:AB,4,FALSE),"")</f>
        <v/>
      </c>
      <c r="F2557" t="str">
        <f>IFERROR(VLOOKUP(D2557,'Team Data'!C:AB,5,FALSE),"")</f>
        <v/>
      </c>
      <c r="G2557" t="str">
        <f>IFERROR(VLOOKUP('OB Format'!D2557,'Team Data'!C:AB,17,FALSE),"")</f>
        <v/>
      </c>
      <c r="H2557" t="str">
        <f>IFERROR(VLOOKUP(D2557,'Team Data'!C:AB,7,FALSE),"")</f>
        <v/>
      </c>
      <c r="I2557" t="str">
        <f>IFERROR(VLOOKUP(D2557,'Team Data'!C:AB,14,FALSE),"")</f>
        <v/>
      </c>
      <c r="J2557" t="str">
        <f>IFERROR(VLOOKUP(D2557,'Team Data'!C:AB,8,FALSE),"")</f>
        <v/>
      </c>
      <c r="K2557" t="str">
        <f>IFERROR(VLOOKUP(D2557,'Team Data'!C:AB,9,FALSE),"")</f>
        <v/>
      </c>
      <c r="L2557" t="str">
        <f>IFERROR(VLOOKUP(D2557,'Team Data'!C:AB,10,FALSE),"")</f>
        <v/>
      </c>
      <c r="M2557" t="str">
        <f t="shared" si="80"/>
        <v/>
      </c>
      <c r="N2557" t="str">
        <f>IFERROR(VLOOKUP(D2557,'Team Data'!C:AB,23,FALSE),"")</f>
        <v/>
      </c>
      <c r="O2557" t="str">
        <f>IFERROR(VLOOKUP(D2557,'Team Data'!C:AB,22,FALSE),"")</f>
        <v/>
      </c>
      <c r="P2557" t="str">
        <f t="shared" si="81"/>
        <v/>
      </c>
      <c r="Q2557" t="str">
        <f>IFERROR(VLOOKUP(D2557,'Team Data'!C:AB,15,FALSE),"")</f>
        <v/>
      </c>
      <c r="R2557" t="str">
        <f>IFERROR(VLOOKUP('OB Format'!D2557,'Team Data'!C:AB,24,FALSE),"")</f>
        <v/>
      </c>
      <c r="S2557" t="str">
        <f>IFERROR(VLOOKUP('OB Format'!D2557,'Team Data'!C:AC,25,FALSE),"")</f>
        <v/>
      </c>
    </row>
    <row r="2558" spans="5:19" x14ac:dyDescent="0.25">
      <c r="E2558" t="str">
        <f>IFERROR(VLOOKUP(D2558,'Team Data'!C:AB,4,FALSE),"")</f>
        <v/>
      </c>
      <c r="F2558" t="str">
        <f>IFERROR(VLOOKUP(D2558,'Team Data'!C:AB,5,FALSE),"")</f>
        <v/>
      </c>
      <c r="G2558" t="str">
        <f>IFERROR(VLOOKUP('OB Format'!D2558,'Team Data'!C:AB,17,FALSE),"")</f>
        <v/>
      </c>
      <c r="H2558" t="str">
        <f>IFERROR(VLOOKUP(D2558,'Team Data'!C:AB,7,FALSE),"")</f>
        <v/>
      </c>
      <c r="I2558" t="str">
        <f>IFERROR(VLOOKUP(D2558,'Team Data'!C:AB,14,FALSE),"")</f>
        <v/>
      </c>
      <c r="J2558" t="str">
        <f>IFERROR(VLOOKUP(D2558,'Team Data'!C:AB,8,FALSE),"")</f>
        <v/>
      </c>
      <c r="K2558" t="str">
        <f>IFERROR(VLOOKUP(D2558,'Team Data'!C:AB,9,FALSE),"")</f>
        <v/>
      </c>
      <c r="L2558" t="str">
        <f>IFERROR(VLOOKUP(D2558,'Team Data'!C:AB,10,FALSE),"")</f>
        <v/>
      </c>
      <c r="M2558" t="str">
        <f t="shared" si="80"/>
        <v/>
      </c>
      <c r="N2558" t="str">
        <f>IFERROR(VLOOKUP(D2558,'Team Data'!C:AB,23,FALSE),"")</f>
        <v/>
      </c>
      <c r="O2558" t="str">
        <f>IFERROR(VLOOKUP(D2558,'Team Data'!C:AB,22,FALSE),"")</f>
        <v/>
      </c>
      <c r="P2558" t="str">
        <f t="shared" si="81"/>
        <v/>
      </c>
      <c r="Q2558" t="str">
        <f>IFERROR(VLOOKUP(D2558,'Team Data'!C:AB,15,FALSE),"")</f>
        <v/>
      </c>
      <c r="R2558" t="str">
        <f>IFERROR(VLOOKUP('OB Format'!D2558,'Team Data'!C:AB,24,FALSE),"")</f>
        <v/>
      </c>
      <c r="S2558" t="str">
        <f>IFERROR(VLOOKUP('OB Format'!D2558,'Team Data'!C:AC,25,FALSE),"")</f>
        <v/>
      </c>
    </row>
    <row r="2559" spans="5:19" x14ac:dyDescent="0.25">
      <c r="E2559" t="str">
        <f>IFERROR(VLOOKUP(D2559,'Team Data'!C:AB,4,FALSE),"")</f>
        <v/>
      </c>
      <c r="F2559" t="str">
        <f>IFERROR(VLOOKUP(D2559,'Team Data'!C:AB,5,FALSE),"")</f>
        <v/>
      </c>
      <c r="G2559" t="str">
        <f>IFERROR(VLOOKUP('OB Format'!D2559,'Team Data'!C:AB,17,FALSE),"")</f>
        <v/>
      </c>
      <c r="H2559" t="str">
        <f>IFERROR(VLOOKUP(D2559,'Team Data'!C:AB,7,FALSE),"")</f>
        <v/>
      </c>
      <c r="I2559" t="str">
        <f>IFERROR(VLOOKUP(D2559,'Team Data'!C:AB,14,FALSE),"")</f>
        <v/>
      </c>
      <c r="J2559" t="str">
        <f>IFERROR(VLOOKUP(D2559,'Team Data'!C:AB,8,FALSE),"")</f>
        <v/>
      </c>
      <c r="K2559" t="str">
        <f>IFERROR(VLOOKUP(D2559,'Team Data'!C:AB,9,FALSE),"")</f>
        <v/>
      </c>
      <c r="L2559" t="str">
        <f>IFERROR(VLOOKUP(D2559,'Team Data'!C:AB,10,FALSE),"")</f>
        <v/>
      </c>
      <c r="M2559" t="str">
        <f t="shared" si="80"/>
        <v/>
      </c>
      <c r="N2559" t="str">
        <f>IFERROR(VLOOKUP(D2559,'Team Data'!C:AB,23,FALSE),"")</f>
        <v/>
      </c>
      <c r="O2559" t="str">
        <f>IFERROR(VLOOKUP(D2559,'Team Data'!C:AB,22,FALSE),"")</f>
        <v/>
      </c>
      <c r="P2559" t="str">
        <f t="shared" si="81"/>
        <v/>
      </c>
      <c r="Q2559" t="str">
        <f>IFERROR(VLOOKUP(D2559,'Team Data'!C:AB,15,FALSE),"")</f>
        <v/>
      </c>
      <c r="R2559" t="str">
        <f>IFERROR(VLOOKUP('OB Format'!D2559,'Team Data'!C:AB,24,FALSE),"")</f>
        <v/>
      </c>
      <c r="S2559" t="str">
        <f>IFERROR(VLOOKUP('OB Format'!D2559,'Team Data'!C:AC,25,FALSE),"")</f>
        <v/>
      </c>
    </row>
    <row r="2560" spans="5:19" x14ac:dyDescent="0.25">
      <c r="E2560" t="str">
        <f>IFERROR(VLOOKUP(D2560,'Team Data'!C:AB,4,FALSE),"")</f>
        <v/>
      </c>
      <c r="F2560" t="str">
        <f>IFERROR(VLOOKUP(D2560,'Team Data'!C:AB,5,FALSE),"")</f>
        <v/>
      </c>
      <c r="G2560" t="str">
        <f>IFERROR(VLOOKUP('OB Format'!D2560,'Team Data'!C:AB,17,FALSE),"")</f>
        <v/>
      </c>
      <c r="H2560" t="str">
        <f>IFERROR(VLOOKUP(D2560,'Team Data'!C:AB,7,FALSE),"")</f>
        <v/>
      </c>
      <c r="I2560" t="str">
        <f>IFERROR(VLOOKUP(D2560,'Team Data'!C:AB,14,FALSE),"")</f>
        <v/>
      </c>
      <c r="J2560" t="str">
        <f>IFERROR(VLOOKUP(D2560,'Team Data'!C:AB,8,FALSE),"")</f>
        <v/>
      </c>
      <c r="K2560" t="str">
        <f>IFERROR(VLOOKUP(D2560,'Team Data'!C:AB,9,FALSE),"")</f>
        <v/>
      </c>
      <c r="L2560" t="str">
        <f>IFERROR(VLOOKUP(D2560,'Team Data'!C:AB,10,FALSE),"")</f>
        <v/>
      </c>
      <c r="M2560" t="str">
        <f t="shared" si="80"/>
        <v/>
      </c>
      <c r="N2560" t="str">
        <f>IFERROR(VLOOKUP(D2560,'Team Data'!C:AB,23,FALSE),"")</f>
        <v/>
      </c>
      <c r="O2560" t="str">
        <f>IFERROR(VLOOKUP(D2560,'Team Data'!C:AB,22,FALSE),"")</f>
        <v/>
      </c>
      <c r="P2560" t="str">
        <f t="shared" si="81"/>
        <v/>
      </c>
      <c r="Q2560" t="str">
        <f>IFERROR(VLOOKUP(D2560,'Team Data'!C:AB,15,FALSE),"")</f>
        <v/>
      </c>
      <c r="R2560" t="str">
        <f>IFERROR(VLOOKUP('OB Format'!D2560,'Team Data'!C:AB,24,FALSE),"")</f>
        <v/>
      </c>
      <c r="S2560" t="str">
        <f>IFERROR(VLOOKUP('OB Format'!D2560,'Team Data'!C:AC,25,FALSE),"")</f>
        <v/>
      </c>
    </row>
    <row r="2561" spans="5:19" x14ac:dyDescent="0.25">
      <c r="E2561" t="str">
        <f>IFERROR(VLOOKUP(D2561,'Team Data'!C:AB,4,FALSE),"")</f>
        <v/>
      </c>
      <c r="F2561" t="str">
        <f>IFERROR(VLOOKUP(D2561,'Team Data'!C:AB,5,FALSE),"")</f>
        <v/>
      </c>
      <c r="G2561" t="str">
        <f>IFERROR(VLOOKUP('OB Format'!D2561,'Team Data'!C:AB,17,FALSE),"")</f>
        <v/>
      </c>
      <c r="H2561" t="str">
        <f>IFERROR(VLOOKUP(D2561,'Team Data'!C:AB,7,FALSE),"")</f>
        <v/>
      </c>
      <c r="I2561" t="str">
        <f>IFERROR(VLOOKUP(D2561,'Team Data'!C:AB,14,FALSE),"")</f>
        <v/>
      </c>
      <c r="J2561" t="str">
        <f>IFERROR(VLOOKUP(D2561,'Team Data'!C:AB,8,FALSE),"")</f>
        <v/>
      </c>
      <c r="K2561" t="str">
        <f>IFERROR(VLOOKUP(D2561,'Team Data'!C:AB,9,FALSE),"")</f>
        <v/>
      </c>
      <c r="L2561" t="str">
        <f>IFERROR(VLOOKUP(D2561,'Team Data'!C:AB,10,FALSE),"")</f>
        <v/>
      </c>
      <c r="M2561" t="str">
        <f t="shared" si="80"/>
        <v/>
      </c>
      <c r="N2561" t="str">
        <f>IFERROR(VLOOKUP(D2561,'Team Data'!C:AB,23,FALSE),"")</f>
        <v/>
      </c>
      <c r="O2561" t="str">
        <f>IFERROR(VLOOKUP(D2561,'Team Data'!C:AB,22,FALSE),"")</f>
        <v/>
      </c>
      <c r="P2561" t="str">
        <f t="shared" si="81"/>
        <v/>
      </c>
      <c r="Q2561" t="str">
        <f>IFERROR(VLOOKUP(D2561,'Team Data'!C:AB,15,FALSE),"")</f>
        <v/>
      </c>
      <c r="R2561" t="str">
        <f>IFERROR(VLOOKUP('OB Format'!D2561,'Team Data'!C:AB,24,FALSE),"")</f>
        <v/>
      </c>
      <c r="S2561" t="str">
        <f>IFERROR(VLOOKUP('OB Format'!D2561,'Team Data'!C:AC,25,FALSE),"")</f>
        <v/>
      </c>
    </row>
    <row r="2562" spans="5:19" x14ac:dyDescent="0.25">
      <c r="E2562" t="str">
        <f>IFERROR(VLOOKUP(D2562,'Team Data'!C:AB,4,FALSE),"")</f>
        <v/>
      </c>
      <c r="F2562" t="str">
        <f>IFERROR(VLOOKUP(D2562,'Team Data'!C:AB,5,FALSE),"")</f>
        <v/>
      </c>
      <c r="G2562" t="str">
        <f>IFERROR(VLOOKUP('OB Format'!D2562,'Team Data'!C:AB,17,FALSE),"")</f>
        <v/>
      </c>
      <c r="H2562" t="str">
        <f>IFERROR(VLOOKUP(D2562,'Team Data'!C:AB,7,FALSE),"")</f>
        <v/>
      </c>
      <c r="I2562" t="str">
        <f>IFERROR(VLOOKUP(D2562,'Team Data'!C:AB,14,FALSE),"")</f>
        <v/>
      </c>
      <c r="J2562" t="str">
        <f>IFERROR(VLOOKUP(D2562,'Team Data'!C:AB,8,FALSE),"")</f>
        <v/>
      </c>
      <c r="K2562" t="str">
        <f>IFERROR(VLOOKUP(D2562,'Team Data'!C:AB,9,FALSE),"")</f>
        <v/>
      </c>
      <c r="L2562" t="str">
        <f>IFERROR(VLOOKUP(D2562,'Team Data'!C:AB,10,FALSE),"")</f>
        <v/>
      </c>
      <c r="M2562" t="str">
        <f t="shared" si="80"/>
        <v/>
      </c>
      <c r="N2562" t="str">
        <f>IFERROR(VLOOKUP(D2562,'Team Data'!C:AB,23,FALSE),"")</f>
        <v/>
      </c>
      <c r="O2562" t="str">
        <f>IFERROR(VLOOKUP(D2562,'Team Data'!C:AB,22,FALSE),"")</f>
        <v/>
      </c>
      <c r="P2562" t="str">
        <f t="shared" si="81"/>
        <v/>
      </c>
      <c r="Q2562" t="str">
        <f>IFERROR(VLOOKUP(D2562,'Team Data'!C:AB,15,FALSE),"")</f>
        <v/>
      </c>
      <c r="R2562" t="str">
        <f>IFERROR(VLOOKUP('OB Format'!D2562,'Team Data'!C:AB,24,FALSE),"")</f>
        <v/>
      </c>
      <c r="S2562" t="str">
        <f>IFERROR(VLOOKUP('OB Format'!D2562,'Team Data'!C:AC,25,FALSE),"")</f>
        <v/>
      </c>
    </row>
    <row r="2563" spans="5:19" x14ac:dyDescent="0.25">
      <c r="E2563" t="str">
        <f>IFERROR(VLOOKUP(D2563,'Team Data'!C:AB,4,FALSE),"")</f>
        <v/>
      </c>
      <c r="F2563" t="str">
        <f>IFERROR(VLOOKUP(D2563,'Team Data'!C:AB,5,FALSE),"")</f>
        <v/>
      </c>
      <c r="G2563" t="str">
        <f>IFERROR(VLOOKUP('OB Format'!D2563,'Team Data'!C:AB,17,FALSE),"")</f>
        <v/>
      </c>
      <c r="H2563" t="str">
        <f>IFERROR(VLOOKUP(D2563,'Team Data'!C:AB,7,FALSE),"")</f>
        <v/>
      </c>
      <c r="I2563" t="str">
        <f>IFERROR(VLOOKUP(D2563,'Team Data'!C:AB,14,FALSE),"")</f>
        <v/>
      </c>
      <c r="J2563" t="str">
        <f>IFERROR(VLOOKUP(D2563,'Team Data'!C:AB,8,FALSE),"")</f>
        <v/>
      </c>
      <c r="K2563" t="str">
        <f>IFERROR(VLOOKUP(D2563,'Team Data'!C:AB,9,FALSE),"")</f>
        <v/>
      </c>
      <c r="L2563" t="str">
        <f>IFERROR(VLOOKUP(D2563,'Team Data'!C:AB,10,FALSE),"")</f>
        <v/>
      </c>
      <c r="M2563" t="str">
        <f t="shared" si="80"/>
        <v/>
      </c>
      <c r="N2563" t="str">
        <f>IFERROR(VLOOKUP(D2563,'Team Data'!C:AB,23,FALSE),"")</f>
        <v/>
      </c>
      <c r="O2563" t="str">
        <f>IFERROR(VLOOKUP(D2563,'Team Data'!C:AB,22,FALSE),"")</f>
        <v/>
      </c>
      <c r="P2563" t="str">
        <f t="shared" si="81"/>
        <v/>
      </c>
      <c r="Q2563" t="str">
        <f>IFERROR(VLOOKUP(D2563,'Team Data'!C:AB,15,FALSE),"")</f>
        <v/>
      </c>
      <c r="R2563" t="str">
        <f>IFERROR(VLOOKUP('OB Format'!D2563,'Team Data'!C:AB,24,FALSE),"")</f>
        <v/>
      </c>
      <c r="S2563" t="str">
        <f>IFERROR(VLOOKUP('OB Format'!D2563,'Team Data'!C:AC,25,FALSE),"")</f>
        <v/>
      </c>
    </row>
    <row r="2564" spans="5:19" x14ac:dyDescent="0.25">
      <c r="E2564" t="str">
        <f>IFERROR(VLOOKUP(D2564,'Team Data'!C:AB,4,FALSE),"")</f>
        <v/>
      </c>
      <c r="F2564" t="str">
        <f>IFERROR(VLOOKUP(D2564,'Team Data'!C:AB,5,FALSE),"")</f>
        <v/>
      </c>
      <c r="G2564" t="str">
        <f>IFERROR(VLOOKUP('OB Format'!D2564,'Team Data'!C:AB,17,FALSE),"")</f>
        <v/>
      </c>
      <c r="H2564" t="str">
        <f>IFERROR(VLOOKUP(D2564,'Team Data'!C:AB,7,FALSE),"")</f>
        <v/>
      </c>
      <c r="I2564" t="str">
        <f>IFERROR(VLOOKUP(D2564,'Team Data'!C:AB,14,FALSE),"")</f>
        <v/>
      </c>
      <c r="J2564" t="str">
        <f>IFERROR(VLOOKUP(D2564,'Team Data'!C:AB,8,FALSE),"")</f>
        <v/>
      </c>
      <c r="K2564" t="str">
        <f>IFERROR(VLOOKUP(D2564,'Team Data'!C:AB,9,FALSE),"")</f>
        <v/>
      </c>
      <c r="L2564" t="str">
        <f>IFERROR(VLOOKUP(D2564,'Team Data'!C:AB,10,FALSE),"")</f>
        <v/>
      </c>
      <c r="M2564" t="str">
        <f t="shared" si="80"/>
        <v/>
      </c>
      <c r="N2564" t="str">
        <f>IFERROR(VLOOKUP(D2564,'Team Data'!C:AB,23,FALSE),"")</f>
        <v/>
      </c>
      <c r="O2564" t="str">
        <f>IFERROR(VLOOKUP(D2564,'Team Data'!C:AB,22,FALSE),"")</f>
        <v/>
      </c>
      <c r="P2564" t="str">
        <f t="shared" si="81"/>
        <v/>
      </c>
      <c r="Q2564" t="str">
        <f>IFERROR(VLOOKUP(D2564,'Team Data'!C:AB,15,FALSE),"")</f>
        <v/>
      </c>
      <c r="R2564" t="str">
        <f>IFERROR(VLOOKUP('OB Format'!D2564,'Team Data'!C:AB,24,FALSE),"")</f>
        <v/>
      </c>
      <c r="S2564" t="str">
        <f>IFERROR(VLOOKUP('OB Format'!D2564,'Team Data'!C:AC,25,FALSE),"")</f>
        <v/>
      </c>
    </row>
    <row r="2565" spans="5:19" x14ac:dyDescent="0.25">
      <c r="E2565" t="str">
        <f>IFERROR(VLOOKUP(D2565,'Team Data'!C:AB,4,FALSE),"")</f>
        <v/>
      </c>
      <c r="F2565" t="str">
        <f>IFERROR(VLOOKUP(D2565,'Team Data'!C:AB,5,FALSE),"")</f>
        <v/>
      </c>
      <c r="G2565" t="str">
        <f>IFERROR(VLOOKUP('OB Format'!D2565,'Team Data'!C:AB,17,FALSE),"")</f>
        <v/>
      </c>
      <c r="H2565" t="str">
        <f>IFERROR(VLOOKUP(D2565,'Team Data'!C:AB,7,FALSE),"")</f>
        <v/>
      </c>
      <c r="I2565" t="str">
        <f>IFERROR(VLOOKUP(D2565,'Team Data'!C:AB,14,FALSE),"")</f>
        <v/>
      </c>
      <c r="J2565" t="str">
        <f>IFERROR(VLOOKUP(D2565,'Team Data'!C:AB,8,FALSE),"")</f>
        <v/>
      </c>
      <c r="K2565" t="str">
        <f>IFERROR(VLOOKUP(D2565,'Team Data'!C:AB,9,FALSE),"")</f>
        <v/>
      </c>
      <c r="L2565" t="str">
        <f>IFERROR(VLOOKUP(D2565,'Team Data'!C:AB,10,FALSE),"")</f>
        <v/>
      </c>
      <c r="M2565" t="str">
        <f t="shared" si="80"/>
        <v/>
      </c>
      <c r="N2565" t="str">
        <f>IFERROR(VLOOKUP(D2565,'Team Data'!C:AB,23,FALSE),"")</f>
        <v/>
      </c>
      <c r="O2565" t="str">
        <f>IFERROR(VLOOKUP(D2565,'Team Data'!C:AB,22,FALSE),"")</f>
        <v/>
      </c>
      <c r="P2565" t="str">
        <f t="shared" si="81"/>
        <v/>
      </c>
      <c r="Q2565" t="str">
        <f>IFERROR(VLOOKUP(D2565,'Team Data'!C:AB,15,FALSE),"")</f>
        <v/>
      </c>
      <c r="R2565" t="str">
        <f>IFERROR(VLOOKUP('OB Format'!D2565,'Team Data'!C:AB,24,FALSE),"")</f>
        <v/>
      </c>
      <c r="S2565" t="str">
        <f>IFERROR(VLOOKUP('OB Format'!D2565,'Team Data'!C:AC,25,FALSE),"")</f>
        <v/>
      </c>
    </row>
    <row r="2566" spans="5:19" x14ac:dyDescent="0.25">
      <c r="E2566" t="str">
        <f>IFERROR(VLOOKUP(D2566,'Team Data'!C:AB,4,FALSE),"")</f>
        <v/>
      </c>
      <c r="F2566" t="str">
        <f>IFERROR(VLOOKUP(D2566,'Team Data'!C:AB,5,FALSE),"")</f>
        <v/>
      </c>
      <c r="G2566" t="str">
        <f>IFERROR(VLOOKUP('OB Format'!D2566,'Team Data'!C:AB,17,FALSE),"")</f>
        <v/>
      </c>
      <c r="H2566" t="str">
        <f>IFERROR(VLOOKUP(D2566,'Team Data'!C:AB,7,FALSE),"")</f>
        <v/>
      </c>
      <c r="I2566" t="str">
        <f>IFERROR(VLOOKUP(D2566,'Team Data'!C:AB,14,FALSE),"")</f>
        <v/>
      </c>
      <c r="J2566" t="str">
        <f>IFERROR(VLOOKUP(D2566,'Team Data'!C:AB,8,FALSE),"")</f>
        <v/>
      </c>
      <c r="K2566" t="str">
        <f>IFERROR(VLOOKUP(D2566,'Team Data'!C:AB,9,FALSE),"")</f>
        <v/>
      </c>
      <c r="L2566" t="str">
        <f>IFERROR(VLOOKUP(D2566,'Team Data'!C:AB,10,FALSE),"")</f>
        <v/>
      </c>
      <c r="M2566" t="str">
        <f t="shared" si="80"/>
        <v/>
      </c>
      <c r="N2566" t="str">
        <f>IFERROR(VLOOKUP(D2566,'Team Data'!C:AB,23,FALSE),"")</f>
        <v/>
      </c>
      <c r="O2566" t="str">
        <f>IFERROR(VLOOKUP(D2566,'Team Data'!C:AB,22,FALSE),"")</f>
        <v/>
      </c>
      <c r="P2566" t="str">
        <f t="shared" si="81"/>
        <v/>
      </c>
      <c r="Q2566" t="str">
        <f>IFERROR(VLOOKUP(D2566,'Team Data'!C:AB,15,FALSE),"")</f>
        <v/>
      </c>
      <c r="R2566" t="str">
        <f>IFERROR(VLOOKUP('OB Format'!D2566,'Team Data'!C:AB,24,FALSE),"")</f>
        <v/>
      </c>
      <c r="S2566" t="str">
        <f>IFERROR(VLOOKUP('OB Format'!D2566,'Team Data'!C:AC,25,FALSE),"")</f>
        <v/>
      </c>
    </row>
    <row r="2567" spans="5:19" x14ac:dyDescent="0.25">
      <c r="E2567" t="str">
        <f>IFERROR(VLOOKUP(D2567,'Team Data'!C:AB,4,FALSE),"")</f>
        <v/>
      </c>
      <c r="F2567" t="str">
        <f>IFERROR(VLOOKUP(D2567,'Team Data'!C:AB,5,FALSE),"")</f>
        <v/>
      </c>
      <c r="G2567" t="str">
        <f>IFERROR(VLOOKUP('OB Format'!D2567,'Team Data'!C:AB,17,FALSE),"")</f>
        <v/>
      </c>
      <c r="H2567" t="str">
        <f>IFERROR(VLOOKUP(D2567,'Team Data'!C:AB,7,FALSE),"")</f>
        <v/>
      </c>
      <c r="I2567" t="str">
        <f>IFERROR(VLOOKUP(D2567,'Team Data'!C:AB,14,FALSE),"")</f>
        <v/>
      </c>
      <c r="J2567" t="str">
        <f>IFERROR(VLOOKUP(D2567,'Team Data'!C:AB,8,FALSE),"")</f>
        <v/>
      </c>
      <c r="K2567" t="str">
        <f>IFERROR(VLOOKUP(D2567,'Team Data'!C:AB,9,FALSE),"")</f>
        <v/>
      </c>
      <c r="L2567" t="str">
        <f>IFERROR(VLOOKUP(D2567,'Team Data'!C:AB,10,FALSE),"")</f>
        <v/>
      </c>
      <c r="M2567" t="str">
        <f t="shared" si="80"/>
        <v/>
      </c>
      <c r="N2567" t="str">
        <f>IFERROR(VLOOKUP(D2567,'Team Data'!C:AB,23,FALSE),"")</f>
        <v/>
      </c>
      <c r="O2567" t="str">
        <f>IFERROR(VLOOKUP(D2567,'Team Data'!C:AB,22,FALSE),"")</f>
        <v/>
      </c>
      <c r="P2567" t="str">
        <f t="shared" si="81"/>
        <v/>
      </c>
      <c r="Q2567" t="str">
        <f>IFERROR(VLOOKUP(D2567,'Team Data'!C:AB,15,FALSE),"")</f>
        <v/>
      </c>
      <c r="R2567" t="str">
        <f>IFERROR(VLOOKUP('OB Format'!D2567,'Team Data'!C:AB,24,FALSE),"")</f>
        <v/>
      </c>
      <c r="S2567" t="str">
        <f>IFERROR(VLOOKUP('OB Format'!D2567,'Team Data'!C:AC,25,FALSE),"")</f>
        <v/>
      </c>
    </row>
    <row r="2568" spans="5:19" x14ac:dyDescent="0.25">
      <c r="E2568" t="str">
        <f>IFERROR(VLOOKUP(D2568,'Team Data'!C:AB,4,FALSE),"")</f>
        <v/>
      </c>
      <c r="F2568" t="str">
        <f>IFERROR(VLOOKUP(D2568,'Team Data'!C:AB,5,FALSE),"")</f>
        <v/>
      </c>
      <c r="G2568" t="str">
        <f>IFERROR(VLOOKUP('OB Format'!D2568,'Team Data'!C:AB,17,FALSE),"")</f>
        <v/>
      </c>
      <c r="H2568" t="str">
        <f>IFERROR(VLOOKUP(D2568,'Team Data'!C:AB,7,FALSE),"")</f>
        <v/>
      </c>
      <c r="I2568" t="str">
        <f>IFERROR(VLOOKUP(D2568,'Team Data'!C:AB,14,FALSE),"")</f>
        <v/>
      </c>
      <c r="J2568" t="str">
        <f>IFERROR(VLOOKUP(D2568,'Team Data'!C:AB,8,FALSE),"")</f>
        <v/>
      </c>
      <c r="K2568" t="str">
        <f>IFERROR(VLOOKUP(D2568,'Team Data'!C:AB,9,FALSE),"")</f>
        <v/>
      </c>
      <c r="L2568" t="str">
        <f>IFERROR(VLOOKUP(D2568,'Team Data'!C:AB,10,FALSE),"")</f>
        <v/>
      </c>
      <c r="M2568" t="str">
        <f t="shared" si="80"/>
        <v/>
      </c>
      <c r="N2568" t="str">
        <f>IFERROR(VLOOKUP(D2568,'Team Data'!C:AB,23,FALSE),"")</f>
        <v/>
      </c>
      <c r="O2568" t="str">
        <f>IFERROR(VLOOKUP(D2568,'Team Data'!C:AB,22,FALSE),"")</f>
        <v/>
      </c>
      <c r="P2568" t="str">
        <f t="shared" si="81"/>
        <v/>
      </c>
      <c r="Q2568" t="str">
        <f>IFERROR(VLOOKUP(D2568,'Team Data'!C:AB,15,FALSE),"")</f>
        <v/>
      </c>
      <c r="R2568" t="str">
        <f>IFERROR(VLOOKUP('OB Format'!D2568,'Team Data'!C:AB,24,FALSE),"")</f>
        <v/>
      </c>
      <c r="S2568" t="str">
        <f>IFERROR(VLOOKUP('OB Format'!D2568,'Team Data'!C:AC,25,FALSE),"")</f>
        <v/>
      </c>
    </row>
    <row r="2569" spans="5:19" x14ac:dyDescent="0.25">
      <c r="E2569" t="str">
        <f>IFERROR(VLOOKUP(D2569,'Team Data'!C:AB,4,FALSE),"")</f>
        <v/>
      </c>
      <c r="F2569" t="str">
        <f>IFERROR(VLOOKUP(D2569,'Team Data'!C:AB,5,FALSE),"")</f>
        <v/>
      </c>
      <c r="G2569" t="str">
        <f>IFERROR(VLOOKUP('OB Format'!D2569,'Team Data'!C:AB,17,FALSE),"")</f>
        <v/>
      </c>
      <c r="H2569" t="str">
        <f>IFERROR(VLOOKUP(D2569,'Team Data'!C:AB,7,FALSE),"")</f>
        <v/>
      </c>
      <c r="I2569" t="str">
        <f>IFERROR(VLOOKUP(D2569,'Team Data'!C:AB,14,FALSE),"")</f>
        <v/>
      </c>
      <c r="J2569" t="str">
        <f>IFERROR(VLOOKUP(D2569,'Team Data'!C:AB,8,FALSE),"")</f>
        <v/>
      </c>
      <c r="K2569" t="str">
        <f>IFERROR(VLOOKUP(D2569,'Team Data'!C:AB,9,FALSE),"")</f>
        <v/>
      </c>
      <c r="L2569" t="str">
        <f>IFERROR(VLOOKUP(D2569,'Team Data'!C:AB,10,FALSE),"")</f>
        <v/>
      </c>
      <c r="M2569" t="str">
        <f t="shared" si="80"/>
        <v/>
      </c>
      <c r="N2569" t="str">
        <f>IFERROR(VLOOKUP(D2569,'Team Data'!C:AB,23,FALSE),"")</f>
        <v/>
      </c>
      <c r="O2569" t="str">
        <f>IFERROR(VLOOKUP(D2569,'Team Data'!C:AB,22,FALSE),"")</f>
        <v/>
      </c>
      <c r="P2569" t="str">
        <f t="shared" si="81"/>
        <v/>
      </c>
      <c r="Q2569" t="str">
        <f>IFERROR(VLOOKUP(D2569,'Team Data'!C:AB,15,FALSE),"")</f>
        <v/>
      </c>
      <c r="R2569" t="str">
        <f>IFERROR(VLOOKUP('OB Format'!D2569,'Team Data'!C:AB,24,FALSE),"")</f>
        <v/>
      </c>
      <c r="S2569" t="str">
        <f>IFERROR(VLOOKUP('OB Format'!D2569,'Team Data'!C:AC,25,FALSE),"")</f>
        <v/>
      </c>
    </row>
    <row r="2570" spans="5:19" x14ac:dyDescent="0.25">
      <c r="E2570" t="str">
        <f>IFERROR(VLOOKUP(D2570,'Team Data'!C:AB,4,FALSE),"")</f>
        <v/>
      </c>
      <c r="F2570" t="str">
        <f>IFERROR(VLOOKUP(D2570,'Team Data'!C:AB,5,FALSE),"")</f>
        <v/>
      </c>
      <c r="G2570" t="str">
        <f>IFERROR(VLOOKUP('OB Format'!D2570,'Team Data'!C:AB,17,FALSE),"")</f>
        <v/>
      </c>
      <c r="H2570" t="str">
        <f>IFERROR(VLOOKUP(D2570,'Team Data'!C:AB,7,FALSE),"")</f>
        <v/>
      </c>
      <c r="I2570" t="str">
        <f>IFERROR(VLOOKUP(D2570,'Team Data'!C:AB,14,FALSE),"")</f>
        <v/>
      </c>
      <c r="J2570" t="str">
        <f>IFERROR(VLOOKUP(D2570,'Team Data'!C:AB,8,FALSE),"")</f>
        <v/>
      </c>
      <c r="K2570" t="str">
        <f>IFERROR(VLOOKUP(D2570,'Team Data'!C:AB,9,FALSE),"")</f>
        <v/>
      </c>
      <c r="L2570" t="str">
        <f>IFERROR(VLOOKUP(D2570,'Team Data'!C:AB,10,FALSE),"")</f>
        <v/>
      </c>
      <c r="M2570" t="str">
        <f t="shared" si="80"/>
        <v/>
      </c>
      <c r="N2570" t="str">
        <f>IFERROR(VLOOKUP(D2570,'Team Data'!C:AB,23,FALSE),"")</f>
        <v/>
      </c>
      <c r="O2570" t="str">
        <f>IFERROR(VLOOKUP(D2570,'Team Data'!C:AB,22,FALSE),"")</f>
        <v/>
      </c>
      <c r="P2570" t="str">
        <f t="shared" si="81"/>
        <v/>
      </c>
      <c r="Q2570" t="str">
        <f>IFERROR(VLOOKUP(D2570,'Team Data'!C:AB,15,FALSE),"")</f>
        <v/>
      </c>
      <c r="R2570" t="str">
        <f>IFERROR(VLOOKUP('OB Format'!D2570,'Team Data'!C:AB,24,FALSE),"")</f>
        <v/>
      </c>
      <c r="S2570" t="str">
        <f>IFERROR(VLOOKUP('OB Format'!D2570,'Team Data'!C:AC,25,FALSE),"")</f>
        <v/>
      </c>
    </row>
    <row r="2571" spans="5:19" x14ac:dyDescent="0.25">
      <c r="E2571" t="str">
        <f>IFERROR(VLOOKUP(D2571,'Team Data'!C:AB,4,FALSE),"")</f>
        <v/>
      </c>
      <c r="F2571" t="str">
        <f>IFERROR(VLOOKUP(D2571,'Team Data'!C:AB,5,FALSE),"")</f>
        <v/>
      </c>
      <c r="G2571" t="str">
        <f>IFERROR(VLOOKUP('OB Format'!D2571,'Team Data'!C:AB,17,FALSE),"")</f>
        <v/>
      </c>
      <c r="H2571" t="str">
        <f>IFERROR(VLOOKUP(D2571,'Team Data'!C:AB,7,FALSE),"")</f>
        <v/>
      </c>
      <c r="I2571" t="str">
        <f>IFERROR(VLOOKUP(D2571,'Team Data'!C:AB,14,FALSE),"")</f>
        <v/>
      </c>
      <c r="J2571" t="str">
        <f>IFERROR(VLOOKUP(D2571,'Team Data'!C:AB,8,FALSE),"")</f>
        <v/>
      </c>
      <c r="K2571" t="str">
        <f>IFERROR(VLOOKUP(D2571,'Team Data'!C:AB,9,FALSE),"")</f>
        <v/>
      </c>
      <c r="L2571" t="str">
        <f>IFERROR(VLOOKUP(D2571,'Team Data'!C:AB,10,FALSE),"")</f>
        <v/>
      </c>
      <c r="M2571" t="str">
        <f t="shared" si="80"/>
        <v/>
      </c>
      <c r="N2571" t="str">
        <f>IFERROR(VLOOKUP(D2571,'Team Data'!C:AB,23,FALSE),"")</f>
        <v/>
      </c>
      <c r="O2571" t="str">
        <f>IFERROR(VLOOKUP(D2571,'Team Data'!C:AB,22,FALSE),"")</f>
        <v/>
      </c>
      <c r="P2571" t="str">
        <f t="shared" si="81"/>
        <v/>
      </c>
      <c r="Q2571" t="str">
        <f>IFERROR(VLOOKUP(D2571,'Team Data'!C:AB,15,FALSE),"")</f>
        <v/>
      </c>
      <c r="R2571" t="str">
        <f>IFERROR(VLOOKUP('OB Format'!D2571,'Team Data'!C:AB,24,FALSE),"")</f>
        <v/>
      </c>
      <c r="S2571" t="str">
        <f>IFERROR(VLOOKUP('OB Format'!D2571,'Team Data'!C:AC,25,FALSE),"")</f>
        <v/>
      </c>
    </row>
    <row r="2572" spans="5:19" x14ac:dyDescent="0.25">
      <c r="E2572" t="str">
        <f>IFERROR(VLOOKUP(D2572,'Team Data'!C:AB,4,FALSE),"")</f>
        <v/>
      </c>
      <c r="F2572" t="str">
        <f>IFERROR(VLOOKUP(D2572,'Team Data'!C:AB,5,FALSE),"")</f>
        <v/>
      </c>
      <c r="G2572" t="str">
        <f>IFERROR(VLOOKUP('OB Format'!D2572,'Team Data'!C:AB,17,FALSE),"")</f>
        <v/>
      </c>
      <c r="H2572" t="str">
        <f>IFERROR(VLOOKUP(D2572,'Team Data'!C:AB,7,FALSE),"")</f>
        <v/>
      </c>
      <c r="I2572" t="str">
        <f>IFERROR(VLOOKUP(D2572,'Team Data'!C:AB,14,FALSE),"")</f>
        <v/>
      </c>
      <c r="J2572" t="str">
        <f>IFERROR(VLOOKUP(D2572,'Team Data'!C:AB,8,FALSE),"")</f>
        <v/>
      </c>
      <c r="K2572" t="str">
        <f>IFERROR(VLOOKUP(D2572,'Team Data'!C:AB,9,FALSE),"")</f>
        <v/>
      </c>
      <c r="L2572" t="str">
        <f>IFERROR(VLOOKUP(D2572,'Team Data'!C:AB,10,FALSE),"")</f>
        <v/>
      </c>
      <c r="M2572" t="str">
        <f t="shared" si="80"/>
        <v/>
      </c>
      <c r="N2572" t="str">
        <f>IFERROR(VLOOKUP(D2572,'Team Data'!C:AB,23,FALSE),"")</f>
        <v/>
      </c>
      <c r="O2572" t="str">
        <f>IFERROR(VLOOKUP(D2572,'Team Data'!C:AB,22,FALSE),"")</f>
        <v/>
      </c>
      <c r="P2572" t="str">
        <f t="shared" si="81"/>
        <v/>
      </c>
      <c r="Q2572" t="str">
        <f>IFERROR(VLOOKUP(D2572,'Team Data'!C:AB,15,FALSE),"")</f>
        <v/>
      </c>
      <c r="R2572" t="str">
        <f>IFERROR(VLOOKUP('OB Format'!D2572,'Team Data'!C:AB,24,FALSE),"")</f>
        <v/>
      </c>
      <c r="S2572" t="str">
        <f>IFERROR(VLOOKUP('OB Format'!D2572,'Team Data'!C:AC,25,FALSE),"")</f>
        <v/>
      </c>
    </row>
    <row r="2573" spans="5:19" x14ac:dyDescent="0.25">
      <c r="E2573" t="str">
        <f>IFERROR(VLOOKUP(D2573,'Team Data'!C:AB,4,FALSE),"")</f>
        <v/>
      </c>
      <c r="F2573" t="str">
        <f>IFERROR(VLOOKUP(D2573,'Team Data'!C:AB,5,FALSE),"")</f>
        <v/>
      </c>
      <c r="G2573" t="str">
        <f>IFERROR(VLOOKUP('OB Format'!D2573,'Team Data'!C:AB,17,FALSE),"")</f>
        <v/>
      </c>
      <c r="H2573" t="str">
        <f>IFERROR(VLOOKUP(D2573,'Team Data'!C:AB,7,FALSE),"")</f>
        <v/>
      </c>
      <c r="I2573" t="str">
        <f>IFERROR(VLOOKUP(D2573,'Team Data'!C:AB,14,FALSE),"")</f>
        <v/>
      </c>
      <c r="J2573" t="str">
        <f>IFERROR(VLOOKUP(D2573,'Team Data'!C:AB,8,FALSE),"")</f>
        <v/>
      </c>
      <c r="K2573" t="str">
        <f>IFERROR(VLOOKUP(D2573,'Team Data'!C:AB,9,FALSE),"")</f>
        <v/>
      </c>
      <c r="L2573" t="str">
        <f>IFERROR(VLOOKUP(D2573,'Team Data'!C:AB,10,FALSE),"")</f>
        <v/>
      </c>
      <c r="M2573" t="str">
        <f t="shared" ref="M2573:M2636" si="82">IFERROR(H2573-(J2573+L2573+K2573),"")</f>
        <v/>
      </c>
      <c r="N2573" t="str">
        <f>IFERROR(VLOOKUP(D2573,'Team Data'!C:AB,23,FALSE),"")</f>
        <v/>
      </c>
      <c r="O2573" t="str">
        <f>IFERROR(VLOOKUP(D2573,'Team Data'!C:AB,22,FALSE),"")</f>
        <v/>
      </c>
      <c r="P2573" t="str">
        <f t="shared" ref="P2573:P2636" si="83">IFERROR(E2573-(H2573+N2573+Q2573+I2573+O2573),"")</f>
        <v/>
      </c>
      <c r="Q2573" t="str">
        <f>IFERROR(VLOOKUP(D2573,'Team Data'!C:AB,15,FALSE),"")</f>
        <v/>
      </c>
      <c r="R2573" t="str">
        <f>IFERROR(VLOOKUP('OB Format'!D2573,'Team Data'!C:AB,24,FALSE),"")</f>
        <v/>
      </c>
      <c r="S2573" t="str">
        <f>IFERROR(VLOOKUP('OB Format'!D2573,'Team Data'!C:AC,25,FALSE),"")</f>
        <v/>
      </c>
    </row>
    <row r="2574" spans="5:19" x14ac:dyDescent="0.25">
      <c r="E2574" t="str">
        <f>IFERROR(VLOOKUP(D2574,'Team Data'!C:AB,4,FALSE),"")</f>
        <v/>
      </c>
      <c r="F2574" t="str">
        <f>IFERROR(VLOOKUP(D2574,'Team Data'!C:AB,5,FALSE),"")</f>
        <v/>
      </c>
      <c r="G2574" t="str">
        <f>IFERROR(VLOOKUP('OB Format'!D2574,'Team Data'!C:AB,17,FALSE),"")</f>
        <v/>
      </c>
      <c r="H2574" t="str">
        <f>IFERROR(VLOOKUP(D2574,'Team Data'!C:AB,7,FALSE),"")</f>
        <v/>
      </c>
      <c r="I2574" t="str">
        <f>IFERROR(VLOOKUP(D2574,'Team Data'!C:AB,14,FALSE),"")</f>
        <v/>
      </c>
      <c r="J2574" t="str">
        <f>IFERROR(VLOOKUP(D2574,'Team Data'!C:AB,8,FALSE),"")</f>
        <v/>
      </c>
      <c r="K2574" t="str">
        <f>IFERROR(VLOOKUP(D2574,'Team Data'!C:AB,9,FALSE),"")</f>
        <v/>
      </c>
      <c r="L2574" t="str">
        <f>IFERROR(VLOOKUP(D2574,'Team Data'!C:AB,10,FALSE),"")</f>
        <v/>
      </c>
      <c r="M2574" t="str">
        <f t="shared" si="82"/>
        <v/>
      </c>
      <c r="N2574" t="str">
        <f>IFERROR(VLOOKUP(D2574,'Team Data'!C:AB,23,FALSE),"")</f>
        <v/>
      </c>
      <c r="O2574" t="str">
        <f>IFERROR(VLOOKUP(D2574,'Team Data'!C:AB,22,FALSE),"")</f>
        <v/>
      </c>
      <c r="P2574" t="str">
        <f t="shared" si="83"/>
        <v/>
      </c>
      <c r="Q2574" t="str">
        <f>IFERROR(VLOOKUP(D2574,'Team Data'!C:AB,15,FALSE),"")</f>
        <v/>
      </c>
      <c r="R2574" t="str">
        <f>IFERROR(VLOOKUP('OB Format'!D2574,'Team Data'!C:AB,24,FALSE),"")</f>
        <v/>
      </c>
      <c r="S2574" t="str">
        <f>IFERROR(VLOOKUP('OB Format'!D2574,'Team Data'!C:AC,25,FALSE),"")</f>
        <v/>
      </c>
    </row>
    <row r="2575" spans="5:19" x14ac:dyDescent="0.25">
      <c r="E2575" t="str">
        <f>IFERROR(VLOOKUP(D2575,'Team Data'!C:AB,4,FALSE),"")</f>
        <v/>
      </c>
      <c r="F2575" t="str">
        <f>IFERROR(VLOOKUP(D2575,'Team Data'!C:AB,5,FALSE),"")</f>
        <v/>
      </c>
      <c r="G2575" t="str">
        <f>IFERROR(VLOOKUP('OB Format'!D2575,'Team Data'!C:AB,17,FALSE),"")</f>
        <v/>
      </c>
      <c r="H2575" t="str">
        <f>IFERROR(VLOOKUP(D2575,'Team Data'!C:AB,7,FALSE),"")</f>
        <v/>
      </c>
      <c r="I2575" t="str">
        <f>IFERROR(VLOOKUP(D2575,'Team Data'!C:AB,14,FALSE),"")</f>
        <v/>
      </c>
      <c r="J2575" t="str">
        <f>IFERROR(VLOOKUP(D2575,'Team Data'!C:AB,8,FALSE),"")</f>
        <v/>
      </c>
      <c r="K2575" t="str">
        <f>IFERROR(VLOOKUP(D2575,'Team Data'!C:AB,9,FALSE),"")</f>
        <v/>
      </c>
      <c r="L2575" t="str">
        <f>IFERROR(VLOOKUP(D2575,'Team Data'!C:AB,10,FALSE),"")</f>
        <v/>
      </c>
      <c r="M2575" t="str">
        <f t="shared" si="82"/>
        <v/>
      </c>
      <c r="N2575" t="str">
        <f>IFERROR(VLOOKUP(D2575,'Team Data'!C:AB,23,FALSE),"")</f>
        <v/>
      </c>
      <c r="O2575" t="str">
        <f>IFERROR(VLOOKUP(D2575,'Team Data'!C:AB,22,FALSE),"")</f>
        <v/>
      </c>
      <c r="P2575" t="str">
        <f t="shared" si="83"/>
        <v/>
      </c>
      <c r="Q2575" t="str">
        <f>IFERROR(VLOOKUP(D2575,'Team Data'!C:AB,15,FALSE),"")</f>
        <v/>
      </c>
      <c r="R2575" t="str">
        <f>IFERROR(VLOOKUP('OB Format'!D2575,'Team Data'!C:AB,24,FALSE),"")</f>
        <v/>
      </c>
      <c r="S2575" t="str">
        <f>IFERROR(VLOOKUP('OB Format'!D2575,'Team Data'!C:AC,25,FALSE),"")</f>
        <v/>
      </c>
    </row>
    <row r="2576" spans="5:19" x14ac:dyDescent="0.25">
      <c r="E2576" t="str">
        <f>IFERROR(VLOOKUP(D2576,'Team Data'!C:AB,4,FALSE),"")</f>
        <v/>
      </c>
      <c r="F2576" t="str">
        <f>IFERROR(VLOOKUP(D2576,'Team Data'!C:AB,5,FALSE),"")</f>
        <v/>
      </c>
      <c r="G2576" t="str">
        <f>IFERROR(VLOOKUP('OB Format'!D2576,'Team Data'!C:AB,17,FALSE),"")</f>
        <v/>
      </c>
      <c r="H2576" t="str">
        <f>IFERROR(VLOOKUP(D2576,'Team Data'!C:AB,7,FALSE),"")</f>
        <v/>
      </c>
      <c r="I2576" t="str">
        <f>IFERROR(VLOOKUP(D2576,'Team Data'!C:AB,14,FALSE),"")</f>
        <v/>
      </c>
      <c r="J2576" t="str">
        <f>IFERROR(VLOOKUP(D2576,'Team Data'!C:AB,8,FALSE),"")</f>
        <v/>
      </c>
      <c r="K2576" t="str">
        <f>IFERROR(VLOOKUP(D2576,'Team Data'!C:AB,9,FALSE),"")</f>
        <v/>
      </c>
      <c r="L2576" t="str">
        <f>IFERROR(VLOOKUP(D2576,'Team Data'!C:AB,10,FALSE),"")</f>
        <v/>
      </c>
      <c r="M2576" t="str">
        <f t="shared" si="82"/>
        <v/>
      </c>
      <c r="N2576" t="str">
        <f>IFERROR(VLOOKUP(D2576,'Team Data'!C:AB,23,FALSE),"")</f>
        <v/>
      </c>
      <c r="O2576" t="str">
        <f>IFERROR(VLOOKUP(D2576,'Team Data'!C:AB,22,FALSE),"")</f>
        <v/>
      </c>
      <c r="P2576" t="str">
        <f t="shared" si="83"/>
        <v/>
      </c>
      <c r="Q2576" t="str">
        <f>IFERROR(VLOOKUP(D2576,'Team Data'!C:AB,15,FALSE),"")</f>
        <v/>
      </c>
      <c r="R2576" t="str">
        <f>IFERROR(VLOOKUP('OB Format'!D2576,'Team Data'!C:AB,24,FALSE),"")</f>
        <v/>
      </c>
      <c r="S2576" t="str">
        <f>IFERROR(VLOOKUP('OB Format'!D2576,'Team Data'!C:AC,25,FALSE),"")</f>
        <v/>
      </c>
    </row>
    <row r="2577" spans="5:19" x14ac:dyDescent="0.25">
      <c r="E2577" t="str">
        <f>IFERROR(VLOOKUP(D2577,'Team Data'!C:AB,4,FALSE),"")</f>
        <v/>
      </c>
      <c r="F2577" t="str">
        <f>IFERROR(VLOOKUP(D2577,'Team Data'!C:AB,5,FALSE),"")</f>
        <v/>
      </c>
      <c r="G2577" t="str">
        <f>IFERROR(VLOOKUP('OB Format'!D2577,'Team Data'!C:AB,17,FALSE),"")</f>
        <v/>
      </c>
      <c r="H2577" t="str">
        <f>IFERROR(VLOOKUP(D2577,'Team Data'!C:AB,7,FALSE),"")</f>
        <v/>
      </c>
      <c r="I2577" t="str">
        <f>IFERROR(VLOOKUP(D2577,'Team Data'!C:AB,14,FALSE),"")</f>
        <v/>
      </c>
      <c r="J2577" t="str">
        <f>IFERROR(VLOOKUP(D2577,'Team Data'!C:AB,8,FALSE),"")</f>
        <v/>
      </c>
      <c r="K2577" t="str">
        <f>IFERROR(VLOOKUP(D2577,'Team Data'!C:AB,9,FALSE),"")</f>
        <v/>
      </c>
      <c r="L2577" t="str">
        <f>IFERROR(VLOOKUP(D2577,'Team Data'!C:AB,10,FALSE),"")</f>
        <v/>
      </c>
      <c r="M2577" t="str">
        <f t="shared" si="82"/>
        <v/>
      </c>
      <c r="N2577" t="str">
        <f>IFERROR(VLOOKUP(D2577,'Team Data'!C:AB,23,FALSE),"")</f>
        <v/>
      </c>
      <c r="O2577" t="str">
        <f>IFERROR(VLOOKUP(D2577,'Team Data'!C:AB,22,FALSE),"")</f>
        <v/>
      </c>
      <c r="P2577" t="str">
        <f t="shared" si="83"/>
        <v/>
      </c>
      <c r="Q2577" t="str">
        <f>IFERROR(VLOOKUP(D2577,'Team Data'!C:AB,15,FALSE),"")</f>
        <v/>
      </c>
      <c r="R2577" t="str">
        <f>IFERROR(VLOOKUP('OB Format'!D2577,'Team Data'!C:AB,24,FALSE),"")</f>
        <v/>
      </c>
      <c r="S2577" t="str">
        <f>IFERROR(VLOOKUP('OB Format'!D2577,'Team Data'!C:AC,25,FALSE),"")</f>
        <v/>
      </c>
    </row>
    <row r="2578" spans="5:19" x14ac:dyDescent="0.25">
      <c r="E2578" t="str">
        <f>IFERROR(VLOOKUP(D2578,'Team Data'!C:AB,4,FALSE),"")</f>
        <v/>
      </c>
      <c r="F2578" t="str">
        <f>IFERROR(VLOOKUP(D2578,'Team Data'!C:AB,5,FALSE),"")</f>
        <v/>
      </c>
      <c r="G2578" t="str">
        <f>IFERROR(VLOOKUP('OB Format'!D2578,'Team Data'!C:AB,17,FALSE),"")</f>
        <v/>
      </c>
      <c r="H2578" t="str">
        <f>IFERROR(VLOOKUP(D2578,'Team Data'!C:AB,7,FALSE),"")</f>
        <v/>
      </c>
      <c r="I2578" t="str">
        <f>IFERROR(VLOOKUP(D2578,'Team Data'!C:AB,14,FALSE),"")</f>
        <v/>
      </c>
      <c r="J2578" t="str">
        <f>IFERROR(VLOOKUP(D2578,'Team Data'!C:AB,8,FALSE),"")</f>
        <v/>
      </c>
      <c r="K2578" t="str">
        <f>IFERROR(VLOOKUP(D2578,'Team Data'!C:AB,9,FALSE),"")</f>
        <v/>
      </c>
      <c r="L2578" t="str">
        <f>IFERROR(VLOOKUP(D2578,'Team Data'!C:AB,10,FALSE),"")</f>
        <v/>
      </c>
      <c r="M2578" t="str">
        <f t="shared" si="82"/>
        <v/>
      </c>
      <c r="N2578" t="str">
        <f>IFERROR(VLOOKUP(D2578,'Team Data'!C:AB,23,FALSE),"")</f>
        <v/>
      </c>
      <c r="O2578" t="str">
        <f>IFERROR(VLOOKUP(D2578,'Team Data'!C:AB,22,FALSE),"")</f>
        <v/>
      </c>
      <c r="P2578" t="str">
        <f t="shared" si="83"/>
        <v/>
      </c>
      <c r="Q2578" t="str">
        <f>IFERROR(VLOOKUP(D2578,'Team Data'!C:AB,15,FALSE),"")</f>
        <v/>
      </c>
      <c r="R2578" t="str">
        <f>IFERROR(VLOOKUP('OB Format'!D2578,'Team Data'!C:AB,24,FALSE),"")</f>
        <v/>
      </c>
      <c r="S2578" t="str">
        <f>IFERROR(VLOOKUP('OB Format'!D2578,'Team Data'!C:AC,25,FALSE),"")</f>
        <v/>
      </c>
    </row>
    <row r="2579" spans="5:19" x14ac:dyDescent="0.25">
      <c r="E2579" t="str">
        <f>IFERROR(VLOOKUP(D2579,'Team Data'!C:AB,4,FALSE),"")</f>
        <v/>
      </c>
      <c r="F2579" t="str">
        <f>IFERROR(VLOOKUP(D2579,'Team Data'!C:AB,5,FALSE),"")</f>
        <v/>
      </c>
      <c r="G2579" t="str">
        <f>IFERROR(VLOOKUP('OB Format'!D2579,'Team Data'!C:AB,17,FALSE),"")</f>
        <v/>
      </c>
      <c r="H2579" t="str">
        <f>IFERROR(VLOOKUP(D2579,'Team Data'!C:AB,7,FALSE),"")</f>
        <v/>
      </c>
      <c r="I2579" t="str">
        <f>IFERROR(VLOOKUP(D2579,'Team Data'!C:AB,14,FALSE),"")</f>
        <v/>
      </c>
      <c r="J2579" t="str">
        <f>IFERROR(VLOOKUP(D2579,'Team Data'!C:AB,8,FALSE),"")</f>
        <v/>
      </c>
      <c r="K2579" t="str">
        <f>IFERROR(VLOOKUP(D2579,'Team Data'!C:AB,9,FALSE),"")</f>
        <v/>
      </c>
      <c r="L2579" t="str">
        <f>IFERROR(VLOOKUP(D2579,'Team Data'!C:AB,10,FALSE),"")</f>
        <v/>
      </c>
      <c r="M2579" t="str">
        <f t="shared" si="82"/>
        <v/>
      </c>
      <c r="N2579" t="str">
        <f>IFERROR(VLOOKUP(D2579,'Team Data'!C:AB,23,FALSE),"")</f>
        <v/>
      </c>
      <c r="O2579" t="str">
        <f>IFERROR(VLOOKUP(D2579,'Team Data'!C:AB,22,FALSE),"")</f>
        <v/>
      </c>
      <c r="P2579" t="str">
        <f t="shared" si="83"/>
        <v/>
      </c>
      <c r="Q2579" t="str">
        <f>IFERROR(VLOOKUP(D2579,'Team Data'!C:AB,15,FALSE),"")</f>
        <v/>
      </c>
      <c r="R2579" t="str">
        <f>IFERROR(VLOOKUP('OB Format'!D2579,'Team Data'!C:AB,24,FALSE),"")</f>
        <v/>
      </c>
      <c r="S2579" t="str">
        <f>IFERROR(VLOOKUP('OB Format'!D2579,'Team Data'!C:AC,25,FALSE),"")</f>
        <v/>
      </c>
    </row>
    <row r="2580" spans="5:19" x14ac:dyDescent="0.25">
      <c r="E2580" t="str">
        <f>IFERROR(VLOOKUP(D2580,'Team Data'!C:AB,4,FALSE),"")</f>
        <v/>
      </c>
      <c r="F2580" t="str">
        <f>IFERROR(VLOOKUP(D2580,'Team Data'!C:AB,5,FALSE),"")</f>
        <v/>
      </c>
      <c r="G2580" t="str">
        <f>IFERROR(VLOOKUP('OB Format'!D2580,'Team Data'!C:AB,17,FALSE),"")</f>
        <v/>
      </c>
      <c r="H2580" t="str">
        <f>IFERROR(VLOOKUP(D2580,'Team Data'!C:AB,7,FALSE),"")</f>
        <v/>
      </c>
      <c r="I2580" t="str">
        <f>IFERROR(VLOOKUP(D2580,'Team Data'!C:AB,14,FALSE),"")</f>
        <v/>
      </c>
      <c r="J2580" t="str">
        <f>IFERROR(VLOOKUP(D2580,'Team Data'!C:AB,8,FALSE),"")</f>
        <v/>
      </c>
      <c r="K2580" t="str">
        <f>IFERROR(VLOOKUP(D2580,'Team Data'!C:AB,9,FALSE),"")</f>
        <v/>
      </c>
      <c r="L2580" t="str">
        <f>IFERROR(VLOOKUP(D2580,'Team Data'!C:AB,10,FALSE),"")</f>
        <v/>
      </c>
      <c r="M2580" t="str">
        <f t="shared" si="82"/>
        <v/>
      </c>
      <c r="N2580" t="str">
        <f>IFERROR(VLOOKUP(D2580,'Team Data'!C:AB,23,FALSE),"")</f>
        <v/>
      </c>
      <c r="O2580" t="str">
        <f>IFERROR(VLOOKUP(D2580,'Team Data'!C:AB,22,FALSE),"")</f>
        <v/>
      </c>
      <c r="P2580" t="str">
        <f t="shared" si="83"/>
        <v/>
      </c>
      <c r="Q2580" t="str">
        <f>IFERROR(VLOOKUP(D2580,'Team Data'!C:AB,15,FALSE),"")</f>
        <v/>
      </c>
      <c r="R2580" t="str">
        <f>IFERROR(VLOOKUP('OB Format'!D2580,'Team Data'!C:AB,24,FALSE),"")</f>
        <v/>
      </c>
      <c r="S2580" t="str">
        <f>IFERROR(VLOOKUP('OB Format'!D2580,'Team Data'!C:AC,25,FALSE),"")</f>
        <v/>
      </c>
    </row>
    <row r="2581" spans="5:19" x14ac:dyDescent="0.25">
      <c r="E2581" t="str">
        <f>IFERROR(VLOOKUP(D2581,'Team Data'!C:AB,4,FALSE),"")</f>
        <v/>
      </c>
      <c r="F2581" t="str">
        <f>IFERROR(VLOOKUP(D2581,'Team Data'!C:AB,5,FALSE),"")</f>
        <v/>
      </c>
      <c r="G2581" t="str">
        <f>IFERROR(VLOOKUP('OB Format'!D2581,'Team Data'!C:AB,17,FALSE),"")</f>
        <v/>
      </c>
      <c r="H2581" t="str">
        <f>IFERROR(VLOOKUP(D2581,'Team Data'!C:AB,7,FALSE),"")</f>
        <v/>
      </c>
      <c r="I2581" t="str">
        <f>IFERROR(VLOOKUP(D2581,'Team Data'!C:AB,14,FALSE),"")</f>
        <v/>
      </c>
      <c r="J2581" t="str">
        <f>IFERROR(VLOOKUP(D2581,'Team Data'!C:AB,8,FALSE),"")</f>
        <v/>
      </c>
      <c r="K2581" t="str">
        <f>IFERROR(VLOOKUP(D2581,'Team Data'!C:AB,9,FALSE),"")</f>
        <v/>
      </c>
      <c r="L2581" t="str">
        <f>IFERROR(VLOOKUP(D2581,'Team Data'!C:AB,10,FALSE),"")</f>
        <v/>
      </c>
      <c r="M2581" t="str">
        <f t="shared" si="82"/>
        <v/>
      </c>
      <c r="N2581" t="str">
        <f>IFERROR(VLOOKUP(D2581,'Team Data'!C:AB,23,FALSE),"")</f>
        <v/>
      </c>
      <c r="O2581" t="str">
        <f>IFERROR(VLOOKUP(D2581,'Team Data'!C:AB,22,FALSE),"")</f>
        <v/>
      </c>
      <c r="P2581" t="str">
        <f t="shared" si="83"/>
        <v/>
      </c>
      <c r="Q2581" t="str">
        <f>IFERROR(VLOOKUP(D2581,'Team Data'!C:AB,15,FALSE),"")</f>
        <v/>
      </c>
      <c r="R2581" t="str">
        <f>IFERROR(VLOOKUP('OB Format'!D2581,'Team Data'!C:AB,24,FALSE),"")</f>
        <v/>
      </c>
      <c r="S2581" t="str">
        <f>IFERROR(VLOOKUP('OB Format'!D2581,'Team Data'!C:AC,25,FALSE),"")</f>
        <v/>
      </c>
    </row>
    <row r="2582" spans="5:19" x14ac:dyDescent="0.25">
      <c r="E2582" t="str">
        <f>IFERROR(VLOOKUP(D2582,'Team Data'!C:AB,4,FALSE),"")</f>
        <v/>
      </c>
      <c r="F2582" t="str">
        <f>IFERROR(VLOOKUP(D2582,'Team Data'!C:AB,5,FALSE),"")</f>
        <v/>
      </c>
      <c r="G2582" t="str">
        <f>IFERROR(VLOOKUP('OB Format'!D2582,'Team Data'!C:AB,17,FALSE),"")</f>
        <v/>
      </c>
      <c r="H2582" t="str">
        <f>IFERROR(VLOOKUP(D2582,'Team Data'!C:AB,7,FALSE),"")</f>
        <v/>
      </c>
      <c r="I2582" t="str">
        <f>IFERROR(VLOOKUP(D2582,'Team Data'!C:AB,14,FALSE),"")</f>
        <v/>
      </c>
      <c r="J2582" t="str">
        <f>IFERROR(VLOOKUP(D2582,'Team Data'!C:AB,8,FALSE),"")</f>
        <v/>
      </c>
      <c r="K2582" t="str">
        <f>IFERROR(VLOOKUP(D2582,'Team Data'!C:AB,9,FALSE),"")</f>
        <v/>
      </c>
      <c r="L2582" t="str">
        <f>IFERROR(VLOOKUP(D2582,'Team Data'!C:AB,10,FALSE),"")</f>
        <v/>
      </c>
      <c r="M2582" t="str">
        <f t="shared" si="82"/>
        <v/>
      </c>
      <c r="N2582" t="str">
        <f>IFERROR(VLOOKUP(D2582,'Team Data'!C:AB,23,FALSE),"")</f>
        <v/>
      </c>
      <c r="O2582" t="str">
        <f>IFERROR(VLOOKUP(D2582,'Team Data'!C:AB,22,FALSE),"")</f>
        <v/>
      </c>
      <c r="P2582" t="str">
        <f t="shared" si="83"/>
        <v/>
      </c>
      <c r="Q2582" t="str">
        <f>IFERROR(VLOOKUP(D2582,'Team Data'!C:AB,15,FALSE),"")</f>
        <v/>
      </c>
      <c r="R2582" t="str">
        <f>IFERROR(VLOOKUP('OB Format'!D2582,'Team Data'!C:AB,24,FALSE),"")</f>
        <v/>
      </c>
      <c r="S2582" t="str">
        <f>IFERROR(VLOOKUP('OB Format'!D2582,'Team Data'!C:AC,25,FALSE),"")</f>
        <v/>
      </c>
    </row>
    <row r="2583" spans="5:19" x14ac:dyDescent="0.25">
      <c r="E2583" t="str">
        <f>IFERROR(VLOOKUP(D2583,'Team Data'!C:AB,4,FALSE),"")</f>
        <v/>
      </c>
      <c r="F2583" t="str">
        <f>IFERROR(VLOOKUP(D2583,'Team Data'!C:AB,5,FALSE),"")</f>
        <v/>
      </c>
      <c r="G2583" t="str">
        <f>IFERROR(VLOOKUP('OB Format'!D2583,'Team Data'!C:AB,17,FALSE),"")</f>
        <v/>
      </c>
      <c r="H2583" t="str">
        <f>IFERROR(VLOOKUP(D2583,'Team Data'!C:AB,7,FALSE),"")</f>
        <v/>
      </c>
      <c r="I2583" t="str">
        <f>IFERROR(VLOOKUP(D2583,'Team Data'!C:AB,14,FALSE),"")</f>
        <v/>
      </c>
      <c r="J2583" t="str">
        <f>IFERROR(VLOOKUP(D2583,'Team Data'!C:AB,8,FALSE),"")</f>
        <v/>
      </c>
      <c r="K2583" t="str">
        <f>IFERROR(VLOOKUP(D2583,'Team Data'!C:AB,9,FALSE),"")</f>
        <v/>
      </c>
      <c r="L2583" t="str">
        <f>IFERROR(VLOOKUP(D2583,'Team Data'!C:AB,10,FALSE),"")</f>
        <v/>
      </c>
      <c r="M2583" t="str">
        <f t="shared" si="82"/>
        <v/>
      </c>
      <c r="N2583" t="str">
        <f>IFERROR(VLOOKUP(D2583,'Team Data'!C:AB,23,FALSE),"")</f>
        <v/>
      </c>
      <c r="O2583" t="str">
        <f>IFERROR(VLOOKUP(D2583,'Team Data'!C:AB,22,FALSE),"")</f>
        <v/>
      </c>
      <c r="P2583" t="str">
        <f t="shared" si="83"/>
        <v/>
      </c>
      <c r="Q2583" t="str">
        <f>IFERROR(VLOOKUP(D2583,'Team Data'!C:AB,15,FALSE),"")</f>
        <v/>
      </c>
      <c r="R2583" t="str">
        <f>IFERROR(VLOOKUP('OB Format'!D2583,'Team Data'!C:AB,24,FALSE),"")</f>
        <v/>
      </c>
      <c r="S2583" t="str">
        <f>IFERROR(VLOOKUP('OB Format'!D2583,'Team Data'!C:AC,25,FALSE),"")</f>
        <v/>
      </c>
    </row>
    <row r="2584" spans="5:19" x14ac:dyDescent="0.25">
      <c r="E2584" t="str">
        <f>IFERROR(VLOOKUP(D2584,'Team Data'!C:AB,4,FALSE),"")</f>
        <v/>
      </c>
      <c r="F2584" t="str">
        <f>IFERROR(VLOOKUP(D2584,'Team Data'!C:AB,5,FALSE),"")</f>
        <v/>
      </c>
      <c r="G2584" t="str">
        <f>IFERROR(VLOOKUP('OB Format'!D2584,'Team Data'!C:AB,17,FALSE),"")</f>
        <v/>
      </c>
      <c r="H2584" t="str">
        <f>IFERROR(VLOOKUP(D2584,'Team Data'!C:AB,7,FALSE),"")</f>
        <v/>
      </c>
      <c r="I2584" t="str">
        <f>IFERROR(VLOOKUP(D2584,'Team Data'!C:AB,14,FALSE),"")</f>
        <v/>
      </c>
      <c r="J2584" t="str">
        <f>IFERROR(VLOOKUP(D2584,'Team Data'!C:AB,8,FALSE),"")</f>
        <v/>
      </c>
      <c r="K2584" t="str">
        <f>IFERROR(VLOOKUP(D2584,'Team Data'!C:AB,9,FALSE),"")</f>
        <v/>
      </c>
      <c r="L2584" t="str">
        <f>IFERROR(VLOOKUP(D2584,'Team Data'!C:AB,10,FALSE),"")</f>
        <v/>
      </c>
      <c r="M2584" t="str">
        <f t="shared" si="82"/>
        <v/>
      </c>
      <c r="N2584" t="str">
        <f>IFERROR(VLOOKUP(D2584,'Team Data'!C:AB,23,FALSE),"")</f>
        <v/>
      </c>
      <c r="O2584" t="str">
        <f>IFERROR(VLOOKUP(D2584,'Team Data'!C:AB,22,FALSE),"")</f>
        <v/>
      </c>
      <c r="P2584" t="str">
        <f t="shared" si="83"/>
        <v/>
      </c>
      <c r="Q2584" t="str">
        <f>IFERROR(VLOOKUP(D2584,'Team Data'!C:AB,15,FALSE),"")</f>
        <v/>
      </c>
      <c r="R2584" t="str">
        <f>IFERROR(VLOOKUP('OB Format'!D2584,'Team Data'!C:AB,24,FALSE),"")</f>
        <v/>
      </c>
      <c r="S2584" t="str">
        <f>IFERROR(VLOOKUP('OB Format'!D2584,'Team Data'!C:AC,25,FALSE),"")</f>
        <v/>
      </c>
    </row>
    <row r="2585" spans="5:19" x14ac:dyDescent="0.25">
      <c r="E2585" t="str">
        <f>IFERROR(VLOOKUP(D2585,'Team Data'!C:AB,4,FALSE),"")</f>
        <v/>
      </c>
      <c r="F2585" t="str">
        <f>IFERROR(VLOOKUP(D2585,'Team Data'!C:AB,5,FALSE),"")</f>
        <v/>
      </c>
      <c r="G2585" t="str">
        <f>IFERROR(VLOOKUP('OB Format'!D2585,'Team Data'!C:AB,17,FALSE),"")</f>
        <v/>
      </c>
      <c r="H2585" t="str">
        <f>IFERROR(VLOOKUP(D2585,'Team Data'!C:AB,7,FALSE),"")</f>
        <v/>
      </c>
      <c r="I2585" t="str">
        <f>IFERROR(VLOOKUP(D2585,'Team Data'!C:AB,14,FALSE),"")</f>
        <v/>
      </c>
      <c r="J2585" t="str">
        <f>IFERROR(VLOOKUP(D2585,'Team Data'!C:AB,8,FALSE),"")</f>
        <v/>
      </c>
      <c r="K2585" t="str">
        <f>IFERROR(VLOOKUP(D2585,'Team Data'!C:AB,9,FALSE),"")</f>
        <v/>
      </c>
      <c r="L2585" t="str">
        <f>IFERROR(VLOOKUP(D2585,'Team Data'!C:AB,10,FALSE),"")</f>
        <v/>
      </c>
      <c r="M2585" t="str">
        <f t="shared" si="82"/>
        <v/>
      </c>
      <c r="N2585" t="str">
        <f>IFERROR(VLOOKUP(D2585,'Team Data'!C:AB,23,FALSE),"")</f>
        <v/>
      </c>
      <c r="O2585" t="str">
        <f>IFERROR(VLOOKUP(D2585,'Team Data'!C:AB,22,FALSE),"")</f>
        <v/>
      </c>
      <c r="P2585" t="str">
        <f t="shared" si="83"/>
        <v/>
      </c>
      <c r="Q2585" t="str">
        <f>IFERROR(VLOOKUP(D2585,'Team Data'!C:AB,15,FALSE),"")</f>
        <v/>
      </c>
      <c r="R2585" t="str">
        <f>IFERROR(VLOOKUP('OB Format'!D2585,'Team Data'!C:AB,24,FALSE),"")</f>
        <v/>
      </c>
      <c r="S2585" t="str">
        <f>IFERROR(VLOOKUP('OB Format'!D2585,'Team Data'!C:AC,25,FALSE),"")</f>
        <v/>
      </c>
    </row>
    <row r="2586" spans="5:19" x14ac:dyDescent="0.25">
      <c r="E2586" t="str">
        <f>IFERROR(VLOOKUP(D2586,'Team Data'!C:AB,4,FALSE),"")</f>
        <v/>
      </c>
      <c r="F2586" t="str">
        <f>IFERROR(VLOOKUP(D2586,'Team Data'!C:AB,5,FALSE),"")</f>
        <v/>
      </c>
      <c r="G2586" t="str">
        <f>IFERROR(VLOOKUP('OB Format'!D2586,'Team Data'!C:AB,17,FALSE),"")</f>
        <v/>
      </c>
      <c r="H2586" t="str">
        <f>IFERROR(VLOOKUP(D2586,'Team Data'!C:AB,7,FALSE),"")</f>
        <v/>
      </c>
      <c r="I2586" t="str">
        <f>IFERROR(VLOOKUP(D2586,'Team Data'!C:AB,14,FALSE),"")</f>
        <v/>
      </c>
      <c r="J2586" t="str">
        <f>IFERROR(VLOOKUP(D2586,'Team Data'!C:AB,8,FALSE),"")</f>
        <v/>
      </c>
      <c r="K2586" t="str">
        <f>IFERROR(VLOOKUP(D2586,'Team Data'!C:AB,9,FALSE),"")</f>
        <v/>
      </c>
      <c r="L2586" t="str">
        <f>IFERROR(VLOOKUP(D2586,'Team Data'!C:AB,10,FALSE),"")</f>
        <v/>
      </c>
      <c r="M2586" t="str">
        <f t="shared" si="82"/>
        <v/>
      </c>
      <c r="N2586" t="str">
        <f>IFERROR(VLOOKUP(D2586,'Team Data'!C:AB,23,FALSE),"")</f>
        <v/>
      </c>
      <c r="O2586" t="str">
        <f>IFERROR(VLOOKUP(D2586,'Team Data'!C:AB,22,FALSE),"")</f>
        <v/>
      </c>
      <c r="P2586" t="str">
        <f t="shared" si="83"/>
        <v/>
      </c>
      <c r="Q2586" t="str">
        <f>IFERROR(VLOOKUP(D2586,'Team Data'!C:AB,15,FALSE),"")</f>
        <v/>
      </c>
      <c r="R2586" t="str">
        <f>IFERROR(VLOOKUP('OB Format'!D2586,'Team Data'!C:AB,24,FALSE),"")</f>
        <v/>
      </c>
      <c r="S2586" t="str">
        <f>IFERROR(VLOOKUP('OB Format'!D2586,'Team Data'!C:AC,25,FALSE),"")</f>
        <v/>
      </c>
    </row>
    <row r="2587" spans="5:19" x14ac:dyDescent="0.25">
      <c r="E2587" t="str">
        <f>IFERROR(VLOOKUP(D2587,'Team Data'!C:AB,4,FALSE),"")</f>
        <v/>
      </c>
      <c r="F2587" t="str">
        <f>IFERROR(VLOOKUP(D2587,'Team Data'!C:AB,5,FALSE),"")</f>
        <v/>
      </c>
      <c r="G2587" t="str">
        <f>IFERROR(VLOOKUP('OB Format'!D2587,'Team Data'!C:AB,17,FALSE),"")</f>
        <v/>
      </c>
      <c r="H2587" t="str">
        <f>IFERROR(VLOOKUP(D2587,'Team Data'!C:AB,7,FALSE),"")</f>
        <v/>
      </c>
      <c r="I2587" t="str">
        <f>IFERROR(VLOOKUP(D2587,'Team Data'!C:AB,14,FALSE),"")</f>
        <v/>
      </c>
      <c r="J2587" t="str">
        <f>IFERROR(VLOOKUP(D2587,'Team Data'!C:AB,8,FALSE),"")</f>
        <v/>
      </c>
      <c r="K2587" t="str">
        <f>IFERROR(VLOOKUP(D2587,'Team Data'!C:AB,9,FALSE),"")</f>
        <v/>
      </c>
      <c r="L2587" t="str">
        <f>IFERROR(VLOOKUP(D2587,'Team Data'!C:AB,10,FALSE),"")</f>
        <v/>
      </c>
      <c r="M2587" t="str">
        <f t="shared" si="82"/>
        <v/>
      </c>
      <c r="N2587" t="str">
        <f>IFERROR(VLOOKUP(D2587,'Team Data'!C:AB,23,FALSE),"")</f>
        <v/>
      </c>
      <c r="O2587" t="str">
        <f>IFERROR(VLOOKUP(D2587,'Team Data'!C:AB,22,FALSE),"")</f>
        <v/>
      </c>
      <c r="P2587" t="str">
        <f t="shared" si="83"/>
        <v/>
      </c>
      <c r="Q2587" t="str">
        <f>IFERROR(VLOOKUP(D2587,'Team Data'!C:AB,15,FALSE),"")</f>
        <v/>
      </c>
      <c r="R2587" t="str">
        <f>IFERROR(VLOOKUP('OB Format'!D2587,'Team Data'!C:AB,24,FALSE),"")</f>
        <v/>
      </c>
      <c r="S2587" t="str">
        <f>IFERROR(VLOOKUP('OB Format'!D2587,'Team Data'!C:AC,25,FALSE),"")</f>
        <v/>
      </c>
    </row>
    <row r="2588" spans="5:19" x14ac:dyDescent="0.25">
      <c r="E2588" t="str">
        <f>IFERROR(VLOOKUP(D2588,'Team Data'!C:AB,4,FALSE),"")</f>
        <v/>
      </c>
      <c r="F2588" t="str">
        <f>IFERROR(VLOOKUP(D2588,'Team Data'!C:AB,5,FALSE),"")</f>
        <v/>
      </c>
      <c r="G2588" t="str">
        <f>IFERROR(VLOOKUP('OB Format'!D2588,'Team Data'!C:AB,17,FALSE),"")</f>
        <v/>
      </c>
      <c r="H2588" t="str">
        <f>IFERROR(VLOOKUP(D2588,'Team Data'!C:AB,7,FALSE),"")</f>
        <v/>
      </c>
      <c r="I2588" t="str">
        <f>IFERROR(VLOOKUP(D2588,'Team Data'!C:AB,14,FALSE),"")</f>
        <v/>
      </c>
      <c r="J2588" t="str">
        <f>IFERROR(VLOOKUP(D2588,'Team Data'!C:AB,8,FALSE),"")</f>
        <v/>
      </c>
      <c r="K2588" t="str">
        <f>IFERROR(VLOOKUP(D2588,'Team Data'!C:AB,9,FALSE),"")</f>
        <v/>
      </c>
      <c r="L2588" t="str">
        <f>IFERROR(VLOOKUP(D2588,'Team Data'!C:AB,10,FALSE),"")</f>
        <v/>
      </c>
      <c r="M2588" t="str">
        <f t="shared" si="82"/>
        <v/>
      </c>
      <c r="N2588" t="str">
        <f>IFERROR(VLOOKUP(D2588,'Team Data'!C:AB,23,FALSE),"")</f>
        <v/>
      </c>
      <c r="O2588" t="str">
        <f>IFERROR(VLOOKUP(D2588,'Team Data'!C:AB,22,FALSE),"")</f>
        <v/>
      </c>
      <c r="P2588" t="str">
        <f t="shared" si="83"/>
        <v/>
      </c>
      <c r="Q2588" t="str">
        <f>IFERROR(VLOOKUP(D2588,'Team Data'!C:AB,15,FALSE),"")</f>
        <v/>
      </c>
      <c r="R2588" t="str">
        <f>IFERROR(VLOOKUP('OB Format'!D2588,'Team Data'!C:AB,24,FALSE),"")</f>
        <v/>
      </c>
      <c r="S2588" t="str">
        <f>IFERROR(VLOOKUP('OB Format'!D2588,'Team Data'!C:AC,25,FALSE),"")</f>
        <v/>
      </c>
    </row>
    <row r="2589" spans="5:19" x14ac:dyDescent="0.25">
      <c r="E2589" t="str">
        <f>IFERROR(VLOOKUP(D2589,'Team Data'!C:AB,4,FALSE),"")</f>
        <v/>
      </c>
      <c r="F2589" t="str">
        <f>IFERROR(VLOOKUP(D2589,'Team Data'!C:AB,5,FALSE),"")</f>
        <v/>
      </c>
      <c r="G2589" t="str">
        <f>IFERROR(VLOOKUP('OB Format'!D2589,'Team Data'!C:AB,17,FALSE),"")</f>
        <v/>
      </c>
      <c r="H2589" t="str">
        <f>IFERROR(VLOOKUP(D2589,'Team Data'!C:AB,7,FALSE),"")</f>
        <v/>
      </c>
      <c r="I2589" t="str">
        <f>IFERROR(VLOOKUP(D2589,'Team Data'!C:AB,14,FALSE),"")</f>
        <v/>
      </c>
      <c r="J2589" t="str">
        <f>IFERROR(VLOOKUP(D2589,'Team Data'!C:AB,8,FALSE),"")</f>
        <v/>
      </c>
      <c r="K2589" t="str">
        <f>IFERROR(VLOOKUP(D2589,'Team Data'!C:AB,9,FALSE),"")</f>
        <v/>
      </c>
      <c r="L2589" t="str">
        <f>IFERROR(VLOOKUP(D2589,'Team Data'!C:AB,10,FALSE),"")</f>
        <v/>
      </c>
      <c r="M2589" t="str">
        <f t="shared" si="82"/>
        <v/>
      </c>
      <c r="N2589" t="str">
        <f>IFERROR(VLOOKUP(D2589,'Team Data'!C:AB,23,FALSE),"")</f>
        <v/>
      </c>
      <c r="O2589" t="str">
        <f>IFERROR(VLOOKUP(D2589,'Team Data'!C:AB,22,FALSE),"")</f>
        <v/>
      </c>
      <c r="P2589" t="str">
        <f t="shared" si="83"/>
        <v/>
      </c>
      <c r="Q2589" t="str">
        <f>IFERROR(VLOOKUP(D2589,'Team Data'!C:AB,15,FALSE),"")</f>
        <v/>
      </c>
      <c r="R2589" t="str">
        <f>IFERROR(VLOOKUP('OB Format'!D2589,'Team Data'!C:AB,24,FALSE),"")</f>
        <v/>
      </c>
      <c r="S2589" t="str">
        <f>IFERROR(VLOOKUP('OB Format'!D2589,'Team Data'!C:AC,25,FALSE),"")</f>
        <v/>
      </c>
    </row>
    <row r="2590" spans="5:19" x14ac:dyDescent="0.25">
      <c r="E2590" t="str">
        <f>IFERROR(VLOOKUP(D2590,'Team Data'!C:AB,4,FALSE),"")</f>
        <v/>
      </c>
      <c r="F2590" t="str">
        <f>IFERROR(VLOOKUP(D2590,'Team Data'!C:AB,5,FALSE),"")</f>
        <v/>
      </c>
      <c r="G2590" t="str">
        <f>IFERROR(VLOOKUP('OB Format'!D2590,'Team Data'!C:AB,17,FALSE),"")</f>
        <v/>
      </c>
      <c r="H2590" t="str">
        <f>IFERROR(VLOOKUP(D2590,'Team Data'!C:AB,7,FALSE),"")</f>
        <v/>
      </c>
      <c r="I2590" t="str">
        <f>IFERROR(VLOOKUP(D2590,'Team Data'!C:AB,14,FALSE),"")</f>
        <v/>
      </c>
      <c r="J2590" t="str">
        <f>IFERROR(VLOOKUP(D2590,'Team Data'!C:AB,8,FALSE),"")</f>
        <v/>
      </c>
      <c r="K2590" t="str">
        <f>IFERROR(VLOOKUP(D2590,'Team Data'!C:AB,9,FALSE),"")</f>
        <v/>
      </c>
      <c r="L2590" t="str">
        <f>IFERROR(VLOOKUP(D2590,'Team Data'!C:AB,10,FALSE),"")</f>
        <v/>
      </c>
      <c r="M2590" t="str">
        <f t="shared" si="82"/>
        <v/>
      </c>
      <c r="N2590" t="str">
        <f>IFERROR(VLOOKUP(D2590,'Team Data'!C:AB,23,FALSE),"")</f>
        <v/>
      </c>
      <c r="O2590" t="str">
        <f>IFERROR(VLOOKUP(D2590,'Team Data'!C:AB,22,FALSE),"")</f>
        <v/>
      </c>
      <c r="P2590" t="str">
        <f t="shared" si="83"/>
        <v/>
      </c>
      <c r="Q2590" t="str">
        <f>IFERROR(VLOOKUP(D2590,'Team Data'!C:AB,15,FALSE),"")</f>
        <v/>
      </c>
      <c r="R2590" t="str">
        <f>IFERROR(VLOOKUP('OB Format'!D2590,'Team Data'!C:AB,24,FALSE),"")</f>
        <v/>
      </c>
      <c r="S2590" t="str">
        <f>IFERROR(VLOOKUP('OB Format'!D2590,'Team Data'!C:AC,25,FALSE),"")</f>
        <v/>
      </c>
    </row>
    <row r="2591" spans="5:19" x14ac:dyDescent="0.25">
      <c r="E2591" t="str">
        <f>IFERROR(VLOOKUP(D2591,'Team Data'!C:AB,4,FALSE),"")</f>
        <v/>
      </c>
      <c r="F2591" t="str">
        <f>IFERROR(VLOOKUP(D2591,'Team Data'!C:AB,5,FALSE),"")</f>
        <v/>
      </c>
      <c r="G2591" t="str">
        <f>IFERROR(VLOOKUP('OB Format'!D2591,'Team Data'!C:AB,17,FALSE),"")</f>
        <v/>
      </c>
      <c r="H2591" t="str">
        <f>IFERROR(VLOOKUP(D2591,'Team Data'!C:AB,7,FALSE),"")</f>
        <v/>
      </c>
      <c r="I2591" t="str">
        <f>IFERROR(VLOOKUP(D2591,'Team Data'!C:AB,14,FALSE),"")</f>
        <v/>
      </c>
      <c r="J2591" t="str">
        <f>IFERROR(VLOOKUP(D2591,'Team Data'!C:AB,8,FALSE),"")</f>
        <v/>
      </c>
      <c r="K2591" t="str">
        <f>IFERROR(VLOOKUP(D2591,'Team Data'!C:AB,9,FALSE),"")</f>
        <v/>
      </c>
      <c r="L2591" t="str">
        <f>IFERROR(VLOOKUP(D2591,'Team Data'!C:AB,10,FALSE),"")</f>
        <v/>
      </c>
      <c r="M2591" t="str">
        <f t="shared" si="82"/>
        <v/>
      </c>
      <c r="N2591" t="str">
        <f>IFERROR(VLOOKUP(D2591,'Team Data'!C:AB,23,FALSE),"")</f>
        <v/>
      </c>
      <c r="O2591" t="str">
        <f>IFERROR(VLOOKUP(D2591,'Team Data'!C:AB,22,FALSE),"")</f>
        <v/>
      </c>
      <c r="P2591" t="str">
        <f t="shared" si="83"/>
        <v/>
      </c>
      <c r="Q2591" t="str">
        <f>IFERROR(VLOOKUP(D2591,'Team Data'!C:AB,15,FALSE),"")</f>
        <v/>
      </c>
      <c r="R2591" t="str">
        <f>IFERROR(VLOOKUP('OB Format'!D2591,'Team Data'!C:AB,24,FALSE),"")</f>
        <v/>
      </c>
      <c r="S2591" t="str">
        <f>IFERROR(VLOOKUP('OB Format'!D2591,'Team Data'!C:AC,25,FALSE),"")</f>
        <v/>
      </c>
    </row>
    <row r="2592" spans="5:19" x14ac:dyDescent="0.25">
      <c r="E2592" t="str">
        <f>IFERROR(VLOOKUP(D2592,'Team Data'!C:AB,4,FALSE),"")</f>
        <v/>
      </c>
      <c r="F2592" t="str">
        <f>IFERROR(VLOOKUP(D2592,'Team Data'!C:AB,5,FALSE),"")</f>
        <v/>
      </c>
      <c r="G2592" t="str">
        <f>IFERROR(VLOOKUP('OB Format'!D2592,'Team Data'!C:AB,17,FALSE),"")</f>
        <v/>
      </c>
      <c r="H2592" t="str">
        <f>IFERROR(VLOOKUP(D2592,'Team Data'!C:AB,7,FALSE),"")</f>
        <v/>
      </c>
      <c r="I2592" t="str">
        <f>IFERROR(VLOOKUP(D2592,'Team Data'!C:AB,14,FALSE),"")</f>
        <v/>
      </c>
      <c r="J2592" t="str">
        <f>IFERROR(VLOOKUP(D2592,'Team Data'!C:AB,8,FALSE),"")</f>
        <v/>
      </c>
      <c r="K2592" t="str">
        <f>IFERROR(VLOOKUP(D2592,'Team Data'!C:AB,9,FALSE),"")</f>
        <v/>
      </c>
      <c r="L2592" t="str">
        <f>IFERROR(VLOOKUP(D2592,'Team Data'!C:AB,10,FALSE),"")</f>
        <v/>
      </c>
      <c r="M2592" t="str">
        <f t="shared" si="82"/>
        <v/>
      </c>
      <c r="N2592" t="str">
        <f>IFERROR(VLOOKUP(D2592,'Team Data'!C:AB,23,FALSE),"")</f>
        <v/>
      </c>
      <c r="O2592" t="str">
        <f>IFERROR(VLOOKUP(D2592,'Team Data'!C:AB,22,FALSE),"")</f>
        <v/>
      </c>
      <c r="P2592" t="str">
        <f t="shared" si="83"/>
        <v/>
      </c>
      <c r="Q2592" t="str">
        <f>IFERROR(VLOOKUP(D2592,'Team Data'!C:AB,15,FALSE),"")</f>
        <v/>
      </c>
      <c r="R2592" t="str">
        <f>IFERROR(VLOOKUP('OB Format'!D2592,'Team Data'!C:AB,24,FALSE),"")</f>
        <v/>
      </c>
      <c r="S2592" t="str">
        <f>IFERROR(VLOOKUP('OB Format'!D2592,'Team Data'!C:AC,25,FALSE),"")</f>
        <v/>
      </c>
    </row>
    <row r="2593" spans="5:19" x14ac:dyDescent="0.25">
      <c r="E2593" t="str">
        <f>IFERROR(VLOOKUP(D2593,'Team Data'!C:AB,4,FALSE),"")</f>
        <v/>
      </c>
      <c r="F2593" t="str">
        <f>IFERROR(VLOOKUP(D2593,'Team Data'!C:AB,5,FALSE),"")</f>
        <v/>
      </c>
      <c r="G2593" t="str">
        <f>IFERROR(VLOOKUP('OB Format'!D2593,'Team Data'!C:AB,17,FALSE),"")</f>
        <v/>
      </c>
      <c r="H2593" t="str">
        <f>IFERROR(VLOOKUP(D2593,'Team Data'!C:AB,7,FALSE),"")</f>
        <v/>
      </c>
      <c r="I2593" t="str">
        <f>IFERROR(VLOOKUP(D2593,'Team Data'!C:AB,14,FALSE),"")</f>
        <v/>
      </c>
      <c r="J2593" t="str">
        <f>IFERROR(VLOOKUP(D2593,'Team Data'!C:AB,8,FALSE),"")</f>
        <v/>
      </c>
      <c r="K2593" t="str">
        <f>IFERROR(VLOOKUP(D2593,'Team Data'!C:AB,9,FALSE),"")</f>
        <v/>
      </c>
      <c r="L2593" t="str">
        <f>IFERROR(VLOOKUP(D2593,'Team Data'!C:AB,10,FALSE),"")</f>
        <v/>
      </c>
      <c r="M2593" t="str">
        <f t="shared" si="82"/>
        <v/>
      </c>
      <c r="N2593" t="str">
        <f>IFERROR(VLOOKUP(D2593,'Team Data'!C:AB,23,FALSE),"")</f>
        <v/>
      </c>
      <c r="O2593" t="str">
        <f>IFERROR(VLOOKUP(D2593,'Team Data'!C:AB,22,FALSE),"")</f>
        <v/>
      </c>
      <c r="P2593" t="str">
        <f t="shared" si="83"/>
        <v/>
      </c>
      <c r="Q2593" t="str">
        <f>IFERROR(VLOOKUP(D2593,'Team Data'!C:AB,15,FALSE),"")</f>
        <v/>
      </c>
      <c r="R2593" t="str">
        <f>IFERROR(VLOOKUP('OB Format'!D2593,'Team Data'!C:AB,24,FALSE),"")</f>
        <v/>
      </c>
      <c r="S2593" t="str">
        <f>IFERROR(VLOOKUP('OB Format'!D2593,'Team Data'!C:AC,25,FALSE),"")</f>
        <v/>
      </c>
    </row>
    <row r="2594" spans="5:19" x14ac:dyDescent="0.25">
      <c r="E2594" t="str">
        <f>IFERROR(VLOOKUP(D2594,'Team Data'!C:AB,4,FALSE),"")</f>
        <v/>
      </c>
      <c r="F2594" t="str">
        <f>IFERROR(VLOOKUP(D2594,'Team Data'!C:AB,5,FALSE),"")</f>
        <v/>
      </c>
      <c r="G2594" t="str">
        <f>IFERROR(VLOOKUP('OB Format'!D2594,'Team Data'!C:AB,17,FALSE),"")</f>
        <v/>
      </c>
      <c r="H2594" t="str">
        <f>IFERROR(VLOOKUP(D2594,'Team Data'!C:AB,7,FALSE),"")</f>
        <v/>
      </c>
      <c r="I2594" t="str">
        <f>IFERROR(VLOOKUP(D2594,'Team Data'!C:AB,14,FALSE),"")</f>
        <v/>
      </c>
      <c r="J2594" t="str">
        <f>IFERROR(VLOOKUP(D2594,'Team Data'!C:AB,8,FALSE),"")</f>
        <v/>
      </c>
      <c r="K2594" t="str">
        <f>IFERROR(VLOOKUP(D2594,'Team Data'!C:AB,9,FALSE),"")</f>
        <v/>
      </c>
      <c r="L2594" t="str">
        <f>IFERROR(VLOOKUP(D2594,'Team Data'!C:AB,10,FALSE),"")</f>
        <v/>
      </c>
      <c r="M2594" t="str">
        <f t="shared" si="82"/>
        <v/>
      </c>
      <c r="N2594" t="str">
        <f>IFERROR(VLOOKUP(D2594,'Team Data'!C:AB,23,FALSE),"")</f>
        <v/>
      </c>
      <c r="O2594" t="str">
        <f>IFERROR(VLOOKUP(D2594,'Team Data'!C:AB,22,FALSE),"")</f>
        <v/>
      </c>
      <c r="P2594" t="str">
        <f t="shared" si="83"/>
        <v/>
      </c>
      <c r="Q2594" t="str">
        <f>IFERROR(VLOOKUP(D2594,'Team Data'!C:AB,15,FALSE),"")</f>
        <v/>
      </c>
      <c r="R2594" t="str">
        <f>IFERROR(VLOOKUP('OB Format'!D2594,'Team Data'!C:AB,24,FALSE),"")</f>
        <v/>
      </c>
      <c r="S2594" t="str">
        <f>IFERROR(VLOOKUP('OB Format'!D2594,'Team Data'!C:AC,25,FALSE),"")</f>
        <v/>
      </c>
    </row>
    <row r="2595" spans="5:19" x14ac:dyDescent="0.25">
      <c r="E2595" t="str">
        <f>IFERROR(VLOOKUP(D2595,'Team Data'!C:AB,4,FALSE),"")</f>
        <v/>
      </c>
      <c r="F2595" t="str">
        <f>IFERROR(VLOOKUP(D2595,'Team Data'!C:AB,5,FALSE),"")</f>
        <v/>
      </c>
      <c r="G2595" t="str">
        <f>IFERROR(VLOOKUP('OB Format'!D2595,'Team Data'!C:AB,17,FALSE),"")</f>
        <v/>
      </c>
      <c r="H2595" t="str">
        <f>IFERROR(VLOOKUP(D2595,'Team Data'!C:AB,7,FALSE),"")</f>
        <v/>
      </c>
      <c r="I2595" t="str">
        <f>IFERROR(VLOOKUP(D2595,'Team Data'!C:AB,14,FALSE),"")</f>
        <v/>
      </c>
      <c r="J2595" t="str">
        <f>IFERROR(VLOOKUP(D2595,'Team Data'!C:AB,8,FALSE),"")</f>
        <v/>
      </c>
      <c r="K2595" t="str">
        <f>IFERROR(VLOOKUP(D2595,'Team Data'!C:AB,9,FALSE),"")</f>
        <v/>
      </c>
      <c r="L2595" t="str">
        <f>IFERROR(VLOOKUP(D2595,'Team Data'!C:AB,10,FALSE),"")</f>
        <v/>
      </c>
      <c r="M2595" t="str">
        <f t="shared" si="82"/>
        <v/>
      </c>
      <c r="N2595" t="str">
        <f>IFERROR(VLOOKUP(D2595,'Team Data'!C:AB,23,FALSE),"")</f>
        <v/>
      </c>
      <c r="O2595" t="str">
        <f>IFERROR(VLOOKUP(D2595,'Team Data'!C:AB,22,FALSE),"")</f>
        <v/>
      </c>
      <c r="P2595" t="str">
        <f t="shared" si="83"/>
        <v/>
      </c>
      <c r="Q2595" t="str">
        <f>IFERROR(VLOOKUP(D2595,'Team Data'!C:AB,15,FALSE),"")</f>
        <v/>
      </c>
      <c r="R2595" t="str">
        <f>IFERROR(VLOOKUP('OB Format'!D2595,'Team Data'!C:AB,24,FALSE),"")</f>
        <v/>
      </c>
      <c r="S2595" t="str">
        <f>IFERROR(VLOOKUP('OB Format'!D2595,'Team Data'!C:AC,25,FALSE),"")</f>
        <v/>
      </c>
    </row>
    <row r="2596" spans="5:19" x14ac:dyDescent="0.25">
      <c r="E2596" t="str">
        <f>IFERROR(VLOOKUP(D2596,'Team Data'!C:AB,4,FALSE),"")</f>
        <v/>
      </c>
      <c r="F2596" t="str">
        <f>IFERROR(VLOOKUP(D2596,'Team Data'!C:AB,5,FALSE),"")</f>
        <v/>
      </c>
      <c r="G2596" t="str">
        <f>IFERROR(VLOOKUP('OB Format'!D2596,'Team Data'!C:AB,17,FALSE),"")</f>
        <v/>
      </c>
      <c r="H2596" t="str">
        <f>IFERROR(VLOOKUP(D2596,'Team Data'!C:AB,7,FALSE),"")</f>
        <v/>
      </c>
      <c r="I2596" t="str">
        <f>IFERROR(VLOOKUP(D2596,'Team Data'!C:AB,14,FALSE),"")</f>
        <v/>
      </c>
      <c r="J2596" t="str">
        <f>IFERROR(VLOOKUP(D2596,'Team Data'!C:AB,8,FALSE),"")</f>
        <v/>
      </c>
      <c r="K2596" t="str">
        <f>IFERROR(VLOOKUP(D2596,'Team Data'!C:AB,9,FALSE),"")</f>
        <v/>
      </c>
      <c r="L2596" t="str">
        <f>IFERROR(VLOOKUP(D2596,'Team Data'!C:AB,10,FALSE),"")</f>
        <v/>
      </c>
      <c r="M2596" t="str">
        <f t="shared" si="82"/>
        <v/>
      </c>
      <c r="N2596" t="str">
        <f>IFERROR(VLOOKUP(D2596,'Team Data'!C:AB,23,FALSE),"")</f>
        <v/>
      </c>
      <c r="O2596" t="str">
        <f>IFERROR(VLOOKUP(D2596,'Team Data'!C:AB,22,FALSE),"")</f>
        <v/>
      </c>
      <c r="P2596" t="str">
        <f t="shared" si="83"/>
        <v/>
      </c>
      <c r="Q2596" t="str">
        <f>IFERROR(VLOOKUP(D2596,'Team Data'!C:AB,15,FALSE),"")</f>
        <v/>
      </c>
      <c r="R2596" t="str">
        <f>IFERROR(VLOOKUP('OB Format'!D2596,'Team Data'!C:AB,24,FALSE),"")</f>
        <v/>
      </c>
      <c r="S2596" t="str">
        <f>IFERROR(VLOOKUP('OB Format'!D2596,'Team Data'!C:AC,25,FALSE),"")</f>
        <v/>
      </c>
    </row>
    <row r="2597" spans="5:19" x14ac:dyDescent="0.25">
      <c r="E2597" t="str">
        <f>IFERROR(VLOOKUP(D2597,'Team Data'!C:AB,4,FALSE),"")</f>
        <v/>
      </c>
      <c r="F2597" t="str">
        <f>IFERROR(VLOOKUP(D2597,'Team Data'!C:AB,5,FALSE),"")</f>
        <v/>
      </c>
      <c r="G2597" t="str">
        <f>IFERROR(VLOOKUP('OB Format'!D2597,'Team Data'!C:AB,17,FALSE),"")</f>
        <v/>
      </c>
      <c r="H2597" t="str">
        <f>IFERROR(VLOOKUP(D2597,'Team Data'!C:AB,7,FALSE),"")</f>
        <v/>
      </c>
      <c r="I2597" t="str">
        <f>IFERROR(VLOOKUP(D2597,'Team Data'!C:AB,14,FALSE),"")</f>
        <v/>
      </c>
      <c r="J2597" t="str">
        <f>IFERROR(VLOOKUP(D2597,'Team Data'!C:AB,8,FALSE),"")</f>
        <v/>
      </c>
      <c r="K2597" t="str">
        <f>IFERROR(VLOOKUP(D2597,'Team Data'!C:AB,9,FALSE),"")</f>
        <v/>
      </c>
      <c r="L2597" t="str">
        <f>IFERROR(VLOOKUP(D2597,'Team Data'!C:AB,10,FALSE),"")</f>
        <v/>
      </c>
      <c r="M2597" t="str">
        <f t="shared" si="82"/>
        <v/>
      </c>
      <c r="N2597" t="str">
        <f>IFERROR(VLOOKUP(D2597,'Team Data'!C:AB,23,FALSE),"")</f>
        <v/>
      </c>
      <c r="O2597" t="str">
        <f>IFERROR(VLOOKUP(D2597,'Team Data'!C:AB,22,FALSE),"")</f>
        <v/>
      </c>
      <c r="P2597" t="str">
        <f t="shared" si="83"/>
        <v/>
      </c>
      <c r="Q2597" t="str">
        <f>IFERROR(VLOOKUP(D2597,'Team Data'!C:AB,15,FALSE),"")</f>
        <v/>
      </c>
      <c r="R2597" t="str">
        <f>IFERROR(VLOOKUP('OB Format'!D2597,'Team Data'!C:AB,24,FALSE),"")</f>
        <v/>
      </c>
      <c r="S2597" t="str">
        <f>IFERROR(VLOOKUP('OB Format'!D2597,'Team Data'!C:AC,25,FALSE),"")</f>
        <v/>
      </c>
    </row>
    <row r="2598" spans="5:19" x14ac:dyDescent="0.25">
      <c r="E2598" t="str">
        <f>IFERROR(VLOOKUP(D2598,'Team Data'!C:AB,4,FALSE),"")</f>
        <v/>
      </c>
      <c r="F2598" t="str">
        <f>IFERROR(VLOOKUP(D2598,'Team Data'!C:AB,5,FALSE),"")</f>
        <v/>
      </c>
      <c r="G2598" t="str">
        <f>IFERROR(VLOOKUP('OB Format'!D2598,'Team Data'!C:AB,17,FALSE),"")</f>
        <v/>
      </c>
      <c r="H2598" t="str">
        <f>IFERROR(VLOOKUP(D2598,'Team Data'!C:AB,7,FALSE),"")</f>
        <v/>
      </c>
      <c r="I2598" t="str">
        <f>IFERROR(VLOOKUP(D2598,'Team Data'!C:AB,14,FALSE),"")</f>
        <v/>
      </c>
      <c r="J2598" t="str">
        <f>IFERROR(VLOOKUP(D2598,'Team Data'!C:AB,8,FALSE),"")</f>
        <v/>
      </c>
      <c r="K2598" t="str">
        <f>IFERROR(VLOOKUP(D2598,'Team Data'!C:AB,9,FALSE),"")</f>
        <v/>
      </c>
      <c r="L2598" t="str">
        <f>IFERROR(VLOOKUP(D2598,'Team Data'!C:AB,10,FALSE),"")</f>
        <v/>
      </c>
      <c r="M2598" t="str">
        <f t="shared" si="82"/>
        <v/>
      </c>
      <c r="N2598" t="str">
        <f>IFERROR(VLOOKUP(D2598,'Team Data'!C:AB,23,FALSE),"")</f>
        <v/>
      </c>
      <c r="O2598" t="str">
        <f>IFERROR(VLOOKUP(D2598,'Team Data'!C:AB,22,FALSE),"")</f>
        <v/>
      </c>
      <c r="P2598" t="str">
        <f t="shared" si="83"/>
        <v/>
      </c>
      <c r="Q2598" t="str">
        <f>IFERROR(VLOOKUP(D2598,'Team Data'!C:AB,15,FALSE),"")</f>
        <v/>
      </c>
      <c r="R2598" t="str">
        <f>IFERROR(VLOOKUP('OB Format'!D2598,'Team Data'!C:AB,24,FALSE),"")</f>
        <v/>
      </c>
      <c r="S2598" t="str">
        <f>IFERROR(VLOOKUP('OB Format'!D2598,'Team Data'!C:AC,25,FALSE),"")</f>
        <v/>
      </c>
    </row>
    <row r="2599" spans="5:19" x14ac:dyDescent="0.25">
      <c r="E2599" t="str">
        <f>IFERROR(VLOOKUP(D2599,'Team Data'!C:AB,4,FALSE),"")</f>
        <v/>
      </c>
      <c r="F2599" t="str">
        <f>IFERROR(VLOOKUP(D2599,'Team Data'!C:AB,5,FALSE),"")</f>
        <v/>
      </c>
      <c r="G2599" t="str">
        <f>IFERROR(VLOOKUP('OB Format'!D2599,'Team Data'!C:AB,17,FALSE),"")</f>
        <v/>
      </c>
      <c r="H2599" t="str">
        <f>IFERROR(VLOOKUP(D2599,'Team Data'!C:AB,7,FALSE),"")</f>
        <v/>
      </c>
      <c r="I2599" t="str">
        <f>IFERROR(VLOOKUP(D2599,'Team Data'!C:AB,14,FALSE),"")</f>
        <v/>
      </c>
      <c r="J2599" t="str">
        <f>IFERROR(VLOOKUP(D2599,'Team Data'!C:AB,8,FALSE),"")</f>
        <v/>
      </c>
      <c r="K2599" t="str">
        <f>IFERROR(VLOOKUP(D2599,'Team Data'!C:AB,9,FALSE),"")</f>
        <v/>
      </c>
      <c r="L2599" t="str">
        <f>IFERROR(VLOOKUP(D2599,'Team Data'!C:AB,10,FALSE),"")</f>
        <v/>
      </c>
      <c r="M2599" t="str">
        <f t="shared" si="82"/>
        <v/>
      </c>
      <c r="N2599" t="str">
        <f>IFERROR(VLOOKUP(D2599,'Team Data'!C:AB,23,FALSE),"")</f>
        <v/>
      </c>
      <c r="O2599" t="str">
        <f>IFERROR(VLOOKUP(D2599,'Team Data'!C:AB,22,FALSE),"")</f>
        <v/>
      </c>
      <c r="P2599" t="str">
        <f t="shared" si="83"/>
        <v/>
      </c>
      <c r="Q2599" t="str">
        <f>IFERROR(VLOOKUP(D2599,'Team Data'!C:AB,15,FALSE),"")</f>
        <v/>
      </c>
      <c r="R2599" t="str">
        <f>IFERROR(VLOOKUP('OB Format'!D2599,'Team Data'!C:AB,24,FALSE),"")</f>
        <v/>
      </c>
      <c r="S2599" t="str">
        <f>IFERROR(VLOOKUP('OB Format'!D2599,'Team Data'!C:AC,25,FALSE),"")</f>
        <v/>
      </c>
    </row>
    <row r="2600" spans="5:19" x14ac:dyDescent="0.25">
      <c r="E2600" t="str">
        <f>IFERROR(VLOOKUP(D2600,'Team Data'!C:AB,4,FALSE),"")</f>
        <v/>
      </c>
      <c r="F2600" t="str">
        <f>IFERROR(VLOOKUP(D2600,'Team Data'!C:AB,5,FALSE),"")</f>
        <v/>
      </c>
      <c r="G2600" t="str">
        <f>IFERROR(VLOOKUP('OB Format'!D2600,'Team Data'!C:AB,17,FALSE),"")</f>
        <v/>
      </c>
      <c r="H2600" t="str">
        <f>IFERROR(VLOOKUP(D2600,'Team Data'!C:AB,7,FALSE),"")</f>
        <v/>
      </c>
      <c r="I2600" t="str">
        <f>IFERROR(VLOOKUP(D2600,'Team Data'!C:AB,14,FALSE),"")</f>
        <v/>
      </c>
      <c r="J2600" t="str">
        <f>IFERROR(VLOOKUP(D2600,'Team Data'!C:AB,8,FALSE),"")</f>
        <v/>
      </c>
      <c r="K2600" t="str">
        <f>IFERROR(VLOOKUP(D2600,'Team Data'!C:AB,9,FALSE),"")</f>
        <v/>
      </c>
      <c r="L2600" t="str">
        <f>IFERROR(VLOOKUP(D2600,'Team Data'!C:AB,10,FALSE),"")</f>
        <v/>
      </c>
      <c r="M2600" t="str">
        <f t="shared" si="82"/>
        <v/>
      </c>
      <c r="N2600" t="str">
        <f>IFERROR(VLOOKUP(D2600,'Team Data'!C:AB,23,FALSE),"")</f>
        <v/>
      </c>
      <c r="O2600" t="str">
        <f>IFERROR(VLOOKUP(D2600,'Team Data'!C:AB,22,FALSE),"")</f>
        <v/>
      </c>
      <c r="P2600" t="str">
        <f t="shared" si="83"/>
        <v/>
      </c>
      <c r="Q2600" t="str">
        <f>IFERROR(VLOOKUP(D2600,'Team Data'!C:AB,15,FALSE),"")</f>
        <v/>
      </c>
      <c r="R2600" t="str">
        <f>IFERROR(VLOOKUP('OB Format'!D2600,'Team Data'!C:AB,24,FALSE),"")</f>
        <v/>
      </c>
      <c r="S2600" t="str">
        <f>IFERROR(VLOOKUP('OB Format'!D2600,'Team Data'!C:AC,25,FALSE),"")</f>
        <v/>
      </c>
    </row>
    <row r="2601" spans="5:19" x14ac:dyDescent="0.25">
      <c r="E2601" t="str">
        <f>IFERROR(VLOOKUP(D2601,'Team Data'!C:AB,4,FALSE),"")</f>
        <v/>
      </c>
      <c r="F2601" t="str">
        <f>IFERROR(VLOOKUP(D2601,'Team Data'!C:AB,5,FALSE),"")</f>
        <v/>
      </c>
      <c r="G2601" t="str">
        <f>IFERROR(VLOOKUP('OB Format'!D2601,'Team Data'!C:AB,17,FALSE),"")</f>
        <v/>
      </c>
      <c r="H2601" t="str">
        <f>IFERROR(VLOOKUP(D2601,'Team Data'!C:AB,7,FALSE),"")</f>
        <v/>
      </c>
      <c r="I2601" t="str">
        <f>IFERROR(VLOOKUP(D2601,'Team Data'!C:AB,14,FALSE),"")</f>
        <v/>
      </c>
      <c r="J2601" t="str">
        <f>IFERROR(VLOOKUP(D2601,'Team Data'!C:AB,8,FALSE),"")</f>
        <v/>
      </c>
      <c r="K2601" t="str">
        <f>IFERROR(VLOOKUP(D2601,'Team Data'!C:AB,9,FALSE),"")</f>
        <v/>
      </c>
      <c r="L2601" t="str">
        <f>IFERROR(VLOOKUP(D2601,'Team Data'!C:AB,10,FALSE),"")</f>
        <v/>
      </c>
      <c r="M2601" t="str">
        <f t="shared" si="82"/>
        <v/>
      </c>
      <c r="N2601" t="str">
        <f>IFERROR(VLOOKUP(D2601,'Team Data'!C:AB,23,FALSE),"")</f>
        <v/>
      </c>
      <c r="O2601" t="str">
        <f>IFERROR(VLOOKUP(D2601,'Team Data'!C:AB,22,FALSE),"")</f>
        <v/>
      </c>
      <c r="P2601" t="str">
        <f t="shared" si="83"/>
        <v/>
      </c>
      <c r="Q2601" t="str">
        <f>IFERROR(VLOOKUP(D2601,'Team Data'!C:AB,15,FALSE),"")</f>
        <v/>
      </c>
      <c r="R2601" t="str">
        <f>IFERROR(VLOOKUP('OB Format'!D2601,'Team Data'!C:AB,24,FALSE),"")</f>
        <v/>
      </c>
      <c r="S2601" t="str">
        <f>IFERROR(VLOOKUP('OB Format'!D2601,'Team Data'!C:AC,25,FALSE),"")</f>
        <v/>
      </c>
    </row>
    <row r="2602" spans="5:19" x14ac:dyDescent="0.25">
      <c r="E2602" t="str">
        <f>IFERROR(VLOOKUP(D2602,'Team Data'!C:AB,4,FALSE),"")</f>
        <v/>
      </c>
      <c r="F2602" t="str">
        <f>IFERROR(VLOOKUP(D2602,'Team Data'!C:AB,5,FALSE),"")</f>
        <v/>
      </c>
      <c r="G2602" t="str">
        <f>IFERROR(VLOOKUP('OB Format'!D2602,'Team Data'!C:AB,17,FALSE),"")</f>
        <v/>
      </c>
      <c r="H2602" t="str">
        <f>IFERROR(VLOOKUP(D2602,'Team Data'!C:AB,7,FALSE),"")</f>
        <v/>
      </c>
      <c r="I2602" t="str">
        <f>IFERROR(VLOOKUP(D2602,'Team Data'!C:AB,14,FALSE),"")</f>
        <v/>
      </c>
      <c r="J2602" t="str">
        <f>IFERROR(VLOOKUP(D2602,'Team Data'!C:AB,8,FALSE),"")</f>
        <v/>
      </c>
      <c r="K2602" t="str">
        <f>IFERROR(VLOOKUP(D2602,'Team Data'!C:AB,9,FALSE),"")</f>
        <v/>
      </c>
      <c r="L2602" t="str">
        <f>IFERROR(VLOOKUP(D2602,'Team Data'!C:AB,10,FALSE),"")</f>
        <v/>
      </c>
      <c r="M2602" t="str">
        <f t="shared" si="82"/>
        <v/>
      </c>
      <c r="N2602" t="str">
        <f>IFERROR(VLOOKUP(D2602,'Team Data'!C:AB,23,FALSE),"")</f>
        <v/>
      </c>
      <c r="O2602" t="str">
        <f>IFERROR(VLOOKUP(D2602,'Team Data'!C:AB,22,FALSE),"")</f>
        <v/>
      </c>
      <c r="P2602" t="str">
        <f t="shared" si="83"/>
        <v/>
      </c>
      <c r="Q2602" t="str">
        <f>IFERROR(VLOOKUP(D2602,'Team Data'!C:AB,15,FALSE),"")</f>
        <v/>
      </c>
      <c r="R2602" t="str">
        <f>IFERROR(VLOOKUP('OB Format'!D2602,'Team Data'!C:AB,24,FALSE),"")</f>
        <v/>
      </c>
      <c r="S2602" t="str">
        <f>IFERROR(VLOOKUP('OB Format'!D2602,'Team Data'!C:AC,25,FALSE),"")</f>
        <v/>
      </c>
    </row>
    <row r="2603" spans="5:19" x14ac:dyDescent="0.25">
      <c r="E2603" t="str">
        <f>IFERROR(VLOOKUP(D2603,'Team Data'!C:AB,4,FALSE),"")</f>
        <v/>
      </c>
      <c r="F2603" t="str">
        <f>IFERROR(VLOOKUP(D2603,'Team Data'!C:AB,5,FALSE),"")</f>
        <v/>
      </c>
      <c r="G2603" t="str">
        <f>IFERROR(VLOOKUP('OB Format'!D2603,'Team Data'!C:AB,17,FALSE),"")</f>
        <v/>
      </c>
      <c r="H2603" t="str">
        <f>IFERROR(VLOOKUP(D2603,'Team Data'!C:AB,7,FALSE),"")</f>
        <v/>
      </c>
      <c r="I2603" t="str">
        <f>IFERROR(VLOOKUP(D2603,'Team Data'!C:AB,14,FALSE),"")</f>
        <v/>
      </c>
      <c r="J2603" t="str">
        <f>IFERROR(VLOOKUP(D2603,'Team Data'!C:AB,8,FALSE),"")</f>
        <v/>
      </c>
      <c r="K2603" t="str">
        <f>IFERROR(VLOOKUP(D2603,'Team Data'!C:AB,9,FALSE),"")</f>
        <v/>
      </c>
      <c r="L2603" t="str">
        <f>IFERROR(VLOOKUP(D2603,'Team Data'!C:AB,10,FALSE),"")</f>
        <v/>
      </c>
      <c r="M2603" t="str">
        <f t="shared" si="82"/>
        <v/>
      </c>
      <c r="N2603" t="str">
        <f>IFERROR(VLOOKUP(D2603,'Team Data'!C:AB,23,FALSE),"")</f>
        <v/>
      </c>
      <c r="O2603" t="str">
        <f>IFERROR(VLOOKUP(D2603,'Team Data'!C:AB,22,FALSE),"")</f>
        <v/>
      </c>
      <c r="P2603" t="str">
        <f t="shared" si="83"/>
        <v/>
      </c>
      <c r="Q2603" t="str">
        <f>IFERROR(VLOOKUP(D2603,'Team Data'!C:AB,15,FALSE),"")</f>
        <v/>
      </c>
      <c r="R2603" t="str">
        <f>IFERROR(VLOOKUP('OB Format'!D2603,'Team Data'!C:AB,24,FALSE),"")</f>
        <v/>
      </c>
      <c r="S2603" t="str">
        <f>IFERROR(VLOOKUP('OB Format'!D2603,'Team Data'!C:AC,25,FALSE),"")</f>
        <v/>
      </c>
    </row>
    <row r="2604" spans="5:19" x14ac:dyDescent="0.25">
      <c r="E2604" t="str">
        <f>IFERROR(VLOOKUP(D2604,'Team Data'!C:AB,4,FALSE),"")</f>
        <v/>
      </c>
      <c r="F2604" t="str">
        <f>IFERROR(VLOOKUP(D2604,'Team Data'!C:AB,5,FALSE),"")</f>
        <v/>
      </c>
      <c r="G2604" t="str">
        <f>IFERROR(VLOOKUP('OB Format'!D2604,'Team Data'!C:AB,17,FALSE),"")</f>
        <v/>
      </c>
      <c r="H2604" t="str">
        <f>IFERROR(VLOOKUP(D2604,'Team Data'!C:AB,7,FALSE),"")</f>
        <v/>
      </c>
      <c r="I2604" t="str">
        <f>IFERROR(VLOOKUP(D2604,'Team Data'!C:AB,14,FALSE),"")</f>
        <v/>
      </c>
      <c r="J2604" t="str">
        <f>IFERROR(VLOOKUP(D2604,'Team Data'!C:AB,8,FALSE),"")</f>
        <v/>
      </c>
      <c r="K2604" t="str">
        <f>IFERROR(VLOOKUP(D2604,'Team Data'!C:AB,9,FALSE),"")</f>
        <v/>
      </c>
      <c r="L2604" t="str">
        <f>IFERROR(VLOOKUP(D2604,'Team Data'!C:AB,10,FALSE),"")</f>
        <v/>
      </c>
      <c r="M2604" t="str">
        <f t="shared" si="82"/>
        <v/>
      </c>
      <c r="N2604" t="str">
        <f>IFERROR(VLOOKUP(D2604,'Team Data'!C:AB,23,FALSE),"")</f>
        <v/>
      </c>
      <c r="O2604" t="str">
        <f>IFERROR(VLOOKUP(D2604,'Team Data'!C:AB,22,FALSE),"")</f>
        <v/>
      </c>
      <c r="P2604" t="str">
        <f t="shared" si="83"/>
        <v/>
      </c>
      <c r="Q2604" t="str">
        <f>IFERROR(VLOOKUP(D2604,'Team Data'!C:AB,15,FALSE),"")</f>
        <v/>
      </c>
      <c r="R2604" t="str">
        <f>IFERROR(VLOOKUP('OB Format'!D2604,'Team Data'!C:AB,24,FALSE),"")</f>
        <v/>
      </c>
      <c r="S2604" t="str">
        <f>IFERROR(VLOOKUP('OB Format'!D2604,'Team Data'!C:AC,25,FALSE),"")</f>
        <v/>
      </c>
    </row>
    <row r="2605" spans="5:19" x14ac:dyDescent="0.25">
      <c r="E2605" t="str">
        <f>IFERROR(VLOOKUP(D2605,'Team Data'!C:AB,4,FALSE),"")</f>
        <v/>
      </c>
      <c r="F2605" t="str">
        <f>IFERROR(VLOOKUP(D2605,'Team Data'!C:AB,5,FALSE),"")</f>
        <v/>
      </c>
      <c r="G2605" t="str">
        <f>IFERROR(VLOOKUP('OB Format'!D2605,'Team Data'!C:AB,17,FALSE),"")</f>
        <v/>
      </c>
      <c r="H2605" t="str">
        <f>IFERROR(VLOOKUP(D2605,'Team Data'!C:AB,7,FALSE),"")</f>
        <v/>
      </c>
      <c r="I2605" t="str">
        <f>IFERROR(VLOOKUP(D2605,'Team Data'!C:AB,14,FALSE),"")</f>
        <v/>
      </c>
      <c r="J2605" t="str">
        <f>IFERROR(VLOOKUP(D2605,'Team Data'!C:AB,8,FALSE),"")</f>
        <v/>
      </c>
      <c r="K2605" t="str">
        <f>IFERROR(VLOOKUP(D2605,'Team Data'!C:AB,9,FALSE),"")</f>
        <v/>
      </c>
      <c r="L2605" t="str">
        <f>IFERROR(VLOOKUP(D2605,'Team Data'!C:AB,10,FALSE),"")</f>
        <v/>
      </c>
      <c r="M2605" t="str">
        <f t="shared" si="82"/>
        <v/>
      </c>
      <c r="N2605" t="str">
        <f>IFERROR(VLOOKUP(D2605,'Team Data'!C:AB,23,FALSE),"")</f>
        <v/>
      </c>
      <c r="O2605" t="str">
        <f>IFERROR(VLOOKUP(D2605,'Team Data'!C:AB,22,FALSE),"")</f>
        <v/>
      </c>
      <c r="P2605" t="str">
        <f t="shared" si="83"/>
        <v/>
      </c>
      <c r="Q2605" t="str">
        <f>IFERROR(VLOOKUP(D2605,'Team Data'!C:AB,15,FALSE),"")</f>
        <v/>
      </c>
      <c r="R2605" t="str">
        <f>IFERROR(VLOOKUP('OB Format'!D2605,'Team Data'!C:AB,24,FALSE),"")</f>
        <v/>
      </c>
      <c r="S2605" t="str">
        <f>IFERROR(VLOOKUP('OB Format'!D2605,'Team Data'!C:AC,25,FALSE),"")</f>
        <v/>
      </c>
    </row>
    <row r="2606" spans="5:19" x14ac:dyDescent="0.25">
      <c r="E2606" t="str">
        <f>IFERROR(VLOOKUP(D2606,'Team Data'!C:AB,4,FALSE),"")</f>
        <v/>
      </c>
      <c r="F2606" t="str">
        <f>IFERROR(VLOOKUP(D2606,'Team Data'!C:AB,5,FALSE),"")</f>
        <v/>
      </c>
      <c r="G2606" t="str">
        <f>IFERROR(VLOOKUP('OB Format'!D2606,'Team Data'!C:AB,17,FALSE),"")</f>
        <v/>
      </c>
      <c r="H2606" t="str">
        <f>IFERROR(VLOOKUP(D2606,'Team Data'!C:AB,7,FALSE),"")</f>
        <v/>
      </c>
      <c r="I2606" t="str">
        <f>IFERROR(VLOOKUP(D2606,'Team Data'!C:AB,14,FALSE),"")</f>
        <v/>
      </c>
      <c r="J2606" t="str">
        <f>IFERROR(VLOOKUP(D2606,'Team Data'!C:AB,8,FALSE),"")</f>
        <v/>
      </c>
      <c r="K2606" t="str">
        <f>IFERROR(VLOOKUP(D2606,'Team Data'!C:AB,9,FALSE),"")</f>
        <v/>
      </c>
      <c r="L2606" t="str">
        <f>IFERROR(VLOOKUP(D2606,'Team Data'!C:AB,10,FALSE),"")</f>
        <v/>
      </c>
      <c r="M2606" t="str">
        <f t="shared" si="82"/>
        <v/>
      </c>
      <c r="N2606" t="str">
        <f>IFERROR(VLOOKUP(D2606,'Team Data'!C:AB,23,FALSE),"")</f>
        <v/>
      </c>
      <c r="O2606" t="str">
        <f>IFERROR(VLOOKUP(D2606,'Team Data'!C:AB,22,FALSE),"")</f>
        <v/>
      </c>
      <c r="P2606" t="str">
        <f t="shared" si="83"/>
        <v/>
      </c>
      <c r="Q2606" t="str">
        <f>IFERROR(VLOOKUP(D2606,'Team Data'!C:AB,15,FALSE),"")</f>
        <v/>
      </c>
      <c r="R2606" t="str">
        <f>IFERROR(VLOOKUP('OB Format'!D2606,'Team Data'!C:AB,24,FALSE),"")</f>
        <v/>
      </c>
      <c r="S2606" t="str">
        <f>IFERROR(VLOOKUP('OB Format'!D2606,'Team Data'!C:AC,25,FALSE),"")</f>
        <v/>
      </c>
    </row>
    <row r="2607" spans="5:19" x14ac:dyDescent="0.25">
      <c r="E2607" t="str">
        <f>IFERROR(VLOOKUP(D2607,'Team Data'!C:AB,4,FALSE),"")</f>
        <v/>
      </c>
      <c r="F2607" t="str">
        <f>IFERROR(VLOOKUP(D2607,'Team Data'!C:AB,5,FALSE),"")</f>
        <v/>
      </c>
      <c r="G2607" t="str">
        <f>IFERROR(VLOOKUP('OB Format'!D2607,'Team Data'!C:AB,17,FALSE),"")</f>
        <v/>
      </c>
      <c r="H2607" t="str">
        <f>IFERROR(VLOOKUP(D2607,'Team Data'!C:AB,7,FALSE),"")</f>
        <v/>
      </c>
      <c r="I2607" t="str">
        <f>IFERROR(VLOOKUP(D2607,'Team Data'!C:AB,14,FALSE),"")</f>
        <v/>
      </c>
      <c r="J2607" t="str">
        <f>IFERROR(VLOOKUP(D2607,'Team Data'!C:AB,8,FALSE),"")</f>
        <v/>
      </c>
      <c r="K2607" t="str">
        <f>IFERROR(VLOOKUP(D2607,'Team Data'!C:AB,9,FALSE),"")</f>
        <v/>
      </c>
      <c r="L2607" t="str">
        <f>IFERROR(VLOOKUP(D2607,'Team Data'!C:AB,10,FALSE),"")</f>
        <v/>
      </c>
      <c r="M2607" t="str">
        <f t="shared" si="82"/>
        <v/>
      </c>
      <c r="N2607" t="str">
        <f>IFERROR(VLOOKUP(D2607,'Team Data'!C:AB,23,FALSE),"")</f>
        <v/>
      </c>
      <c r="O2607" t="str">
        <f>IFERROR(VLOOKUP(D2607,'Team Data'!C:AB,22,FALSE),"")</f>
        <v/>
      </c>
      <c r="P2607" t="str">
        <f t="shared" si="83"/>
        <v/>
      </c>
      <c r="Q2607" t="str">
        <f>IFERROR(VLOOKUP(D2607,'Team Data'!C:AB,15,FALSE),"")</f>
        <v/>
      </c>
      <c r="R2607" t="str">
        <f>IFERROR(VLOOKUP('OB Format'!D2607,'Team Data'!C:AB,24,FALSE),"")</f>
        <v/>
      </c>
      <c r="S2607" t="str">
        <f>IFERROR(VLOOKUP('OB Format'!D2607,'Team Data'!C:AC,25,FALSE),"")</f>
        <v/>
      </c>
    </row>
    <row r="2608" spans="5:19" x14ac:dyDescent="0.25">
      <c r="E2608" t="str">
        <f>IFERROR(VLOOKUP(D2608,'Team Data'!C:AB,4,FALSE),"")</f>
        <v/>
      </c>
      <c r="F2608" t="str">
        <f>IFERROR(VLOOKUP(D2608,'Team Data'!C:AB,5,FALSE),"")</f>
        <v/>
      </c>
      <c r="G2608" t="str">
        <f>IFERROR(VLOOKUP('OB Format'!D2608,'Team Data'!C:AB,17,FALSE),"")</f>
        <v/>
      </c>
      <c r="H2608" t="str">
        <f>IFERROR(VLOOKUP(D2608,'Team Data'!C:AB,7,FALSE),"")</f>
        <v/>
      </c>
      <c r="I2608" t="str">
        <f>IFERROR(VLOOKUP(D2608,'Team Data'!C:AB,14,FALSE),"")</f>
        <v/>
      </c>
      <c r="J2608" t="str">
        <f>IFERROR(VLOOKUP(D2608,'Team Data'!C:AB,8,FALSE),"")</f>
        <v/>
      </c>
      <c r="K2608" t="str">
        <f>IFERROR(VLOOKUP(D2608,'Team Data'!C:AB,9,FALSE),"")</f>
        <v/>
      </c>
      <c r="L2608" t="str">
        <f>IFERROR(VLOOKUP(D2608,'Team Data'!C:AB,10,FALSE),"")</f>
        <v/>
      </c>
      <c r="M2608" t="str">
        <f t="shared" si="82"/>
        <v/>
      </c>
      <c r="N2608" t="str">
        <f>IFERROR(VLOOKUP(D2608,'Team Data'!C:AB,23,FALSE),"")</f>
        <v/>
      </c>
      <c r="O2608" t="str">
        <f>IFERROR(VLOOKUP(D2608,'Team Data'!C:AB,22,FALSE),"")</f>
        <v/>
      </c>
      <c r="P2608" t="str">
        <f t="shared" si="83"/>
        <v/>
      </c>
      <c r="Q2608" t="str">
        <f>IFERROR(VLOOKUP(D2608,'Team Data'!C:AB,15,FALSE),"")</f>
        <v/>
      </c>
      <c r="R2608" t="str">
        <f>IFERROR(VLOOKUP('OB Format'!D2608,'Team Data'!C:AB,24,FALSE),"")</f>
        <v/>
      </c>
      <c r="S2608" t="str">
        <f>IFERROR(VLOOKUP('OB Format'!D2608,'Team Data'!C:AC,25,FALSE),"")</f>
        <v/>
      </c>
    </row>
    <row r="2609" spans="5:19" x14ac:dyDescent="0.25">
      <c r="E2609" t="str">
        <f>IFERROR(VLOOKUP(D2609,'Team Data'!C:AB,4,FALSE),"")</f>
        <v/>
      </c>
      <c r="F2609" t="str">
        <f>IFERROR(VLOOKUP(D2609,'Team Data'!C:AB,5,FALSE),"")</f>
        <v/>
      </c>
      <c r="G2609" t="str">
        <f>IFERROR(VLOOKUP('OB Format'!D2609,'Team Data'!C:AB,17,FALSE),"")</f>
        <v/>
      </c>
      <c r="H2609" t="str">
        <f>IFERROR(VLOOKUP(D2609,'Team Data'!C:AB,7,FALSE),"")</f>
        <v/>
      </c>
      <c r="I2609" t="str">
        <f>IFERROR(VLOOKUP(D2609,'Team Data'!C:AB,14,FALSE),"")</f>
        <v/>
      </c>
      <c r="J2609" t="str">
        <f>IFERROR(VLOOKUP(D2609,'Team Data'!C:AB,8,FALSE),"")</f>
        <v/>
      </c>
      <c r="K2609" t="str">
        <f>IFERROR(VLOOKUP(D2609,'Team Data'!C:AB,9,FALSE),"")</f>
        <v/>
      </c>
      <c r="L2609" t="str">
        <f>IFERROR(VLOOKUP(D2609,'Team Data'!C:AB,10,FALSE),"")</f>
        <v/>
      </c>
      <c r="M2609" t="str">
        <f t="shared" si="82"/>
        <v/>
      </c>
      <c r="N2609" t="str">
        <f>IFERROR(VLOOKUP(D2609,'Team Data'!C:AB,23,FALSE),"")</f>
        <v/>
      </c>
      <c r="O2609" t="str">
        <f>IFERROR(VLOOKUP(D2609,'Team Data'!C:AB,22,FALSE),"")</f>
        <v/>
      </c>
      <c r="P2609" t="str">
        <f t="shared" si="83"/>
        <v/>
      </c>
      <c r="Q2609" t="str">
        <f>IFERROR(VLOOKUP(D2609,'Team Data'!C:AB,15,FALSE),"")</f>
        <v/>
      </c>
      <c r="R2609" t="str">
        <f>IFERROR(VLOOKUP('OB Format'!D2609,'Team Data'!C:AB,24,FALSE),"")</f>
        <v/>
      </c>
      <c r="S2609" t="str">
        <f>IFERROR(VLOOKUP('OB Format'!D2609,'Team Data'!C:AC,25,FALSE),"")</f>
        <v/>
      </c>
    </row>
    <row r="2610" spans="5:19" x14ac:dyDescent="0.25">
      <c r="E2610" t="str">
        <f>IFERROR(VLOOKUP(D2610,'Team Data'!C:AB,4,FALSE),"")</f>
        <v/>
      </c>
      <c r="F2610" t="str">
        <f>IFERROR(VLOOKUP(D2610,'Team Data'!C:AB,5,FALSE),"")</f>
        <v/>
      </c>
      <c r="G2610" t="str">
        <f>IFERROR(VLOOKUP('OB Format'!D2610,'Team Data'!C:AB,17,FALSE),"")</f>
        <v/>
      </c>
      <c r="H2610" t="str">
        <f>IFERROR(VLOOKUP(D2610,'Team Data'!C:AB,7,FALSE),"")</f>
        <v/>
      </c>
      <c r="I2610" t="str">
        <f>IFERROR(VLOOKUP(D2610,'Team Data'!C:AB,14,FALSE),"")</f>
        <v/>
      </c>
      <c r="J2610" t="str">
        <f>IFERROR(VLOOKUP(D2610,'Team Data'!C:AB,8,FALSE),"")</f>
        <v/>
      </c>
      <c r="K2610" t="str">
        <f>IFERROR(VLOOKUP(D2610,'Team Data'!C:AB,9,FALSE),"")</f>
        <v/>
      </c>
      <c r="L2610" t="str">
        <f>IFERROR(VLOOKUP(D2610,'Team Data'!C:AB,10,FALSE),"")</f>
        <v/>
      </c>
      <c r="M2610" t="str">
        <f t="shared" si="82"/>
        <v/>
      </c>
      <c r="N2610" t="str">
        <f>IFERROR(VLOOKUP(D2610,'Team Data'!C:AB,23,FALSE),"")</f>
        <v/>
      </c>
      <c r="O2610" t="str">
        <f>IFERROR(VLOOKUP(D2610,'Team Data'!C:AB,22,FALSE),"")</f>
        <v/>
      </c>
      <c r="P2610" t="str">
        <f t="shared" si="83"/>
        <v/>
      </c>
      <c r="Q2610" t="str">
        <f>IFERROR(VLOOKUP(D2610,'Team Data'!C:AB,15,FALSE),"")</f>
        <v/>
      </c>
      <c r="R2610" t="str">
        <f>IFERROR(VLOOKUP('OB Format'!D2610,'Team Data'!C:AB,24,FALSE),"")</f>
        <v/>
      </c>
      <c r="S2610" t="str">
        <f>IFERROR(VLOOKUP('OB Format'!D2610,'Team Data'!C:AC,25,FALSE),"")</f>
        <v/>
      </c>
    </row>
    <row r="2611" spans="5:19" x14ac:dyDescent="0.25">
      <c r="E2611" t="str">
        <f>IFERROR(VLOOKUP(D2611,'Team Data'!C:AB,4,FALSE),"")</f>
        <v/>
      </c>
      <c r="F2611" t="str">
        <f>IFERROR(VLOOKUP(D2611,'Team Data'!C:AB,5,FALSE),"")</f>
        <v/>
      </c>
      <c r="G2611" t="str">
        <f>IFERROR(VLOOKUP('OB Format'!D2611,'Team Data'!C:AB,17,FALSE),"")</f>
        <v/>
      </c>
      <c r="H2611" t="str">
        <f>IFERROR(VLOOKUP(D2611,'Team Data'!C:AB,7,FALSE),"")</f>
        <v/>
      </c>
      <c r="I2611" t="str">
        <f>IFERROR(VLOOKUP(D2611,'Team Data'!C:AB,14,FALSE),"")</f>
        <v/>
      </c>
      <c r="J2611" t="str">
        <f>IFERROR(VLOOKUP(D2611,'Team Data'!C:AB,8,FALSE),"")</f>
        <v/>
      </c>
      <c r="K2611" t="str">
        <f>IFERROR(VLOOKUP(D2611,'Team Data'!C:AB,9,FALSE),"")</f>
        <v/>
      </c>
      <c r="L2611" t="str">
        <f>IFERROR(VLOOKUP(D2611,'Team Data'!C:AB,10,FALSE),"")</f>
        <v/>
      </c>
      <c r="M2611" t="str">
        <f t="shared" si="82"/>
        <v/>
      </c>
      <c r="N2611" t="str">
        <f>IFERROR(VLOOKUP(D2611,'Team Data'!C:AB,23,FALSE),"")</f>
        <v/>
      </c>
      <c r="O2611" t="str">
        <f>IFERROR(VLOOKUP(D2611,'Team Data'!C:AB,22,FALSE),"")</f>
        <v/>
      </c>
      <c r="P2611" t="str">
        <f t="shared" si="83"/>
        <v/>
      </c>
      <c r="Q2611" t="str">
        <f>IFERROR(VLOOKUP(D2611,'Team Data'!C:AB,15,FALSE),"")</f>
        <v/>
      </c>
      <c r="R2611" t="str">
        <f>IFERROR(VLOOKUP('OB Format'!D2611,'Team Data'!C:AB,24,FALSE),"")</f>
        <v/>
      </c>
      <c r="S2611" t="str">
        <f>IFERROR(VLOOKUP('OB Format'!D2611,'Team Data'!C:AC,25,FALSE),"")</f>
        <v/>
      </c>
    </row>
    <row r="2612" spans="5:19" x14ac:dyDescent="0.25">
      <c r="E2612" t="str">
        <f>IFERROR(VLOOKUP(D2612,'Team Data'!C:AB,4,FALSE),"")</f>
        <v/>
      </c>
      <c r="F2612" t="str">
        <f>IFERROR(VLOOKUP(D2612,'Team Data'!C:AB,5,FALSE),"")</f>
        <v/>
      </c>
      <c r="G2612" t="str">
        <f>IFERROR(VLOOKUP('OB Format'!D2612,'Team Data'!C:AB,17,FALSE),"")</f>
        <v/>
      </c>
      <c r="H2612" t="str">
        <f>IFERROR(VLOOKUP(D2612,'Team Data'!C:AB,7,FALSE),"")</f>
        <v/>
      </c>
      <c r="I2612" t="str">
        <f>IFERROR(VLOOKUP(D2612,'Team Data'!C:AB,14,FALSE),"")</f>
        <v/>
      </c>
      <c r="J2612" t="str">
        <f>IFERROR(VLOOKUP(D2612,'Team Data'!C:AB,8,FALSE),"")</f>
        <v/>
      </c>
      <c r="K2612" t="str">
        <f>IFERROR(VLOOKUP(D2612,'Team Data'!C:AB,9,FALSE),"")</f>
        <v/>
      </c>
      <c r="L2612" t="str">
        <f>IFERROR(VLOOKUP(D2612,'Team Data'!C:AB,10,FALSE),"")</f>
        <v/>
      </c>
      <c r="M2612" t="str">
        <f t="shared" si="82"/>
        <v/>
      </c>
      <c r="N2612" t="str">
        <f>IFERROR(VLOOKUP(D2612,'Team Data'!C:AB,23,FALSE),"")</f>
        <v/>
      </c>
      <c r="O2612" t="str">
        <f>IFERROR(VLOOKUP(D2612,'Team Data'!C:AB,22,FALSE),"")</f>
        <v/>
      </c>
      <c r="P2612" t="str">
        <f t="shared" si="83"/>
        <v/>
      </c>
      <c r="Q2612" t="str">
        <f>IFERROR(VLOOKUP(D2612,'Team Data'!C:AB,15,FALSE),"")</f>
        <v/>
      </c>
      <c r="R2612" t="str">
        <f>IFERROR(VLOOKUP('OB Format'!D2612,'Team Data'!C:AB,24,FALSE),"")</f>
        <v/>
      </c>
      <c r="S2612" t="str">
        <f>IFERROR(VLOOKUP('OB Format'!D2612,'Team Data'!C:AC,25,FALSE),"")</f>
        <v/>
      </c>
    </row>
    <row r="2613" spans="5:19" x14ac:dyDescent="0.25">
      <c r="E2613" t="str">
        <f>IFERROR(VLOOKUP(D2613,'Team Data'!C:AB,4,FALSE),"")</f>
        <v/>
      </c>
      <c r="F2613" t="str">
        <f>IFERROR(VLOOKUP(D2613,'Team Data'!C:AB,5,FALSE),"")</f>
        <v/>
      </c>
      <c r="G2613" t="str">
        <f>IFERROR(VLOOKUP('OB Format'!D2613,'Team Data'!C:AB,17,FALSE),"")</f>
        <v/>
      </c>
      <c r="H2613" t="str">
        <f>IFERROR(VLOOKUP(D2613,'Team Data'!C:AB,7,FALSE),"")</f>
        <v/>
      </c>
      <c r="I2613" t="str">
        <f>IFERROR(VLOOKUP(D2613,'Team Data'!C:AB,14,FALSE),"")</f>
        <v/>
      </c>
      <c r="J2613" t="str">
        <f>IFERROR(VLOOKUP(D2613,'Team Data'!C:AB,8,FALSE),"")</f>
        <v/>
      </c>
      <c r="K2613" t="str">
        <f>IFERROR(VLOOKUP(D2613,'Team Data'!C:AB,9,FALSE),"")</f>
        <v/>
      </c>
      <c r="L2613" t="str">
        <f>IFERROR(VLOOKUP(D2613,'Team Data'!C:AB,10,FALSE),"")</f>
        <v/>
      </c>
      <c r="M2613" t="str">
        <f t="shared" si="82"/>
        <v/>
      </c>
      <c r="N2613" t="str">
        <f>IFERROR(VLOOKUP(D2613,'Team Data'!C:AB,23,FALSE),"")</f>
        <v/>
      </c>
      <c r="O2613" t="str">
        <f>IFERROR(VLOOKUP(D2613,'Team Data'!C:AB,22,FALSE),"")</f>
        <v/>
      </c>
      <c r="P2613" t="str">
        <f t="shared" si="83"/>
        <v/>
      </c>
      <c r="Q2613" t="str">
        <f>IFERROR(VLOOKUP(D2613,'Team Data'!C:AB,15,FALSE),"")</f>
        <v/>
      </c>
      <c r="R2613" t="str">
        <f>IFERROR(VLOOKUP('OB Format'!D2613,'Team Data'!C:AB,24,FALSE),"")</f>
        <v/>
      </c>
      <c r="S2613" t="str">
        <f>IFERROR(VLOOKUP('OB Format'!D2613,'Team Data'!C:AC,25,FALSE),"")</f>
        <v/>
      </c>
    </row>
    <row r="2614" spans="5:19" x14ac:dyDescent="0.25">
      <c r="E2614" t="str">
        <f>IFERROR(VLOOKUP(D2614,'Team Data'!C:AB,4,FALSE),"")</f>
        <v/>
      </c>
      <c r="F2614" t="str">
        <f>IFERROR(VLOOKUP(D2614,'Team Data'!C:AB,5,FALSE),"")</f>
        <v/>
      </c>
      <c r="G2614" t="str">
        <f>IFERROR(VLOOKUP('OB Format'!D2614,'Team Data'!C:AB,17,FALSE),"")</f>
        <v/>
      </c>
      <c r="H2614" t="str">
        <f>IFERROR(VLOOKUP(D2614,'Team Data'!C:AB,7,FALSE),"")</f>
        <v/>
      </c>
      <c r="I2614" t="str">
        <f>IFERROR(VLOOKUP(D2614,'Team Data'!C:AB,14,FALSE),"")</f>
        <v/>
      </c>
      <c r="J2614" t="str">
        <f>IFERROR(VLOOKUP(D2614,'Team Data'!C:AB,8,FALSE),"")</f>
        <v/>
      </c>
      <c r="K2614" t="str">
        <f>IFERROR(VLOOKUP(D2614,'Team Data'!C:AB,9,FALSE),"")</f>
        <v/>
      </c>
      <c r="L2614" t="str">
        <f>IFERROR(VLOOKUP(D2614,'Team Data'!C:AB,10,FALSE),"")</f>
        <v/>
      </c>
      <c r="M2614" t="str">
        <f t="shared" si="82"/>
        <v/>
      </c>
      <c r="N2614" t="str">
        <f>IFERROR(VLOOKUP(D2614,'Team Data'!C:AB,23,FALSE),"")</f>
        <v/>
      </c>
      <c r="O2614" t="str">
        <f>IFERROR(VLOOKUP(D2614,'Team Data'!C:AB,22,FALSE),"")</f>
        <v/>
      </c>
      <c r="P2614" t="str">
        <f t="shared" si="83"/>
        <v/>
      </c>
      <c r="Q2614" t="str">
        <f>IFERROR(VLOOKUP(D2614,'Team Data'!C:AB,15,FALSE),"")</f>
        <v/>
      </c>
      <c r="R2614" t="str">
        <f>IFERROR(VLOOKUP('OB Format'!D2614,'Team Data'!C:AB,24,FALSE),"")</f>
        <v/>
      </c>
      <c r="S2614" t="str">
        <f>IFERROR(VLOOKUP('OB Format'!D2614,'Team Data'!C:AC,25,FALSE),"")</f>
        <v/>
      </c>
    </row>
    <row r="2615" spans="5:19" x14ac:dyDescent="0.25">
      <c r="E2615" t="str">
        <f>IFERROR(VLOOKUP(D2615,'Team Data'!C:AB,4,FALSE),"")</f>
        <v/>
      </c>
      <c r="F2615" t="str">
        <f>IFERROR(VLOOKUP(D2615,'Team Data'!C:AB,5,FALSE),"")</f>
        <v/>
      </c>
      <c r="G2615" t="str">
        <f>IFERROR(VLOOKUP('OB Format'!D2615,'Team Data'!C:AB,17,FALSE),"")</f>
        <v/>
      </c>
      <c r="H2615" t="str">
        <f>IFERROR(VLOOKUP(D2615,'Team Data'!C:AB,7,FALSE),"")</f>
        <v/>
      </c>
      <c r="I2615" t="str">
        <f>IFERROR(VLOOKUP(D2615,'Team Data'!C:AB,14,FALSE),"")</f>
        <v/>
      </c>
      <c r="J2615" t="str">
        <f>IFERROR(VLOOKUP(D2615,'Team Data'!C:AB,8,FALSE),"")</f>
        <v/>
      </c>
      <c r="K2615" t="str">
        <f>IFERROR(VLOOKUP(D2615,'Team Data'!C:AB,9,FALSE),"")</f>
        <v/>
      </c>
      <c r="L2615" t="str">
        <f>IFERROR(VLOOKUP(D2615,'Team Data'!C:AB,10,FALSE),"")</f>
        <v/>
      </c>
      <c r="M2615" t="str">
        <f t="shared" si="82"/>
        <v/>
      </c>
      <c r="N2615" t="str">
        <f>IFERROR(VLOOKUP(D2615,'Team Data'!C:AB,23,FALSE),"")</f>
        <v/>
      </c>
      <c r="O2615" t="str">
        <f>IFERROR(VLOOKUP(D2615,'Team Data'!C:AB,22,FALSE),"")</f>
        <v/>
      </c>
      <c r="P2615" t="str">
        <f t="shared" si="83"/>
        <v/>
      </c>
      <c r="Q2615" t="str">
        <f>IFERROR(VLOOKUP(D2615,'Team Data'!C:AB,15,FALSE),"")</f>
        <v/>
      </c>
      <c r="R2615" t="str">
        <f>IFERROR(VLOOKUP('OB Format'!D2615,'Team Data'!C:AB,24,FALSE),"")</f>
        <v/>
      </c>
      <c r="S2615" t="str">
        <f>IFERROR(VLOOKUP('OB Format'!D2615,'Team Data'!C:AC,25,FALSE),"")</f>
        <v/>
      </c>
    </row>
    <row r="2616" spans="5:19" x14ac:dyDescent="0.25">
      <c r="E2616" t="str">
        <f>IFERROR(VLOOKUP(D2616,'Team Data'!C:AB,4,FALSE),"")</f>
        <v/>
      </c>
      <c r="F2616" t="str">
        <f>IFERROR(VLOOKUP(D2616,'Team Data'!C:AB,5,FALSE),"")</f>
        <v/>
      </c>
      <c r="G2616" t="str">
        <f>IFERROR(VLOOKUP('OB Format'!D2616,'Team Data'!C:AB,17,FALSE),"")</f>
        <v/>
      </c>
      <c r="H2616" t="str">
        <f>IFERROR(VLOOKUP(D2616,'Team Data'!C:AB,7,FALSE),"")</f>
        <v/>
      </c>
      <c r="I2616" t="str">
        <f>IFERROR(VLOOKUP(D2616,'Team Data'!C:AB,14,FALSE),"")</f>
        <v/>
      </c>
      <c r="J2616" t="str">
        <f>IFERROR(VLOOKUP(D2616,'Team Data'!C:AB,8,FALSE),"")</f>
        <v/>
      </c>
      <c r="K2616" t="str">
        <f>IFERROR(VLOOKUP(D2616,'Team Data'!C:AB,9,FALSE),"")</f>
        <v/>
      </c>
      <c r="L2616" t="str">
        <f>IFERROR(VLOOKUP(D2616,'Team Data'!C:AB,10,FALSE),"")</f>
        <v/>
      </c>
      <c r="M2616" t="str">
        <f t="shared" si="82"/>
        <v/>
      </c>
      <c r="N2616" t="str">
        <f>IFERROR(VLOOKUP(D2616,'Team Data'!C:AB,23,FALSE),"")</f>
        <v/>
      </c>
      <c r="O2616" t="str">
        <f>IFERROR(VLOOKUP(D2616,'Team Data'!C:AB,22,FALSE),"")</f>
        <v/>
      </c>
      <c r="P2616" t="str">
        <f t="shared" si="83"/>
        <v/>
      </c>
      <c r="Q2616" t="str">
        <f>IFERROR(VLOOKUP(D2616,'Team Data'!C:AB,15,FALSE),"")</f>
        <v/>
      </c>
      <c r="R2616" t="str">
        <f>IFERROR(VLOOKUP('OB Format'!D2616,'Team Data'!C:AB,24,FALSE),"")</f>
        <v/>
      </c>
      <c r="S2616" t="str">
        <f>IFERROR(VLOOKUP('OB Format'!D2616,'Team Data'!C:AC,25,FALSE),"")</f>
        <v/>
      </c>
    </row>
    <row r="2617" spans="5:19" x14ac:dyDescent="0.25">
      <c r="E2617" t="str">
        <f>IFERROR(VLOOKUP(D2617,'Team Data'!C:AB,4,FALSE),"")</f>
        <v/>
      </c>
      <c r="F2617" t="str">
        <f>IFERROR(VLOOKUP(D2617,'Team Data'!C:AB,5,FALSE),"")</f>
        <v/>
      </c>
      <c r="G2617" t="str">
        <f>IFERROR(VLOOKUP('OB Format'!D2617,'Team Data'!C:AB,17,FALSE),"")</f>
        <v/>
      </c>
      <c r="H2617" t="str">
        <f>IFERROR(VLOOKUP(D2617,'Team Data'!C:AB,7,FALSE),"")</f>
        <v/>
      </c>
      <c r="I2617" t="str">
        <f>IFERROR(VLOOKUP(D2617,'Team Data'!C:AB,14,FALSE),"")</f>
        <v/>
      </c>
      <c r="J2617" t="str">
        <f>IFERROR(VLOOKUP(D2617,'Team Data'!C:AB,8,FALSE),"")</f>
        <v/>
      </c>
      <c r="K2617" t="str">
        <f>IFERROR(VLOOKUP(D2617,'Team Data'!C:AB,9,FALSE),"")</f>
        <v/>
      </c>
      <c r="L2617" t="str">
        <f>IFERROR(VLOOKUP(D2617,'Team Data'!C:AB,10,FALSE),"")</f>
        <v/>
      </c>
      <c r="M2617" t="str">
        <f t="shared" si="82"/>
        <v/>
      </c>
      <c r="N2617" t="str">
        <f>IFERROR(VLOOKUP(D2617,'Team Data'!C:AB,23,FALSE),"")</f>
        <v/>
      </c>
      <c r="O2617" t="str">
        <f>IFERROR(VLOOKUP(D2617,'Team Data'!C:AB,22,FALSE),"")</f>
        <v/>
      </c>
      <c r="P2617" t="str">
        <f t="shared" si="83"/>
        <v/>
      </c>
      <c r="Q2617" t="str">
        <f>IFERROR(VLOOKUP(D2617,'Team Data'!C:AB,15,FALSE),"")</f>
        <v/>
      </c>
      <c r="R2617" t="str">
        <f>IFERROR(VLOOKUP('OB Format'!D2617,'Team Data'!C:AB,24,FALSE),"")</f>
        <v/>
      </c>
      <c r="S2617" t="str">
        <f>IFERROR(VLOOKUP('OB Format'!D2617,'Team Data'!C:AC,25,FALSE),"")</f>
        <v/>
      </c>
    </row>
    <row r="2618" spans="5:19" x14ac:dyDescent="0.25">
      <c r="E2618" t="str">
        <f>IFERROR(VLOOKUP(D2618,'Team Data'!C:AB,4,FALSE),"")</f>
        <v/>
      </c>
      <c r="F2618" t="str">
        <f>IFERROR(VLOOKUP(D2618,'Team Data'!C:AB,5,FALSE),"")</f>
        <v/>
      </c>
      <c r="G2618" t="str">
        <f>IFERROR(VLOOKUP('OB Format'!D2618,'Team Data'!C:AB,17,FALSE),"")</f>
        <v/>
      </c>
      <c r="H2618" t="str">
        <f>IFERROR(VLOOKUP(D2618,'Team Data'!C:AB,7,FALSE),"")</f>
        <v/>
      </c>
      <c r="I2618" t="str">
        <f>IFERROR(VLOOKUP(D2618,'Team Data'!C:AB,14,FALSE),"")</f>
        <v/>
      </c>
      <c r="J2618" t="str">
        <f>IFERROR(VLOOKUP(D2618,'Team Data'!C:AB,8,FALSE),"")</f>
        <v/>
      </c>
      <c r="K2618" t="str">
        <f>IFERROR(VLOOKUP(D2618,'Team Data'!C:AB,9,FALSE),"")</f>
        <v/>
      </c>
      <c r="L2618" t="str">
        <f>IFERROR(VLOOKUP(D2618,'Team Data'!C:AB,10,FALSE),"")</f>
        <v/>
      </c>
      <c r="M2618" t="str">
        <f t="shared" si="82"/>
        <v/>
      </c>
      <c r="N2618" t="str">
        <f>IFERROR(VLOOKUP(D2618,'Team Data'!C:AB,23,FALSE),"")</f>
        <v/>
      </c>
      <c r="O2618" t="str">
        <f>IFERROR(VLOOKUP(D2618,'Team Data'!C:AB,22,FALSE),"")</f>
        <v/>
      </c>
      <c r="P2618" t="str">
        <f t="shared" si="83"/>
        <v/>
      </c>
      <c r="Q2618" t="str">
        <f>IFERROR(VLOOKUP(D2618,'Team Data'!C:AB,15,FALSE),"")</f>
        <v/>
      </c>
      <c r="R2618" t="str">
        <f>IFERROR(VLOOKUP('OB Format'!D2618,'Team Data'!C:AB,24,FALSE),"")</f>
        <v/>
      </c>
      <c r="S2618" t="str">
        <f>IFERROR(VLOOKUP('OB Format'!D2618,'Team Data'!C:AC,25,FALSE),"")</f>
        <v/>
      </c>
    </row>
    <row r="2619" spans="5:19" x14ac:dyDescent="0.25">
      <c r="E2619" t="str">
        <f>IFERROR(VLOOKUP(D2619,'Team Data'!C:AB,4,FALSE),"")</f>
        <v/>
      </c>
      <c r="F2619" t="str">
        <f>IFERROR(VLOOKUP(D2619,'Team Data'!C:AB,5,FALSE),"")</f>
        <v/>
      </c>
      <c r="G2619" t="str">
        <f>IFERROR(VLOOKUP('OB Format'!D2619,'Team Data'!C:AB,17,FALSE),"")</f>
        <v/>
      </c>
      <c r="H2619" t="str">
        <f>IFERROR(VLOOKUP(D2619,'Team Data'!C:AB,7,FALSE),"")</f>
        <v/>
      </c>
      <c r="I2619" t="str">
        <f>IFERROR(VLOOKUP(D2619,'Team Data'!C:AB,14,FALSE),"")</f>
        <v/>
      </c>
      <c r="J2619" t="str">
        <f>IFERROR(VLOOKUP(D2619,'Team Data'!C:AB,8,FALSE),"")</f>
        <v/>
      </c>
      <c r="K2619" t="str">
        <f>IFERROR(VLOOKUP(D2619,'Team Data'!C:AB,9,FALSE),"")</f>
        <v/>
      </c>
      <c r="L2619" t="str">
        <f>IFERROR(VLOOKUP(D2619,'Team Data'!C:AB,10,FALSE),"")</f>
        <v/>
      </c>
      <c r="M2619" t="str">
        <f t="shared" si="82"/>
        <v/>
      </c>
      <c r="N2619" t="str">
        <f>IFERROR(VLOOKUP(D2619,'Team Data'!C:AB,23,FALSE),"")</f>
        <v/>
      </c>
      <c r="O2619" t="str">
        <f>IFERROR(VLOOKUP(D2619,'Team Data'!C:AB,22,FALSE),"")</f>
        <v/>
      </c>
      <c r="P2619" t="str">
        <f t="shared" si="83"/>
        <v/>
      </c>
      <c r="Q2619" t="str">
        <f>IFERROR(VLOOKUP(D2619,'Team Data'!C:AB,15,FALSE),"")</f>
        <v/>
      </c>
      <c r="R2619" t="str">
        <f>IFERROR(VLOOKUP('OB Format'!D2619,'Team Data'!C:AB,24,FALSE),"")</f>
        <v/>
      </c>
      <c r="S2619" t="str">
        <f>IFERROR(VLOOKUP('OB Format'!D2619,'Team Data'!C:AC,25,FALSE),"")</f>
        <v/>
      </c>
    </row>
    <row r="2620" spans="5:19" x14ac:dyDescent="0.25">
      <c r="E2620" t="str">
        <f>IFERROR(VLOOKUP(D2620,'Team Data'!C:AB,4,FALSE),"")</f>
        <v/>
      </c>
      <c r="F2620" t="str">
        <f>IFERROR(VLOOKUP(D2620,'Team Data'!C:AB,5,FALSE),"")</f>
        <v/>
      </c>
      <c r="G2620" t="str">
        <f>IFERROR(VLOOKUP('OB Format'!D2620,'Team Data'!C:AB,17,FALSE),"")</f>
        <v/>
      </c>
      <c r="H2620" t="str">
        <f>IFERROR(VLOOKUP(D2620,'Team Data'!C:AB,7,FALSE),"")</f>
        <v/>
      </c>
      <c r="I2620" t="str">
        <f>IFERROR(VLOOKUP(D2620,'Team Data'!C:AB,14,FALSE),"")</f>
        <v/>
      </c>
      <c r="J2620" t="str">
        <f>IFERROR(VLOOKUP(D2620,'Team Data'!C:AB,8,FALSE),"")</f>
        <v/>
      </c>
      <c r="K2620" t="str">
        <f>IFERROR(VLOOKUP(D2620,'Team Data'!C:AB,9,FALSE),"")</f>
        <v/>
      </c>
      <c r="L2620" t="str">
        <f>IFERROR(VLOOKUP(D2620,'Team Data'!C:AB,10,FALSE),"")</f>
        <v/>
      </c>
      <c r="M2620" t="str">
        <f t="shared" si="82"/>
        <v/>
      </c>
      <c r="N2620" t="str">
        <f>IFERROR(VLOOKUP(D2620,'Team Data'!C:AB,23,FALSE),"")</f>
        <v/>
      </c>
      <c r="O2620" t="str">
        <f>IFERROR(VLOOKUP(D2620,'Team Data'!C:AB,22,FALSE),"")</f>
        <v/>
      </c>
      <c r="P2620" t="str">
        <f t="shared" si="83"/>
        <v/>
      </c>
      <c r="Q2620" t="str">
        <f>IFERROR(VLOOKUP(D2620,'Team Data'!C:AB,15,FALSE),"")</f>
        <v/>
      </c>
      <c r="R2620" t="str">
        <f>IFERROR(VLOOKUP('OB Format'!D2620,'Team Data'!C:AB,24,FALSE),"")</f>
        <v/>
      </c>
      <c r="S2620" t="str">
        <f>IFERROR(VLOOKUP('OB Format'!D2620,'Team Data'!C:AC,25,FALSE),"")</f>
        <v/>
      </c>
    </row>
    <row r="2621" spans="5:19" x14ac:dyDescent="0.25">
      <c r="E2621" t="str">
        <f>IFERROR(VLOOKUP(D2621,'Team Data'!C:AB,4,FALSE),"")</f>
        <v/>
      </c>
      <c r="F2621" t="str">
        <f>IFERROR(VLOOKUP(D2621,'Team Data'!C:AB,5,FALSE),"")</f>
        <v/>
      </c>
      <c r="G2621" t="str">
        <f>IFERROR(VLOOKUP('OB Format'!D2621,'Team Data'!C:AB,17,FALSE),"")</f>
        <v/>
      </c>
      <c r="H2621" t="str">
        <f>IFERROR(VLOOKUP(D2621,'Team Data'!C:AB,7,FALSE),"")</f>
        <v/>
      </c>
      <c r="I2621" t="str">
        <f>IFERROR(VLOOKUP(D2621,'Team Data'!C:AB,14,FALSE),"")</f>
        <v/>
      </c>
      <c r="J2621" t="str">
        <f>IFERROR(VLOOKUP(D2621,'Team Data'!C:AB,8,FALSE),"")</f>
        <v/>
      </c>
      <c r="K2621" t="str">
        <f>IFERROR(VLOOKUP(D2621,'Team Data'!C:AB,9,FALSE),"")</f>
        <v/>
      </c>
      <c r="L2621" t="str">
        <f>IFERROR(VLOOKUP(D2621,'Team Data'!C:AB,10,FALSE),"")</f>
        <v/>
      </c>
      <c r="M2621" t="str">
        <f t="shared" si="82"/>
        <v/>
      </c>
      <c r="N2621" t="str">
        <f>IFERROR(VLOOKUP(D2621,'Team Data'!C:AB,23,FALSE),"")</f>
        <v/>
      </c>
      <c r="O2621" t="str">
        <f>IFERROR(VLOOKUP(D2621,'Team Data'!C:AB,22,FALSE),"")</f>
        <v/>
      </c>
      <c r="P2621" t="str">
        <f t="shared" si="83"/>
        <v/>
      </c>
      <c r="Q2621" t="str">
        <f>IFERROR(VLOOKUP(D2621,'Team Data'!C:AB,15,FALSE),"")</f>
        <v/>
      </c>
      <c r="R2621" t="str">
        <f>IFERROR(VLOOKUP('OB Format'!D2621,'Team Data'!C:AB,24,FALSE),"")</f>
        <v/>
      </c>
      <c r="S2621" t="str">
        <f>IFERROR(VLOOKUP('OB Format'!D2621,'Team Data'!C:AC,25,FALSE),"")</f>
        <v/>
      </c>
    </row>
    <row r="2622" spans="5:19" x14ac:dyDescent="0.25">
      <c r="E2622" t="str">
        <f>IFERROR(VLOOKUP(D2622,'Team Data'!C:AB,4,FALSE),"")</f>
        <v/>
      </c>
      <c r="F2622" t="str">
        <f>IFERROR(VLOOKUP(D2622,'Team Data'!C:AB,5,FALSE),"")</f>
        <v/>
      </c>
      <c r="G2622" t="str">
        <f>IFERROR(VLOOKUP('OB Format'!D2622,'Team Data'!C:AB,17,FALSE),"")</f>
        <v/>
      </c>
      <c r="H2622" t="str">
        <f>IFERROR(VLOOKUP(D2622,'Team Data'!C:AB,7,FALSE),"")</f>
        <v/>
      </c>
      <c r="I2622" t="str">
        <f>IFERROR(VLOOKUP(D2622,'Team Data'!C:AB,14,FALSE),"")</f>
        <v/>
      </c>
      <c r="J2622" t="str">
        <f>IFERROR(VLOOKUP(D2622,'Team Data'!C:AB,8,FALSE),"")</f>
        <v/>
      </c>
      <c r="K2622" t="str">
        <f>IFERROR(VLOOKUP(D2622,'Team Data'!C:AB,9,FALSE),"")</f>
        <v/>
      </c>
      <c r="L2622" t="str">
        <f>IFERROR(VLOOKUP(D2622,'Team Data'!C:AB,10,FALSE),"")</f>
        <v/>
      </c>
      <c r="M2622" t="str">
        <f t="shared" si="82"/>
        <v/>
      </c>
      <c r="N2622" t="str">
        <f>IFERROR(VLOOKUP(D2622,'Team Data'!C:AB,23,FALSE),"")</f>
        <v/>
      </c>
      <c r="O2622" t="str">
        <f>IFERROR(VLOOKUP(D2622,'Team Data'!C:AB,22,FALSE),"")</f>
        <v/>
      </c>
      <c r="P2622" t="str">
        <f t="shared" si="83"/>
        <v/>
      </c>
      <c r="Q2622" t="str">
        <f>IFERROR(VLOOKUP(D2622,'Team Data'!C:AB,15,FALSE),"")</f>
        <v/>
      </c>
      <c r="R2622" t="str">
        <f>IFERROR(VLOOKUP('OB Format'!D2622,'Team Data'!C:AB,24,FALSE),"")</f>
        <v/>
      </c>
      <c r="S2622" t="str">
        <f>IFERROR(VLOOKUP('OB Format'!D2622,'Team Data'!C:AC,25,FALSE),"")</f>
        <v/>
      </c>
    </row>
    <row r="2623" spans="5:19" x14ac:dyDescent="0.25">
      <c r="E2623" t="str">
        <f>IFERROR(VLOOKUP(D2623,'Team Data'!C:AB,4,FALSE),"")</f>
        <v/>
      </c>
      <c r="F2623" t="str">
        <f>IFERROR(VLOOKUP(D2623,'Team Data'!C:AB,5,FALSE),"")</f>
        <v/>
      </c>
      <c r="G2623" t="str">
        <f>IFERROR(VLOOKUP('OB Format'!D2623,'Team Data'!C:AB,17,FALSE),"")</f>
        <v/>
      </c>
      <c r="H2623" t="str">
        <f>IFERROR(VLOOKUP(D2623,'Team Data'!C:AB,7,FALSE),"")</f>
        <v/>
      </c>
      <c r="I2623" t="str">
        <f>IFERROR(VLOOKUP(D2623,'Team Data'!C:AB,14,FALSE),"")</f>
        <v/>
      </c>
      <c r="J2623" t="str">
        <f>IFERROR(VLOOKUP(D2623,'Team Data'!C:AB,8,FALSE),"")</f>
        <v/>
      </c>
      <c r="K2623" t="str">
        <f>IFERROR(VLOOKUP(D2623,'Team Data'!C:AB,9,FALSE),"")</f>
        <v/>
      </c>
      <c r="L2623" t="str">
        <f>IFERROR(VLOOKUP(D2623,'Team Data'!C:AB,10,FALSE),"")</f>
        <v/>
      </c>
      <c r="M2623" t="str">
        <f t="shared" si="82"/>
        <v/>
      </c>
      <c r="N2623" t="str">
        <f>IFERROR(VLOOKUP(D2623,'Team Data'!C:AB,23,FALSE),"")</f>
        <v/>
      </c>
      <c r="O2623" t="str">
        <f>IFERROR(VLOOKUP(D2623,'Team Data'!C:AB,22,FALSE),"")</f>
        <v/>
      </c>
      <c r="P2623" t="str">
        <f t="shared" si="83"/>
        <v/>
      </c>
      <c r="Q2623" t="str">
        <f>IFERROR(VLOOKUP(D2623,'Team Data'!C:AB,15,FALSE),"")</f>
        <v/>
      </c>
      <c r="R2623" t="str">
        <f>IFERROR(VLOOKUP('OB Format'!D2623,'Team Data'!C:AB,24,FALSE),"")</f>
        <v/>
      </c>
      <c r="S2623" t="str">
        <f>IFERROR(VLOOKUP('OB Format'!D2623,'Team Data'!C:AC,25,FALSE),"")</f>
        <v/>
      </c>
    </row>
    <row r="2624" spans="5:19" x14ac:dyDescent="0.25">
      <c r="E2624" t="str">
        <f>IFERROR(VLOOKUP(D2624,'Team Data'!C:AB,4,FALSE),"")</f>
        <v/>
      </c>
      <c r="F2624" t="str">
        <f>IFERROR(VLOOKUP(D2624,'Team Data'!C:AB,5,FALSE),"")</f>
        <v/>
      </c>
      <c r="G2624" t="str">
        <f>IFERROR(VLOOKUP('OB Format'!D2624,'Team Data'!C:AB,17,FALSE),"")</f>
        <v/>
      </c>
      <c r="H2624" t="str">
        <f>IFERROR(VLOOKUP(D2624,'Team Data'!C:AB,7,FALSE),"")</f>
        <v/>
      </c>
      <c r="I2624" t="str">
        <f>IFERROR(VLOOKUP(D2624,'Team Data'!C:AB,14,FALSE),"")</f>
        <v/>
      </c>
      <c r="J2624" t="str">
        <f>IFERROR(VLOOKUP(D2624,'Team Data'!C:AB,8,FALSE),"")</f>
        <v/>
      </c>
      <c r="K2624" t="str">
        <f>IFERROR(VLOOKUP(D2624,'Team Data'!C:AB,9,FALSE),"")</f>
        <v/>
      </c>
      <c r="L2624" t="str">
        <f>IFERROR(VLOOKUP(D2624,'Team Data'!C:AB,10,FALSE),"")</f>
        <v/>
      </c>
      <c r="M2624" t="str">
        <f t="shared" si="82"/>
        <v/>
      </c>
      <c r="N2624" t="str">
        <f>IFERROR(VLOOKUP(D2624,'Team Data'!C:AB,23,FALSE),"")</f>
        <v/>
      </c>
      <c r="O2624" t="str">
        <f>IFERROR(VLOOKUP(D2624,'Team Data'!C:AB,22,FALSE),"")</f>
        <v/>
      </c>
      <c r="P2624" t="str">
        <f t="shared" si="83"/>
        <v/>
      </c>
      <c r="Q2624" t="str">
        <f>IFERROR(VLOOKUP(D2624,'Team Data'!C:AB,15,FALSE),"")</f>
        <v/>
      </c>
      <c r="R2624" t="str">
        <f>IFERROR(VLOOKUP('OB Format'!D2624,'Team Data'!C:AB,24,FALSE),"")</f>
        <v/>
      </c>
      <c r="S2624" t="str">
        <f>IFERROR(VLOOKUP('OB Format'!D2624,'Team Data'!C:AC,25,FALSE),"")</f>
        <v/>
      </c>
    </row>
    <row r="2625" spans="5:19" x14ac:dyDescent="0.25">
      <c r="E2625" t="str">
        <f>IFERROR(VLOOKUP(D2625,'Team Data'!C:AB,4,FALSE),"")</f>
        <v/>
      </c>
      <c r="F2625" t="str">
        <f>IFERROR(VLOOKUP(D2625,'Team Data'!C:AB,5,FALSE),"")</f>
        <v/>
      </c>
      <c r="G2625" t="str">
        <f>IFERROR(VLOOKUP('OB Format'!D2625,'Team Data'!C:AB,17,FALSE),"")</f>
        <v/>
      </c>
      <c r="H2625" t="str">
        <f>IFERROR(VLOOKUP(D2625,'Team Data'!C:AB,7,FALSE),"")</f>
        <v/>
      </c>
      <c r="I2625" t="str">
        <f>IFERROR(VLOOKUP(D2625,'Team Data'!C:AB,14,FALSE),"")</f>
        <v/>
      </c>
      <c r="J2625" t="str">
        <f>IFERROR(VLOOKUP(D2625,'Team Data'!C:AB,8,FALSE),"")</f>
        <v/>
      </c>
      <c r="K2625" t="str">
        <f>IFERROR(VLOOKUP(D2625,'Team Data'!C:AB,9,FALSE),"")</f>
        <v/>
      </c>
      <c r="L2625" t="str">
        <f>IFERROR(VLOOKUP(D2625,'Team Data'!C:AB,10,FALSE),"")</f>
        <v/>
      </c>
      <c r="M2625" t="str">
        <f t="shared" si="82"/>
        <v/>
      </c>
      <c r="N2625" t="str">
        <f>IFERROR(VLOOKUP(D2625,'Team Data'!C:AB,23,FALSE),"")</f>
        <v/>
      </c>
      <c r="O2625" t="str">
        <f>IFERROR(VLOOKUP(D2625,'Team Data'!C:AB,22,FALSE),"")</f>
        <v/>
      </c>
      <c r="P2625" t="str">
        <f t="shared" si="83"/>
        <v/>
      </c>
      <c r="Q2625" t="str">
        <f>IFERROR(VLOOKUP(D2625,'Team Data'!C:AB,15,FALSE),"")</f>
        <v/>
      </c>
      <c r="R2625" t="str">
        <f>IFERROR(VLOOKUP('OB Format'!D2625,'Team Data'!C:AB,24,FALSE),"")</f>
        <v/>
      </c>
      <c r="S2625" t="str">
        <f>IFERROR(VLOOKUP('OB Format'!D2625,'Team Data'!C:AC,25,FALSE),"")</f>
        <v/>
      </c>
    </row>
    <row r="2626" spans="5:19" x14ac:dyDescent="0.25">
      <c r="E2626" t="str">
        <f>IFERROR(VLOOKUP(D2626,'Team Data'!C:AB,4,FALSE),"")</f>
        <v/>
      </c>
      <c r="F2626" t="str">
        <f>IFERROR(VLOOKUP(D2626,'Team Data'!C:AB,5,FALSE),"")</f>
        <v/>
      </c>
      <c r="G2626" t="str">
        <f>IFERROR(VLOOKUP('OB Format'!D2626,'Team Data'!C:AB,17,FALSE),"")</f>
        <v/>
      </c>
      <c r="H2626" t="str">
        <f>IFERROR(VLOOKUP(D2626,'Team Data'!C:AB,7,FALSE),"")</f>
        <v/>
      </c>
      <c r="I2626" t="str">
        <f>IFERROR(VLOOKUP(D2626,'Team Data'!C:AB,14,FALSE),"")</f>
        <v/>
      </c>
      <c r="J2626" t="str">
        <f>IFERROR(VLOOKUP(D2626,'Team Data'!C:AB,8,FALSE),"")</f>
        <v/>
      </c>
      <c r="K2626" t="str">
        <f>IFERROR(VLOOKUP(D2626,'Team Data'!C:AB,9,FALSE),"")</f>
        <v/>
      </c>
      <c r="L2626" t="str">
        <f>IFERROR(VLOOKUP(D2626,'Team Data'!C:AB,10,FALSE),"")</f>
        <v/>
      </c>
      <c r="M2626" t="str">
        <f t="shared" si="82"/>
        <v/>
      </c>
      <c r="N2626" t="str">
        <f>IFERROR(VLOOKUP(D2626,'Team Data'!C:AB,23,FALSE),"")</f>
        <v/>
      </c>
      <c r="O2626" t="str">
        <f>IFERROR(VLOOKUP(D2626,'Team Data'!C:AB,22,FALSE),"")</f>
        <v/>
      </c>
      <c r="P2626" t="str">
        <f t="shared" si="83"/>
        <v/>
      </c>
      <c r="Q2626" t="str">
        <f>IFERROR(VLOOKUP(D2626,'Team Data'!C:AB,15,FALSE),"")</f>
        <v/>
      </c>
      <c r="R2626" t="str">
        <f>IFERROR(VLOOKUP('OB Format'!D2626,'Team Data'!C:AB,24,FALSE),"")</f>
        <v/>
      </c>
      <c r="S2626" t="str">
        <f>IFERROR(VLOOKUP('OB Format'!D2626,'Team Data'!C:AC,25,FALSE),"")</f>
        <v/>
      </c>
    </row>
    <row r="2627" spans="5:19" x14ac:dyDescent="0.25">
      <c r="E2627" t="str">
        <f>IFERROR(VLOOKUP(D2627,'Team Data'!C:AB,4,FALSE),"")</f>
        <v/>
      </c>
      <c r="F2627" t="str">
        <f>IFERROR(VLOOKUP(D2627,'Team Data'!C:AB,5,FALSE),"")</f>
        <v/>
      </c>
      <c r="G2627" t="str">
        <f>IFERROR(VLOOKUP('OB Format'!D2627,'Team Data'!C:AB,17,FALSE),"")</f>
        <v/>
      </c>
      <c r="H2627" t="str">
        <f>IFERROR(VLOOKUP(D2627,'Team Data'!C:AB,7,FALSE),"")</f>
        <v/>
      </c>
      <c r="I2627" t="str">
        <f>IFERROR(VLOOKUP(D2627,'Team Data'!C:AB,14,FALSE),"")</f>
        <v/>
      </c>
      <c r="J2627" t="str">
        <f>IFERROR(VLOOKUP(D2627,'Team Data'!C:AB,8,FALSE),"")</f>
        <v/>
      </c>
      <c r="K2627" t="str">
        <f>IFERROR(VLOOKUP(D2627,'Team Data'!C:AB,9,FALSE),"")</f>
        <v/>
      </c>
      <c r="L2627" t="str">
        <f>IFERROR(VLOOKUP(D2627,'Team Data'!C:AB,10,FALSE),"")</f>
        <v/>
      </c>
      <c r="M2627" t="str">
        <f t="shared" si="82"/>
        <v/>
      </c>
      <c r="N2627" t="str">
        <f>IFERROR(VLOOKUP(D2627,'Team Data'!C:AB,23,FALSE),"")</f>
        <v/>
      </c>
      <c r="O2627" t="str">
        <f>IFERROR(VLOOKUP(D2627,'Team Data'!C:AB,22,FALSE),"")</f>
        <v/>
      </c>
      <c r="P2627" t="str">
        <f t="shared" si="83"/>
        <v/>
      </c>
      <c r="Q2627" t="str">
        <f>IFERROR(VLOOKUP(D2627,'Team Data'!C:AB,15,FALSE),"")</f>
        <v/>
      </c>
      <c r="R2627" t="str">
        <f>IFERROR(VLOOKUP('OB Format'!D2627,'Team Data'!C:AB,24,FALSE),"")</f>
        <v/>
      </c>
      <c r="S2627" t="str">
        <f>IFERROR(VLOOKUP('OB Format'!D2627,'Team Data'!C:AC,25,FALSE),"")</f>
        <v/>
      </c>
    </row>
    <row r="2628" spans="5:19" x14ac:dyDescent="0.25">
      <c r="E2628" t="str">
        <f>IFERROR(VLOOKUP(D2628,'Team Data'!C:AB,4,FALSE),"")</f>
        <v/>
      </c>
      <c r="F2628" t="str">
        <f>IFERROR(VLOOKUP(D2628,'Team Data'!C:AB,5,FALSE),"")</f>
        <v/>
      </c>
      <c r="G2628" t="str">
        <f>IFERROR(VLOOKUP('OB Format'!D2628,'Team Data'!C:AB,17,FALSE),"")</f>
        <v/>
      </c>
      <c r="H2628" t="str">
        <f>IFERROR(VLOOKUP(D2628,'Team Data'!C:AB,7,FALSE),"")</f>
        <v/>
      </c>
      <c r="I2628" t="str">
        <f>IFERROR(VLOOKUP(D2628,'Team Data'!C:AB,14,FALSE),"")</f>
        <v/>
      </c>
      <c r="J2628" t="str">
        <f>IFERROR(VLOOKUP(D2628,'Team Data'!C:AB,8,FALSE),"")</f>
        <v/>
      </c>
      <c r="K2628" t="str">
        <f>IFERROR(VLOOKUP(D2628,'Team Data'!C:AB,9,FALSE),"")</f>
        <v/>
      </c>
      <c r="L2628" t="str">
        <f>IFERROR(VLOOKUP(D2628,'Team Data'!C:AB,10,FALSE),"")</f>
        <v/>
      </c>
      <c r="M2628" t="str">
        <f t="shared" si="82"/>
        <v/>
      </c>
      <c r="N2628" t="str">
        <f>IFERROR(VLOOKUP(D2628,'Team Data'!C:AB,23,FALSE),"")</f>
        <v/>
      </c>
      <c r="O2628" t="str">
        <f>IFERROR(VLOOKUP(D2628,'Team Data'!C:AB,22,FALSE),"")</f>
        <v/>
      </c>
      <c r="P2628" t="str">
        <f t="shared" si="83"/>
        <v/>
      </c>
      <c r="Q2628" t="str">
        <f>IFERROR(VLOOKUP(D2628,'Team Data'!C:AB,15,FALSE),"")</f>
        <v/>
      </c>
      <c r="R2628" t="str">
        <f>IFERROR(VLOOKUP('OB Format'!D2628,'Team Data'!C:AB,24,FALSE),"")</f>
        <v/>
      </c>
      <c r="S2628" t="str">
        <f>IFERROR(VLOOKUP('OB Format'!D2628,'Team Data'!C:AC,25,FALSE),"")</f>
        <v/>
      </c>
    </row>
    <row r="2629" spans="5:19" x14ac:dyDescent="0.25">
      <c r="E2629" t="str">
        <f>IFERROR(VLOOKUP(D2629,'Team Data'!C:AB,4,FALSE),"")</f>
        <v/>
      </c>
      <c r="F2629" t="str">
        <f>IFERROR(VLOOKUP(D2629,'Team Data'!C:AB,5,FALSE),"")</f>
        <v/>
      </c>
      <c r="G2629" t="str">
        <f>IFERROR(VLOOKUP('OB Format'!D2629,'Team Data'!C:AB,17,FALSE),"")</f>
        <v/>
      </c>
      <c r="H2629" t="str">
        <f>IFERROR(VLOOKUP(D2629,'Team Data'!C:AB,7,FALSE),"")</f>
        <v/>
      </c>
      <c r="I2629" t="str">
        <f>IFERROR(VLOOKUP(D2629,'Team Data'!C:AB,14,FALSE),"")</f>
        <v/>
      </c>
      <c r="J2629" t="str">
        <f>IFERROR(VLOOKUP(D2629,'Team Data'!C:AB,8,FALSE),"")</f>
        <v/>
      </c>
      <c r="K2629" t="str">
        <f>IFERROR(VLOOKUP(D2629,'Team Data'!C:AB,9,FALSE),"")</f>
        <v/>
      </c>
      <c r="L2629" t="str">
        <f>IFERROR(VLOOKUP(D2629,'Team Data'!C:AB,10,FALSE),"")</f>
        <v/>
      </c>
      <c r="M2629" t="str">
        <f t="shared" si="82"/>
        <v/>
      </c>
      <c r="N2629" t="str">
        <f>IFERROR(VLOOKUP(D2629,'Team Data'!C:AB,23,FALSE),"")</f>
        <v/>
      </c>
      <c r="O2629" t="str">
        <f>IFERROR(VLOOKUP(D2629,'Team Data'!C:AB,22,FALSE),"")</f>
        <v/>
      </c>
      <c r="P2629" t="str">
        <f t="shared" si="83"/>
        <v/>
      </c>
      <c r="Q2629" t="str">
        <f>IFERROR(VLOOKUP(D2629,'Team Data'!C:AB,15,FALSE),"")</f>
        <v/>
      </c>
      <c r="R2629" t="str">
        <f>IFERROR(VLOOKUP('OB Format'!D2629,'Team Data'!C:AB,24,FALSE),"")</f>
        <v/>
      </c>
      <c r="S2629" t="str">
        <f>IFERROR(VLOOKUP('OB Format'!D2629,'Team Data'!C:AC,25,FALSE),"")</f>
        <v/>
      </c>
    </row>
    <row r="2630" spans="5:19" x14ac:dyDescent="0.25">
      <c r="E2630" t="str">
        <f>IFERROR(VLOOKUP(D2630,'Team Data'!C:AB,4,FALSE),"")</f>
        <v/>
      </c>
      <c r="F2630" t="str">
        <f>IFERROR(VLOOKUP(D2630,'Team Data'!C:AB,5,FALSE),"")</f>
        <v/>
      </c>
      <c r="G2630" t="str">
        <f>IFERROR(VLOOKUP('OB Format'!D2630,'Team Data'!C:AB,17,FALSE),"")</f>
        <v/>
      </c>
      <c r="H2630" t="str">
        <f>IFERROR(VLOOKUP(D2630,'Team Data'!C:AB,7,FALSE),"")</f>
        <v/>
      </c>
      <c r="I2630" t="str">
        <f>IFERROR(VLOOKUP(D2630,'Team Data'!C:AB,14,FALSE),"")</f>
        <v/>
      </c>
      <c r="J2630" t="str">
        <f>IFERROR(VLOOKUP(D2630,'Team Data'!C:AB,8,FALSE),"")</f>
        <v/>
      </c>
      <c r="K2630" t="str">
        <f>IFERROR(VLOOKUP(D2630,'Team Data'!C:AB,9,FALSE),"")</f>
        <v/>
      </c>
      <c r="L2630" t="str">
        <f>IFERROR(VLOOKUP(D2630,'Team Data'!C:AB,10,FALSE),"")</f>
        <v/>
      </c>
      <c r="M2630" t="str">
        <f t="shared" si="82"/>
        <v/>
      </c>
      <c r="N2630" t="str">
        <f>IFERROR(VLOOKUP(D2630,'Team Data'!C:AB,23,FALSE),"")</f>
        <v/>
      </c>
      <c r="O2630" t="str">
        <f>IFERROR(VLOOKUP(D2630,'Team Data'!C:AB,22,FALSE),"")</f>
        <v/>
      </c>
      <c r="P2630" t="str">
        <f t="shared" si="83"/>
        <v/>
      </c>
      <c r="Q2630" t="str">
        <f>IFERROR(VLOOKUP(D2630,'Team Data'!C:AB,15,FALSE),"")</f>
        <v/>
      </c>
      <c r="R2630" t="str">
        <f>IFERROR(VLOOKUP('OB Format'!D2630,'Team Data'!C:AB,24,FALSE),"")</f>
        <v/>
      </c>
      <c r="S2630" t="str">
        <f>IFERROR(VLOOKUP('OB Format'!D2630,'Team Data'!C:AC,25,FALSE),"")</f>
        <v/>
      </c>
    </row>
    <row r="2631" spans="5:19" x14ac:dyDescent="0.25">
      <c r="E2631" t="str">
        <f>IFERROR(VLOOKUP(D2631,'Team Data'!C:AB,4,FALSE),"")</f>
        <v/>
      </c>
      <c r="F2631" t="str">
        <f>IFERROR(VLOOKUP(D2631,'Team Data'!C:AB,5,FALSE),"")</f>
        <v/>
      </c>
      <c r="G2631" t="str">
        <f>IFERROR(VLOOKUP('OB Format'!D2631,'Team Data'!C:AB,17,FALSE),"")</f>
        <v/>
      </c>
      <c r="H2631" t="str">
        <f>IFERROR(VLOOKUP(D2631,'Team Data'!C:AB,7,FALSE),"")</f>
        <v/>
      </c>
      <c r="I2631" t="str">
        <f>IFERROR(VLOOKUP(D2631,'Team Data'!C:AB,14,FALSE),"")</f>
        <v/>
      </c>
      <c r="J2631" t="str">
        <f>IFERROR(VLOOKUP(D2631,'Team Data'!C:AB,8,FALSE),"")</f>
        <v/>
      </c>
      <c r="K2631" t="str">
        <f>IFERROR(VLOOKUP(D2631,'Team Data'!C:AB,9,FALSE),"")</f>
        <v/>
      </c>
      <c r="L2631" t="str">
        <f>IFERROR(VLOOKUP(D2631,'Team Data'!C:AB,10,FALSE),"")</f>
        <v/>
      </c>
      <c r="M2631" t="str">
        <f t="shared" si="82"/>
        <v/>
      </c>
      <c r="N2631" t="str">
        <f>IFERROR(VLOOKUP(D2631,'Team Data'!C:AB,23,FALSE),"")</f>
        <v/>
      </c>
      <c r="O2631" t="str">
        <f>IFERROR(VLOOKUP(D2631,'Team Data'!C:AB,22,FALSE),"")</f>
        <v/>
      </c>
      <c r="P2631" t="str">
        <f t="shared" si="83"/>
        <v/>
      </c>
      <c r="Q2631" t="str">
        <f>IFERROR(VLOOKUP(D2631,'Team Data'!C:AB,15,FALSE),"")</f>
        <v/>
      </c>
      <c r="R2631" t="str">
        <f>IFERROR(VLOOKUP('OB Format'!D2631,'Team Data'!C:AB,24,FALSE),"")</f>
        <v/>
      </c>
      <c r="S2631" t="str">
        <f>IFERROR(VLOOKUP('OB Format'!D2631,'Team Data'!C:AC,25,FALSE),"")</f>
        <v/>
      </c>
    </row>
    <row r="2632" spans="5:19" x14ac:dyDescent="0.25">
      <c r="E2632" t="str">
        <f>IFERROR(VLOOKUP(D2632,'Team Data'!C:AB,4,FALSE),"")</f>
        <v/>
      </c>
      <c r="F2632" t="str">
        <f>IFERROR(VLOOKUP(D2632,'Team Data'!C:AB,5,FALSE),"")</f>
        <v/>
      </c>
      <c r="G2632" t="str">
        <f>IFERROR(VLOOKUP('OB Format'!D2632,'Team Data'!C:AB,17,FALSE),"")</f>
        <v/>
      </c>
      <c r="H2632" t="str">
        <f>IFERROR(VLOOKUP(D2632,'Team Data'!C:AB,7,FALSE),"")</f>
        <v/>
      </c>
      <c r="I2632" t="str">
        <f>IFERROR(VLOOKUP(D2632,'Team Data'!C:AB,14,FALSE),"")</f>
        <v/>
      </c>
      <c r="J2632" t="str">
        <f>IFERROR(VLOOKUP(D2632,'Team Data'!C:AB,8,FALSE),"")</f>
        <v/>
      </c>
      <c r="K2632" t="str">
        <f>IFERROR(VLOOKUP(D2632,'Team Data'!C:AB,9,FALSE),"")</f>
        <v/>
      </c>
      <c r="L2632" t="str">
        <f>IFERROR(VLOOKUP(D2632,'Team Data'!C:AB,10,FALSE),"")</f>
        <v/>
      </c>
      <c r="M2632" t="str">
        <f t="shared" si="82"/>
        <v/>
      </c>
      <c r="N2632" t="str">
        <f>IFERROR(VLOOKUP(D2632,'Team Data'!C:AB,23,FALSE),"")</f>
        <v/>
      </c>
      <c r="O2632" t="str">
        <f>IFERROR(VLOOKUP(D2632,'Team Data'!C:AB,22,FALSE),"")</f>
        <v/>
      </c>
      <c r="P2632" t="str">
        <f t="shared" si="83"/>
        <v/>
      </c>
      <c r="Q2632" t="str">
        <f>IFERROR(VLOOKUP(D2632,'Team Data'!C:AB,15,FALSE),"")</f>
        <v/>
      </c>
      <c r="R2632" t="str">
        <f>IFERROR(VLOOKUP('OB Format'!D2632,'Team Data'!C:AB,24,FALSE),"")</f>
        <v/>
      </c>
      <c r="S2632" t="str">
        <f>IFERROR(VLOOKUP('OB Format'!D2632,'Team Data'!C:AC,25,FALSE),"")</f>
        <v/>
      </c>
    </row>
    <row r="2633" spans="5:19" x14ac:dyDescent="0.25">
      <c r="E2633" t="str">
        <f>IFERROR(VLOOKUP(D2633,'Team Data'!C:AB,4,FALSE),"")</f>
        <v/>
      </c>
      <c r="F2633" t="str">
        <f>IFERROR(VLOOKUP(D2633,'Team Data'!C:AB,5,FALSE),"")</f>
        <v/>
      </c>
      <c r="G2633" t="str">
        <f>IFERROR(VLOOKUP('OB Format'!D2633,'Team Data'!C:AB,17,FALSE),"")</f>
        <v/>
      </c>
      <c r="H2633" t="str">
        <f>IFERROR(VLOOKUP(D2633,'Team Data'!C:AB,7,FALSE),"")</f>
        <v/>
      </c>
      <c r="I2633" t="str">
        <f>IFERROR(VLOOKUP(D2633,'Team Data'!C:AB,14,FALSE),"")</f>
        <v/>
      </c>
      <c r="J2633" t="str">
        <f>IFERROR(VLOOKUP(D2633,'Team Data'!C:AB,8,FALSE),"")</f>
        <v/>
      </c>
      <c r="K2633" t="str">
        <f>IFERROR(VLOOKUP(D2633,'Team Data'!C:AB,9,FALSE),"")</f>
        <v/>
      </c>
      <c r="L2633" t="str">
        <f>IFERROR(VLOOKUP(D2633,'Team Data'!C:AB,10,FALSE),"")</f>
        <v/>
      </c>
      <c r="M2633" t="str">
        <f t="shared" si="82"/>
        <v/>
      </c>
      <c r="N2633" t="str">
        <f>IFERROR(VLOOKUP(D2633,'Team Data'!C:AB,23,FALSE),"")</f>
        <v/>
      </c>
      <c r="O2633" t="str">
        <f>IFERROR(VLOOKUP(D2633,'Team Data'!C:AB,22,FALSE),"")</f>
        <v/>
      </c>
      <c r="P2633" t="str">
        <f t="shared" si="83"/>
        <v/>
      </c>
      <c r="Q2633" t="str">
        <f>IFERROR(VLOOKUP(D2633,'Team Data'!C:AB,15,FALSE),"")</f>
        <v/>
      </c>
      <c r="R2633" t="str">
        <f>IFERROR(VLOOKUP('OB Format'!D2633,'Team Data'!C:AB,24,FALSE),"")</f>
        <v/>
      </c>
      <c r="S2633" t="str">
        <f>IFERROR(VLOOKUP('OB Format'!D2633,'Team Data'!C:AC,25,FALSE),"")</f>
        <v/>
      </c>
    </row>
    <row r="2634" spans="5:19" x14ac:dyDescent="0.25">
      <c r="E2634" t="str">
        <f>IFERROR(VLOOKUP(D2634,'Team Data'!C:AB,4,FALSE),"")</f>
        <v/>
      </c>
      <c r="F2634" t="str">
        <f>IFERROR(VLOOKUP(D2634,'Team Data'!C:AB,5,FALSE),"")</f>
        <v/>
      </c>
      <c r="G2634" t="str">
        <f>IFERROR(VLOOKUP('OB Format'!D2634,'Team Data'!C:AB,17,FALSE),"")</f>
        <v/>
      </c>
      <c r="H2634" t="str">
        <f>IFERROR(VLOOKUP(D2634,'Team Data'!C:AB,7,FALSE),"")</f>
        <v/>
      </c>
      <c r="I2634" t="str">
        <f>IFERROR(VLOOKUP(D2634,'Team Data'!C:AB,14,FALSE),"")</f>
        <v/>
      </c>
      <c r="J2634" t="str">
        <f>IFERROR(VLOOKUP(D2634,'Team Data'!C:AB,8,FALSE),"")</f>
        <v/>
      </c>
      <c r="K2634" t="str">
        <f>IFERROR(VLOOKUP(D2634,'Team Data'!C:AB,9,FALSE),"")</f>
        <v/>
      </c>
      <c r="L2634" t="str">
        <f>IFERROR(VLOOKUP(D2634,'Team Data'!C:AB,10,FALSE),"")</f>
        <v/>
      </c>
      <c r="M2634" t="str">
        <f t="shared" si="82"/>
        <v/>
      </c>
      <c r="N2634" t="str">
        <f>IFERROR(VLOOKUP(D2634,'Team Data'!C:AB,23,FALSE),"")</f>
        <v/>
      </c>
      <c r="O2634" t="str">
        <f>IFERROR(VLOOKUP(D2634,'Team Data'!C:AB,22,FALSE),"")</f>
        <v/>
      </c>
      <c r="P2634" t="str">
        <f t="shared" si="83"/>
        <v/>
      </c>
      <c r="Q2634" t="str">
        <f>IFERROR(VLOOKUP(D2634,'Team Data'!C:AB,15,FALSE),"")</f>
        <v/>
      </c>
      <c r="R2634" t="str">
        <f>IFERROR(VLOOKUP('OB Format'!D2634,'Team Data'!C:AB,24,FALSE),"")</f>
        <v/>
      </c>
      <c r="S2634" t="str">
        <f>IFERROR(VLOOKUP('OB Format'!D2634,'Team Data'!C:AC,25,FALSE),"")</f>
        <v/>
      </c>
    </row>
    <row r="2635" spans="5:19" x14ac:dyDescent="0.25">
      <c r="E2635" t="str">
        <f>IFERROR(VLOOKUP(D2635,'Team Data'!C:AB,4,FALSE),"")</f>
        <v/>
      </c>
      <c r="F2635" t="str">
        <f>IFERROR(VLOOKUP(D2635,'Team Data'!C:AB,5,FALSE),"")</f>
        <v/>
      </c>
      <c r="G2635" t="str">
        <f>IFERROR(VLOOKUP('OB Format'!D2635,'Team Data'!C:AB,17,FALSE),"")</f>
        <v/>
      </c>
      <c r="H2635" t="str">
        <f>IFERROR(VLOOKUP(D2635,'Team Data'!C:AB,7,FALSE),"")</f>
        <v/>
      </c>
      <c r="I2635" t="str">
        <f>IFERROR(VLOOKUP(D2635,'Team Data'!C:AB,14,FALSE),"")</f>
        <v/>
      </c>
      <c r="J2635" t="str">
        <f>IFERROR(VLOOKUP(D2635,'Team Data'!C:AB,8,FALSE),"")</f>
        <v/>
      </c>
      <c r="K2635" t="str">
        <f>IFERROR(VLOOKUP(D2635,'Team Data'!C:AB,9,FALSE),"")</f>
        <v/>
      </c>
      <c r="L2635" t="str">
        <f>IFERROR(VLOOKUP(D2635,'Team Data'!C:AB,10,FALSE),"")</f>
        <v/>
      </c>
      <c r="M2635" t="str">
        <f t="shared" si="82"/>
        <v/>
      </c>
      <c r="N2635" t="str">
        <f>IFERROR(VLOOKUP(D2635,'Team Data'!C:AB,23,FALSE),"")</f>
        <v/>
      </c>
      <c r="O2635" t="str">
        <f>IFERROR(VLOOKUP(D2635,'Team Data'!C:AB,22,FALSE),"")</f>
        <v/>
      </c>
      <c r="P2635" t="str">
        <f t="shared" si="83"/>
        <v/>
      </c>
      <c r="Q2635" t="str">
        <f>IFERROR(VLOOKUP(D2635,'Team Data'!C:AB,15,FALSE),"")</f>
        <v/>
      </c>
      <c r="R2635" t="str">
        <f>IFERROR(VLOOKUP('OB Format'!D2635,'Team Data'!C:AB,24,FALSE),"")</f>
        <v/>
      </c>
      <c r="S2635" t="str">
        <f>IFERROR(VLOOKUP('OB Format'!D2635,'Team Data'!C:AC,25,FALSE),"")</f>
        <v/>
      </c>
    </row>
    <row r="2636" spans="5:19" x14ac:dyDescent="0.25">
      <c r="E2636" t="str">
        <f>IFERROR(VLOOKUP(D2636,'Team Data'!C:AB,4,FALSE),"")</f>
        <v/>
      </c>
      <c r="F2636" t="str">
        <f>IFERROR(VLOOKUP(D2636,'Team Data'!C:AB,5,FALSE),"")</f>
        <v/>
      </c>
      <c r="G2636" t="str">
        <f>IFERROR(VLOOKUP('OB Format'!D2636,'Team Data'!C:AB,17,FALSE),"")</f>
        <v/>
      </c>
      <c r="H2636" t="str">
        <f>IFERROR(VLOOKUP(D2636,'Team Data'!C:AB,7,FALSE),"")</f>
        <v/>
      </c>
      <c r="I2636" t="str">
        <f>IFERROR(VLOOKUP(D2636,'Team Data'!C:AB,14,FALSE),"")</f>
        <v/>
      </c>
      <c r="J2636" t="str">
        <f>IFERROR(VLOOKUP(D2636,'Team Data'!C:AB,8,FALSE),"")</f>
        <v/>
      </c>
      <c r="K2636" t="str">
        <f>IFERROR(VLOOKUP(D2636,'Team Data'!C:AB,9,FALSE),"")</f>
        <v/>
      </c>
      <c r="L2636" t="str">
        <f>IFERROR(VLOOKUP(D2636,'Team Data'!C:AB,10,FALSE),"")</f>
        <v/>
      </c>
      <c r="M2636" t="str">
        <f t="shared" si="82"/>
        <v/>
      </c>
      <c r="N2636" t="str">
        <f>IFERROR(VLOOKUP(D2636,'Team Data'!C:AB,23,FALSE),"")</f>
        <v/>
      </c>
      <c r="O2636" t="str">
        <f>IFERROR(VLOOKUP(D2636,'Team Data'!C:AB,22,FALSE),"")</f>
        <v/>
      </c>
      <c r="P2636" t="str">
        <f t="shared" si="83"/>
        <v/>
      </c>
      <c r="Q2636" t="str">
        <f>IFERROR(VLOOKUP(D2636,'Team Data'!C:AB,15,FALSE),"")</f>
        <v/>
      </c>
      <c r="R2636" t="str">
        <f>IFERROR(VLOOKUP('OB Format'!D2636,'Team Data'!C:AB,24,FALSE),"")</f>
        <v/>
      </c>
      <c r="S2636" t="str">
        <f>IFERROR(VLOOKUP('OB Format'!D2636,'Team Data'!C:AC,25,FALSE),"")</f>
        <v/>
      </c>
    </row>
    <row r="2637" spans="5:19" x14ac:dyDescent="0.25">
      <c r="E2637" t="str">
        <f>IFERROR(VLOOKUP(D2637,'Team Data'!C:AB,4,FALSE),"")</f>
        <v/>
      </c>
      <c r="F2637" t="str">
        <f>IFERROR(VLOOKUP(D2637,'Team Data'!C:AB,5,FALSE),"")</f>
        <v/>
      </c>
      <c r="G2637" t="str">
        <f>IFERROR(VLOOKUP('OB Format'!D2637,'Team Data'!C:AB,17,FALSE),"")</f>
        <v/>
      </c>
      <c r="H2637" t="str">
        <f>IFERROR(VLOOKUP(D2637,'Team Data'!C:AB,7,FALSE),"")</f>
        <v/>
      </c>
      <c r="I2637" t="str">
        <f>IFERROR(VLOOKUP(D2637,'Team Data'!C:AB,14,FALSE),"")</f>
        <v/>
      </c>
      <c r="J2637" t="str">
        <f>IFERROR(VLOOKUP(D2637,'Team Data'!C:AB,8,FALSE),"")</f>
        <v/>
      </c>
      <c r="K2637" t="str">
        <f>IFERROR(VLOOKUP(D2637,'Team Data'!C:AB,9,FALSE),"")</f>
        <v/>
      </c>
      <c r="L2637" t="str">
        <f>IFERROR(VLOOKUP(D2637,'Team Data'!C:AB,10,FALSE),"")</f>
        <v/>
      </c>
      <c r="M2637" t="str">
        <f t="shared" ref="M2637:M2700" si="84">IFERROR(H2637-(J2637+L2637+K2637),"")</f>
        <v/>
      </c>
      <c r="N2637" t="str">
        <f>IFERROR(VLOOKUP(D2637,'Team Data'!C:AB,23,FALSE),"")</f>
        <v/>
      </c>
      <c r="O2637" t="str">
        <f>IFERROR(VLOOKUP(D2637,'Team Data'!C:AB,22,FALSE),"")</f>
        <v/>
      </c>
      <c r="P2637" t="str">
        <f t="shared" ref="P2637:P2700" si="85">IFERROR(E2637-(H2637+N2637+Q2637+I2637+O2637),"")</f>
        <v/>
      </c>
      <c r="Q2637" t="str">
        <f>IFERROR(VLOOKUP(D2637,'Team Data'!C:AB,15,FALSE),"")</f>
        <v/>
      </c>
      <c r="R2637" t="str">
        <f>IFERROR(VLOOKUP('OB Format'!D2637,'Team Data'!C:AB,24,FALSE),"")</f>
        <v/>
      </c>
      <c r="S2637" t="str">
        <f>IFERROR(VLOOKUP('OB Format'!D2637,'Team Data'!C:AC,25,FALSE),"")</f>
        <v/>
      </c>
    </row>
    <row r="2638" spans="5:19" x14ac:dyDescent="0.25">
      <c r="E2638" t="str">
        <f>IFERROR(VLOOKUP(D2638,'Team Data'!C:AB,4,FALSE),"")</f>
        <v/>
      </c>
      <c r="F2638" t="str">
        <f>IFERROR(VLOOKUP(D2638,'Team Data'!C:AB,5,FALSE),"")</f>
        <v/>
      </c>
      <c r="G2638" t="str">
        <f>IFERROR(VLOOKUP('OB Format'!D2638,'Team Data'!C:AB,17,FALSE),"")</f>
        <v/>
      </c>
      <c r="H2638" t="str">
        <f>IFERROR(VLOOKUP(D2638,'Team Data'!C:AB,7,FALSE),"")</f>
        <v/>
      </c>
      <c r="I2638" t="str">
        <f>IFERROR(VLOOKUP(D2638,'Team Data'!C:AB,14,FALSE),"")</f>
        <v/>
      </c>
      <c r="J2638" t="str">
        <f>IFERROR(VLOOKUP(D2638,'Team Data'!C:AB,8,FALSE),"")</f>
        <v/>
      </c>
      <c r="K2638" t="str">
        <f>IFERROR(VLOOKUP(D2638,'Team Data'!C:AB,9,FALSE),"")</f>
        <v/>
      </c>
      <c r="L2638" t="str">
        <f>IFERROR(VLOOKUP(D2638,'Team Data'!C:AB,10,FALSE),"")</f>
        <v/>
      </c>
      <c r="M2638" t="str">
        <f t="shared" si="84"/>
        <v/>
      </c>
      <c r="N2638" t="str">
        <f>IFERROR(VLOOKUP(D2638,'Team Data'!C:AB,23,FALSE),"")</f>
        <v/>
      </c>
      <c r="O2638" t="str">
        <f>IFERROR(VLOOKUP(D2638,'Team Data'!C:AB,22,FALSE),"")</f>
        <v/>
      </c>
      <c r="P2638" t="str">
        <f t="shared" si="85"/>
        <v/>
      </c>
      <c r="Q2638" t="str">
        <f>IFERROR(VLOOKUP(D2638,'Team Data'!C:AB,15,FALSE),"")</f>
        <v/>
      </c>
      <c r="R2638" t="str">
        <f>IFERROR(VLOOKUP('OB Format'!D2638,'Team Data'!C:AB,24,FALSE),"")</f>
        <v/>
      </c>
      <c r="S2638" t="str">
        <f>IFERROR(VLOOKUP('OB Format'!D2638,'Team Data'!C:AC,25,FALSE),"")</f>
        <v/>
      </c>
    </row>
    <row r="2639" spans="5:19" x14ac:dyDescent="0.25">
      <c r="E2639" t="str">
        <f>IFERROR(VLOOKUP(D2639,'Team Data'!C:AB,4,FALSE),"")</f>
        <v/>
      </c>
      <c r="F2639" t="str">
        <f>IFERROR(VLOOKUP(D2639,'Team Data'!C:AB,5,FALSE),"")</f>
        <v/>
      </c>
      <c r="G2639" t="str">
        <f>IFERROR(VLOOKUP('OB Format'!D2639,'Team Data'!C:AB,17,FALSE),"")</f>
        <v/>
      </c>
      <c r="H2639" t="str">
        <f>IFERROR(VLOOKUP(D2639,'Team Data'!C:AB,7,FALSE),"")</f>
        <v/>
      </c>
      <c r="I2639" t="str">
        <f>IFERROR(VLOOKUP(D2639,'Team Data'!C:AB,14,FALSE),"")</f>
        <v/>
      </c>
      <c r="J2639" t="str">
        <f>IFERROR(VLOOKUP(D2639,'Team Data'!C:AB,8,FALSE),"")</f>
        <v/>
      </c>
      <c r="K2639" t="str">
        <f>IFERROR(VLOOKUP(D2639,'Team Data'!C:AB,9,FALSE),"")</f>
        <v/>
      </c>
      <c r="L2639" t="str">
        <f>IFERROR(VLOOKUP(D2639,'Team Data'!C:AB,10,FALSE),"")</f>
        <v/>
      </c>
      <c r="M2639" t="str">
        <f t="shared" si="84"/>
        <v/>
      </c>
      <c r="N2639" t="str">
        <f>IFERROR(VLOOKUP(D2639,'Team Data'!C:AB,23,FALSE),"")</f>
        <v/>
      </c>
      <c r="O2639" t="str">
        <f>IFERROR(VLOOKUP(D2639,'Team Data'!C:AB,22,FALSE),"")</f>
        <v/>
      </c>
      <c r="P2639" t="str">
        <f t="shared" si="85"/>
        <v/>
      </c>
      <c r="Q2639" t="str">
        <f>IFERROR(VLOOKUP(D2639,'Team Data'!C:AB,15,FALSE),"")</f>
        <v/>
      </c>
      <c r="R2639" t="str">
        <f>IFERROR(VLOOKUP('OB Format'!D2639,'Team Data'!C:AB,24,FALSE),"")</f>
        <v/>
      </c>
      <c r="S2639" t="str">
        <f>IFERROR(VLOOKUP('OB Format'!D2639,'Team Data'!C:AC,25,FALSE),"")</f>
        <v/>
      </c>
    </row>
    <row r="2640" spans="5:19" x14ac:dyDescent="0.25">
      <c r="E2640" t="str">
        <f>IFERROR(VLOOKUP(D2640,'Team Data'!C:AB,4,FALSE),"")</f>
        <v/>
      </c>
      <c r="F2640" t="str">
        <f>IFERROR(VLOOKUP(D2640,'Team Data'!C:AB,5,FALSE),"")</f>
        <v/>
      </c>
      <c r="G2640" t="str">
        <f>IFERROR(VLOOKUP('OB Format'!D2640,'Team Data'!C:AB,17,FALSE),"")</f>
        <v/>
      </c>
      <c r="H2640" t="str">
        <f>IFERROR(VLOOKUP(D2640,'Team Data'!C:AB,7,FALSE),"")</f>
        <v/>
      </c>
      <c r="I2640" t="str">
        <f>IFERROR(VLOOKUP(D2640,'Team Data'!C:AB,14,FALSE),"")</f>
        <v/>
      </c>
      <c r="J2640" t="str">
        <f>IFERROR(VLOOKUP(D2640,'Team Data'!C:AB,8,FALSE),"")</f>
        <v/>
      </c>
      <c r="K2640" t="str">
        <f>IFERROR(VLOOKUP(D2640,'Team Data'!C:AB,9,FALSE),"")</f>
        <v/>
      </c>
      <c r="L2640" t="str">
        <f>IFERROR(VLOOKUP(D2640,'Team Data'!C:AB,10,FALSE),"")</f>
        <v/>
      </c>
      <c r="M2640" t="str">
        <f t="shared" si="84"/>
        <v/>
      </c>
      <c r="N2640" t="str">
        <f>IFERROR(VLOOKUP(D2640,'Team Data'!C:AB,23,FALSE),"")</f>
        <v/>
      </c>
      <c r="O2640" t="str">
        <f>IFERROR(VLOOKUP(D2640,'Team Data'!C:AB,22,FALSE),"")</f>
        <v/>
      </c>
      <c r="P2640" t="str">
        <f t="shared" si="85"/>
        <v/>
      </c>
      <c r="Q2640" t="str">
        <f>IFERROR(VLOOKUP(D2640,'Team Data'!C:AB,15,FALSE),"")</f>
        <v/>
      </c>
      <c r="R2640" t="str">
        <f>IFERROR(VLOOKUP('OB Format'!D2640,'Team Data'!C:AB,24,FALSE),"")</f>
        <v/>
      </c>
      <c r="S2640" t="str">
        <f>IFERROR(VLOOKUP('OB Format'!D2640,'Team Data'!C:AC,25,FALSE),"")</f>
        <v/>
      </c>
    </row>
    <row r="2641" spans="5:19" x14ac:dyDescent="0.25">
      <c r="E2641" t="str">
        <f>IFERROR(VLOOKUP(D2641,'Team Data'!C:AB,4,FALSE),"")</f>
        <v/>
      </c>
      <c r="F2641" t="str">
        <f>IFERROR(VLOOKUP(D2641,'Team Data'!C:AB,5,FALSE),"")</f>
        <v/>
      </c>
      <c r="G2641" t="str">
        <f>IFERROR(VLOOKUP('OB Format'!D2641,'Team Data'!C:AB,17,FALSE),"")</f>
        <v/>
      </c>
      <c r="H2641" t="str">
        <f>IFERROR(VLOOKUP(D2641,'Team Data'!C:AB,7,FALSE),"")</f>
        <v/>
      </c>
      <c r="I2641" t="str">
        <f>IFERROR(VLOOKUP(D2641,'Team Data'!C:AB,14,FALSE),"")</f>
        <v/>
      </c>
      <c r="J2641" t="str">
        <f>IFERROR(VLOOKUP(D2641,'Team Data'!C:AB,8,FALSE),"")</f>
        <v/>
      </c>
      <c r="K2641" t="str">
        <f>IFERROR(VLOOKUP(D2641,'Team Data'!C:AB,9,FALSE),"")</f>
        <v/>
      </c>
      <c r="L2641" t="str">
        <f>IFERROR(VLOOKUP(D2641,'Team Data'!C:AB,10,FALSE),"")</f>
        <v/>
      </c>
      <c r="M2641" t="str">
        <f t="shared" si="84"/>
        <v/>
      </c>
      <c r="N2641" t="str">
        <f>IFERROR(VLOOKUP(D2641,'Team Data'!C:AB,23,FALSE),"")</f>
        <v/>
      </c>
      <c r="O2641" t="str">
        <f>IFERROR(VLOOKUP(D2641,'Team Data'!C:AB,22,FALSE),"")</f>
        <v/>
      </c>
      <c r="P2641" t="str">
        <f t="shared" si="85"/>
        <v/>
      </c>
      <c r="Q2641" t="str">
        <f>IFERROR(VLOOKUP(D2641,'Team Data'!C:AB,15,FALSE),"")</f>
        <v/>
      </c>
      <c r="R2641" t="str">
        <f>IFERROR(VLOOKUP('OB Format'!D2641,'Team Data'!C:AB,24,FALSE),"")</f>
        <v/>
      </c>
      <c r="S2641" t="str">
        <f>IFERROR(VLOOKUP('OB Format'!D2641,'Team Data'!C:AC,25,FALSE),"")</f>
        <v/>
      </c>
    </row>
    <row r="2642" spans="5:19" x14ac:dyDescent="0.25">
      <c r="E2642" t="str">
        <f>IFERROR(VLOOKUP(D2642,'Team Data'!C:AB,4,FALSE),"")</f>
        <v/>
      </c>
      <c r="F2642" t="str">
        <f>IFERROR(VLOOKUP(D2642,'Team Data'!C:AB,5,FALSE),"")</f>
        <v/>
      </c>
      <c r="G2642" t="str">
        <f>IFERROR(VLOOKUP('OB Format'!D2642,'Team Data'!C:AB,17,FALSE),"")</f>
        <v/>
      </c>
      <c r="H2642" t="str">
        <f>IFERROR(VLOOKUP(D2642,'Team Data'!C:AB,7,FALSE),"")</f>
        <v/>
      </c>
      <c r="I2642" t="str">
        <f>IFERROR(VLOOKUP(D2642,'Team Data'!C:AB,14,FALSE),"")</f>
        <v/>
      </c>
      <c r="J2642" t="str">
        <f>IFERROR(VLOOKUP(D2642,'Team Data'!C:AB,8,FALSE),"")</f>
        <v/>
      </c>
      <c r="K2642" t="str">
        <f>IFERROR(VLOOKUP(D2642,'Team Data'!C:AB,9,FALSE),"")</f>
        <v/>
      </c>
      <c r="L2642" t="str">
        <f>IFERROR(VLOOKUP(D2642,'Team Data'!C:AB,10,FALSE),"")</f>
        <v/>
      </c>
      <c r="M2642" t="str">
        <f t="shared" si="84"/>
        <v/>
      </c>
      <c r="N2642" t="str">
        <f>IFERROR(VLOOKUP(D2642,'Team Data'!C:AB,23,FALSE),"")</f>
        <v/>
      </c>
      <c r="O2642" t="str">
        <f>IFERROR(VLOOKUP(D2642,'Team Data'!C:AB,22,FALSE),"")</f>
        <v/>
      </c>
      <c r="P2642" t="str">
        <f t="shared" si="85"/>
        <v/>
      </c>
      <c r="Q2642" t="str">
        <f>IFERROR(VLOOKUP(D2642,'Team Data'!C:AB,15,FALSE),"")</f>
        <v/>
      </c>
      <c r="R2642" t="str">
        <f>IFERROR(VLOOKUP('OB Format'!D2642,'Team Data'!C:AB,24,FALSE),"")</f>
        <v/>
      </c>
      <c r="S2642" t="str">
        <f>IFERROR(VLOOKUP('OB Format'!D2642,'Team Data'!C:AC,25,FALSE),"")</f>
        <v/>
      </c>
    </row>
    <row r="2643" spans="5:19" x14ac:dyDescent="0.25">
      <c r="E2643" t="str">
        <f>IFERROR(VLOOKUP(D2643,'Team Data'!C:AB,4,FALSE),"")</f>
        <v/>
      </c>
      <c r="F2643" t="str">
        <f>IFERROR(VLOOKUP(D2643,'Team Data'!C:AB,5,FALSE),"")</f>
        <v/>
      </c>
      <c r="G2643" t="str">
        <f>IFERROR(VLOOKUP('OB Format'!D2643,'Team Data'!C:AB,17,FALSE),"")</f>
        <v/>
      </c>
      <c r="H2643" t="str">
        <f>IFERROR(VLOOKUP(D2643,'Team Data'!C:AB,7,FALSE),"")</f>
        <v/>
      </c>
      <c r="I2643" t="str">
        <f>IFERROR(VLOOKUP(D2643,'Team Data'!C:AB,14,FALSE),"")</f>
        <v/>
      </c>
      <c r="J2643" t="str">
        <f>IFERROR(VLOOKUP(D2643,'Team Data'!C:AB,8,FALSE),"")</f>
        <v/>
      </c>
      <c r="K2643" t="str">
        <f>IFERROR(VLOOKUP(D2643,'Team Data'!C:AB,9,FALSE),"")</f>
        <v/>
      </c>
      <c r="L2643" t="str">
        <f>IFERROR(VLOOKUP(D2643,'Team Data'!C:AB,10,FALSE),"")</f>
        <v/>
      </c>
      <c r="M2643" t="str">
        <f t="shared" si="84"/>
        <v/>
      </c>
      <c r="N2643" t="str">
        <f>IFERROR(VLOOKUP(D2643,'Team Data'!C:AB,23,FALSE),"")</f>
        <v/>
      </c>
      <c r="O2643" t="str">
        <f>IFERROR(VLOOKUP(D2643,'Team Data'!C:AB,22,FALSE),"")</f>
        <v/>
      </c>
      <c r="P2643" t="str">
        <f t="shared" si="85"/>
        <v/>
      </c>
      <c r="Q2643" t="str">
        <f>IFERROR(VLOOKUP(D2643,'Team Data'!C:AB,15,FALSE),"")</f>
        <v/>
      </c>
      <c r="R2643" t="str">
        <f>IFERROR(VLOOKUP('OB Format'!D2643,'Team Data'!C:AB,24,FALSE),"")</f>
        <v/>
      </c>
      <c r="S2643" t="str">
        <f>IFERROR(VLOOKUP('OB Format'!D2643,'Team Data'!C:AC,25,FALSE),"")</f>
        <v/>
      </c>
    </row>
    <row r="2644" spans="5:19" x14ac:dyDescent="0.25">
      <c r="E2644" t="str">
        <f>IFERROR(VLOOKUP(D2644,'Team Data'!C:AB,4,FALSE),"")</f>
        <v/>
      </c>
      <c r="F2644" t="str">
        <f>IFERROR(VLOOKUP(D2644,'Team Data'!C:AB,5,FALSE),"")</f>
        <v/>
      </c>
      <c r="G2644" t="str">
        <f>IFERROR(VLOOKUP('OB Format'!D2644,'Team Data'!C:AB,17,FALSE),"")</f>
        <v/>
      </c>
      <c r="H2644" t="str">
        <f>IFERROR(VLOOKUP(D2644,'Team Data'!C:AB,7,FALSE),"")</f>
        <v/>
      </c>
      <c r="I2644" t="str">
        <f>IFERROR(VLOOKUP(D2644,'Team Data'!C:AB,14,FALSE),"")</f>
        <v/>
      </c>
      <c r="J2644" t="str">
        <f>IFERROR(VLOOKUP(D2644,'Team Data'!C:AB,8,FALSE),"")</f>
        <v/>
      </c>
      <c r="K2644" t="str">
        <f>IFERROR(VLOOKUP(D2644,'Team Data'!C:AB,9,FALSE),"")</f>
        <v/>
      </c>
      <c r="L2644" t="str">
        <f>IFERROR(VLOOKUP(D2644,'Team Data'!C:AB,10,FALSE),"")</f>
        <v/>
      </c>
      <c r="M2644" t="str">
        <f t="shared" si="84"/>
        <v/>
      </c>
      <c r="N2644" t="str">
        <f>IFERROR(VLOOKUP(D2644,'Team Data'!C:AB,23,FALSE),"")</f>
        <v/>
      </c>
      <c r="O2644" t="str">
        <f>IFERROR(VLOOKUP(D2644,'Team Data'!C:AB,22,FALSE),"")</f>
        <v/>
      </c>
      <c r="P2644" t="str">
        <f t="shared" si="85"/>
        <v/>
      </c>
      <c r="Q2644" t="str">
        <f>IFERROR(VLOOKUP(D2644,'Team Data'!C:AB,15,FALSE),"")</f>
        <v/>
      </c>
      <c r="R2644" t="str">
        <f>IFERROR(VLOOKUP('OB Format'!D2644,'Team Data'!C:AB,24,FALSE),"")</f>
        <v/>
      </c>
      <c r="S2644" t="str">
        <f>IFERROR(VLOOKUP('OB Format'!D2644,'Team Data'!C:AC,25,FALSE),"")</f>
        <v/>
      </c>
    </row>
    <row r="2645" spans="5:19" x14ac:dyDescent="0.25">
      <c r="E2645" t="str">
        <f>IFERROR(VLOOKUP(D2645,'Team Data'!C:AB,4,FALSE),"")</f>
        <v/>
      </c>
      <c r="F2645" t="str">
        <f>IFERROR(VLOOKUP(D2645,'Team Data'!C:AB,5,FALSE),"")</f>
        <v/>
      </c>
      <c r="G2645" t="str">
        <f>IFERROR(VLOOKUP('OB Format'!D2645,'Team Data'!C:AB,17,FALSE),"")</f>
        <v/>
      </c>
      <c r="H2645" t="str">
        <f>IFERROR(VLOOKUP(D2645,'Team Data'!C:AB,7,FALSE),"")</f>
        <v/>
      </c>
      <c r="I2645" t="str">
        <f>IFERROR(VLOOKUP(D2645,'Team Data'!C:AB,14,FALSE),"")</f>
        <v/>
      </c>
      <c r="J2645" t="str">
        <f>IFERROR(VLOOKUP(D2645,'Team Data'!C:AB,8,FALSE),"")</f>
        <v/>
      </c>
      <c r="K2645" t="str">
        <f>IFERROR(VLOOKUP(D2645,'Team Data'!C:AB,9,FALSE),"")</f>
        <v/>
      </c>
      <c r="L2645" t="str">
        <f>IFERROR(VLOOKUP(D2645,'Team Data'!C:AB,10,FALSE),"")</f>
        <v/>
      </c>
      <c r="M2645" t="str">
        <f t="shared" si="84"/>
        <v/>
      </c>
      <c r="N2645" t="str">
        <f>IFERROR(VLOOKUP(D2645,'Team Data'!C:AB,23,FALSE),"")</f>
        <v/>
      </c>
      <c r="O2645" t="str">
        <f>IFERROR(VLOOKUP(D2645,'Team Data'!C:AB,22,FALSE),"")</f>
        <v/>
      </c>
      <c r="P2645" t="str">
        <f t="shared" si="85"/>
        <v/>
      </c>
      <c r="Q2645" t="str">
        <f>IFERROR(VLOOKUP(D2645,'Team Data'!C:AB,15,FALSE),"")</f>
        <v/>
      </c>
      <c r="R2645" t="str">
        <f>IFERROR(VLOOKUP('OB Format'!D2645,'Team Data'!C:AB,24,FALSE),"")</f>
        <v/>
      </c>
      <c r="S2645" t="str">
        <f>IFERROR(VLOOKUP('OB Format'!D2645,'Team Data'!C:AC,25,FALSE),"")</f>
        <v/>
      </c>
    </row>
    <row r="2646" spans="5:19" x14ac:dyDescent="0.25">
      <c r="E2646" t="str">
        <f>IFERROR(VLOOKUP(D2646,'Team Data'!C:AB,4,FALSE),"")</f>
        <v/>
      </c>
      <c r="F2646" t="str">
        <f>IFERROR(VLOOKUP(D2646,'Team Data'!C:AB,5,FALSE),"")</f>
        <v/>
      </c>
      <c r="G2646" t="str">
        <f>IFERROR(VLOOKUP('OB Format'!D2646,'Team Data'!C:AB,17,FALSE),"")</f>
        <v/>
      </c>
      <c r="H2646" t="str">
        <f>IFERROR(VLOOKUP(D2646,'Team Data'!C:AB,7,FALSE),"")</f>
        <v/>
      </c>
      <c r="I2646" t="str">
        <f>IFERROR(VLOOKUP(D2646,'Team Data'!C:AB,14,FALSE),"")</f>
        <v/>
      </c>
      <c r="J2646" t="str">
        <f>IFERROR(VLOOKUP(D2646,'Team Data'!C:AB,8,FALSE),"")</f>
        <v/>
      </c>
      <c r="K2646" t="str">
        <f>IFERROR(VLOOKUP(D2646,'Team Data'!C:AB,9,FALSE),"")</f>
        <v/>
      </c>
      <c r="L2646" t="str">
        <f>IFERROR(VLOOKUP(D2646,'Team Data'!C:AB,10,FALSE),"")</f>
        <v/>
      </c>
      <c r="M2646" t="str">
        <f t="shared" si="84"/>
        <v/>
      </c>
      <c r="N2646" t="str">
        <f>IFERROR(VLOOKUP(D2646,'Team Data'!C:AB,23,FALSE),"")</f>
        <v/>
      </c>
      <c r="O2646" t="str">
        <f>IFERROR(VLOOKUP(D2646,'Team Data'!C:AB,22,FALSE),"")</f>
        <v/>
      </c>
      <c r="P2646" t="str">
        <f t="shared" si="85"/>
        <v/>
      </c>
      <c r="Q2646" t="str">
        <f>IFERROR(VLOOKUP(D2646,'Team Data'!C:AB,15,FALSE),"")</f>
        <v/>
      </c>
      <c r="R2646" t="str">
        <f>IFERROR(VLOOKUP('OB Format'!D2646,'Team Data'!C:AB,24,FALSE),"")</f>
        <v/>
      </c>
      <c r="S2646" t="str">
        <f>IFERROR(VLOOKUP('OB Format'!D2646,'Team Data'!C:AC,25,FALSE),"")</f>
        <v/>
      </c>
    </row>
    <row r="2647" spans="5:19" x14ac:dyDescent="0.25">
      <c r="E2647" t="str">
        <f>IFERROR(VLOOKUP(D2647,'Team Data'!C:AB,4,FALSE),"")</f>
        <v/>
      </c>
      <c r="F2647" t="str">
        <f>IFERROR(VLOOKUP(D2647,'Team Data'!C:AB,5,FALSE),"")</f>
        <v/>
      </c>
      <c r="G2647" t="str">
        <f>IFERROR(VLOOKUP('OB Format'!D2647,'Team Data'!C:AB,17,FALSE),"")</f>
        <v/>
      </c>
      <c r="H2647" t="str">
        <f>IFERROR(VLOOKUP(D2647,'Team Data'!C:AB,7,FALSE),"")</f>
        <v/>
      </c>
      <c r="I2647" t="str">
        <f>IFERROR(VLOOKUP(D2647,'Team Data'!C:AB,14,FALSE),"")</f>
        <v/>
      </c>
      <c r="J2647" t="str">
        <f>IFERROR(VLOOKUP(D2647,'Team Data'!C:AB,8,FALSE),"")</f>
        <v/>
      </c>
      <c r="K2647" t="str">
        <f>IFERROR(VLOOKUP(D2647,'Team Data'!C:AB,9,FALSE),"")</f>
        <v/>
      </c>
      <c r="L2647" t="str">
        <f>IFERROR(VLOOKUP(D2647,'Team Data'!C:AB,10,FALSE),"")</f>
        <v/>
      </c>
      <c r="M2647" t="str">
        <f t="shared" si="84"/>
        <v/>
      </c>
      <c r="N2647" t="str">
        <f>IFERROR(VLOOKUP(D2647,'Team Data'!C:AB,23,FALSE),"")</f>
        <v/>
      </c>
      <c r="O2647" t="str">
        <f>IFERROR(VLOOKUP(D2647,'Team Data'!C:AB,22,FALSE),"")</f>
        <v/>
      </c>
      <c r="P2647" t="str">
        <f t="shared" si="85"/>
        <v/>
      </c>
      <c r="Q2647" t="str">
        <f>IFERROR(VLOOKUP(D2647,'Team Data'!C:AB,15,FALSE),"")</f>
        <v/>
      </c>
      <c r="R2647" t="str">
        <f>IFERROR(VLOOKUP('OB Format'!D2647,'Team Data'!C:AB,24,FALSE),"")</f>
        <v/>
      </c>
      <c r="S2647" t="str">
        <f>IFERROR(VLOOKUP('OB Format'!D2647,'Team Data'!C:AC,25,FALSE),"")</f>
        <v/>
      </c>
    </row>
    <row r="2648" spans="5:19" x14ac:dyDescent="0.25">
      <c r="E2648" t="str">
        <f>IFERROR(VLOOKUP(D2648,'Team Data'!C:AB,4,FALSE),"")</f>
        <v/>
      </c>
      <c r="F2648" t="str">
        <f>IFERROR(VLOOKUP(D2648,'Team Data'!C:AB,5,FALSE),"")</f>
        <v/>
      </c>
      <c r="G2648" t="str">
        <f>IFERROR(VLOOKUP('OB Format'!D2648,'Team Data'!C:AB,17,FALSE),"")</f>
        <v/>
      </c>
      <c r="H2648" t="str">
        <f>IFERROR(VLOOKUP(D2648,'Team Data'!C:AB,7,FALSE),"")</f>
        <v/>
      </c>
      <c r="I2648" t="str">
        <f>IFERROR(VLOOKUP(D2648,'Team Data'!C:AB,14,FALSE),"")</f>
        <v/>
      </c>
      <c r="J2648" t="str">
        <f>IFERROR(VLOOKUP(D2648,'Team Data'!C:AB,8,FALSE),"")</f>
        <v/>
      </c>
      <c r="K2648" t="str">
        <f>IFERROR(VLOOKUP(D2648,'Team Data'!C:AB,9,FALSE),"")</f>
        <v/>
      </c>
      <c r="L2648" t="str">
        <f>IFERROR(VLOOKUP(D2648,'Team Data'!C:AB,10,FALSE),"")</f>
        <v/>
      </c>
      <c r="M2648" t="str">
        <f t="shared" si="84"/>
        <v/>
      </c>
      <c r="N2648" t="str">
        <f>IFERROR(VLOOKUP(D2648,'Team Data'!C:AB,23,FALSE),"")</f>
        <v/>
      </c>
      <c r="O2648" t="str">
        <f>IFERROR(VLOOKUP(D2648,'Team Data'!C:AB,22,FALSE),"")</f>
        <v/>
      </c>
      <c r="P2648" t="str">
        <f t="shared" si="85"/>
        <v/>
      </c>
      <c r="Q2648" t="str">
        <f>IFERROR(VLOOKUP(D2648,'Team Data'!C:AB,15,FALSE),"")</f>
        <v/>
      </c>
      <c r="R2648" t="str">
        <f>IFERROR(VLOOKUP('OB Format'!D2648,'Team Data'!C:AB,24,FALSE),"")</f>
        <v/>
      </c>
      <c r="S2648" t="str">
        <f>IFERROR(VLOOKUP('OB Format'!D2648,'Team Data'!C:AC,25,FALSE),"")</f>
        <v/>
      </c>
    </row>
    <row r="2649" spans="5:19" x14ac:dyDescent="0.25">
      <c r="E2649" t="str">
        <f>IFERROR(VLOOKUP(D2649,'Team Data'!C:AB,4,FALSE),"")</f>
        <v/>
      </c>
      <c r="F2649" t="str">
        <f>IFERROR(VLOOKUP(D2649,'Team Data'!C:AB,5,FALSE),"")</f>
        <v/>
      </c>
      <c r="G2649" t="str">
        <f>IFERROR(VLOOKUP('OB Format'!D2649,'Team Data'!C:AB,17,FALSE),"")</f>
        <v/>
      </c>
      <c r="H2649" t="str">
        <f>IFERROR(VLOOKUP(D2649,'Team Data'!C:AB,7,FALSE),"")</f>
        <v/>
      </c>
      <c r="I2649" t="str">
        <f>IFERROR(VLOOKUP(D2649,'Team Data'!C:AB,14,FALSE),"")</f>
        <v/>
      </c>
      <c r="J2649" t="str">
        <f>IFERROR(VLOOKUP(D2649,'Team Data'!C:AB,8,FALSE),"")</f>
        <v/>
      </c>
      <c r="K2649" t="str">
        <f>IFERROR(VLOOKUP(D2649,'Team Data'!C:AB,9,FALSE),"")</f>
        <v/>
      </c>
      <c r="L2649" t="str">
        <f>IFERROR(VLOOKUP(D2649,'Team Data'!C:AB,10,FALSE),"")</f>
        <v/>
      </c>
      <c r="M2649" t="str">
        <f t="shared" si="84"/>
        <v/>
      </c>
      <c r="N2649" t="str">
        <f>IFERROR(VLOOKUP(D2649,'Team Data'!C:AB,23,FALSE),"")</f>
        <v/>
      </c>
      <c r="O2649" t="str">
        <f>IFERROR(VLOOKUP(D2649,'Team Data'!C:AB,22,FALSE),"")</f>
        <v/>
      </c>
      <c r="P2649" t="str">
        <f t="shared" si="85"/>
        <v/>
      </c>
      <c r="Q2649" t="str">
        <f>IFERROR(VLOOKUP(D2649,'Team Data'!C:AB,15,FALSE),"")</f>
        <v/>
      </c>
      <c r="R2649" t="str">
        <f>IFERROR(VLOOKUP('OB Format'!D2649,'Team Data'!C:AB,24,FALSE),"")</f>
        <v/>
      </c>
      <c r="S2649" t="str">
        <f>IFERROR(VLOOKUP('OB Format'!D2649,'Team Data'!C:AC,25,FALSE),"")</f>
        <v/>
      </c>
    </row>
    <row r="2650" spans="5:19" x14ac:dyDescent="0.25">
      <c r="E2650" t="str">
        <f>IFERROR(VLOOKUP(D2650,'Team Data'!C:AB,4,FALSE),"")</f>
        <v/>
      </c>
      <c r="F2650" t="str">
        <f>IFERROR(VLOOKUP(D2650,'Team Data'!C:AB,5,FALSE),"")</f>
        <v/>
      </c>
      <c r="G2650" t="str">
        <f>IFERROR(VLOOKUP('OB Format'!D2650,'Team Data'!C:AB,17,FALSE),"")</f>
        <v/>
      </c>
      <c r="H2650" t="str">
        <f>IFERROR(VLOOKUP(D2650,'Team Data'!C:AB,7,FALSE),"")</f>
        <v/>
      </c>
      <c r="I2650" t="str">
        <f>IFERROR(VLOOKUP(D2650,'Team Data'!C:AB,14,FALSE),"")</f>
        <v/>
      </c>
      <c r="J2650" t="str">
        <f>IFERROR(VLOOKUP(D2650,'Team Data'!C:AB,8,FALSE),"")</f>
        <v/>
      </c>
      <c r="K2650" t="str">
        <f>IFERROR(VLOOKUP(D2650,'Team Data'!C:AB,9,FALSE),"")</f>
        <v/>
      </c>
      <c r="L2650" t="str">
        <f>IFERROR(VLOOKUP(D2650,'Team Data'!C:AB,10,FALSE),"")</f>
        <v/>
      </c>
      <c r="M2650" t="str">
        <f t="shared" si="84"/>
        <v/>
      </c>
      <c r="N2650" t="str">
        <f>IFERROR(VLOOKUP(D2650,'Team Data'!C:AB,23,FALSE),"")</f>
        <v/>
      </c>
      <c r="O2650" t="str">
        <f>IFERROR(VLOOKUP(D2650,'Team Data'!C:AB,22,FALSE),"")</f>
        <v/>
      </c>
      <c r="P2650" t="str">
        <f t="shared" si="85"/>
        <v/>
      </c>
      <c r="Q2650" t="str">
        <f>IFERROR(VLOOKUP(D2650,'Team Data'!C:AB,15,FALSE),"")</f>
        <v/>
      </c>
      <c r="R2650" t="str">
        <f>IFERROR(VLOOKUP('OB Format'!D2650,'Team Data'!C:AB,24,FALSE),"")</f>
        <v/>
      </c>
      <c r="S2650" t="str">
        <f>IFERROR(VLOOKUP('OB Format'!D2650,'Team Data'!C:AC,25,FALSE),"")</f>
        <v/>
      </c>
    </row>
    <row r="2651" spans="5:19" x14ac:dyDescent="0.25">
      <c r="E2651" t="str">
        <f>IFERROR(VLOOKUP(D2651,'Team Data'!C:AB,4,FALSE),"")</f>
        <v/>
      </c>
      <c r="F2651" t="str">
        <f>IFERROR(VLOOKUP(D2651,'Team Data'!C:AB,5,FALSE),"")</f>
        <v/>
      </c>
      <c r="G2651" t="str">
        <f>IFERROR(VLOOKUP('OB Format'!D2651,'Team Data'!C:AB,17,FALSE),"")</f>
        <v/>
      </c>
      <c r="H2651" t="str">
        <f>IFERROR(VLOOKUP(D2651,'Team Data'!C:AB,7,FALSE),"")</f>
        <v/>
      </c>
      <c r="I2651" t="str">
        <f>IFERROR(VLOOKUP(D2651,'Team Data'!C:AB,14,FALSE),"")</f>
        <v/>
      </c>
      <c r="J2651" t="str">
        <f>IFERROR(VLOOKUP(D2651,'Team Data'!C:AB,8,FALSE),"")</f>
        <v/>
      </c>
      <c r="K2651" t="str">
        <f>IFERROR(VLOOKUP(D2651,'Team Data'!C:AB,9,FALSE),"")</f>
        <v/>
      </c>
      <c r="L2651" t="str">
        <f>IFERROR(VLOOKUP(D2651,'Team Data'!C:AB,10,FALSE),"")</f>
        <v/>
      </c>
      <c r="M2651" t="str">
        <f t="shared" si="84"/>
        <v/>
      </c>
      <c r="N2651" t="str">
        <f>IFERROR(VLOOKUP(D2651,'Team Data'!C:AB,23,FALSE),"")</f>
        <v/>
      </c>
      <c r="O2651" t="str">
        <f>IFERROR(VLOOKUP(D2651,'Team Data'!C:AB,22,FALSE),"")</f>
        <v/>
      </c>
      <c r="P2651" t="str">
        <f t="shared" si="85"/>
        <v/>
      </c>
      <c r="Q2651" t="str">
        <f>IFERROR(VLOOKUP(D2651,'Team Data'!C:AB,15,FALSE),"")</f>
        <v/>
      </c>
      <c r="R2651" t="str">
        <f>IFERROR(VLOOKUP('OB Format'!D2651,'Team Data'!C:AB,24,FALSE),"")</f>
        <v/>
      </c>
      <c r="S2651" t="str">
        <f>IFERROR(VLOOKUP('OB Format'!D2651,'Team Data'!C:AC,25,FALSE),"")</f>
        <v/>
      </c>
    </row>
    <row r="2652" spans="5:19" x14ac:dyDescent="0.25">
      <c r="E2652" t="str">
        <f>IFERROR(VLOOKUP(D2652,'Team Data'!C:AB,4,FALSE),"")</f>
        <v/>
      </c>
      <c r="F2652" t="str">
        <f>IFERROR(VLOOKUP(D2652,'Team Data'!C:AB,5,FALSE),"")</f>
        <v/>
      </c>
      <c r="G2652" t="str">
        <f>IFERROR(VLOOKUP('OB Format'!D2652,'Team Data'!C:AB,17,FALSE),"")</f>
        <v/>
      </c>
      <c r="H2652" t="str">
        <f>IFERROR(VLOOKUP(D2652,'Team Data'!C:AB,7,FALSE),"")</f>
        <v/>
      </c>
      <c r="I2652" t="str">
        <f>IFERROR(VLOOKUP(D2652,'Team Data'!C:AB,14,FALSE),"")</f>
        <v/>
      </c>
      <c r="J2652" t="str">
        <f>IFERROR(VLOOKUP(D2652,'Team Data'!C:AB,8,FALSE),"")</f>
        <v/>
      </c>
      <c r="K2652" t="str">
        <f>IFERROR(VLOOKUP(D2652,'Team Data'!C:AB,9,FALSE),"")</f>
        <v/>
      </c>
      <c r="L2652" t="str">
        <f>IFERROR(VLOOKUP(D2652,'Team Data'!C:AB,10,FALSE),"")</f>
        <v/>
      </c>
      <c r="M2652" t="str">
        <f t="shared" si="84"/>
        <v/>
      </c>
      <c r="N2652" t="str">
        <f>IFERROR(VLOOKUP(D2652,'Team Data'!C:AB,23,FALSE),"")</f>
        <v/>
      </c>
      <c r="O2652" t="str">
        <f>IFERROR(VLOOKUP(D2652,'Team Data'!C:AB,22,FALSE),"")</f>
        <v/>
      </c>
      <c r="P2652" t="str">
        <f t="shared" si="85"/>
        <v/>
      </c>
      <c r="Q2652" t="str">
        <f>IFERROR(VLOOKUP(D2652,'Team Data'!C:AB,15,FALSE),"")</f>
        <v/>
      </c>
      <c r="R2652" t="str">
        <f>IFERROR(VLOOKUP('OB Format'!D2652,'Team Data'!C:AB,24,FALSE),"")</f>
        <v/>
      </c>
      <c r="S2652" t="str">
        <f>IFERROR(VLOOKUP('OB Format'!D2652,'Team Data'!C:AC,25,FALSE),"")</f>
        <v/>
      </c>
    </row>
    <row r="2653" spans="5:19" x14ac:dyDescent="0.25">
      <c r="E2653" t="str">
        <f>IFERROR(VLOOKUP(D2653,'Team Data'!C:AB,4,FALSE),"")</f>
        <v/>
      </c>
      <c r="F2653" t="str">
        <f>IFERROR(VLOOKUP(D2653,'Team Data'!C:AB,5,FALSE),"")</f>
        <v/>
      </c>
      <c r="G2653" t="str">
        <f>IFERROR(VLOOKUP('OB Format'!D2653,'Team Data'!C:AB,17,FALSE),"")</f>
        <v/>
      </c>
      <c r="H2653" t="str">
        <f>IFERROR(VLOOKUP(D2653,'Team Data'!C:AB,7,FALSE),"")</f>
        <v/>
      </c>
      <c r="I2653" t="str">
        <f>IFERROR(VLOOKUP(D2653,'Team Data'!C:AB,14,FALSE),"")</f>
        <v/>
      </c>
      <c r="J2653" t="str">
        <f>IFERROR(VLOOKUP(D2653,'Team Data'!C:AB,8,FALSE),"")</f>
        <v/>
      </c>
      <c r="K2653" t="str">
        <f>IFERROR(VLOOKUP(D2653,'Team Data'!C:AB,9,FALSE),"")</f>
        <v/>
      </c>
      <c r="L2653" t="str">
        <f>IFERROR(VLOOKUP(D2653,'Team Data'!C:AB,10,FALSE),"")</f>
        <v/>
      </c>
      <c r="M2653" t="str">
        <f t="shared" si="84"/>
        <v/>
      </c>
      <c r="N2653" t="str">
        <f>IFERROR(VLOOKUP(D2653,'Team Data'!C:AB,23,FALSE),"")</f>
        <v/>
      </c>
      <c r="O2653" t="str">
        <f>IFERROR(VLOOKUP(D2653,'Team Data'!C:AB,22,FALSE),"")</f>
        <v/>
      </c>
      <c r="P2653" t="str">
        <f t="shared" si="85"/>
        <v/>
      </c>
      <c r="Q2653" t="str">
        <f>IFERROR(VLOOKUP(D2653,'Team Data'!C:AB,15,FALSE),"")</f>
        <v/>
      </c>
      <c r="R2653" t="str">
        <f>IFERROR(VLOOKUP('OB Format'!D2653,'Team Data'!C:AB,24,FALSE),"")</f>
        <v/>
      </c>
      <c r="S2653" t="str">
        <f>IFERROR(VLOOKUP('OB Format'!D2653,'Team Data'!C:AC,25,FALSE),"")</f>
        <v/>
      </c>
    </row>
    <row r="2654" spans="5:19" x14ac:dyDescent="0.25">
      <c r="E2654" t="str">
        <f>IFERROR(VLOOKUP(D2654,'Team Data'!C:AB,4,FALSE),"")</f>
        <v/>
      </c>
      <c r="F2654" t="str">
        <f>IFERROR(VLOOKUP(D2654,'Team Data'!C:AB,5,FALSE),"")</f>
        <v/>
      </c>
      <c r="G2654" t="str">
        <f>IFERROR(VLOOKUP('OB Format'!D2654,'Team Data'!C:AB,17,FALSE),"")</f>
        <v/>
      </c>
      <c r="H2654" t="str">
        <f>IFERROR(VLOOKUP(D2654,'Team Data'!C:AB,7,FALSE),"")</f>
        <v/>
      </c>
      <c r="I2654" t="str">
        <f>IFERROR(VLOOKUP(D2654,'Team Data'!C:AB,14,FALSE),"")</f>
        <v/>
      </c>
      <c r="J2654" t="str">
        <f>IFERROR(VLOOKUP(D2654,'Team Data'!C:AB,8,FALSE),"")</f>
        <v/>
      </c>
      <c r="K2654" t="str">
        <f>IFERROR(VLOOKUP(D2654,'Team Data'!C:AB,9,FALSE),"")</f>
        <v/>
      </c>
      <c r="L2654" t="str">
        <f>IFERROR(VLOOKUP(D2654,'Team Data'!C:AB,10,FALSE),"")</f>
        <v/>
      </c>
      <c r="M2654" t="str">
        <f t="shared" si="84"/>
        <v/>
      </c>
      <c r="N2654" t="str">
        <f>IFERROR(VLOOKUP(D2654,'Team Data'!C:AB,23,FALSE),"")</f>
        <v/>
      </c>
      <c r="O2654" t="str">
        <f>IFERROR(VLOOKUP(D2654,'Team Data'!C:AB,22,FALSE),"")</f>
        <v/>
      </c>
      <c r="P2654" t="str">
        <f t="shared" si="85"/>
        <v/>
      </c>
      <c r="Q2654" t="str">
        <f>IFERROR(VLOOKUP(D2654,'Team Data'!C:AB,15,FALSE),"")</f>
        <v/>
      </c>
      <c r="R2654" t="str">
        <f>IFERROR(VLOOKUP('OB Format'!D2654,'Team Data'!C:AB,24,FALSE),"")</f>
        <v/>
      </c>
      <c r="S2654" t="str">
        <f>IFERROR(VLOOKUP('OB Format'!D2654,'Team Data'!C:AC,25,FALSE),"")</f>
        <v/>
      </c>
    </row>
    <row r="2655" spans="5:19" x14ac:dyDescent="0.25">
      <c r="E2655" t="str">
        <f>IFERROR(VLOOKUP(D2655,'Team Data'!C:AB,4,FALSE),"")</f>
        <v/>
      </c>
      <c r="F2655" t="str">
        <f>IFERROR(VLOOKUP(D2655,'Team Data'!C:AB,5,FALSE),"")</f>
        <v/>
      </c>
      <c r="G2655" t="str">
        <f>IFERROR(VLOOKUP('OB Format'!D2655,'Team Data'!C:AB,17,FALSE),"")</f>
        <v/>
      </c>
      <c r="H2655" t="str">
        <f>IFERROR(VLOOKUP(D2655,'Team Data'!C:AB,7,FALSE),"")</f>
        <v/>
      </c>
      <c r="I2655" t="str">
        <f>IFERROR(VLOOKUP(D2655,'Team Data'!C:AB,14,FALSE),"")</f>
        <v/>
      </c>
      <c r="J2655" t="str">
        <f>IFERROR(VLOOKUP(D2655,'Team Data'!C:AB,8,FALSE),"")</f>
        <v/>
      </c>
      <c r="K2655" t="str">
        <f>IFERROR(VLOOKUP(D2655,'Team Data'!C:AB,9,FALSE),"")</f>
        <v/>
      </c>
      <c r="L2655" t="str">
        <f>IFERROR(VLOOKUP(D2655,'Team Data'!C:AB,10,FALSE),"")</f>
        <v/>
      </c>
      <c r="M2655" t="str">
        <f t="shared" si="84"/>
        <v/>
      </c>
      <c r="N2655" t="str">
        <f>IFERROR(VLOOKUP(D2655,'Team Data'!C:AB,23,FALSE),"")</f>
        <v/>
      </c>
      <c r="O2655" t="str">
        <f>IFERROR(VLOOKUP(D2655,'Team Data'!C:AB,22,FALSE),"")</f>
        <v/>
      </c>
      <c r="P2655" t="str">
        <f t="shared" si="85"/>
        <v/>
      </c>
      <c r="Q2655" t="str">
        <f>IFERROR(VLOOKUP(D2655,'Team Data'!C:AB,15,FALSE),"")</f>
        <v/>
      </c>
      <c r="R2655" t="str">
        <f>IFERROR(VLOOKUP('OB Format'!D2655,'Team Data'!C:AB,24,FALSE),"")</f>
        <v/>
      </c>
      <c r="S2655" t="str">
        <f>IFERROR(VLOOKUP('OB Format'!D2655,'Team Data'!C:AC,25,FALSE),"")</f>
        <v/>
      </c>
    </row>
    <row r="2656" spans="5:19" x14ac:dyDescent="0.25">
      <c r="E2656" t="str">
        <f>IFERROR(VLOOKUP(D2656,'Team Data'!C:AB,4,FALSE),"")</f>
        <v/>
      </c>
      <c r="F2656" t="str">
        <f>IFERROR(VLOOKUP(D2656,'Team Data'!C:AB,5,FALSE),"")</f>
        <v/>
      </c>
      <c r="G2656" t="str">
        <f>IFERROR(VLOOKUP('OB Format'!D2656,'Team Data'!C:AB,17,FALSE),"")</f>
        <v/>
      </c>
      <c r="H2656" t="str">
        <f>IFERROR(VLOOKUP(D2656,'Team Data'!C:AB,7,FALSE),"")</f>
        <v/>
      </c>
      <c r="I2656" t="str">
        <f>IFERROR(VLOOKUP(D2656,'Team Data'!C:AB,14,FALSE),"")</f>
        <v/>
      </c>
      <c r="J2656" t="str">
        <f>IFERROR(VLOOKUP(D2656,'Team Data'!C:AB,8,FALSE),"")</f>
        <v/>
      </c>
      <c r="K2656" t="str">
        <f>IFERROR(VLOOKUP(D2656,'Team Data'!C:AB,9,FALSE),"")</f>
        <v/>
      </c>
      <c r="L2656" t="str">
        <f>IFERROR(VLOOKUP(D2656,'Team Data'!C:AB,10,FALSE),"")</f>
        <v/>
      </c>
      <c r="M2656" t="str">
        <f t="shared" si="84"/>
        <v/>
      </c>
      <c r="N2656" t="str">
        <f>IFERROR(VLOOKUP(D2656,'Team Data'!C:AB,23,FALSE),"")</f>
        <v/>
      </c>
      <c r="O2656" t="str">
        <f>IFERROR(VLOOKUP(D2656,'Team Data'!C:AB,22,FALSE),"")</f>
        <v/>
      </c>
      <c r="P2656" t="str">
        <f t="shared" si="85"/>
        <v/>
      </c>
      <c r="Q2656" t="str">
        <f>IFERROR(VLOOKUP(D2656,'Team Data'!C:AB,15,FALSE),"")</f>
        <v/>
      </c>
      <c r="R2656" t="str">
        <f>IFERROR(VLOOKUP('OB Format'!D2656,'Team Data'!C:AB,24,FALSE),"")</f>
        <v/>
      </c>
      <c r="S2656" t="str">
        <f>IFERROR(VLOOKUP('OB Format'!D2656,'Team Data'!C:AC,25,FALSE),"")</f>
        <v/>
      </c>
    </row>
    <row r="2657" spans="5:19" x14ac:dyDescent="0.25">
      <c r="E2657" t="str">
        <f>IFERROR(VLOOKUP(D2657,'Team Data'!C:AB,4,FALSE),"")</f>
        <v/>
      </c>
      <c r="F2657" t="str">
        <f>IFERROR(VLOOKUP(D2657,'Team Data'!C:AB,5,FALSE),"")</f>
        <v/>
      </c>
      <c r="G2657" t="str">
        <f>IFERROR(VLOOKUP('OB Format'!D2657,'Team Data'!C:AB,17,FALSE),"")</f>
        <v/>
      </c>
      <c r="H2657" t="str">
        <f>IFERROR(VLOOKUP(D2657,'Team Data'!C:AB,7,FALSE),"")</f>
        <v/>
      </c>
      <c r="I2657" t="str">
        <f>IFERROR(VLOOKUP(D2657,'Team Data'!C:AB,14,FALSE),"")</f>
        <v/>
      </c>
      <c r="J2657" t="str">
        <f>IFERROR(VLOOKUP(D2657,'Team Data'!C:AB,8,FALSE),"")</f>
        <v/>
      </c>
      <c r="K2657" t="str">
        <f>IFERROR(VLOOKUP(D2657,'Team Data'!C:AB,9,FALSE),"")</f>
        <v/>
      </c>
      <c r="L2657" t="str">
        <f>IFERROR(VLOOKUP(D2657,'Team Data'!C:AB,10,FALSE),"")</f>
        <v/>
      </c>
      <c r="M2657" t="str">
        <f t="shared" si="84"/>
        <v/>
      </c>
      <c r="N2657" t="str">
        <f>IFERROR(VLOOKUP(D2657,'Team Data'!C:AB,23,FALSE),"")</f>
        <v/>
      </c>
      <c r="O2657" t="str">
        <f>IFERROR(VLOOKUP(D2657,'Team Data'!C:AB,22,FALSE),"")</f>
        <v/>
      </c>
      <c r="P2657" t="str">
        <f t="shared" si="85"/>
        <v/>
      </c>
      <c r="Q2657" t="str">
        <f>IFERROR(VLOOKUP(D2657,'Team Data'!C:AB,15,FALSE),"")</f>
        <v/>
      </c>
      <c r="R2657" t="str">
        <f>IFERROR(VLOOKUP('OB Format'!D2657,'Team Data'!C:AB,24,FALSE),"")</f>
        <v/>
      </c>
      <c r="S2657" t="str">
        <f>IFERROR(VLOOKUP('OB Format'!D2657,'Team Data'!C:AC,25,FALSE),"")</f>
        <v/>
      </c>
    </row>
    <row r="2658" spans="5:19" x14ac:dyDescent="0.25">
      <c r="E2658" t="str">
        <f>IFERROR(VLOOKUP(D2658,'Team Data'!C:AB,4,FALSE),"")</f>
        <v/>
      </c>
      <c r="F2658" t="str">
        <f>IFERROR(VLOOKUP(D2658,'Team Data'!C:AB,5,FALSE),"")</f>
        <v/>
      </c>
      <c r="G2658" t="str">
        <f>IFERROR(VLOOKUP('OB Format'!D2658,'Team Data'!C:AB,17,FALSE),"")</f>
        <v/>
      </c>
      <c r="H2658" t="str">
        <f>IFERROR(VLOOKUP(D2658,'Team Data'!C:AB,7,FALSE),"")</f>
        <v/>
      </c>
      <c r="I2658" t="str">
        <f>IFERROR(VLOOKUP(D2658,'Team Data'!C:AB,14,FALSE),"")</f>
        <v/>
      </c>
      <c r="J2658" t="str">
        <f>IFERROR(VLOOKUP(D2658,'Team Data'!C:AB,8,FALSE),"")</f>
        <v/>
      </c>
      <c r="K2658" t="str">
        <f>IFERROR(VLOOKUP(D2658,'Team Data'!C:AB,9,FALSE),"")</f>
        <v/>
      </c>
      <c r="L2658" t="str">
        <f>IFERROR(VLOOKUP(D2658,'Team Data'!C:AB,10,FALSE),"")</f>
        <v/>
      </c>
      <c r="M2658" t="str">
        <f t="shared" si="84"/>
        <v/>
      </c>
      <c r="N2658" t="str">
        <f>IFERROR(VLOOKUP(D2658,'Team Data'!C:AB,23,FALSE),"")</f>
        <v/>
      </c>
      <c r="O2658" t="str">
        <f>IFERROR(VLOOKUP(D2658,'Team Data'!C:AB,22,FALSE),"")</f>
        <v/>
      </c>
      <c r="P2658" t="str">
        <f t="shared" si="85"/>
        <v/>
      </c>
      <c r="Q2658" t="str">
        <f>IFERROR(VLOOKUP(D2658,'Team Data'!C:AB,15,FALSE),"")</f>
        <v/>
      </c>
      <c r="R2658" t="str">
        <f>IFERROR(VLOOKUP('OB Format'!D2658,'Team Data'!C:AB,24,FALSE),"")</f>
        <v/>
      </c>
      <c r="S2658" t="str">
        <f>IFERROR(VLOOKUP('OB Format'!D2658,'Team Data'!C:AC,25,FALSE),"")</f>
        <v/>
      </c>
    </row>
    <row r="2659" spans="5:19" x14ac:dyDescent="0.25">
      <c r="E2659" t="str">
        <f>IFERROR(VLOOKUP(D2659,'Team Data'!C:AB,4,FALSE),"")</f>
        <v/>
      </c>
      <c r="F2659" t="str">
        <f>IFERROR(VLOOKUP(D2659,'Team Data'!C:AB,5,FALSE),"")</f>
        <v/>
      </c>
      <c r="G2659" t="str">
        <f>IFERROR(VLOOKUP('OB Format'!D2659,'Team Data'!C:AB,17,FALSE),"")</f>
        <v/>
      </c>
      <c r="H2659" t="str">
        <f>IFERROR(VLOOKUP(D2659,'Team Data'!C:AB,7,FALSE),"")</f>
        <v/>
      </c>
      <c r="I2659" t="str">
        <f>IFERROR(VLOOKUP(D2659,'Team Data'!C:AB,14,FALSE),"")</f>
        <v/>
      </c>
      <c r="J2659" t="str">
        <f>IFERROR(VLOOKUP(D2659,'Team Data'!C:AB,8,FALSE),"")</f>
        <v/>
      </c>
      <c r="K2659" t="str">
        <f>IFERROR(VLOOKUP(D2659,'Team Data'!C:AB,9,FALSE),"")</f>
        <v/>
      </c>
      <c r="L2659" t="str">
        <f>IFERROR(VLOOKUP(D2659,'Team Data'!C:AB,10,FALSE),"")</f>
        <v/>
      </c>
      <c r="M2659" t="str">
        <f t="shared" si="84"/>
        <v/>
      </c>
      <c r="N2659" t="str">
        <f>IFERROR(VLOOKUP(D2659,'Team Data'!C:AB,23,FALSE),"")</f>
        <v/>
      </c>
      <c r="O2659" t="str">
        <f>IFERROR(VLOOKUP(D2659,'Team Data'!C:AB,22,FALSE),"")</f>
        <v/>
      </c>
      <c r="P2659" t="str">
        <f t="shared" si="85"/>
        <v/>
      </c>
      <c r="Q2659" t="str">
        <f>IFERROR(VLOOKUP(D2659,'Team Data'!C:AB,15,FALSE),"")</f>
        <v/>
      </c>
      <c r="R2659" t="str">
        <f>IFERROR(VLOOKUP('OB Format'!D2659,'Team Data'!C:AB,24,FALSE),"")</f>
        <v/>
      </c>
      <c r="S2659" t="str">
        <f>IFERROR(VLOOKUP('OB Format'!D2659,'Team Data'!C:AC,25,FALSE),"")</f>
        <v/>
      </c>
    </row>
    <row r="2660" spans="5:19" x14ac:dyDescent="0.25">
      <c r="E2660" t="str">
        <f>IFERROR(VLOOKUP(D2660,'Team Data'!C:AB,4,FALSE),"")</f>
        <v/>
      </c>
      <c r="F2660" t="str">
        <f>IFERROR(VLOOKUP(D2660,'Team Data'!C:AB,5,FALSE),"")</f>
        <v/>
      </c>
      <c r="G2660" t="str">
        <f>IFERROR(VLOOKUP('OB Format'!D2660,'Team Data'!C:AB,17,FALSE),"")</f>
        <v/>
      </c>
      <c r="H2660" t="str">
        <f>IFERROR(VLOOKUP(D2660,'Team Data'!C:AB,7,FALSE),"")</f>
        <v/>
      </c>
      <c r="I2660" t="str">
        <f>IFERROR(VLOOKUP(D2660,'Team Data'!C:AB,14,FALSE),"")</f>
        <v/>
      </c>
      <c r="J2660" t="str">
        <f>IFERROR(VLOOKUP(D2660,'Team Data'!C:AB,8,FALSE),"")</f>
        <v/>
      </c>
      <c r="K2660" t="str">
        <f>IFERROR(VLOOKUP(D2660,'Team Data'!C:AB,9,FALSE),"")</f>
        <v/>
      </c>
      <c r="L2660" t="str">
        <f>IFERROR(VLOOKUP(D2660,'Team Data'!C:AB,10,FALSE),"")</f>
        <v/>
      </c>
      <c r="M2660" t="str">
        <f t="shared" si="84"/>
        <v/>
      </c>
      <c r="N2660" t="str">
        <f>IFERROR(VLOOKUP(D2660,'Team Data'!C:AB,23,FALSE),"")</f>
        <v/>
      </c>
      <c r="O2660" t="str">
        <f>IFERROR(VLOOKUP(D2660,'Team Data'!C:AB,22,FALSE),"")</f>
        <v/>
      </c>
      <c r="P2660" t="str">
        <f t="shared" si="85"/>
        <v/>
      </c>
      <c r="Q2660" t="str">
        <f>IFERROR(VLOOKUP(D2660,'Team Data'!C:AB,15,FALSE),"")</f>
        <v/>
      </c>
      <c r="R2660" t="str">
        <f>IFERROR(VLOOKUP('OB Format'!D2660,'Team Data'!C:AB,24,FALSE),"")</f>
        <v/>
      </c>
      <c r="S2660" t="str">
        <f>IFERROR(VLOOKUP('OB Format'!D2660,'Team Data'!C:AC,25,FALSE),"")</f>
        <v/>
      </c>
    </row>
    <row r="2661" spans="5:19" x14ac:dyDescent="0.25">
      <c r="E2661" t="str">
        <f>IFERROR(VLOOKUP(D2661,'Team Data'!C:AB,4,FALSE),"")</f>
        <v/>
      </c>
      <c r="F2661" t="str">
        <f>IFERROR(VLOOKUP(D2661,'Team Data'!C:AB,5,FALSE),"")</f>
        <v/>
      </c>
      <c r="G2661" t="str">
        <f>IFERROR(VLOOKUP('OB Format'!D2661,'Team Data'!C:AB,17,FALSE),"")</f>
        <v/>
      </c>
      <c r="H2661" t="str">
        <f>IFERROR(VLOOKUP(D2661,'Team Data'!C:AB,7,FALSE),"")</f>
        <v/>
      </c>
      <c r="I2661" t="str">
        <f>IFERROR(VLOOKUP(D2661,'Team Data'!C:AB,14,FALSE),"")</f>
        <v/>
      </c>
      <c r="J2661" t="str">
        <f>IFERROR(VLOOKUP(D2661,'Team Data'!C:AB,8,FALSE),"")</f>
        <v/>
      </c>
      <c r="K2661" t="str">
        <f>IFERROR(VLOOKUP(D2661,'Team Data'!C:AB,9,FALSE),"")</f>
        <v/>
      </c>
      <c r="L2661" t="str">
        <f>IFERROR(VLOOKUP(D2661,'Team Data'!C:AB,10,FALSE),"")</f>
        <v/>
      </c>
      <c r="M2661" t="str">
        <f t="shared" si="84"/>
        <v/>
      </c>
      <c r="N2661" t="str">
        <f>IFERROR(VLOOKUP(D2661,'Team Data'!C:AB,23,FALSE),"")</f>
        <v/>
      </c>
      <c r="O2661" t="str">
        <f>IFERROR(VLOOKUP(D2661,'Team Data'!C:AB,22,FALSE),"")</f>
        <v/>
      </c>
      <c r="P2661" t="str">
        <f t="shared" si="85"/>
        <v/>
      </c>
      <c r="Q2661" t="str">
        <f>IFERROR(VLOOKUP(D2661,'Team Data'!C:AB,15,FALSE),"")</f>
        <v/>
      </c>
      <c r="R2661" t="str">
        <f>IFERROR(VLOOKUP('OB Format'!D2661,'Team Data'!C:AB,24,FALSE),"")</f>
        <v/>
      </c>
      <c r="S2661" t="str">
        <f>IFERROR(VLOOKUP('OB Format'!D2661,'Team Data'!C:AC,25,FALSE),"")</f>
        <v/>
      </c>
    </row>
    <row r="2662" spans="5:19" x14ac:dyDescent="0.25">
      <c r="E2662" t="str">
        <f>IFERROR(VLOOKUP(D2662,'Team Data'!C:AB,4,FALSE),"")</f>
        <v/>
      </c>
      <c r="F2662" t="str">
        <f>IFERROR(VLOOKUP(D2662,'Team Data'!C:AB,5,FALSE),"")</f>
        <v/>
      </c>
      <c r="G2662" t="str">
        <f>IFERROR(VLOOKUP('OB Format'!D2662,'Team Data'!C:AB,17,FALSE),"")</f>
        <v/>
      </c>
      <c r="H2662" t="str">
        <f>IFERROR(VLOOKUP(D2662,'Team Data'!C:AB,7,FALSE),"")</f>
        <v/>
      </c>
      <c r="I2662" t="str">
        <f>IFERROR(VLOOKUP(D2662,'Team Data'!C:AB,14,FALSE),"")</f>
        <v/>
      </c>
      <c r="J2662" t="str">
        <f>IFERROR(VLOOKUP(D2662,'Team Data'!C:AB,8,FALSE),"")</f>
        <v/>
      </c>
      <c r="K2662" t="str">
        <f>IFERROR(VLOOKUP(D2662,'Team Data'!C:AB,9,FALSE),"")</f>
        <v/>
      </c>
      <c r="L2662" t="str">
        <f>IFERROR(VLOOKUP(D2662,'Team Data'!C:AB,10,FALSE),"")</f>
        <v/>
      </c>
      <c r="M2662" t="str">
        <f t="shared" si="84"/>
        <v/>
      </c>
      <c r="N2662" t="str">
        <f>IFERROR(VLOOKUP(D2662,'Team Data'!C:AB,23,FALSE),"")</f>
        <v/>
      </c>
      <c r="O2662" t="str">
        <f>IFERROR(VLOOKUP(D2662,'Team Data'!C:AB,22,FALSE),"")</f>
        <v/>
      </c>
      <c r="P2662" t="str">
        <f t="shared" si="85"/>
        <v/>
      </c>
      <c r="Q2662" t="str">
        <f>IFERROR(VLOOKUP(D2662,'Team Data'!C:AB,15,FALSE),"")</f>
        <v/>
      </c>
      <c r="R2662" t="str">
        <f>IFERROR(VLOOKUP('OB Format'!D2662,'Team Data'!C:AB,24,FALSE),"")</f>
        <v/>
      </c>
      <c r="S2662" t="str">
        <f>IFERROR(VLOOKUP('OB Format'!D2662,'Team Data'!C:AC,25,FALSE),"")</f>
        <v/>
      </c>
    </row>
    <row r="2663" spans="5:19" x14ac:dyDescent="0.25">
      <c r="E2663" t="str">
        <f>IFERROR(VLOOKUP(D2663,'Team Data'!C:AB,4,FALSE),"")</f>
        <v/>
      </c>
      <c r="F2663" t="str">
        <f>IFERROR(VLOOKUP(D2663,'Team Data'!C:AB,5,FALSE),"")</f>
        <v/>
      </c>
      <c r="G2663" t="str">
        <f>IFERROR(VLOOKUP('OB Format'!D2663,'Team Data'!C:AB,17,FALSE),"")</f>
        <v/>
      </c>
      <c r="H2663" t="str">
        <f>IFERROR(VLOOKUP(D2663,'Team Data'!C:AB,7,FALSE),"")</f>
        <v/>
      </c>
      <c r="I2663" t="str">
        <f>IFERROR(VLOOKUP(D2663,'Team Data'!C:AB,14,FALSE),"")</f>
        <v/>
      </c>
      <c r="J2663" t="str">
        <f>IFERROR(VLOOKUP(D2663,'Team Data'!C:AB,8,FALSE),"")</f>
        <v/>
      </c>
      <c r="K2663" t="str">
        <f>IFERROR(VLOOKUP(D2663,'Team Data'!C:AB,9,FALSE),"")</f>
        <v/>
      </c>
      <c r="L2663" t="str">
        <f>IFERROR(VLOOKUP(D2663,'Team Data'!C:AB,10,FALSE),"")</f>
        <v/>
      </c>
      <c r="M2663" t="str">
        <f t="shared" si="84"/>
        <v/>
      </c>
      <c r="N2663" t="str">
        <f>IFERROR(VLOOKUP(D2663,'Team Data'!C:AB,23,FALSE),"")</f>
        <v/>
      </c>
      <c r="O2663" t="str">
        <f>IFERROR(VLOOKUP(D2663,'Team Data'!C:AB,22,FALSE),"")</f>
        <v/>
      </c>
      <c r="P2663" t="str">
        <f t="shared" si="85"/>
        <v/>
      </c>
      <c r="Q2663" t="str">
        <f>IFERROR(VLOOKUP(D2663,'Team Data'!C:AB,15,FALSE),"")</f>
        <v/>
      </c>
      <c r="R2663" t="str">
        <f>IFERROR(VLOOKUP('OB Format'!D2663,'Team Data'!C:AB,24,FALSE),"")</f>
        <v/>
      </c>
      <c r="S2663" t="str">
        <f>IFERROR(VLOOKUP('OB Format'!D2663,'Team Data'!C:AC,25,FALSE),"")</f>
        <v/>
      </c>
    </row>
    <row r="2664" spans="5:19" x14ac:dyDescent="0.25">
      <c r="E2664" t="str">
        <f>IFERROR(VLOOKUP(D2664,'Team Data'!C:AB,4,FALSE),"")</f>
        <v/>
      </c>
      <c r="F2664" t="str">
        <f>IFERROR(VLOOKUP(D2664,'Team Data'!C:AB,5,FALSE),"")</f>
        <v/>
      </c>
      <c r="G2664" t="str">
        <f>IFERROR(VLOOKUP('OB Format'!D2664,'Team Data'!C:AB,17,FALSE),"")</f>
        <v/>
      </c>
      <c r="H2664" t="str">
        <f>IFERROR(VLOOKUP(D2664,'Team Data'!C:AB,7,FALSE),"")</f>
        <v/>
      </c>
      <c r="I2664" t="str">
        <f>IFERROR(VLOOKUP(D2664,'Team Data'!C:AB,14,FALSE),"")</f>
        <v/>
      </c>
      <c r="J2664" t="str">
        <f>IFERROR(VLOOKUP(D2664,'Team Data'!C:AB,8,FALSE),"")</f>
        <v/>
      </c>
      <c r="K2664" t="str">
        <f>IFERROR(VLOOKUP(D2664,'Team Data'!C:AB,9,FALSE),"")</f>
        <v/>
      </c>
      <c r="L2664" t="str">
        <f>IFERROR(VLOOKUP(D2664,'Team Data'!C:AB,10,FALSE),"")</f>
        <v/>
      </c>
      <c r="M2664" t="str">
        <f t="shared" si="84"/>
        <v/>
      </c>
      <c r="N2664" t="str">
        <f>IFERROR(VLOOKUP(D2664,'Team Data'!C:AB,23,FALSE),"")</f>
        <v/>
      </c>
      <c r="O2664" t="str">
        <f>IFERROR(VLOOKUP(D2664,'Team Data'!C:AB,22,FALSE),"")</f>
        <v/>
      </c>
      <c r="P2664" t="str">
        <f t="shared" si="85"/>
        <v/>
      </c>
      <c r="Q2664" t="str">
        <f>IFERROR(VLOOKUP(D2664,'Team Data'!C:AB,15,FALSE),"")</f>
        <v/>
      </c>
      <c r="R2664" t="str">
        <f>IFERROR(VLOOKUP('OB Format'!D2664,'Team Data'!C:AB,24,FALSE),"")</f>
        <v/>
      </c>
      <c r="S2664" t="str">
        <f>IFERROR(VLOOKUP('OB Format'!D2664,'Team Data'!C:AC,25,FALSE),"")</f>
        <v/>
      </c>
    </row>
    <row r="2665" spans="5:19" x14ac:dyDescent="0.25">
      <c r="E2665" t="str">
        <f>IFERROR(VLOOKUP(D2665,'Team Data'!C:AB,4,FALSE),"")</f>
        <v/>
      </c>
      <c r="F2665" t="str">
        <f>IFERROR(VLOOKUP(D2665,'Team Data'!C:AB,5,FALSE),"")</f>
        <v/>
      </c>
      <c r="G2665" t="str">
        <f>IFERROR(VLOOKUP('OB Format'!D2665,'Team Data'!C:AB,17,FALSE),"")</f>
        <v/>
      </c>
      <c r="H2665" t="str">
        <f>IFERROR(VLOOKUP(D2665,'Team Data'!C:AB,7,FALSE),"")</f>
        <v/>
      </c>
      <c r="I2665" t="str">
        <f>IFERROR(VLOOKUP(D2665,'Team Data'!C:AB,14,FALSE),"")</f>
        <v/>
      </c>
      <c r="J2665" t="str">
        <f>IFERROR(VLOOKUP(D2665,'Team Data'!C:AB,8,FALSE),"")</f>
        <v/>
      </c>
      <c r="K2665" t="str">
        <f>IFERROR(VLOOKUP(D2665,'Team Data'!C:AB,9,FALSE),"")</f>
        <v/>
      </c>
      <c r="L2665" t="str">
        <f>IFERROR(VLOOKUP(D2665,'Team Data'!C:AB,10,FALSE),"")</f>
        <v/>
      </c>
      <c r="M2665" t="str">
        <f t="shared" si="84"/>
        <v/>
      </c>
      <c r="N2665" t="str">
        <f>IFERROR(VLOOKUP(D2665,'Team Data'!C:AB,23,FALSE),"")</f>
        <v/>
      </c>
      <c r="O2665" t="str">
        <f>IFERROR(VLOOKUP(D2665,'Team Data'!C:AB,22,FALSE),"")</f>
        <v/>
      </c>
      <c r="P2665" t="str">
        <f t="shared" si="85"/>
        <v/>
      </c>
      <c r="Q2665" t="str">
        <f>IFERROR(VLOOKUP(D2665,'Team Data'!C:AB,15,FALSE),"")</f>
        <v/>
      </c>
      <c r="R2665" t="str">
        <f>IFERROR(VLOOKUP('OB Format'!D2665,'Team Data'!C:AB,24,FALSE),"")</f>
        <v/>
      </c>
      <c r="S2665" t="str">
        <f>IFERROR(VLOOKUP('OB Format'!D2665,'Team Data'!C:AC,25,FALSE),"")</f>
        <v/>
      </c>
    </row>
    <row r="2666" spans="5:19" x14ac:dyDescent="0.25">
      <c r="E2666" t="str">
        <f>IFERROR(VLOOKUP(D2666,'Team Data'!C:AB,4,FALSE),"")</f>
        <v/>
      </c>
      <c r="F2666" t="str">
        <f>IFERROR(VLOOKUP(D2666,'Team Data'!C:AB,5,FALSE),"")</f>
        <v/>
      </c>
      <c r="G2666" t="str">
        <f>IFERROR(VLOOKUP('OB Format'!D2666,'Team Data'!C:AB,17,FALSE),"")</f>
        <v/>
      </c>
      <c r="H2666" t="str">
        <f>IFERROR(VLOOKUP(D2666,'Team Data'!C:AB,7,FALSE),"")</f>
        <v/>
      </c>
      <c r="I2666" t="str">
        <f>IFERROR(VLOOKUP(D2666,'Team Data'!C:AB,14,FALSE),"")</f>
        <v/>
      </c>
      <c r="J2666" t="str">
        <f>IFERROR(VLOOKUP(D2666,'Team Data'!C:AB,8,FALSE),"")</f>
        <v/>
      </c>
      <c r="K2666" t="str">
        <f>IFERROR(VLOOKUP(D2666,'Team Data'!C:AB,9,FALSE),"")</f>
        <v/>
      </c>
      <c r="L2666" t="str">
        <f>IFERROR(VLOOKUP(D2666,'Team Data'!C:AB,10,FALSE),"")</f>
        <v/>
      </c>
      <c r="M2666" t="str">
        <f t="shared" si="84"/>
        <v/>
      </c>
      <c r="N2666" t="str">
        <f>IFERROR(VLOOKUP(D2666,'Team Data'!C:AB,23,FALSE),"")</f>
        <v/>
      </c>
      <c r="O2666" t="str">
        <f>IFERROR(VLOOKUP(D2666,'Team Data'!C:AB,22,FALSE),"")</f>
        <v/>
      </c>
      <c r="P2666" t="str">
        <f t="shared" si="85"/>
        <v/>
      </c>
      <c r="Q2666" t="str">
        <f>IFERROR(VLOOKUP(D2666,'Team Data'!C:AB,15,FALSE),"")</f>
        <v/>
      </c>
      <c r="R2666" t="str">
        <f>IFERROR(VLOOKUP('OB Format'!D2666,'Team Data'!C:AB,24,FALSE),"")</f>
        <v/>
      </c>
      <c r="S2666" t="str">
        <f>IFERROR(VLOOKUP('OB Format'!D2666,'Team Data'!C:AC,25,FALSE),"")</f>
        <v/>
      </c>
    </row>
    <row r="2667" spans="5:19" x14ac:dyDescent="0.25">
      <c r="E2667" t="str">
        <f>IFERROR(VLOOKUP(D2667,'Team Data'!C:AB,4,FALSE),"")</f>
        <v/>
      </c>
      <c r="F2667" t="str">
        <f>IFERROR(VLOOKUP(D2667,'Team Data'!C:AB,5,FALSE),"")</f>
        <v/>
      </c>
      <c r="G2667" t="str">
        <f>IFERROR(VLOOKUP('OB Format'!D2667,'Team Data'!C:AB,17,FALSE),"")</f>
        <v/>
      </c>
      <c r="H2667" t="str">
        <f>IFERROR(VLOOKUP(D2667,'Team Data'!C:AB,7,FALSE),"")</f>
        <v/>
      </c>
      <c r="I2667" t="str">
        <f>IFERROR(VLOOKUP(D2667,'Team Data'!C:AB,14,FALSE),"")</f>
        <v/>
      </c>
      <c r="J2667" t="str">
        <f>IFERROR(VLOOKUP(D2667,'Team Data'!C:AB,8,FALSE),"")</f>
        <v/>
      </c>
      <c r="K2667" t="str">
        <f>IFERROR(VLOOKUP(D2667,'Team Data'!C:AB,9,FALSE),"")</f>
        <v/>
      </c>
      <c r="L2667" t="str">
        <f>IFERROR(VLOOKUP(D2667,'Team Data'!C:AB,10,FALSE),"")</f>
        <v/>
      </c>
      <c r="M2667" t="str">
        <f t="shared" si="84"/>
        <v/>
      </c>
      <c r="N2667" t="str">
        <f>IFERROR(VLOOKUP(D2667,'Team Data'!C:AB,23,FALSE),"")</f>
        <v/>
      </c>
      <c r="O2667" t="str">
        <f>IFERROR(VLOOKUP(D2667,'Team Data'!C:AB,22,FALSE),"")</f>
        <v/>
      </c>
      <c r="P2667" t="str">
        <f t="shared" si="85"/>
        <v/>
      </c>
      <c r="Q2667" t="str">
        <f>IFERROR(VLOOKUP(D2667,'Team Data'!C:AB,15,FALSE),"")</f>
        <v/>
      </c>
      <c r="R2667" t="str">
        <f>IFERROR(VLOOKUP('OB Format'!D2667,'Team Data'!C:AB,24,FALSE),"")</f>
        <v/>
      </c>
      <c r="S2667" t="str">
        <f>IFERROR(VLOOKUP('OB Format'!D2667,'Team Data'!C:AC,25,FALSE),"")</f>
        <v/>
      </c>
    </row>
    <row r="2668" spans="5:19" x14ac:dyDescent="0.25">
      <c r="E2668" t="str">
        <f>IFERROR(VLOOKUP(D2668,'Team Data'!C:AB,4,FALSE),"")</f>
        <v/>
      </c>
      <c r="F2668" t="str">
        <f>IFERROR(VLOOKUP(D2668,'Team Data'!C:AB,5,FALSE),"")</f>
        <v/>
      </c>
      <c r="G2668" t="str">
        <f>IFERROR(VLOOKUP('OB Format'!D2668,'Team Data'!C:AB,17,FALSE),"")</f>
        <v/>
      </c>
      <c r="H2668" t="str">
        <f>IFERROR(VLOOKUP(D2668,'Team Data'!C:AB,7,FALSE),"")</f>
        <v/>
      </c>
      <c r="I2668" t="str">
        <f>IFERROR(VLOOKUP(D2668,'Team Data'!C:AB,14,FALSE),"")</f>
        <v/>
      </c>
      <c r="J2668" t="str">
        <f>IFERROR(VLOOKUP(D2668,'Team Data'!C:AB,8,FALSE),"")</f>
        <v/>
      </c>
      <c r="K2668" t="str">
        <f>IFERROR(VLOOKUP(D2668,'Team Data'!C:AB,9,FALSE),"")</f>
        <v/>
      </c>
      <c r="L2668" t="str">
        <f>IFERROR(VLOOKUP(D2668,'Team Data'!C:AB,10,FALSE),"")</f>
        <v/>
      </c>
      <c r="M2668" t="str">
        <f t="shared" si="84"/>
        <v/>
      </c>
      <c r="N2668" t="str">
        <f>IFERROR(VLOOKUP(D2668,'Team Data'!C:AB,23,FALSE),"")</f>
        <v/>
      </c>
      <c r="O2668" t="str">
        <f>IFERROR(VLOOKUP(D2668,'Team Data'!C:AB,22,FALSE),"")</f>
        <v/>
      </c>
      <c r="P2668" t="str">
        <f t="shared" si="85"/>
        <v/>
      </c>
      <c r="Q2668" t="str">
        <f>IFERROR(VLOOKUP(D2668,'Team Data'!C:AB,15,FALSE),"")</f>
        <v/>
      </c>
      <c r="R2668" t="str">
        <f>IFERROR(VLOOKUP('OB Format'!D2668,'Team Data'!C:AB,24,FALSE),"")</f>
        <v/>
      </c>
      <c r="S2668" t="str">
        <f>IFERROR(VLOOKUP('OB Format'!D2668,'Team Data'!C:AC,25,FALSE),"")</f>
        <v/>
      </c>
    </row>
    <row r="2669" spans="5:19" x14ac:dyDescent="0.25">
      <c r="E2669" t="str">
        <f>IFERROR(VLOOKUP(D2669,'Team Data'!C:AB,4,FALSE),"")</f>
        <v/>
      </c>
      <c r="F2669" t="str">
        <f>IFERROR(VLOOKUP(D2669,'Team Data'!C:AB,5,FALSE),"")</f>
        <v/>
      </c>
      <c r="G2669" t="str">
        <f>IFERROR(VLOOKUP('OB Format'!D2669,'Team Data'!C:AB,17,FALSE),"")</f>
        <v/>
      </c>
      <c r="H2669" t="str">
        <f>IFERROR(VLOOKUP(D2669,'Team Data'!C:AB,7,FALSE),"")</f>
        <v/>
      </c>
      <c r="I2669" t="str">
        <f>IFERROR(VLOOKUP(D2669,'Team Data'!C:AB,14,FALSE),"")</f>
        <v/>
      </c>
      <c r="J2669" t="str">
        <f>IFERROR(VLOOKUP(D2669,'Team Data'!C:AB,8,FALSE),"")</f>
        <v/>
      </c>
      <c r="K2669" t="str">
        <f>IFERROR(VLOOKUP(D2669,'Team Data'!C:AB,9,FALSE),"")</f>
        <v/>
      </c>
      <c r="L2669" t="str">
        <f>IFERROR(VLOOKUP(D2669,'Team Data'!C:AB,10,FALSE),"")</f>
        <v/>
      </c>
      <c r="M2669" t="str">
        <f t="shared" si="84"/>
        <v/>
      </c>
      <c r="N2669" t="str">
        <f>IFERROR(VLOOKUP(D2669,'Team Data'!C:AB,23,FALSE),"")</f>
        <v/>
      </c>
      <c r="O2669" t="str">
        <f>IFERROR(VLOOKUP(D2669,'Team Data'!C:AB,22,FALSE),"")</f>
        <v/>
      </c>
      <c r="P2669" t="str">
        <f t="shared" si="85"/>
        <v/>
      </c>
      <c r="Q2669" t="str">
        <f>IFERROR(VLOOKUP(D2669,'Team Data'!C:AB,15,FALSE),"")</f>
        <v/>
      </c>
      <c r="R2669" t="str">
        <f>IFERROR(VLOOKUP('OB Format'!D2669,'Team Data'!C:AB,24,FALSE),"")</f>
        <v/>
      </c>
      <c r="S2669" t="str">
        <f>IFERROR(VLOOKUP('OB Format'!D2669,'Team Data'!C:AC,25,FALSE),"")</f>
        <v/>
      </c>
    </row>
    <row r="2670" spans="5:19" x14ac:dyDescent="0.25">
      <c r="E2670" t="str">
        <f>IFERROR(VLOOKUP(D2670,'Team Data'!C:AB,4,FALSE),"")</f>
        <v/>
      </c>
      <c r="F2670" t="str">
        <f>IFERROR(VLOOKUP(D2670,'Team Data'!C:AB,5,FALSE),"")</f>
        <v/>
      </c>
      <c r="G2670" t="str">
        <f>IFERROR(VLOOKUP('OB Format'!D2670,'Team Data'!C:AB,17,FALSE),"")</f>
        <v/>
      </c>
      <c r="H2670" t="str">
        <f>IFERROR(VLOOKUP(D2670,'Team Data'!C:AB,7,FALSE),"")</f>
        <v/>
      </c>
      <c r="I2670" t="str">
        <f>IFERROR(VLOOKUP(D2670,'Team Data'!C:AB,14,FALSE),"")</f>
        <v/>
      </c>
      <c r="J2670" t="str">
        <f>IFERROR(VLOOKUP(D2670,'Team Data'!C:AB,8,FALSE),"")</f>
        <v/>
      </c>
      <c r="K2670" t="str">
        <f>IFERROR(VLOOKUP(D2670,'Team Data'!C:AB,9,FALSE),"")</f>
        <v/>
      </c>
      <c r="L2670" t="str">
        <f>IFERROR(VLOOKUP(D2670,'Team Data'!C:AB,10,FALSE),"")</f>
        <v/>
      </c>
      <c r="M2670" t="str">
        <f t="shared" si="84"/>
        <v/>
      </c>
      <c r="N2670" t="str">
        <f>IFERROR(VLOOKUP(D2670,'Team Data'!C:AB,23,FALSE),"")</f>
        <v/>
      </c>
      <c r="O2670" t="str">
        <f>IFERROR(VLOOKUP(D2670,'Team Data'!C:AB,22,FALSE),"")</f>
        <v/>
      </c>
      <c r="P2670" t="str">
        <f t="shared" si="85"/>
        <v/>
      </c>
      <c r="Q2670" t="str">
        <f>IFERROR(VLOOKUP(D2670,'Team Data'!C:AB,15,FALSE),"")</f>
        <v/>
      </c>
      <c r="R2670" t="str">
        <f>IFERROR(VLOOKUP('OB Format'!D2670,'Team Data'!C:AB,24,FALSE),"")</f>
        <v/>
      </c>
      <c r="S2670" t="str">
        <f>IFERROR(VLOOKUP('OB Format'!D2670,'Team Data'!C:AC,25,FALSE),"")</f>
        <v/>
      </c>
    </row>
    <row r="2671" spans="5:19" x14ac:dyDescent="0.25">
      <c r="E2671" t="str">
        <f>IFERROR(VLOOKUP(D2671,'Team Data'!C:AB,4,FALSE),"")</f>
        <v/>
      </c>
      <c r="F2671" t="str">
        <f>IFERROR(VLOOKUP(D2671,'Team Data'!C:AB,5,FALSE),"")</f>
        <v/>
      </c>
      <c r="G2671" t="str">
        <f>IFERROR(VLOOKUP('OB Format'!D2671,'Team Data'!C:AB,17,FALSE),"")</f>
        <v/>
      </c>
      <c r="H2671" t="str">
        <f>IFERROR(VLOOKUP(D2671,'Team Data'!C:AB,7,FALSE),"")</f>
        <v/>
      </c>
      <c r="I2671" t="str">
        <f>IFERROR(VLOOKUP(D2671,'Team Data'!C:AB,14,FALSE),"")</f>
        <v/>
      </c>
      <c r="J2671" t="str">
        <f>IFERROR(VLOOKUP(D2671,'Team Data'!C:AB,8,FALSE),"")</f>
        <v/>
      </c>
      <c r="K2671" t="str">
        <f>IFERROR(VLOOKUP(D2671,'Team Data'!C:AB,9,FALSE),"")</f>
        <v/>
      </c>
      <c r="L2671" t="str">
        <f>IFERROR(VLOOKUP(D2671,'Team Data'!C:AB,10,FALSE),"")</f>
        <v/>
      </c>
      <c r="M2671" t="str">
        <f t="shared" si="84"/>
        <v/>
      </c>
      <c r="N2671" t="str">
        <f>IFERROR(VLOOKUP(D2671,'Team Data'!C:AB,23,FALSE),"")</f>
        <v/>
      </c>
      <c r="O2671" t="str">
        <f>IFERROR(VLOOKUP(D2671,'Team Data'!C:AB,22,FALSE),"")</f>
        <v/>
      </c>
      <c r="P2671" t="str">
        <f t="shared" si="85"/>
        <v/>
      </c>
      <c r="Q2671" t="str">
        <f>IFERROR(VLOOKUP(D2671,'Team Data'!C:AB,15,FALSE),"")</f>
        <v/>
      </c>
      <c r="R2671" t="str">
        <f>IFERROR(VLOOKUP('OB Format'!D2671,'Team Data'!C:AB,24,FALSE),"")</f>
        <v/>
      </c>
      <c r="S2671" t="str">
        <f>IFERROR(VLOOKUP('OB Format'!D2671,'Team Data'!C:AC,25,FALSE),"")</f>
        <v/>
      </c>
    </row>
    <row r="2672" spans="5:19" x14ac:dyDescent="0.25">
      <c r="E2672" t="str">
        <f>IFERROR(VLOOKUP(D2672,'Team Data'!C:AB,4,FALSE),"")</f>
        <v/>
      </c>
      <c r="F2672" t="str">
        <f>IFERROR(VLOOKUP(D2672,'Team Data'!C:AB,5,FALSE),"")</f>
        <v/>
      </c>
      <c r="G2672" t="str">
        <f>IFERROR(VLOOKUP('OB Format'!D2672,'Team Data'!C:AB,17,FALSE),"")</f>
        <v/>
      </c>
      <c r="H2672" t="str">
        <f>IFERROR(VLOOKUP(D2672,'Team Data'!C:AB,7,FALSE),"")</f>
        <v/>
      </c>
      <c r="I2672" t="str">
        <f>IFERROR(VLOOKUP(D2672,'Team Data'!C:AB,14,FALSE),"")</f>
        <v/>
      </c>
      <c r="J2672" t="str">
        <f>IFERROR(VLOOKUP(D2672,'Team Data'!C:AB,8,FALSE),"")</f>
        <v/>
      </c>
      <c r="K2672" t="str">
        <f>IFERROR(VLOOKUP(D2672,'Team Data'!C:AB,9,FALSE),"")</f>
        <v/>
      </c>
      <c r="L2672" t="str">
        <f>IFERROR(VLOOKUP(D2672,'Team Data'!C:AB,10,FALSE),"")</f>
        <v/>
      </c>
      <c r="M2672" t="str">
        <f t="shared" si="84"/>
        <v/>
      </c>
      <c r="N2672" t="str">
        <f>IFERROR(VLOOKUP(D2672,'Team Data'!C:AB,23,FALSE),"")</f>
        <v/>
      </c>
      <c r="O2672" t="str">
        <f>IFERROR(VLOOKUP(D2672,'Team Data'!C:AB,22,FALSE),"")</f>
        <v/>
      </c>
      <c r="P2672" t="str">
        <f t="shared" si="85"/>
        <v/>
      </c>
      <c r="Q2672" t="str">
        <f>IFERROR(VLOOKUP(D2672,'Team Data'!C:AB,15,FALSE),"")</f>
        <v/>
      </c>
      <c r="R2672" t="str">
        <f>IFERROR(VLOOKUP('OB Format'!D2672,'Team Data'!C:AB,24,FALSE),"")</f>
        <v/>
      </c>
      <c r="S2672" t="str">
        <f>IFERROR(VLOOKUP('OB Format'!D2672,'Team Data'!C:AC,25,FALSE),"")</f>
        <v/>
      </c>
    </row>
    <row r="2673" spans="5:19" x14ac:dyDescent="0.25">
      <c r="E2673" t="str">
        <f>IFERROR(VLOOKUP(D2673,'Team Data'!C:AB,4,FALSE),"")</f>
        <v/>
      </c>
      <c r="F2673" t="str">
        <f>IFERROR(VLOOKUP(D2673,'Team Data'!C:AB,5,FALSE),"")</f>
        <v/>
      </c>
      <c r="G2673" t="str">
        <f>IFERROR(VLOOKUP('OB Format'!D2673,'Team Data'!C:AB,17,FALSE),"")</f>
        <v/>
      </c>
      <c r="H2673" t="str">
        <f>IFERROR(VLOOKUP(D2673,'Team Data'!C:AB,7,FALSE),"")</f>
        <v/>
      </c>
      <c r="I2673" t="str">
        <f>IFERROR(VLOOKUP(D2673,'Team Data'!C:AB,14,FALSE),"")</f>
        <v/>
      </c>
      <c r="J2673" t="str">
        <f>IFERROR(VLOOKUP(D2673,'Team Data'!C:AB,8,FALSE),"")</f>
        <v/>
      </c>
      <c r="K2673" t="str">
        <f>IFERROR(VLOOKUP(D2673,'Team Data'!C:AB,9,FALSE),"")</f>
        <v/>
      </c>
      <c r="L2673" t="str">
        <f>IFERROR(VLOOKUP(D2673,'Team Data'!C:AB,10,FALSE),"")</f>
        <v/>
      </c>
      <c r="M2673" t="str">
        <f t="shared" si="84"/>
        <v/>
      </c>
      <c r="N2673" t="str">
        <f>IFERROR(VLOOKUP(D2673,'Team Data'!C:AB,23,FALSE),"")</f>
        <v/>
      </c>
      <c r="O2673" t="str">
        <f>IFERROR(VLOOKUP(D2673,'Team Data'!C:AB,22,FALSE),"")</f>
        <v/>
      </c>
      <c r="P2673" t="str">
        <f t="shared" si="85"/>
        <v/>
      </c>
      <c r="Q2673" t="str">
        <f>IFERROR(VLOOKUP(D2673,'Team Data'!C:AB,15,FALSE),"")</f>
        <v/>
      </c>
      <c r="R2673" t="str">
        <f>IFERROR(VLOOKUP('OB Format'!D2673,'Team Data'!C:AB,24,FALSE),"")</f>
        <v/>
      </c>
      <c r="S2673" t="str">
        <f>IFERROR(VLOOKUP('OB Format'!D2673,'Team Data'!C:AC,25,FALSE),"")</f>
        <v/>
      </c>
    </row>
    <row r="2674" spans="5:19" x14ac:dyDescent="0.25">
      <c r="E2674" t="str">
        <f>IFERROR(VLOOKUP(D2674,'Team Data'!C:AB,4,FALSE),"")</f>
        <v/>
      </c>
      <c r="F2674" t="str">
        <f>IFERROR(VLOOKUP(D2674,'Team Data'!C:AB,5,FALSE),"")</f>
        <v/>
      </c>
      <c r="G2674" t="str">
        <f>IFERROR(VLOOKUP('OB Format'!D2674,'Team Data'!C:AB,17,FALSE),"")</f>
        <v/>
      </c>
      <c r="H2674" t="str">
        <f>IFERROR(VLOOKUP(D2674,'Team Data'!C:AB,7,FALSE),"")</f>
        <v/>
      </c>
      <c r="I2674" t="str">
        <f>IFERROR(VLOOKUP(D2674,'Team Data'!C:AB,14,FALSE),"")</f>
        <v/>
      </c>
      <c r="J2674" t="str">
        <f>IFERROR(VLOOKUP(D2674,'Team Data'!C:AB,8,FALSE),"")</f>
        <v/>
      </c>
      <c r="K2674" t="str">
        <f>IFERROR(VLOOKUP(D2674,'Team Data'!C:AB,9,FALSE),"")</f>
        <v/>
      </c>
      <c r="L2674" t="str">
        <f>IFERROR(VLOOKUP(D2674,'Team Data'!C:AB,10,FALSE),"")</f>
        <v/>
      </c>
      <c r="M2674" t="str">
        <f t="shared" si="84"/>
        <v/>
      </c>
      <c r="N2674" t="str">
        <f>IFERROR(VLOOKUP(D2674,'Team Data'!C:AB,23,FALSE),"")</f>
        <v/>
      </c>
      <c r="O2674" t="str">
        <f>IFERROR(VLOOKUP(D2674,'Team Data'!C:AB,22,FALSE),"")</f>
        <v/>
      </c>
      <c r="P2674" t="str">
        <f t="shared" si="85"/>
        <v/>
      </c>
      <c r="Q2674" t="str">
        <f>IFERROR(VLOOKUP(D2674,'Team Data'!C:AB,15,FALSE),"")</f>
        <v/>
      </c>
      <c r="R2674" t="str">
        <f>IFERROR(VLOOKUP('OB Format'!D2674,'Team Data'!C:AB,24,FALSE),"")</f>
        <v/>
      </c>
      <c r="S2674" t="str">
        <f>IFERROR(VLOOKUP('OB Format'!D2674,'Team Data'!C:AC,25,FALSE),"")</f>
        <v/>
      </c>
    </row>
    <row r="2675" spans="5:19" x14ac:dyDescent="0.25">
      <c r="E2675" t="str">
        <f>IFERROR(VLOOKUP(D2675,'Team Data'!C:AB,4,FALSE),"")</f>
        <v/>
      </c>
      <c r="F2675" t="str">
        <f>IFERROR(VLOOKUP(D2675,'Team Data'!C:AB,5,FALSE),"")</f>
        <v/>
      </c>
      <c r="G2675" t="str">
        <f>IFERROR(VLOOKUP('OB Format'!D2675,'Team Data'!C:AB,17,FALSE),"")</f>
        <v/>
      </c>
      <c r="H2675" t="str">
        <f>IFERROR(VLOOKUP(D2675,'Team Data'!C:AB,7,FALSE),"")</f>
        <v/>
      </c>
      <c r="I2675" t="str">
        <f>IFERROR(VLOOKUP(D2675,'Team Data'!C:AB,14,FALSE),"")</f>
        <v/>
      </c>
      <c r="J2675" t="str">
        <f>IFERROR(VLOOKUP(D2675,'Team Data'!C:AB,8,FALSE),"")</f>
        <v/>
      </c>
      <c r="K2675" t="str">
        <f>IFERROR(VLOOKUP(D2675,'Team Data'!C:AB,9,FALSE),"")</f>
        <v/>
      </c>
      <c r="L2675" t="str">
        <f>IFERROR(VLOOKUP(D2675,'Team Data'!C:AB,10,FALSE),"")</f>
        <v/>
      </c>
      <c r="M2675" t="str">
        <f t="shared" si="84"/>
        <v/>
      </c>
      <c r="N2675" t="str">
        <f>IFERROR(VLOOKUP(D2675,'Team Data'!C:AB,23,FALSE),"")</f>
        <v/>
      </c>
      <c r="O2675" t="str">
        <f>IFERROR(VLOOKUP(D2675,'Team Data'!C:AB,22,FALSE),"")</f>
        <v/>
      </c>
      <c r="P2675" t="str">
        <f t="shared" si="85"/>
        <v/>
      </c>
      <c r="Q2675" t="str">
        <f>IFERROR(VLOOKUP(D2675,'Team Data'!C:AB,15,FALSE),"")</f>
        <v/>
      </c>
      <c r="R2675" t="str">
        <f>IFERROR(VLOOKUP('OB Format'!D2675,'Team Data'!C:AB,24,FALSE),"")</f>
        <v/>
      </c>
      <c r="S2675" t="str">
        <f>IFERROR(VLOOKUP('OB Format'!D2675,'Team Data'!C:AC,25,FALSE),"")</f>
        <v/>
      </c>
    </row>
    <row r="2676" spans="5:19" x14ac:dyDescent="0.25">
      <c r="E2676" t="str">
        <f>IFERROR(VLOOKUP(D2676,'Team Data'!C:AB,4,FALSE),"")</f>
        <v/>
      </c>
      <c r="F2676" t="str">
        <f>IFERROR(VLOOKUP(D2676,'Team Data'!C:AB,5,FALSE),"")</f>
        <v/>
      </c>
      <c r="G2676" t="str">
        <f>IFERROR(VLOOKUP('OB Format'!D2676,'Team Data'!C:AB,17,FALSE),"")</f>
        <v/>
      </c>
      <c r="H2676" t="str">
        <f>IFERROR(VLOOKUP(D2676,'Team Data'!C:AB,7,FALSE),"")</f>
        <v/>
      </c>
      <c r="I2676" t="str">
        <f>IFERROR(VLOOKUP(D2676,'Team Data'!C:AB,14,FALSE),"")</f>
        <v/>
      </c>
      <c r="J2676" t="str">
        <f>IFERROR(VLOOKUP(D2676,'Team Data'!C:AB,8,FALSE),"")</f>
        <v/>
      </c>
      <c r="K2676" t="str">
        <f>IFERROR(VLOOKUP(D2676,'Team Data'!C:AB,9,FALSE),"")</f>
        <v/>
      </c>
      <c r="L2676" t="str">
        <f>IFERROR(VLOOKUP(D2676,'Team Data'!C:AB,10,FALSE),"")</f>
        <v/>
      </c>
      <c r="M2676" t="str">
        <f t="shared" si="84"/>
        <v/>
      </c>
      <c r="N2676" t="str">
        <f>IFERROR(VLOOKUP(D2676,'Team Data'!C:AB,23,FALSE),"")</f>
        <v/>
      </c>
      <c r="O2676" t="str">
        <f>IFERROR(VLOOKUP(D2676,'Team Data'!C:AB,22,FALSE),"")</f>
        <v/>
      </c>
      <c r="P2676" t="str">
        <f t="shared" si="85"/>
        <v/>
      </c>
      <c r="Q2676" t="str">
        <f>IFERROR(VLOOKUP(D2676,'Team Data'!C:AB,15,FALSE),"")</f>
        <v/>
      </c>
      <c r="R2676" t="str">
        <f>IFERROR(VLOOKUP('OB Format'!D2676,'Team Data'!C:AB,24,FALSE),"")</f>
        <v/>
      </c>
      <c r="S2676" t="str">
        <f>IFERROR(VLOOKUP('OB Format'!D2676,'Team Data'!C:AC,25,FALSE),"")</f>
        <v/>
      </c>
    </row>
    <row r="2677" spans="5:19" x14ac:dyDescent="0.25">
      <c r="E2677" t="str">
        <f>IFERROR(VLOOKUP(D2677,'Team Data'!C:AB,4,FALSE),"")</f>
        <v/>
      </c>
      <c r="F2677" t="str">
        <f>IFERROR(VLOOKUP(D2677,'Team Data'!C:AB,5,FALSE),"")</f>
        <v/>
      </c>
      <c r="G2677" t="str">
        <f>IFERROR(VLOOKUP('OB Format'!D2677,'Team Data'!C:AB,17,FALSE),"")</f>
        <v/>
      </c>
      <c r="H2677" t="str">
        <f>IFERROR(VLOOKUP(D2677,'Team Data'!C:AB,7,FALSE),"")</f>
        <v/>
      </c>
      <c r="I2677" t="str">
        <f>IFERROR(VLOOKUP(D2677,'Team Data'!C:AB,14,FALSE),"")</f>
        <v/>
      </c>
      <c r="J2677" t="str">
        <f>IFERROR(VLOOKUP(D2677,'Team Data'!C:AB,8,FALSE),"")</f>
        <v/>
      </c>
      <c r="K2677" t="str">
        <f>IFERROR(VLOOKUP(D2677,'Team Data'!C:AB,9,FALSE),"")</f>
        <v/>
      </c>
      <c r="L2677" t="str">
        <f>IFERROR(VLOOKUP(D2677,'Team Data'!C:AB,10,FALSE),"")</f>
        <v/>
      </c>
      <c r="M2677" t="str">
        <f t="shared" si="84"/>
        <v/>
      </c>
      <c r="N2677" t="str">
        <f>IFERROR(VLOOKUP(D2677,'Team Data'!C:AB,23,FALSE),"")</f>
        <v/>
      </c>
      <c r="O2677" t="str">
        <f>IFERROR(VLOOKUP(D2677,'Team Data'!C:AB,22,FALSE),"")</f>
        <v/>
      </c>
      <c r="P2677" t="str">
        <f t="shared" si="85"/>
        <v/>
      </c>
      <c r="Q2677" t="str">
        <f>IFERROR(VLOOKUP(D2677,'Team Data'!C:AB,15,FALSE),"")</f>
        <v/>
      </c>
      <c r="R2677" t="str">
        <f>IFERROR(VLOOKUP('OB Format'!D2677,'Team Data'!C:AB,24,FALSE),"")</f>
        <v/>
      </c>
      <c r="S2677" t="str">
        <f>IFERROR(VLOOKUP('OB Format'!D2677,'Team Data'!C:AC,25,FALSE),"")</f>
        <v/>
      </c>
    </row>
    <row r="2678" spans="5:19" x14ac:dyDescent="0.25">
      <c r="E2678" t="str">
        <f>IFERROR(VLOOKUP(D2678,'Team Data'!C:AB,4,FALSE),"")</f>
        <v/>
      </c>
      <c r="F2678" t="str">
        <f>IFERROR(VLOOKUP(D2678,'Team Data'!C:AB,5,FALSE),"")</f>
        <v/>
      </c>
      <c r="G2678" t="str">
        <f>IFERROR(VLOOKUP('OB Format'!D2678,'Team Data'!C:AB,17,FALSE),"")</f>
        <v/>
      </c>
      <c r="H2678" t="str">
        <f>IFERROR(VLOOKUP(D2678,'Team Data'!C:AB,7,FALSE),"")</f>
        <v/>
      </c>
      <c r="I2678" t="str">
        <f>IFERROR(VLOOKUP(D2678,'Team Data'!C:AB,14,FALSE),"")</f>
        <v/>
      </c>
      <c r="J2678" t="str">
        <f>IFERROR(VLOOKUP(D2678,'Team Data'!C:AB,8,FALSE),"")</f>
        <v/>
      </c>
      <c r="K2678" t="str">
        <f>IFERROR(VLOOKUP(D2678,'Team Data'!C:AB,9,FALSE),"")</f>
        <v/>
      </c>
      <c r="L2678" t="str">
        <f>IFERROR(VLOOKUP(D2678,'Team Data'!C:AB,10,FALSE),"")</f>
        <v/>
      </c>
      <c r="M2678" t="str">
        <f t="shared" si="84"/>
        <v/>
      </c>
      <c r="N2678" t="str">
        <f>IFERROR(VLOOKUP(D2678,'Team Data'!C:AB,23,FALSE),"")</f>
        <v/>
      </c>
      <c r="O2678" t="str">
        <f>IFERROR(VLOOKUP(D2678,'Team Data'!C:AB,22,FALSE),"")</f>
        <v/>
      </c>
      <c r="P2678" t="str">
        <f t="shared" si="85"/>
        <v/>
      </c>
      <c r="Q2678" t="str">
        <f>IFERROR(VLOOKUP(D2678,'Team Data'!C:AB,15,FALSE),"")</f>
        <v/>
      </c>
      <c r="R2678" t="str">
        <f>IFERROR(VLOOKUP('OB Format'!D2678,'Team Data'!C:AB,24,FALSE),"")</f>
        <v/>
      </c>
      <c r="S2678" t="str">
        <f>IFERROR(VLOOKUP('OB Format'!D2678,'Team Data'!C:AC,25,FALSE),"")</f>
        <v/>
      </c>
    </row>
    <row r="2679" spans="5:19" x14ac:dyDescent="0.25">
      <c r="E2679" t="str">
        <f>IFERROR(VLOOKUP(D2679,'Team Data'!C:AB,4,FALSE),"")</f>
        <v/>
      </c>
      <c r="F2679" t="str">
        <f>IFERROR(VLOOKUP(D2679,'Team Data'!C:AB,5,FALSE),"")</f>
        <v/>
      </c>
      <c r="G2679" t="str">
        <f>IFERROR(VLOOKUP('OB Format'!D2679,'Team Data'!C:AB,17,FALSE),"")</f>
        <v/>
      </c>
      <c r="H2679" t="str">
        <f>IFERROR(VLOOKUP(D2679,'Team Data'!C:AB,7,FALSE),"")</f>
        <v/>
      </c>
      <c r="I2679" t="str">
        <f>IFERROR(VLOOKUP(D2679,'Team Data'!C:AB,14,FALSE),"")</f>
        <v/>
      </c>
      <c r="J2679" t="str">
        <f>IFERROR(VLOOKUP(D2679,'Team Data'!C:AB,8,FALSE),"")</f>
        <v/>
      </c>
      <c r="K2679" t="str">
        <f>IFERROR(VLOOKUP(D2679,'Team Data'!C:AB,9,FALSE),"")</f>
        <v/>
      </c>
      <c r="L2679" t="str">
        <f>IFERROR(VLOOKUP(D2679,'Team Data'!C:AB,10,FALSE),"")</f>
        <v/>
      </c>
      <c r="M2679" t="str">
        <f t="shared" si="84"/>
        <v/>
      </c>
      <c r="N2679" t="str">
        <f>IFERROR(VLOOKUP(D2679,'Team Data'!C:AB,23,FALSE),"")</f>
        <v/>
      </c>
      <c r="O2679" t="str">
        <f>IFERROR(VLOOKUP(D2679,'Team Data'!C:AB,22,FALSE),"")</f>
        <v/>
      </c>
      <c r="P2679" t="str">
        <f t="shared" si="85"/>
        <v/>
      </c>
      <c r="Q2679" t="str">
        <f>IFERROR(VLOOKUP(D2679,'Team Data'!C:AB,15,FALSE),"")</f>
        <v/>
      </c>
      <c r="R2679" t="str">
        <f>IFERROR(VLOOKUP('OB Format'!D2679,'Team Data'!C:AB,24,FALSE),"")</f>
        <v/>
      </c>
      <c r="S2679" t="str">
        <f>IFERROR(VLOOKUP('OB Format'!D2679,'Team Data'!C:AC,25,FALSE),"")</f>
        <v/>
      </c>
    </row>
    <row r="2680" spans="5:19" x14ac:dyDescent="0.25">
      <c r="E2680" t="str">
        <f>IFERROR(VLOOKUP(D2680,'Team Data'!C:AB,4,FALSE),"")</f>
        <v/>
      </c>
      <c r="F2680" t="str">
        <f>IFERROR(VLOOKUP(D2680,'Team Data'!C:AB,5,FALSE),"")</f>
        <v/>
      </c>
      <c r="G2680" t="str">
        <f>IFERROR(VLOOKUP('OB Format'!D2680,'Team Data'!C:AB,17,FALSE),"")</f>
        <v/>
      </c>
      <c r="H2680" t="str">
        <f>IFERROR(VLOOKUP(D2680,'Team Data'!C:AB,7,FALSE),"")</f>
        <v/>
      </c>
      <c r="I2680" t="str">
        <f>IFERROR(VLOOKUP(D2680,'Team Data'!C:AB,14,FALSE),"")</f>
        <v/>
      </c>
      <c r="J2680" t="str">
        <f>IFERROR(VLOOKUP(D2680,'Team Data'!C:AB,8,FALSE),"")</f>
        <v/>
      </c>
      <c r="K2680" t="str">
        <f>IFERROR(VLOOKUP(D2680,'Team Data'!C:AB,9,FALSE),"")</f>
        <v/>
      </c>
      <c r="L2680" t="str">
        <f>IFERROR(VLOOKUP(D2680,'Team Data'!C:AB,10,FALSE),"")</f>
        <v/>
      </c>
      <c r="M2680" t="str">
        <f t="shared" si="84"/>
        <v/>
      </c>
      <c r="N2680" t="str">
        <f>IFERROR(VLOOKUP(D2680,'Team Data'!C:AB,23,FALSE),"")</f>
        <v/>
      </c>
      <c r="O2680" t="str">
        <f>IFERROR(VLOOKUP(D2680,'Team Data'!C:AB,22,FALSE),"")</f>
        <v/>
      </c>
      <c r="P2680" t="str">
        <f t="shared" si="85"/>
        <v/>
      </c>
      <c r="Q2680" t="str">
        <f>IFERROR(VLOOKUP(D2680,'Team Data'!C:AB,15,FALSE),"")</f>
        <v/>
      </c>
      <c r="R2680" t="str">
        <f>IFERROR(VLOOKUP('OB Format'!D2680,'Team Data'!C:AB,24,FALSE),"")</f>
        <v/>
      </c>
      <c r="S2680" t="str">
        <f>IFERROR(VLOOKUP('OB Format'!D2680,'Team Data'!C:AC,25,FALSE),"")</f>
        <v/>
      </c>
    </row>
    <row r="2681" spans="5:19" x14ac:dyDescent="0.25">
      <c r="E2681" t="str">
        <f>IFERROR(VLOOKUP(D2681,'Team Data'!C:AB,4,FALSE),"")</f>
        <v/>
      </c>
      <c r="F2681" t="str">
        <f>IFERROR(VLOOKUP(D2681,'Team Data'!C:AB,5,FALSE),"")</f>
        <v/>
      </c>
      <c r="G2681" t="str">
        <f>IFERROR(VLOOKUP('OB Format'!D2681,'Team Data'!C:AB,17,FALSE),"")</f>
        <v/>
      </c>
      <c r="H2681" t="str">
        <f>IFERROR(VLOOKUP(D2681,'Team Data'!C:AB,7,FALSE),"")</f>
        <v/>
      </c>
      <c r="I2681" t="str">
        <f>IFERROR(VLOOKUP(D2681,'Team Data'!C:AB,14,FALSE),"")</f>
        <v/>
      </c>
      <c r="J2681" t="str">
        <f>IFERROR(VLOOKUP(D2681,'Team Data'!C:AB,8,FALSE),"")</f>
        <v/>
      </c>
      <c r="K2681" t="str">
        <f>IFERROR(VLOOKUP(D2681,'Team Data'!C:AB,9,FALSE),"")</f>
        <v/>
      </c>
      <c r="L2681" t="str">
        <f>IFERROR(VLOOKUP(D2681,'Team Data'!C:AB,10,FALSE),"")</f>
        <v/>
      </c>
      <c r="M2681" t="str">
        <f t="shared" si="84"/>
        <v/>
      </c>
      <c r="N2681" t="str">
        <f>IFERROR(VLOOKUP(D2681,'Team Data'!C:AB,23,FALSE),"")</f>
        <v/>
      </c>
      <c r="O2681" t="str">
        <f>IFERROR(VLOOKUP(D2681,'Team Data'!C:AB,22,FALSE),"")</f>
        <v/>
      </c>
      <c r="P2681" t="str">
        <f t="shared" si="85"/>
        <v/>
      </c>
      <c r="Q2681" t="str">
        <f>IFERROR(VLOOKUP(D2681,'Team Data'!C:AB,15,FALSE),"")</f>
        <v/>
      </c>
      <c r="R2681" t="str">
        <f>IFERROR(VLOOKUP('OB Format'!D2681,'Team Data'!C:AB,24,FALSE),"")</f>
        <v/>
      </c>
      <c r="S2681" t="str">
        <f>IFERROR(VLOOKUP('OB Format'!D2681,'Team Data'!C:AC,25,FALSE),"")</f>
        <v/>
      </c>
    </row>
    <row r="2682" spans="5:19" x14ac:dyDescent="0.25">
      <c r="E2682" t="str">
        <f>IFERROR(VLOOKUP(D2682,'Team Data'!C:AB,4,FALSE),"")</f>
        <v/>
      </c>
      <c r="F2682" t="str">
        <f>IFERROR(VLOOKUP(D2682,'Team Data'!C:AB,5,FALSE),"")</f>
        <v/>
      </c>
      <c r="G2682" t="str">
        <f>IFERROR(VLOOKUP('OB Format'!D2682,'Team Data'!C:AB,17,FALSE),"")</f>
        <v/>
      </c>
      <c r="H2682" t="str">
        <f>IFERROR(VLOOKUP(D2682,'Team Data'!C:AB,7,FALSE),"")</f>
        <v/>
      </c>
      <c r="I2682" t="str">
        <f>IFERROR(VLOOKUP(D2682,'Team Data'!C:AB,14,FALSE),"")</f>
        <v/>
      </c>
      <c r="J2682" t="str">
        <f>IFERROR(VLOOKUP(D2682,'Team Data'!C:AB,8,FALSE),"")</f>
        <v/>
      </c>
      <c r="K2682" t="str">
        <f>IFERROR(VLOOKUP(D2682,'Team Data'!C:AB,9,FALSE),"")</f>
        <v/>
      </c>
      <c r="L2682" t="str">
        <f>IFERROR(VLOOKUP(D2682,'Team Data'!C:AB,10,FALSE),"")</f>
        <v/>
      </c>
      <c r="M2682" t="str">
        <f t="shared" si="84"/>
        <v/>
      </c>
      <c r="N2682" t="str">
        <f>IFERROR(VLOOKUP(D2682,'Team Data'!C:AB,23,FALSE),"")</f>
        <v/>
      </c>
      <c r="O2682" t="str">
        <f>IFERROR(VLOOKUP(D2682,'Team Data'!C:AB,22,FALSE),"")</f>
        <v/>
      </c>
      <c r="P2682" t="str">
        <f t="shared" si="85"/>
        <v/>
      </c>
      <c r="Q2682" t="str">
        <f>IFERROR(VLOOKUP(D2682,'Team Data'!C:AB,15,FALSE),"")</f>
        <v/>
      </c>
      <c r="R2682" t="str">
        <f>IFERROR(VLOOKUP('OB Format'!D2682,'Team Data'!C:AB,24,FALSE),"")</f>
        <v/>
      </c>
      <c r="S2682" t="str">
        <f>IFERROR(VLOOKUP('OB Format'!D2682,'Team Data'!C:AC,25,FALSE),"")</f>
        <v/>
      </c>
    </row>
    <row r="2683" spans="5:19" x14ac:dyDescent="0.25">
      <c r="E2683" t="str">
        <f>IFERROR(VLOOKUP(D2683,'Team Data'!C:AB,4,FALSE),"")</f>
        <v/>
      </c>
      <c r="F2683" t="str">
        <f>IFERROR(VLOOKUP(D2683,'Team Data'!C:AB,5,FALSE),"")</f>
        <v/>
      </c>
      <c r="G2683" t="str">
        <f>IFERROR(VLOOKUP('OB Format'!D2683,'Team Data'!C:AB,17,FALSE),"")</f>
        <v/>
      </c>
      <c r="H2683" t="str">
        <f>IFERROR(VLOOKUP(D2683,'Team Data'!C:AB,7,FALSE),"")</f>
        <v/>
      </c>
      <c r="I2683" t="str">
        <f>IFERROR(VLOOKUP(D2683,'Team Data'!C:AB,14,FALSE),"")</f>
        <v/>
      </c>
      <c r="J2683" t="str">
        <f>IFERROR(VLOOKUP(D2683,'Team Data'!C:AB,8,FALSE),"")</f>
        <v/>
      </c>
      <c r="K2683" t="str">
        <f>IFERROR(VLOOKUP(D2683,'Team Data'!C:AB,9,FALSE),"")</f>
        <v/>
      </c>
      <c r="L2683" t="str">
        <f>IFERROR(VLOOKUP(D2683,'Team Data'!C:AB,10,FALSE),"")</f>
        <v/>
      </c>
      <c r="M2683" t="str">
        <f t="shared" si="84"/>
        <v/>
      </c>
      <c r="N2683" t="str">
        <f>IFERROR(VLOOKUP(D2683,'Team Data'!C:AB,23,FALSE),"")</f>
        <v/>
      </c>
      <c r="O2683" t="str">
        <f>IFERROR(VLOOKUP(D2683,'Team Data'!C:AB,22,FALSE),"")</f>
        <v/>
      </c>
      <c r="P2683" t="str">
        <f t="shared" si="85"/>
        <v/>
      </c>
      <c r="Q2683" t="str">
        <f>IFERROR(VLOOKUP(D2683,'Team Data'!C:AB,15,FALSE),"")</f>
        <v/>
      </c>
      <c r="R2683" t="str">
        <f>IFERROR(VLOOKUP('OB Format'!D2683,'Team Data'!C:AB,24,FALSE),"")</f>
        <v/>
      </c>
      <c r="S2683" t="str">
        <f>IFERROR(VLOOKUP('OB Format'!D2683,'Team Data'!C:AC,25,FALSE),"")</f>
        <v/>
      </c>
    </row>
    <row r="2684" spans="5:19" x14ac:dyDescent="0.25">
      <c r="E2684" t="str">
        <f>IFERROR(VLOOKUP(D2684,'Team Data'!C:AB,4,FALSE),"")</f>
        <v/>
      </c>
      <c r="F2684" t="str">
        <f>IFERROR(VLOOKUP(D2684,'Team Data'!C:AB,5,FALSE),"")</f>
        <v/>
      </c>
      <c r="G2684" t="str">
        <f>IFERROR(VLOOKUP('OB Format'!D2684,'Team Data'!C:AB,17,FALSE),"")</f>
        <v/>
      </c>
      <c r="H2684" t="str">
        <f>IFERROR(VLOOKUP(D2684,'Team Data'!C:AB,7,FALSE),"")</f>
        <v/>
      </c>
      <c r="I2684" t="str">
        <f>IFERROR(VLOOKUP(D2684,'Team Data'!C:AB,14,FALSE),"")</f>
        <v/>
      </c>
      <c r="J2684" t="str">
        <f>IFERROR(VLOOKUP(D2684,'Team Data'!C:AB,8,FALSE),"")</f>
        <v/>
      </c>
      <c r="K2684" t="str">
        <f>IFERROR(VLOOKUP(D2684,'Team Data'!C:AB,9,FALSE),"")</f>
        <v/>
      </c>
      <c r="L2684" t="str">
        <f>IFERROR(VLOOKUP(D2684,'Team Data'!C:AB,10,FALSE),"")</f>
        <v/>
      </c>
      <c r="M2684" t="str">
        <f t="shared" si="84"/>
        <v/>
      </c>
      <c r="N2684" t="str">
        <f>IFERROR(VLOOKUP(D2684,'Team Data'!C:AB,23,FALSE),"")</f>
        <v/>
      </c>
      <c r="O2684" t="str">
        <f>IFERROR(VLOOKUP(D2684,'Team Data'!C:AB,22,FALSE),"")</f>
        <v/>
      </c>
      <c r="P2684" t="str">
        <f t="shared" si="85"/>
        <v/>
      </c>
      <c r="Q2684" t="str">
        <f>IFERROR(VLOOKUP(D2684,'Team Data'!C:AB,15,FALSE),"")</f>
        <v/>
      </c>
      <c r="R2684" t="str">
        <f>IFERROR(VLOOKUP('OB Format'!D2684,'Team Data'!C:AB,24,FALSE),"")</f>
        <v/>
      </c>
      <c r="S2684" t="str">
        <f>IFERROR(VLOOKUP('OB Format'!D2684,'Team Data'!C:AC,25,FALSE),"")</f>
        <v/>
      </c>
    </row>
    <row r="2685" spans="5:19" x14ac:dyDescent="0.25">
      <c r="E2685" t="str">
        <f>IFERROR(VLOOKUP(D2685,'Team Data'!C:AB,4,FALSE),"")</f>
        <v/>
      </c>
      <c r="F2685" t="str">
        <f>IFERROR(VLOOKUP(D2685,'Team Data'!C:AB,5,FALSE),"")</f>
        <v/>
      </c>
      <c r="G2685" t="str">
        <f>IFERROR(VLOOKUP('OB Format'!D2685,'Team Data'!C:AB,17,FALSE),"")</f>
        <v/>
      </c>
      <c r="H2685" t="str">
        <f>IFERROR(VLOOKUP(D2685,'Team Data'!C:AB,7,FALSE),"")</f>
        <v/>
      </c>
      <c r="I2685" t="str">
        <f>IFERROR(VLOOKUP(D2685,'Team Data'!C:AB,14,FALSE),"")</f>
        <v/>
      </c>
      <c r="J2685" t="str">
        <f>IFERROR(VLOOKUP(D2685,'Team Data'!C:AB,8,FALSE),"")</f>
        <v/>
      </c>
      <c r="K2685" t="str">
        <f>IFERROR(VLOOKUP(D2685,'Team Data'!C:AB,9,FALSE),"")</f>
        <v/>
      </c>
      <c r="L2685" t="str">
        <f>IFERROR(VLOOKUP(D2685,'Team Data'!C:AB,10,FALSE),"")</f>
        <v/>
      </c>
      <c r="M2685" t="str">
        <f t="shared" si="84"/>
        <v/>
      </c>
      <c r="N2685" t="str">
        <f>IFERROR(VLOOKUP(D2685,'Team Data'!C:AB,23,FALSE),"")</f>
        <v/>
      </c>
      <c r="O2685" t="str">
        <f>IFERROR(VLOOKUP(D2685,'Team Data'!C:AB,22,FALSE),"")</f>
        <v/>
      </c>
      <c r="P2685" t="str">
        <f t="shared" si="85"/>
        <v/>
      </c>
      <c r="Q2685" t="str">
        <f>IFERROR(VLOOKUP(D2685,'Team Data'!C:AB,15,FALSE),"")</f>
        <v/>
      </c>
      <c r="R2685" t="str">
        <f>IFERROR(VLOOKUP('OB Format'!D2685,'Team Data'!C:AB,24,FALSE),"")</f>
        <v/>
      </c>
      <c r="S2685" t="str">
        <f>IFERROR(VLOOKUP('OB Format'!D2685,'Team Data'!C:AC,25,FALSE),"")</f>
        <v/>
      </c>
    </row>
    <row r="2686" spans="5:19" x14ac:dyDescent="0.25">
      <c r="E2686" t="str">
        <f>IFERROR(VLOOKUP(D2686,'Team Data'!C:AB,4,FALSE),"")</f>
        <v/>
      </c>
      <c r="F2686" t="str">
        <f>IFERROR(VLOOKUP(D2686,'Team Data'!C:AB,5,FALSE),"")</f>
        <v/>
      </c>
      <c r="G2686" t="str">
        <f>IFERROR(VLOOKUP('OB Format'!D2686,'Team Data'!C:AB,17,FALSE),"")</f>
        <v/>
      </c>
      <c r="H2686" t="str">
        <f>IFERROR(VLOOKUP(D2686,'Team Data'!C:AB,7,FALSE),"")</f>
        <v/>
      </c>
      <c r="I2686" t="str">
        <f>IFERROR(VLOOKUP(D2686,'Team Data'!C:AB,14,FALSE),"")</f>
        <v/>
      </c>
      <c r="J2686" t="str">
        <f>IFERROR(VLOOKUP(D2686,'Team Data'!C:AB,8,FALSE),"")</f>
        <v/>
      </c>
      <c r="K2686" t="str">
        <f>IFERROR(VLOOKUP(D2686,'Team Data'!C:AB,9,FALSE),"")</f>
        <v/>
      </c>
      <c r="L2686" t="str">
        <f>IFERROR(VLOOKUP(D2686,'Team Data'!C:AB,10,FALSE),"")</f>
        <v/>
      </c>
      <c r="M2686" t="str">
        <f t="shared" si="84"/>
        <v/>
      </c>
      <c r="N2686" t="str">
        <f>IFERROR(VLOOKUP(D2686,'Team Data'!C:AB,23,FALSE),"")</f>
        <v/>
      </c>
      <c r="O2686" t="str">
        <f>IFERROR(VLOOKUP(D2686,'Team Data'!C:AB,22,FALSE),"")</f>
        <v/>
      </c>
      <c r="P2686" t="str">
        <f t="shared" si="85"/>
        <v/>
      </c>
      <c r="Q2686" t="str">
        <f>IFERROR(VLOOKUP(D2686,'Team Data'!C:AB,15,FALSE),"")</f>
        <v/>
      </c>
      <c r="R2686" t="str">
        <f>IFERROR(VLOOKUP('OB Format'!D2686,'Team Data'!C:AB,24,FALSE),"")</f>
        <v/>
      </c>
      <c r="S2686" t="str">
        <f>IFERROR(VLOOKUP('OB Format'!D2686,'Team Data'!C:AC,25,FALSE),"")</f>
        <v/>
      </c>
    </row>
    <row r="2687" spans="5:19" x14ac:dyDescent="0.25">
      <c r="E2687" t="str">
        <f>IFERROR(VLOOKUP(D2687,'Team Data'!C:AB,4,FALSE),"")</f>
        <v/>
      </c>
      <c r="F2687" t="str">
        <f>IFERROR(VLOOKUP(D2687,'Team Data'!C:AB,5,FALSE),"")</f>
        <v/>
      </c>
      <c r="G2687" t="str">
        <f>IFERROR(VLOOKUP('OB Format'!D2687,'Team Data'!C:AB,17,FALSE),"")</f>
        <v/>
      </c>
      <c r="H2687" t="str">
        <f>IFERROR(VLOOKUP(D2687,'Team Data'!C:AB,7,FALSE),"")</f>
        <v/>
      </c>
      <c r="I2687" t="str">
        <f>IFERROR(VLOOKUP(D2687,'Team Data'!C:AB,14,FALSE),"")</f>
        <v/>
      </c>
      <c r="J2687" t="str">
        <f>IFERROR(VLOOKUP(D2687,'Team Data'!C:AB,8,FALSE),"")</f>
        <v/>
      </c>
      <c r="K2687" t="str">
        <f>IFERROR(VLOOKUP(D2687,'Team Data'!C:AB,9,FALSE),"")</f>
        <v/>
      </c>
      <c r="L2687" t="str">
        <f>IFERROR(VLOOKUP(D2687,'Team Data'!C:AB,10,FALSE),"")</f>
        <v/>
      </c>
      <c r="M2687" t="str">
        <f t="shared" si="84"/>
        <v/>
      </c>
      <c r="N2687" t="str">
        <f>IFERROR(VLOOKUP(D2687,'Team Data'!C:AB,23,FALSE),"")</f>
        <v/>
      </c>
      <c r="O2687" t="str">
        <f>IFERROR(VLOOKUP(D2687,'Team Data'!C:AB,22,FALSE),"")</f>
        <v/>
      </c>
      <c r="P2687" t="str">
        <f t="shared" si="85"/>
        <v/>
      </c>
      <c r="Q2687" t="str">
        <f>IFERROR(VLOOKUP(D2687,'Team Data'!C:AB,15,FALSE),"")</f>
        <v/>
      </c>
      <c r="R2687" t="str">
        <f>IFERROR(VLOOKUP('OB Format'!D2687,'Team Data'!C:AB,24,FALSE),"")</f>
        <v/>
      </c>
      <c r="S2687" t="str">
        <f>IFERROR(VLOOKUP('OB Format'!D2687,'Team Data'!C:AC,25,FALSE),"")</f>
        <v/>
      </c>
    </row>
    <row r="2688" spans="5:19" x14ac:dyDescent="0.25">
      <c r="E2688" t="str">
        <f>IFERROR(VLOOKUP(D2688,'Team Data'!C:AB,4,FALSE),"")</f>
        <v/>
      </c>
      <c r="F2688" t="str">
        <f>IFERROR(VLOOKUP(D2688,'Team Data'!C:AB,5,FALSE),"")</f>
        <v/>
      </c>
      <c r="G2688" t="str">
        <f>IFERROR(VLOOKUP('OB Format'!D2688,'Team Data'!C:AB,17,FALSE),"")</f>
        <v/>
      </c>
      <c r="H2688" t="str">
        <f>IFERROR(VLOOKUP(D2688,'Team Data'!C:AB,7,FALSE),"")</f>
        <v/>
      </c>
      <c r="I2688" t="str">
        <f>IFERROR(VLOOKUP(D2688,'Team Data'!C:AB,14,FALSE),"")</f>
        <v/>
      </c>
      <c r="J2688" t="str">
        <f>IFERROR(VLOOKUP(D2688,'Team Data'!C:AB,8,FALSE),"")</f>
        <v/>
      </c>
      <c r="K2688" t="str">
        <f>IFERROR(VLOOKUP(D2688,'Team Data'!C:AB,9,FALSE),"")</f>
        <v/>
      </c>
      <c r="L2688" t="str">
        <f>IFERROR(VLOOKUP(D2688,'Team Data'!C:AB,10,FALSE),"")</f>
        <v/>
      </c>
      <c r="M2688" t="str">
        <f t="shared" si="84"/>
        <v/>
      </c>
      <c r="N2688" t="str">
        <f>IFERROR(VLOOKUP(D2688,'Team Data'!C:AB,23,FALSE),"")</f>
        <v/>
      </c>
      <c r="O2688" t="str">
        <f>IFERROR(VLOOKUP(D2688,'Team Data'!C:AB,22,FALSE),"")</f>
        <v/>
      </c>
      <c r="P2688" t="str">
        <f t="shared" si="85"/>
        <v/>
      </c>
      <c r="Q2688" t="str">
        <f>IFERROR(VLOOKUP(D2688,'Team Data'!C:AB,15,FALSE),"")</f>
        <v/>
      </c>
      <c r="R2688" t="str">
        <f>IFERROR(VLOOKUP('OB Format'!D2688,'Team Data'!C:AB,24,FALSE),"")</f>
        <v/>
      </c>
      <c r="S2688" t="str">
        <f>IFERROR(VLOOKUP('OB Format'!D2688,'Team Data'!C:AC,25,FALSE),"")</f>
        <v/>
      </c>
    </row>
    <row r="2689" spans="5:19" x14ac:dyDescent="0.25">
      <c r="E2689" t="str">
        <f>IFERROR(VLOOKUP(D2689,'Team Data'!C:AB,4,FALSE),"")</f>
        <v/>
      </c>
      <c r="F2689" t="str">
        <f>IFERROR(VLOOKUP(D2689,'Team Data'!C:AB,5,FALSE),"")</f>
        <v/>
      </c>
      <c r="G2689" t="str">
        <f>IFERROR(VLOOKUP('OB Format'!D2689,'Team Data'!C:AB,17,FALSE),"")</f>
        <v/>
      </c>
      <c r="H2689" t="str">
        <f>IFERROR(VLOOKUP(D2689,'Team Data'!C:AB,7,FALSE),"")</f>
        <v/>
      </c>
      <c r="I2689" t="str">
        <f>IFERROR(VLOOKUP(D2689,'Team Data'!C:AB,14,FALSE),"")</f>
        <v/>
      </c>
      <c r="J2689" t="str">
        <f>IFERROR(VLOOKUP(D2689,'Team Data'!C:AB,8,FALSE),"")</f>
        <v/>
      </c>
      <c r="K2689" t="str">
        <f>IFERROR(VLOOKUP(D2689,'Team Data'!C:AB,9,FALSE),"")</f>
        <v/>
      </c>
      <c r="L2689" t="str">
        <f>IFERROR(VLOOKUP(D2689,'Team Data'!C:AB,10,FALSE),"")</f>
        <v/>
      </c>
      <c r="M2689" t="str">
        <f t="shared" si="84"/>
        <v/>
      </c>
      <c r="N2689" t="str">
        <f>IFERROR(VLOOKUP(D2689,'Team Data'!C:AB,23,FALSE),"")</f>
        <v/>
      </c>
      <c r="O2689" t="str">
        <f>IFERROR(VLOOKUP(D2689,'Team Data'!C:AB,22,FALSE),"")</f>
        <v/>
      </c>
      <c r="P2689" t="str">
        <f t="shared" si="85"/>
        <v/>
      </c>
      <c r="Q2689" t="str">
        <f>IFERROR(VLOOKUP(D2689,'Team Data'!C:AB,15,FALSE),"")</f>
        <v/>
      </c>
      <c r="R2689" t="str">
        <f>IFERROR(VLOOKUP('OB Format'!D2689,'Team Data'!C:AB,24,FALSE),"")</f>
        <v/>
      </c>
      <c r="S2689" t="str">
        <f>IFERROR(VLOOKUP('OB Format'!D2689,'Team Data'!C:AC,25,FALSE),"")</f>
        <v/>
      </c>
    </row>
    <row r="2690" spans="5:19" x14ac:dyDescent="0.25">
      <c r="E2690" t="str">
        <f>IFERROR(VLOOKUP(D2690,'Team Data'!C:AB,4,FALSE),"")</f>
        <v/>
      </c>
      <c r="F2690" t="str">
        <f>IFERROR(VLOOKUP(D2690,'Team Data'!C:AB,5,FALSE),"")</f>
        <v/>
      </c>
      <c r="G2690" t="str">
        <f>IFERROR(VLOOKUP('OB Format'!D2690,'Team Data'!C:AB,17,FALSE),"")</f>
        <v/>
      </c>
      <c r="H2690" t="str">
        <f>IFERROR(VLOOKUP(D2690,'Team Data'!C:AB,7,FALSE),"")</f>
        <v/>
      </c>
      <c r="I2690" t="str">
        <f>IFERROR(VLOOKUP(D2690,'Team Data'!C:AB,14,FALSE),"")</f>
        <v/>
      </c>
      <c r="J2690" t="str">
        <f>IFERROR(VLOOKUP(D2690,'Team Data'!C:AB,8,FALSE),"")</f>
        <v/>
      </c>
      <c r="K2690" t="str">
        <f>IFERROR(VLOOKUP(D2690,'Team Data'!C:AB,9,FALSE),"")</f>
        <v/>
      </c>
      <c r="L2690" t="str">
        <f>IFERROR(VLOOKUP(D2690,'Team Data'!C:AB,10,FALSE),"")</f>
        <v/>
      </c>
      <c r="M2690" t="str">
        <f t="shared" si="84"/>
        <v/>
      </c>
      <c r="N2690" t="str">
        <f>IFERROR(VLOOKUP(D2690,'Team Data'!C:AB,23,FALSE),"")</f>
        <v/>
      </c>
      <c r="O2690" t="str">
        <f>IFERROR(VLOOKUP(D2690,'Team Data'!C:AB,22,FALSE),"")</f>
        <v/>
      </c>
      <c r="P2690" t="str">
        <f t="shared" si="85"/>
        <v/>
      </c>
      <c r="Q2690" t="str">
        <f>IFERROR(VLOOKUP(D2690,'Team Data'!C:AB,15,FALSE),"")</f>
        <v/>
      </c>
      <c r="R2690" t="str">
        <f>IFERROR(VLOOKUP('OB Format'!D2690,'Team Data'!C:AB,24,FALSE),"")</f>
        <v/>
      </c>
      <c r="S2690" t="str">
        <f>IFERROR(VLOOKUP('OB Format'!D2690,'Team Data'!C:AC,25,FALSE),"")</f>
        <v/>
      </c>
    </row>
    <row r="2691" spans="5:19" x14ac:dyDescent="0.25">
      <c r="E2691" t="str">
        <f>IFERROR(VLOOKUP(D2691,'Team Data'!C:AB,4,FALSE),"")</f>
        <v/>
      </c>
      <c r="F2691" t="str">
        <f>IFERROR(VLOOKUP(D2691,'Team Data'!C:AB,5,FALSE),"")</f>
        <v/>
      </c>
      <c r="G2691" t="str">
        <f>IFERROR(VLOOKUP('OB Format'!D2691,'Team Data'!C:AB,17,FALSE),"")</f>
        <v/>
      </c>
      <c r="H2691" t="str">
        <f>IFERROR(VLOOKUP(D2691,'Team Data'!C:AB,7,FALSE),"")</f>
        <v/>
      </c>
      <c r="I2691" t="str">
        <f>IFERROR(VLOOKUP(D2691,'Team Data'!C:AB,14,FALSE),"")</f>
        <v/>
      </c>
      <c r="J2691" t="str">
        <f>IFERROR(VLOOKUP(D2691,'Team Data'!C:AB,8,FALSE),"")</f>
        <v/>
      </c>
      <c r="K2691" t="str">
        <f>IFERROR(VLOOKUP(D2691,'Team Data'!C:AB,9,FALSE),"")</f>
        <v/>
      </c>
      <c r="L2691" t="str">
        <f>IFERROR(VLOOKUP(D2691,'Team Data'!C:AB,10,FALSE),"")</f>
        <v/>
      </c>
      <c r="M2691" t="str">
        <f t="shared" si="84"/>
        <v/>
      </c>
      <c r="N2691" t="str">
        <f>IFERROR(VLOOKUP(D2691,'Team Data'!C:AB,23,FALSE),"")</f>
        <v/>
      </c>
      <c r="O2691" t="str">
        <f>IFERROR(VLOOKUP(D2691,'Team Data'!C:AB,22,FALSE),"")</f>
        <v/>
      </c>
      <c r="P2691" t="str">
        <f t="shared" si="85"/>
        <v/>
      </c>
      <c r="Q2691" t="str">
        <f>IFERROR(VLOOKUP(D2691,'Team Data'!C:AB,15,FALSE),"")</f>
        <v/>
      </c>
      <c r="R2691" t="str">
        <f>IFERROR(VLOOKUP('OB Format'!D2691,'Team Data'!C:AB,24,FALSE),"")</f>
        <v/>
      </c>
      <c r="S2691" t="str">
        <f>IFERROR(VLOOKUP('OB Format'!D2691,'Team Data'!C:AC,25,FALSE),"")</f>
        <v/>
      </c>
    </row>
    <row r="2692" spans="5:19" x14ac:dyDescent="0.25">
      <c r="E2692" t="str">
        <f>IFERROR(VLOOKUP(D2692,'Team Data'!C:AB,4,FALSE),"")</f>
        <v/>
      </c>
      <c r="F2692" t="str">
        <f>IFERROR(VLOOKUP(D2692,'Team Data'!C:AB,5,FALSE),"")</f>
        <v/>
      </c>
      <c r="G2692" t="str">
        <f>IFERROR(VLOOKUP('OB Format'!D2692,'Team Data'!C:AB,17,FALSE),"")</f>
        <v/>
      </c>
      <c r="H2692" t="str">
        <f>IFERROR(VLOOKUP(D2692,'Team Data'!C:AB,7,FALSE),"")</f>
        <v/>
      </c>
      <c r="I2692" t="str">
        <f>IFERROR(VLOOKUP(D2692,'Team Data'!C:AB,14,FALSE),"")</f>
        <v/>
      </c>
      <c r="J2692" t="str">
        <f>IFERROR(VLOOKUP(D2692,'Team Data'!C:AB,8,FALSE),"")</f>
        <v/>
      </c>
      <c r="K2692" t="str">
        <f>IFERROR(VLOOKUP(D2692,'Team Data'!C:AB,9,FALSE),"")</f>
        <v/>
      </c>
      <c r="L2692" t="str">
        <f>IFERROR(VLOOKUP(D2692,'Team Data'!C:AB,10,FALSE),"")</f>
        <v/>
      </c>
      <c r="M2692" t="str">
        <f t="shared" si="84"/>
        <v/>
      </c>
      <c r="N2692" t="str">
        <f>IFERROR(VLOOKUP(D2692,'Team Data'!C:AB,23,FALSE),"")</f>
        <v/>
      </c>
      <c r="O2692" t="str">
        <f>IFERROR(VLOOKUP(D2692,'Team Data'!C:AB,22,FALSE),"")</f>
        <v/>
      </c>
      <c r="P2692" t="str">
        <f t="shared" si="85"/>
        <v/>
      </c>
      <c r="Q2692" t="str">
        <f>IFERROR(VLOOKUP(D2692,'Team Data'!C:AB,15,FALSE),"")</f>
        <v/>
      </c>
      <c r="R2692" t="str">
        <f>IFERROR(VLOOKUP('OB Format'!D2692,'Team Data'!C:AB,24,FALSE),"")</f>
        <v/>
      </c>
      <c r="S2692" t="str">
        <f>IFERROR(VLOOKUP('OB Format'!D2692,'Team Data'!C:AC,25,FALSE),"")</f>
        <v/>
      </c>
    </row>
    <row r="2693" spans="5:19" x14ac:dyDescent="0.25">
      <c r="E2693" t="str">
        <f>IFERROR(VLOOKUP(D2693,'Team Data'!C:AB,4,FALSE),"")</f>
        <v/>
      </c>
      <c r="F2693" t="str">
        <f>IFERROR(VLOOKUP(D2693,'Team Data'!C:AB,5,FALSE),"")</f>
        <v/>
      </c>
      <c r="G2693" t="str">
        <f>IFERROR(VLOOKUP('OB Format'!D2693,'Team Data'!C:AB,17,FALSE),"")</f>
        <v/>
      </c>
      <c r="H2693" t="str">
        <f>IFERROR(VLOOKUP(D2693,'Team Data'!C:AB,7,FALSE),"")</f>
        <v/>
      </c>
      <c r="I2693" t="str">
        <f>IFERROR(VLOOKUP(D2693,'Team Data'!C:AB,14,FALSE),"")</f>
        <v/>
      </c>
      <c r="J2693" t="str">
        <f>IFERROR(VLOOKUP(D2693,'Team Data'!C:AB,8,FALSE),"")</f>
        <v/>
      </c>
      <c r="K2693" t="str">
        <f>IFERROR(VLOOKUP(D2693,'Team Data'!C:AB,9,FALSE),"")</f>
        <v/>
      </c>
      <c r="L2693" t="str">
        <f>IFERROR(VLOOKUP(D2693,'Team Data'!C:AB,10,FALSE),"")</f>
        <v/>
      </c>
      <c r="M2693" t="str">
        <f t="shared" si="84"/>
        <v/>
      </c>
      <c r="N2693" t="str">
        <f>IFERROR(VLOOKUP(D2693,'Team Data'!C:AB,23,FALSE),"")</f>
        <v/>
      </c>
      <c r="O2693" t="str">
        <f>IFERROR(VLOOKUP(D2693,'Team Data'!C:AB,22,FALSE),"")</f>
        <v/>
      </c>
      <c r="P2693" t="str">
        <f t="shared" si="85"/>
        <v/>
      </c>
      <c r="Q2693" t="str">
        <f>IFERROR(VLOOKUP(D2693,'Team Data'!C:AB,15,FALSE),"")</f>
        <v/>
      </c>
      <c r="R2693" t="str">
        <f>IFERROR(VLOOKUP('OB Format'!D2693,'Team Data'!C:AB,24,FALSE),"")</f>
        <v/>
      </c>
      <c r="S2693" t="str">
        <f>IFERROR(VLOOKUP('OB Format'!D2693,'Team Data'!C:AC,25,FALSE),"")</f>
        <v/>
      </c>
    </row>
    <row r="2694" spans="5:19" x14ac:dyDescent="0.25">
      <c r="E2694" t="str">
        <f>IFERROR(VLOOKUP(D2694,'Team Data'!C:AB,4,FALSE),"")</f>
        <v/>
      </c>
      <c r="F2694" t="str">
        <f>IFERROR(VLOOKUP(D2694,'Team Data'!C:AB,5,FALSE),"")</f>
        <v/>
      </c>
      <c r="G2694" t="str">
        <f>IFERROR(VLOOKUP('OB Format'!D2694,'Team Data'!C:AB,17,FALSE),"")</f>
        <v/>
      </c>
      <c r="H2694" t="str">
        <f>IFERROR(VLOOKUP(D2694,'Team Data'!C:AB,7,FALSE),"")</f>
        <v/>
      </c>
      <c r="I2694" t="str">
        <f>IFERROR(VLOOKUP(D2694,'Team Data'!C:AB,14,FALSE),"")</f>
        <v/>
      </c>
      <c r="J2694" t="str">
        <f>IFERROR(VLOOKUP(D2694,'Team Data'!C:AB,8,FALSE),"")</f>
        <v/>
      </c>
      <c r="K2694" t="str">
        <f>IFERROR(VLOOKUP(D2694,'Team Data'!C:AB,9,FALSE),"")</f>
        <v/>
      </c>
      <c r="L2694" t="str">
        <f>IFERROR(VLOOKUP(D2694,'Team Data'!C:AB,10,FALSE),"")</f>
        <v/>
      </c>
      <c r="M2694" t="str">
        <f t="shared" si="84"/>
        <v/>
      </c>
      <c r="N2694" t="str">
        <f>IFERROR(VLOOKUP(D2694,'Team Data'!C:AB,23,FALSE),"")</f>
        <v/>
      </c>
      <c r="O2694" t="str">
        <f>IFERROR(VLOOKUP(D2694,'Team Data'!C:AB,22,FALSE),"")</f>
        <v/>
      </c>
      <c r="P2694" t="str">
        <f t="shared" si="85"/>
        <v/>
      </c>
      <c r="Q2694" t="str">
        <f>IFERROR(VLOOKUP(D2694,'Team Data'!C:AB,15,FALSE),"")</f>
        <v/>
      </c>
      <c r="R2694" t="str">
        <f>IFERROR(VLOOKUP('OB Format'!D2694,'Team Data'!C:AB,24,FALSE),"")</f>
        <v/>
      </c>
      <c r="S2694" t="str">
        <f>IFERROR(VLOOKUP('OB Format'!D2694,'Team Data'!C:AC,25,FALSE),"")</f>
        <v/>
      </c>
    </row>
    <row r="2695" spans="5:19" x14ac:dyDescent="0.25">
      <c r="E2695" t="str">
        <f>IFERROR(VLOOKUP(D2695,'Team Data'!C:AB,4,FALSE),"")</f>
        <v/>
      </c>
      <c r="F2695" t="str">
        <f>IFERROR(VLOOKUP(D2695,'Team Data'!C:AB,5,FALSE),"")</f>
        <v/>
      </c>
      <c r="G2695" t="str">
        <f>IFERROR(VLOOKUP('OB Format'!D2695,'Team Data'!C:AB,17,FALSE),"")</f>
        <v/>
      </c>
      <c r="H2695" t="str">
        <f>IFERROR(VLOOKUP(D2695,'Team Data'!C:AB,7,FALSE),"")</f>
        <v/>
      </c>
      <c r="I2695" t="str">
        <f>IFERROR(VLOOKUP(D2695,'Team Data'!C:AB,14,FALSE),"")</f>
        <v/>
      </c>
      <c r="J2695" t="str">
        <f>IFERROR(VLOOKUP(D2695,'Team Data'!C:AB,8,FALSE),"")</f>
        <v/>
      </c>
      <c r="K2695" t="str">
        <f>IFERROR(VLOOKUP(D2695,'Team Data'!C:AB,9,FALSE),"")</f>
        <v/>
      </c>
      <c r="L2695" t="str">
        <f>IFERROR(VLOOKUP(D2695,'Team Data'!C:AB,10,FALSE),"")</f>
        <v/>
      </c>
      <c r="M2695" t="str">
        <f t="shared" si="84"/>
        <v/>
      </c>
      <c r="N2695" t="str">
        <f>IFERROR(VLOOKUP(D2695,'Team Data'!C:AB,23,FALSE),"")</f>
        <v/>
      </c>
      <c r="O2695" t="str">
        <f>IFERROR(VLOOKUP(D2695,'Team Data'!C:AB,22,FALSE),"")</f>
        <v/>
      </c>
      <c r="P2695" t="str">
        <f t="shared" si="85"/>
        <v/>
      </c>
      <c r="Q2695" t="str">
        <f>IFERROR(VLOOKUP(D2695,'Team Data'!C:AB,15,FALSE),"")</f>
        <v/>
      </c>
      <c r="R2695" t="str">
        <f>IFERROR(VLOOKUP('OB Format'!D2695,'Team Data'!C:AB,24,FALSE),"")</f>
        <v/>
      </c>
      <c r="S2695" t="str">
        <f>IFERROR(VLOOKUP('OB Format'!D2695,'Team Data'!C:AC,25,FALSE),"")</f>
        <v/>
      </c>
    </row>
    <row r="2696" spans="5:19" x14ac:dyDescent="0.25">
      <c r="E2696" t="str">
        <f>IFERROR(VLOOKUP(D2696,'Team Data'!C:AB,4,FALSE),"")</f>
        <v/>
      </c>
      <c r="F2696" t="str">
        <f>IFERROR(VLOOKUP(D2696,'Team Data'!C:AB,5,FALSE),"")</f>
        <v/>
      </c>
      <c r="G2696" t="str">
        <f>IFERROR(VLOOKUP('OB Format'!D2696,'Team Data'!C:AB,17,FALSE),"")</f>
        <v/>
      </c>
      <c r="H2696" t="str">
        <f>IFERROR(VLOOKUP(D2696,'Team Data'!C:AB,7,FALSE),"")</f>
        <v/>
      </c>
      <c r="I2696" t="str">
        <f>IFERROR(VLOOKUP(D2696,'Team Data'!C:AB,14,FALSE),"")</f>
        <v/>
      </c>
      <c r="J2696" t="str">
        <f>IFERROR(VLOOKUP(D2696,'Team Data'!C:AB,8,FALSE),"")</f>
        <v/>
      </c>
      <c r="K2696" t="str">
        <f>IFERROR(VLOOKUP(D2696,'Team Data'!C:AB,9,FALSE),"")</f>
        <v/>
      </c>
      <c r="L2696" t="str">
        <f>IFERROR(VLOOKUP(D2696,'Team Data'!C:AB,10,FALSE),"")</f>
        <v/>
      </c>
      <c r="M2696" t="str">
        <f t="shared" si="84"/>
        <v/>
      </c>
      <c r="N2696" t="str">
        <f>IFERROR(VLOOKUP(D2696,'Team Data'!C:AB,23,FALSE),"")</f>
        <v/>
      </c>
      <c r="O2696" t="str">
        <f>IFERROR(VLOOKUP(D2696,'Team Data'!C:AB,22,FALSE),"")</f>
        <v/>
      </c>
      <c r="P2696" t="str">
        <f t="shared" si="85"/>
        <v/>
      </c>
      <c r="Q2696" t="str">
        <f>IFERROR(VLOOKUP(D2696,'Team Data'!C:AB,15,FALSE),"")</f>
        <v/>
      </c>
      <c r="R2696" t="str">
        <f>IFERROR(VLOOKUP('OB Format'!D2696,'Team Data'!C:AB,24,FALSE),"")</f>
        <v/>
      </c>
      <c r="S2696" t="str">
        <f>IFERROR(VLOOKUP('OB Format'!D2696,'Team Data'!C:AC,25,FALSE),"")</f>
        <v/>
      </c>
    </row>
    <row r="2697" spans="5:19" x14ac:dyDescent="0.25">
      <c r="E2697" t="str">
        <f>IFERROR(VLOOKUP(D2697,'Team Data'!C:AB,4,FALSE),"")</f>
        <v/>
      </c>
      <c r="F2697" t="str">
        <f>IFERROR(VLOOKUP(D2697,'Team Data'!C:AB,5,FALSE),"")</f>
        <v/>
      </c>
      <c r="G2697" t="str">
        <f>IFERROR(VLOOKUP('OB Format'!D2697,'Team Data'!C:AB,17,FALSE),"")</f>
        <v/>
      </c>
      <c r="H2697" t="str">
        <f>IFERROR(VLOOKUP(D2697,'Team Data'!C:AB,7,FALSE),"")</f>
        <v/>
      </c>
      <c r="I2697" t="str">
        <f>IFERROR(VLOOKUP(D2697,'Team Data'!C:AB,14,FALSE),"")</f>
        <v/>
      </c>
      <c r="J2697" t="str">
        <f>IFERROR(VLOOKUP(D2697,'Team Data'!C:AB,8,FALSE),"")</f>
        <v/>
      </c>
      <c r="K2697" t="str">
        <f>IFERROR(VLOOKUP(D2697,'Team Data'!C:AB,9,FALSE),"")</f>
        <v/>
      </c>
      <c r="L2697" t="str">
        <f>IFERROR(VLOOKUP(D2697,'Team Data'!C:AB,10,FALSE),"")</f>
        <v/>
      </c>
      <c r="M2697" t="str">
        <f t="shared" si="84"/>
        <v/>
      </c>
      <c r="N2697" t="str">
        <f>IFERROR(VLOOKUP(D2697,'Team Data'!C:AB,23,FALSE),"")</f>
        <v/>
      </c>
      <c r="O2697" t="str">
        <f>IFERROR(VLOOKUP(D2697,'Team Data'!C:AB,22,FALSE),"")</f>
        <v/>
      </c>
      <c r="P2697" t="str">
        <f t="shared" si="85"/>
        <v/>
      </c>
      <c r="Q2697" t="str">
        <f>IFERROR(VLOOKUP(D2697,'Team Data'!C:AB,15,FALSE),"")</f>
        <v/>
      </c>
      <c r="R2697" t="str">
        <f>IFERROR(VLOOKUP('OB Format'!D2697,'Team Data'!C:AB,24,FALSE),"")</f>
        <v/>
      </c>
      <c r="S2697" t="str">
        <f>IFERROR(VLOOKUP('OB Format'!D2697,'Team Data'!C:AC,25,FALSE),"")</f>
        <v/>
      </c>
    </row>
    <row r="2698" spans="5:19" x14ac:dyDescent="0.25">
      <c r="E2698" t="str">
        <f>IFERROR(VLOOKUP(D2698,'Team Data'!C:AB,4,FALSE),"")</f>
        <v/>
      </c>
      <c r="F2698" t="str">
        <f>IFERROR(VLOOKUP(D2698,'Team Data'!C:AB,5,FALSE),"")</f>
        <v/>
      </c>
      <c r="G2698" t="str">
        <f>IFERROR(VLOOKUP('OB Format'!D2698,'Team Data'!C:AB,17,FALSE),"")</f>
        <v/>
      </c>
      <c r="H2698" t="str">
        <f>IFERROR(VLOOKUP(D2698,'Team Data'!C:AB,7,FALSE),"")</f>
        <v/>
      </c>
      <c r="I2698" t="str">
        <f>IFERROR(VLOOKUP(D2698,'Team Data'!C:AB,14,FALSE),"")</f>
        <v/>
      </c>
      <c r="J2698" t="str">
        <f>IFERROR(VLOOKUP(D2698,'Team Data'!C:AB,8,FALSE),"")</f>
        <v/>
      </c>
      <c r="K2698" t="str">
        <f>IFERROR(VLOOKUP(D2698,'Team Data'!C:AB,9,FALSE),"")</f>
        <v/>
      </c>
      <c r="L2698" t="str">
        <f>IFERROR(VLOOKUP(D2698,'Team Data'!C:AB,10,FALSE),"")</f>
        <v/>
      </c>
      <c r="M2698" t="str">
        <f t="shared" si="84"/>
        <v/>
      </c>
      <c r="N2698" t="str">
        <f>IFERROR(VLOOKUP(D2698,'Team Data'!C:AB,23,FALSE),"")</f>
        <v/>
      </c>
      <c r="O2698" t="str">
        <f>IFERROR(VLOOKUP(D2698,'Team Data'!C:AB,22,FALSE),"")</f>
        <v/>
      </c>
      <c r="P2698" t="str">
        <f t="shared" si="85"/>
        <v/>
      </c>
      <c r="Q2698" t="str">
        <f>IFERROR(VLOOKUP(D2698,'Team Data'!C:AB,15,FALSE),"")</f>
        <v/>
      </c>
      <c r="R2698" t="str">
        <f>IFERROR(VLOOKUP('OB Format'!D2698,'Team Data'!C:AB,24,FALSE),"")</f>
        <v/>
      </c>
      <c r="S2698" t="str">
        <f>IFERROR(VLOOKUP('OB Format'!D2698,'Team Data'!C:AC,25,FALSE),"")</f>
        <v/>
      </c>
    </row>
    <row r="2699" spans="5:19" x14ac:dyDescent="0.25">
      <c r="E2699" t="str">
        <f>IFERROR(VLOOKUP(D2699,'Team Data'!C:AB,4,FALSE),"")</f>
        <v/>
      </c>
      <c r="F2699" t="str">
        <f>IFERROR(VLOOKUP(D2699,'Team Data'!C:AB,5,FALSE),"")</f>
        <v/>
      </c>
      <c r="G2699" t="str">
        <f>IFERROR(VLOOKUP('OB Format'!D2699,'Team Data'!C:AB,17,FALSE),"")</f>
        <v/>
      </c>
      <c r="H2699" t="str">
        <f>IFERROR(VLOOKUP(D2699,'Team Data'!C:AB,7,FALSE),"")</f>
        <v/>
      </c>
      <c r="I2699" t="str">
        <f>IFERROR(VLOOKUP(D2699,'Team Data'!C:AB,14,FALSE),"")</f>
        <v/>
      </c>
      <c r="J2699" t="str">
        <f>IFERROR(VLOOKUP(D2699,'Team Data'!C:AB,8,FALSE),"")</f>
        <v/>
      </c>
      <c r="K2699" t="str">
        <f>IFERROR(VLOOKUP(D2699,'Team Data'!C:AB,9,FALSE),"")</f>
        <v/>
      </c>
      <c r="L2699" t="str">
        <f>IFERROR(VLOOKUP(D2699,'Team Data'!C:AB,10,FALSE),"")</f>
        <v/>
      </c>
      <c r="M2699" t="str">
        <f t="shared" si="84"/>
        <v/>
      </c>
      <c r="N2699" t="str">
        <f>IFERROR(VLOOKUP(D2699,'Team Data'!C:AB,23,FALSE),"")</f>
        <v/>
      </c>
      <c r="O2699" t="str">
        <f>IFERROR(VLOOKUP(D2699,'Team Data'!C:AB,22,FALSE),"")</f>
        <v/>
      </c>
      <c r="P2699" t="str">
        <f t="shared" si="85"/>
        <v/>
      </c>
      <c r="Q2699" t="str">
        <f>IFERROR(VLOOKUP(D2699,'Team Data'!C:AB,15,FALSE),"")</f>
        <v/>
      </c>
      <c r="R2699" t="str">
        <f>IFERROR(VLOOKUP('OB Format'!D2699,'Team Data'!C:AB,24,FALSE),"")</f>
        <v/>
      </c>
      <c r="S2699" t="str">
        <f>IFERROR(VLOOKUP('OB Format'!D2699,'Team Data'!C:AC,25,FALSE),"")</f>
        <v/>
      </c>
    </row>
    <row r="2700" spans="5:19" x14ac:dyDescent="0.25">
      <c r="E2700" t="str">
        <f>IFERROR(VLOOKUP(D2700,'Team Data'!C:AB,4,FALSE),"")</f>
        <v/>
      </c>
      <c r="F2700" t="str">
        <f>IFERROR(VLOOKUP(D2700,'Team Data'!C:AB,5,FALSE),"")</f>
        <v/>
      </c>
      <c r="G2700" t="str">
        <f>IFERROR(VLOOKUP('OB Format'!D2700,'Team Data'!C:AB,17,FALSE),"")</f>
        <v/>
      </c>
      <c r="H2700" t="str">
        <f>IFERROR(VLOOKUP(D2700,'Team Data'!C:AB,7,FALSE),"")</f>
        <v/>
      </c>
      <c r="I2700" t="str">
        <f>IFERROR(VLOOKUP(D2700,'Team Data'!C:AB,14,FALSE),"")</f>
        <v/>
      </c>
      <c r="J2700" t="str">
        <f>IFERROR(VLOOKUP(D2700,'Team Data'!C:AB,8,FALSE),"")</f>
        <v/>
      </c>
      <c r="K2700" t="str">
        <f>IFERROR(VLOOKUP(D2700,'Team Data'!C:AB,9,FALSE),"")</f>
        <v/>
      </c>
      <c r="L2700" t="str">
        <f>IFERROR(VLOOKUP(D2700,'Team Data'!C:AB,10,FALSE),"")</f>
        <v/>
      </c>
      <c r="M2700" t="str">
        <f t="shared" si="84"/>
        <v/>
      </c>
      <c r="N2700" t="str">
        <f>IFERROR(VLOOKUP(D2700,'Team Data'!C:AB,23,FALSE),"")</f>
        <v/>
      </c>
      <c r="O2700" t="str">
        <f>IFERROR(VLOOKUP(D2700,'Team Data'!C:AB,22,FALSE),"")</f>
        <v/>
      </c>
      <c r="P2700" t="str">
        <f t="shared" si="85"/>
        <v/>
      </c>
      <c r="Q2700" t="str">
        <f>IFERROR(VLOOKUP(D2700,'Team Data'!C:AB,15,FALSE),"")</f>
        <v/>
      </c>
      <c r="R2700" t="str">
        <f>IFERROR(VLOOKUP('OB Format'!D2700,'Team Data'!C:AB,24,FALSE),"")</f>
        <v/>
      </c>
      <c r="S2700" t="str">
        <f>IFERROR(VLOOKUP('OB Format'!D2700,'Team Data'!C:AC,25,FALSE),"")</f>
        <v/>
      </c>
    </row>
    <row r="2701" spans="5:19" x14ac:dyDescent="0.25">
      <c r="E2701" t="str">
        <f>IFERROR(VLOOKUP(D2701,'Team Data'!C:AB,4,FALSE),"")</f>
        <v/>
      </c>
      <c r="F2701" t="str">
        <f>IFERROR(VLOOKUP(D2701,'Team Data'!C:AB,5,FALSE),"")</f>
        <v/>
      </c>
      <c r="G2701" t="str">
        <f>IFERROR(VLOOKUP('OB Format'!D2701,'Team Data'!C:AB,17,FALSE),"")</f>
        <v/>
      </c>
      <c r="H2701" t="str">
        <f>IFERROR(VLOOKUP(D2701,'Team Data'!C:AB,7,FALSE),"")</f>
        <v/>
      </c>
      <c r="I2701" t="str">
        <f>IFERROR(VLOOKUP(D2701,'Team Data'!C:AB,14,FALSE),"")</f>
        <v/>
      </c>
      <c r="J2701" t="str">
        <f>IFERROR(VLOOKUP(D2701,'Team Data'!C:AB,8,FALSE),"")</f>
        <v/>
      </c>
      <c r="K2701" t="str">
        <f>IFERROR(VLOOKUP(D2701,'Team Data'!C:AB,9,FALSE),"")</f>
        <v/>
      </c>
      <c r="L2701" t="str">
        <f>IFERROR(VLOOKUP(D2701,'Team Data'!C:AB,10,FALSE),"")</f>
        <v/>
      </c>
      <c r="M2701" t="str">
        <f t="shared" ref="M2701:M2764" si="86">IFERROR(H2701-(J2701+L2701+K2701),"")</f>
        <v/>
      </c>
      <c r="N2701" t="str">
        <f>IFERROR(VLOOKUP(D2701,'Team Data'!C:AB,23,FALSE),"")</f>
        <v/>
      </c>
      <c r="O2701" t="str">
        <f>IFERROR(VLOOKUP(D2701,'Team Data'!C:AB,22,FALSE),"")</f>
        <v/>
      </c>
      <c r="P2701" t="str">
        <f t="shared" ref="P2701:P2764" si="87">IFERROR(E2701-(H2701+N2701+Q2701+I2701+O2701),"")</f>
        <v/>
      </c>
      <c r="Q2701" t="str">
        <f>IFERROR(VLOOKUP(D2701,'Team Data'!C:AB,15,FALSE),"")</f>
        <v/>
      </c>
      <c r="R2701" t="str">
        <f>IFERROR(VLOOKUP('OB Format'!D2701,'Team Data'!C:AB,24,FALSE),"")</f>
        <v/>
      </c>
      <c r="S2701" t="str">
        <f>IFERROR(VLOOKUP('OB Format'!D2701,'Team Data'!C:AC,25,FALSE),"")</f>
        <v/>
      </c>
    </row>
    <row r="2702" spans="5:19" x14ac:dyDescent="0.25">
      <c r="E2702" t="str">
        <f>IFERROR(VLOOKUP(D2702,'Team Data'!C:AB,4,FALSE),"")</f>
        <v/>
      </c>
      <c r="F2702" t="str">
        <f>IFERROR(VLOOKUP(D2702,'Team Data'!C:AB,5,FALSE),"")</f>
        <v/>
      </c>
      <c r="G2702" t="str">
        <f>IFERROR(VLOOKUP('OB Format'!D2702,'Team Data'!C:AB,17,FALSE),"")</f>
        <v/>
      </c>
      <c r="H2702" t="str">
        <f>IFERROR(VLOOKUP(D2702,'Team Data'!C:AB,7,FALSE),"")</f>
        <v/>
      </c>
      <c r="I2702" t="str">
        <f>IFERROR(VLOOKUP(D2702,'Team Data'!C:AB,14,FALSE),"")</f>
        <v/>
      </c>
      <c r="J2702" t="str">
        <f>IFERROR(VLOOKUP(D2702,'Team Data'!C:AB,8,FALSE),"")</f>
        <v/>
      </c>
      <c r="K2702" t="str">
        <f>IFERROR(VLOOKUP(D2702,'Team Data'!C:AB,9,FALSE),"")</f>
        <v/>
      </c>
      <c r="L2702" t="str">
        <f>IFERROR(VLOOKUP(D2702,'Team Data'!C:AB,10,FALSE),"")</f>
        <v/>
      </c>
      <c r="M2702" t="str">
        <f t="shared" si="86"/>
        <v/>
      </c>
      <c r="N2702" t="str">
        <f>IFERROR(VLOOKUP(D2702,'Team Data'!C:AB,23,FALSE),"")</f>
        <v/>
      </c>
      <c r="O2702" t="str">
        <f>IFERROR(VLOOKUP(D2702,'Team Data'!C:AB,22,FALSE),"")</f>
        <v/>
      </c>
      <c r="P2702" t="str">
        <f t="shared" si="87"/>
        <v/>
      </c>
      <c r="Q2702" t="str">
        <f>IFERROR(VLOOKUP(D2702,'Team Data'!C:AB,15,FALSE),"")</f>
        <v/>
      </c>
      <c r="R2702" t="str">
        <f>IFERROR(VLOOKUP('OB Format'!D2702,'Team Data'!C:AB,24,FALSE),"")</f>
        <v/>
      </c>
      <c r="S2702" t="str">
        <f>IFERROR(VLOOKUP('OB Format'!D2702,'Team Data'!C:AC,25,FALSE),"")</f>
        <v/>
      </c>
    </row>
    <row r="2703" spans="5:19" x14ac:dyDescent="0.25">
      <c r="E2703" t="str">
        <f>IFERROR(VLOOKUP(D2703,'Team Data'!C:AB,4,FALSE),"")</f>
        <v/>
      </c>
      <c r="F2703" t="str">
        <f>IFERROR(VLOOKUP(D2703,'Team Data'!C:AB,5,FALSE),"")</f>
        <v/>
      </c>
      <c r="G2703" t="str">
        <f>IFERROR(VLOOKUP('OB Format'!D2703,'Team Data'!C:AB,17,FALSE),"")</f>
        <v/>
      </c>
      <c r="H2703" t="str">
        <f>IFERROR(VLOOKUP(D2703,'Team Data'!C:AB,7,FALSE),"")</f>
        <v/>
      </c>
      <c r="I2703" t="str">
        <f>IFERROR(VLOOKUP(D2703,'Team Data'!C:AB,14,FALSE),"")</f>
        <v/>
      </c>
      <c r="J2703" t="str">
        <f>IFERROR(VLOOKUP(D2703,'Team Data'!C:AB,8,FALSE),"")</f>
        <v/>
      </c>
      <c r="K2703" t="str">
        <f>IFERROR(VLOOKUP(D2703,'Team Data'!C:AB,9,FALSE),"")</f>
        <v/>
      </c>
      <c r="L2703" t="str">
        <f>IFERROR(VLOOKUP(D2703,'Team Data'!C:AB,10,FALSE),"")</f>
        <v/>
      </c>
      <c r="M2703" t="str">
        <f t="shared" si="86"/>
        <v/>
      </c>
      <c r="N2703" t="str">
        <f>IFERROR(VLOOKUP(D2703,'Team Data'!C:AB,23,FALSE),"")</f>
        <v/>
      </c>
      <c r="O2703" t="str">
        <f>IFERROR(VLOOKUP(D2703,'Team Data'!C:AB,22,FALSE),"")</f>
        <v/>
      </c>
      <c r="P2703" t="str">
        <f t="shared" si="87"/>
        <v/>
      </c>
      <c r="Q2703" t="str">
        <f>IFERROR(VLOOKUP(D2703,'Team Data'!C:AB,15,FALSE),"")</f>
        <v/>
      </c>
      <c r="R2703" t="str">
        <f>IFERROR(VLOOKUP('OB Format'!D2703,'Team Data'!C:AB,24,FALSE),"")</f>
        <v/>
      </c>
      <c r="S2703" t="str">
        <f>IFERROR(VLOOKUP('OB Format'!D2703,'Team Data'!C:AC,25,FALSE),"")</f>
        <v/>
      </c>
    </row>
    <row r="2704" spans="5:19" x14ac:dyDescent="0.25">
      <c r="E2704" t="str">
        <f>IFERROR(VLOOKUP(D2704,'Team Data'!C:AB,4,FALSE),"")</f>
        <v/>
      </c>
      <c r="F2704" t="str">
        <f>IFERROR(VLOOKUP(D2704,'Team Data'!C:AB,5,FALSE),"")</f>
        <v/>
      </c>
      <c r="G2704" t="str">
        <f>IFERROR(VLOOKUP('OB Format'!D2704,'Team Data'!C:AB,17,FALSE),"")</f>
        <v/>
      </c>
      <c r="H2704" t="str">
        <f>IFERROR(VLOOKUP(D2704,'Team Data'!C:AB,7,FALSE),"")</f>
        <v/>
      </c>
      <c r="I2704" t="str">
        <f>IFERROR(VLOOKUP(D2704,'Team Data'!C:AB,14,FALSE),"")</f>
        <v/>
      </c>
      <c r="J2704" t="str">
        <f>IFERROR(VLOOKUP(D2704,'Team Data'!C:AB,8,FALSE),"")</f>
        <v/>
      </c>
      <c r="K2704" t="str">
        <f>IFERROR(VLOOKUP(D2704,'Team Data'!C:AB,9,FALSE),"")</f>
        <v/>
      </c>
      <c r="L2704" t="str">
        <f>IFERROR(VLOOKUP(D2704,'Team Data'!C:AB,10,FALSE),"")</f>
        <v/>
      </c>
      <c r="M2704" t="str">
        <f t="shared" si="86"/>
        <v/>
      </c>
      <c r="N2704" t="str">
        <f>IFERROR(VLOOKUP(D2704,'Team Data'!C:AB,23,FALSE),"")</f>
        <v/>
      </c>
      <c r="O2704" t="str">
        <f>IFERROR(VLOOKUP(D2704,'Team Data'!C:AB,22,FALSE),"")</f>
        <v/>
      </c>
      <c r="P2704" t="str">
        <f t="shared" si="87"/>
        <v/>
      </c>
      <c r="Q2704" t="str">
        <f>IFERROR(VLOOKUP(D2704,'Team Data'!C:AB,15,FALSE),"")</f>
        <v/>
      </c>
      <c r="R2704" t="str">
        <f>IFERROR(VLOOKUP('OB Format'!D2704,'Team Data'!C:AB,24,FALSE),"")</f>
        <v/>
      </c>
      <c r="S2704" t="str">
        <f>IFERROR(VLOOKUP('OB Format'!D2704,'Team Data'!C:AC,25,FALSE),"")</f>
        <v/>
      </c>
    </row>
    <row r="2705" spans="5:19" x14ac:dyDescent="0.25">
      <c r="E2705" t="str">
        <f>IFERROR(VLOOKUP(D2705,'Team Data'!C:AB,4,FALSE),"")</f>
        <v/>
      </c>
      <c r="F2705" t="str">
        <f>IFERROR(VLOOKUP(D2705,'Team Data'!C:AB,5,FALSE),"")</f>
        <v/>
      </c>
      <c r="G2705" t="str">
        <f>IFERROR(VLOOKUP('OB Format'!D2705,'Team Data'!C:AB,17,FALSE),"")</f>
        <v/>
      </c>
      <c r="H2705" t="str">
        <f>IFERROR(VLOOKUP(D2705,'Team Data'!C:AB,7,FALSE),"")</f>
        <v/>
      </c>
      <c r="I2705" t="str">
        <f>IFERROR(VLOOKUP(D2705,'Team Data'!C:AB,14,FALSE),"")</f>
        <v/>
      </c>
      <c r="J2705" t="str">
        <f>IFERROR(VLOOKUP(D2705,'Team Data'!C:AB,8,FALSE),"")</f>
        <v/>
      </c>
      <c r="K2705" t="str">
        <f>IFERROR(VLOOKUP(D2705,'Team Data'!C:AB,9,FALSE),"")</f>
        <v/>
      </c>
      <c r="L2705" t="str">
        <f>IFERROR(VLOOKUP(D2705,'Team Data'!C:AB,10,FALSE),"")</f>
        <v/>
      </c>
      <c r="M2705" t="str">
        <f t="shared" si="86"/>
        <v/>
      </c>
      <c r="N2705" t="str">
        <f>IFERROR(VLOOKUP(D2705,'Team Data'!C:AB,23,FALSE),"")</f>
        <v/>
      </c>
      <c r="O2705" t="str">
        <f>IFERROR(VLOOKUP(D2705,'Team Data'!C:AB,22,FALSE),"")</f>
        <v/>
      </c>
      <c r="P2705" t="str">
        <f t="shared" si="87"/>
        <v/>
      </c>
      <c r="Q2705" t="str">
        <f>IFERROR(VLOOKUP(D2705,'Team Data'!C:AB,15,FALSE),"")</f>
        <v/>
      </c>
      <c r="R2705" t="str">
        <f>IFERROR(VLOOKUP('OB Format'!D2705,'Team Data'!C:AB,24,FALSE),"")</f>
        <v/>
      </c>
      <c r="S2705" t="str">
        <f>IFERROR(VLOOKUP('OB Format'!D2705,'Team Data'!C:AC,25,FALSE),"")</f>
        <v/>
      </c>
    </row>
    <row r="2706" spans="5:19" x14ac:dyDescent="0.25">
      <c r="E2706" t="str">
        <f>IFERROR(VLOOKUP(D2706,'Team Data'!C:AB,4,FALSE),"")</f>
        <v/>
      </c>
      <c r="F2706" t="str">
        <f>IFERROR(VLOOKUP(D2706,'Team Data'!C:AB,5,FALSE),"")</f>
        <v/>
      </c>
      <c r="G2706" t="str">
        <f>IFERROR(VLOOKUP('OB Format'!D2706,'Team Data'!C:AB,17,FALSE),"")</f>
        <v/>
      </c>
      <c r="H2706" t="str">
        <f>IFERROR(VLOOKUP(D2706,'Team Data'!C:AB,7,FALSE),"")</f>
        <v/>
      </c>
      <c r="I2706" t="str">
        <f>IFERROR(VLOOKUP(D2706,'Team Data'!C:AB,14,FALSE),"")</f>
        <v/>
      </c>
      <c r="J2706" t="str">
        <f>IFERROR(VLOOKUP(D2706,'Team Data'!C:AB,8,FALSE),"")</f>
        <v/>
      </c>
      <c r="K2706" t="str">
        <f>IFERROR(VLOOKUP(D2706,'Team Data'!C:AB,9,FALSE),"")</f>
        <v/>
      </c>
      <c r="L2706" t="str">
        <f>IFERROR(VLOOKUP(D2706,'Team Data'!C:AB,10,FALSE),"")</f>
        <v/>
      </c>
      <c r="M2706" t="str">
        <f t="shared" si="86"/>
        <v/>
      </c>
      <c r="N2706" t="str">
        <f>IFERROR(VLOOKUP(D2706,'Team Data'!C:AB,23,FALSE),"")</f>
        <v/>
      </c>
      <c r="O2706" t="str">
        <f>IFERROR(VLOOKUP(D2706,'Team Data'!C:AB,22,FALSE),"")</f>
        <v/>
      </c>
      <c r="P2706" t="str">
        <f t="shared" si="87"/>
        <v/>
      </c>
      <c r="Q2706" t="str">
        <f>IFERROR(VLOOKUP(D2706,'Team Data'!C:AB,15,FALSE),"")</f>
        <v/>
      </c>
      <c r="R2706" t="str">
        <f>IFERROR(VLOOKUP('OB Format'!D2706,'Team Data'!C:AB,24,FALSE),"")</f>
        <v/>
      </c>
      <c r="S2706" t="str">
        <f>IFERROR(VLOOKUP('OB Format'!D2706,'Team Data'!C:AC,25,FALSE),"")</f>
        <v/>
      </c>
    </row>
    <row r="2707" spans="5:19" x14ac:dyDescent="0.25">
      <c r="E2707" t="str">
        <f>IFERROR(VLOOKUP(D2707,'Team Data'!C:AB,4,FALSE),"")</f>
        <v/>
      </c>
      <c r="F2707" t="str">
        <f>IFERROR(VLOOKUP(D2707,'Team Data'!C:AB,5,FALSE),"")</f>
        <v/>
      </c>
      <c r="G2707" t="str">
        <f>IFERROR(VLOOKUP('OB Format'!D2707,'Team Data'!C:AB,17,FALSE),"")</f>
        <v/>
      </c>
      <c r="H2707" t="str">
        <f>IFERROR(VLOOKUP(D2707,'Team Data'!C:AB,7,FALSE),"")</f>
        <v/>
      </c>
      <c r="I2707" t="str">
        <f>IFERROR(VLOOKUP(D2707,'Team Data'!C:AB,14,FALSE),"")</f>
        <v/>
      </c>
      <c r="J2707" t="str">
        <f>IFERROR(VLOOKUP(D2707,'Team Data'!C:AB,8,FALSE),"")</f>
        <v/>
      </c>
      <c r="K2707" t="str">
        <f>IFERROR(VLOOKUP(D2707,'Team Data'!C:AB,9,FALSE),"")</f>
        <v/>
      </c>
      <c r="L2707" t="str">
        <f>IFERROR(VLOOKUP(D2707,'Team Data'!C:AB,10,FALSE),"")</f>
        <v/>
      </c>
      <c r="M2707" t="str">
        <f t="shared" si="86"/>
        <v/>
      </c>
      <c r="N2707" t="str">
        <f>IFERROR(VLOOKUP(D2707,'Team Data'!C:AB,23,FALSE),"")</f>
        <v/>
      </c>
      <c r="O2707" t="str">
        <f>IFERROR(VLOOKUP(D2707,'Team Data'!C:AB,22,FALSE),"")</f>
        <v/>
      </c>
      <c r="P2707" t="str">
        <f t="shared" si="87"/>
        <v/>
      </c>
      <c r="Q2707" t="str">
        <f>IFERROR(VLOOKUP(D2707,'Team Data'!C:AB,15,FALSE),"")</f>
        <v/>
      </c>
      <c r="R2707" t="str">
        <f>IFERROR(VLOOKUP('OB Format'!D2707,'Team Data'!C:AB,24,FALSE),"")</f>
        <v/>
      </c>
      <c r="S2707" t="str">
        <f>IFERROR(VLOOKUP('OB Format'!D2707,'Team Data'!C:AC,25,FALSE),"")</f>
        <v/>
      </c>
    </row>
    <row r="2708" spans="5:19" x14ac:dyDescent="0.25">
      <c r="E2708" t="str">
        <f>IFERROR(VLOOKUP(D2708,'Team Data'!C:AB,4,FALSE),"")</f>
        <v/>
      </c>
      <c r="F2708" t="str">
        <f>IFERROR(VLOOKUP(D2708,'Team Data'!C:AB,5,FALSE),"")</f>
        <v/>
      </c>
      <c r="G2708" t="str">
        <f>IFERROR(VLOOKUP('OB Format'!D2708,'Team Data'!C:AB,17,FALSE),"")</f>
        <v/>
      </c>
      <c r="H2708" t="str">
        <f>IFERROR(VLOOKUP(D2708,'Team Data'!C:AB,7,FALSE),"")</f>
        <v/>
      </c>
      <c r="I2708" t="str">
        <f>IFERROR(VLOOKUP(D2708,'Team Data'!C:AB,14,FALSE),"")</f>
        <v/>
      </c>
      <c r="J2708" t="str">
        <f>IFERROR(VLOOKUP(D2708,'Team Data'!C:AB,8,FALSE),"")</f>
        <v/>
      </c>
      <c r="K2708" t="str">
        <f>IFERROR(VLOOKUP(D2708,'Team Data'!C:AB,9,FALSE),"")</f>
        <v/>
      </c>
      <c r="L2708" t="str">
        <f>IFERROR(VLOOKUP(D2708,'Team Data'!C:AB,10,FALSE),"")</f>
        <v/>
      </c>
      <c r="M2708" t="str">
        <f t="shared" si="86"/>
        <v/>
      </c>
      <c r="N2708" t="str">
        <f>IFERROR(VLOOKUP(D2708,'Team Data'!C:AB,23,FALSE),"")</f>
        <v/>
      </c>
      <c r="O2708" t="str">
        <f>IFERROR(VLOOKUP(D2708,'Team Data'!C:AB,22,FALSE),"")</f>
        <v/>
      </c>
      <c r="P2708" t="str">
        <f t="shared" si="87"/>
        <v/>
      </c>
      <c r="Q2708" t="str">
        <f>IFERROR(VLOOKUP(D2708,'Team Data'!C:AB,15,FALSE),"")</f>
        <v/>
      </c>
      <c r="R2708" t="str">
        <f>IFERROR(VLOOKUP('OB Format'!D2708,'Team Data'!C:AB,24,FALSE),"")</f>
        <v/>
      </c>
      <c r="S2708" t="str">
        <f>IFERROR(VLOOKUP('OB Format'!D2708,'Team Data'!C:AC,25,FALSE),"")</f>
        <v/>
      </c>
    </row>
    <row r="2709" spans="5:19" x14ac:dyDescent="0.25">
      <c r="E2709" t="str">
        <f>IFERROR(VLOOKUP(D2709,'Team Data'!C:AB,4,FALSE),"")</f>
        <v/>
      </c>
      <c r="F2709" t="str">
        <f>IFERROR(VLOOKUP(D2709,'Team Data'!C:AB,5,FALSE),"")</f>
        <v/>
      </c>
      <c r="G2709" t="str">
        <f>IFERROR(VLOOKUP('OB Format'!D2709,'Team Data'!C:AB,17,FALSE),"")</f>
        <v/>
      </c>
      <c r="H2709" t="str">
        <f>IFERROR(VLOOKUP(D2709,'Team Data'!C:AB,7,FALSE),"")</f>
        <v/>
      </c>
      <c r="I2709" t="str">
        <f>IFERROR(VLOOKUP(D2709,'Team Data'!C:AB,14,FALSE),"")</f>
        <v/>
      </c>
      <c r="J2709" t="str">
        <f>IFERROR(VLOOKUP(D2709,'Team Data'!C:AB,8,FALSE),"")</f>
        <v/>
      </c>
      <c r="K2709" t="str">
        <f>IFERROR(VLOOKUP(D2709,'Team Data'!C:AB,9,FALSE),"")</f>
        <v/>
      </c>
      <c r="L2709" t="str">
        <f>IFERROR(VLOOKUP(D2709,'Team Data'!C:AB,10,FALSE),"")</f>
        <v/>
      </c>
      <c r="M2709" t="str">
        <f t="shared" si="86"/>
        <v/>
      </c>
      <c r="N2709" t="str">
        <f>IFERROR(VLOOKUP(D2709,'Team Data'!C:AB,23,FALSE),"")</f>
        <v/>
      </c>
      <c r="O2709" t="str">
        <f>IFERROR(VLOOKUP(D2709,'Team Data'!C:AB,22,FALSE),"")</f>
        <v/>
      </c>
      <c r="P2709" t="str">
        <f t="shared" si="87"/>
        <v/>
      </c>
      <c r="Q2709" t="str">
        <f>IFERROR(VLOOKUP(D2709,'Team Data'!C:AB,15,FALSE),"")</f>
        <v/>
      </c>
      <c r="R2709" t="str">
        <f>IFERROR(VLOOKUP('OB Format'!D2709,'Team Data'!C:AB,24,FALSE),"")</f>
        <v/>
      </c>
      <c r="S2709" t="str">
        <f>IFERROR(VLOOKUP('OB Format'!D2709,'Team Data'!C:AC,25,FALSE),"")</f>
        <v/>
      </c>
    </row>
    <row r="2710" spans="5:19" x14ac:dyDescent="0.25">
      <c r="E2710" t="str">
        <f>IFERROR(VLOOKUP(D2710,'Team Data'!C:AB,4,FALSE),"")</f>
        <v/>
      </c>
      <c r="F2710" t="str">
        <f>IFERROR(VLOOKUP(D2710,'Team Data'!C:AB,5,FALSE),"")</f>
        <v/>
      </c>
      <c r="G2710" t="str">
        <f>IFERROR(VLOOKUP('OB Format'!D2710,'Team Data'!C:AB,17,FALSE),"")</f>
        <v/>
      </c>
      <c r="H2710" t="str">
        <f>IFERROR(VLOOKUP(D2710,'Team Data'!C:AB,7,FALSE),"")</f>
        <v/>
      </c>
      <c r="I2710" t="str">
        <f>IFERROR(VLOOKUP(D2710,'Team Data'!C:AB,14,FALSE),"")</f>
        <v/>
      </c>
      <c r="J2710" t="str">
        <f>IFERROR(VLOOKUP(D2710,'Team Data'!C:AB,8,FALSE),"")</f>
        <v/>
      </c>
      <c r="K2710" t="str">
        <f>IFERROR(VLOOKUP(D2710,'Team Data'!C:AB,9,FALSE),"")</f>
        <v/>
      </c>
      <c r="L2710" t="str">
        <f>IFERROR(VLOOKUP(D2710,'Team Data'!C:AB,10,FALSE),"")</f>
        <v/>
      </c>
      <c r="M2710" t="str">
        <f t="shared" si="86"/>
        <v/>
      </c>
      <c r="N2710" t="str">
        <f>IFERROR(VLOOKUP(D2710,'Team Data'!C:AB,23,FALSE),"")</f>
        <v/>
      </c>
      <c r="O2710" t="str">
        <f>IFERROR(VLOOKUP(D2710,'Team Data'!C:AB,22,FALSE),"")</f>
        <v/>
      </c>
      <c r="P2710" t="str">
        <f t="shared" si="87"/>
        <v/>
      </c>
      <c r="Q2710" t="str">
        <f>IFERROR(VLOOKUP(D2710,'Team Data'!C:AB,15,FALSE),"")</f>
        <v/>
      </c>
      <c r="R2710" t="str">
        <f>IFERROR(VLOOKUP('OB Format'!D2710,'Team Data'!C:AB,24,FALSE),"")</f>
        <v/>
      </c>
      <c r="S2710" t="str">
        <f>IFERROR(VLOOKUP('OB Format'!D2710,'Team Data'!C:AC,25,FALSE),"")</f>
        <v/>
      </c>
    </row>
    <row r="2711" spans="5:19" x14ac:dyDescent="0.25">
      <c r="E2711" t="str">
        <f>IFERROR(VLOOKUP(D2711,'Team Data'!C:AB,4,FALSE),"")</f>
        <v/>
      </c>
      <c r="F2711" t="str">
        <f>IFERROR(VLOOKUP(D2711,'Team Data'!C:AB,5,FALSE),"")</f>
        <v/>
      </c>
      <c r="G2711" t="str">
        <f>IFERROR(VLOOKUP('OB Format'!D2711,'Team Data'!C:AB,17,FALSE),"")</f>
        <v/>
      </c>
      <c r="H2711" t="str">
        <f>IFERROR(VLOOKUP(D2711,'Team Data'!C:AB,7,FALSE),"")</f>
        <v/>
      </c>
      <c r="I2711" t="str">
        <f>IFERROR(VLOOKUP(D2711,'Team Data'!C:AB,14,FALSE),"")</f>
        <v/>
      </c>
      <c r="J2711" t="str">
        <f>IFERROR(VLOOKUP(D2711,'Team Data'!C:AB,8,FALSE),"")</f>
        <v/>
      </c>
      <c r="K2711" t="str">
        <f>IFERROR(VLOOKUP(D2711,'Team Data'!C:AB,9,FALSE),"")</f>
        <v/>
      </c>
      <c r="L2711" t="str">
        <f>IFERROR(VLOOKUP(D2711,'Team Data'!C:AB,10,FALSE),"")</f>
        <v/>
      </c>
      <c r="M2711" t="str">
        <f t="shared" si="86"/>
        <v/>
      </c>
      <c r="N2711" t="str">
        <f>IFERROR(VLOOKUP(D2711,'Team Data'!C:AB,23,FALSE),"")</f>
        <v/>
      </c>
      <c r="O2711" t="str">
        <f>IFERROR(VLOOKUP(D2711,'Team Data'!C:AB,22,FALSE),"")</f>
        <v/>
      </c>
      <c r="P2711" t="str">
        <f t="shared" si="87"/>
        <v/>
      </c>
      <c r="Q2711" t="str">
        <f>IFERROR(VLOOKUP(D2711,'Team Data'!C:AB,15,FALSE),"")</f>
        <v/>
      </c>
      <c r="R2711" t="str">
        <f>IFERROR(VLOOKUP('OB Format'!D2711,'Team Data'!C:AB,24,FALSE),"")</f>
        <v/>
      </c>
      <c r="S2711" t="str">
        <f>IFERROR(VLOOKUP('OB Format'!D2711,'Team Data'!C:AC,25,FALSE),"")</f>
        <v/>
      </c>
    </row>
    <row r="2712" spans="5:19" x14ac:dyDescent="0.25">
      <c r="E2712" t="str">
        <f>IFERROR(VLOOKUP(D2712,'Team Data'!C:AB,4,FALSE),"")</f>
        <v/>
      </c>
      <c r="F2712" t="str">
        <f>IFERROR(VLOOKUP(D2712,'Team Data'!C:AB,5,FALSE),"")</f>
        <v/>
      </c>
      <c r="G2712" t="str">
        <f>IFERROR(VLOOKUP('OB Format'!D2712,'Team Data'!C:AB,17,FALSE),"")</f>
        <v/>
      </c>
      <c r="H2712" t="str">
        <f>IFERROR(VLOOKUP(D2712,'Team Data'!C:AB,7,FALSE),"")</f>
        <v/>
      </c>
      <c r="I2712" t="str">
        <f>IFERROR(VLOOKUP(D2712,'Team Data'!C:AB,14,FALSE),"")</f>
        <v/>
      </c>
      <c r="J2712" t="str">
        <f>IFERROR(VLOOKUP(D2712,'Team Data'!C:AB,8,FALSE),"")</f>
        <v/>
      </c>
      <c r="K2712" t="str">
        <f>IFERROR(VLOOKUP(D2712,'Team Data'!C:AB,9,FALSE),"")</f>
        <v/>
      </c>
      <c r="L2712" t="str">
        <f>IFERROR(VLOOKUP(D2712,'Team Data'!C:AB,10,FALSE),"")</f>
        <v/>
      </c>
      <c r="M2712" t="str">
        <f t="shared" si="86"/>
        <v/>
      </c>
      <c r="N2712" t="str">
        <f>IFERROR(VLOOKUP(D2712,'Team Data'!C:AB,23,FALSE),"")</f>
        <v/>
      </c>
      <c r="O2712" t="str">
        <f>IFERROR(VLOOKUP(D2712,'Team Data'!C:AB,22,FALSE),"")</f>
        <v/>
      </c>
      <c r="P2712" t="str">
        <f t="shared" si="87"/>
        <v/>
      </c>
      <c r="Q2712" t="str">
        <f>IFERROR(VLOOKUP(D2712,'Team Data'!C:AB,15,FALSE),"")</f>
        <v/>
      </c>
      <c r="R2712" t="str">
        <f>IFERROR(VLOOKUP('OB Format'!D2712,'Team Data'!C:AB,24,FALSE),"")</f>
        <v/>
      </c>
      <c r="S2712" t="str">
        <f>IFERROR(VLOOKUP('OB Format'!D2712,'Team Data'!C:AC,25,FALSE),"")</f>
        <v/>
      </c>
    </row>
    <row r="2713" spans="5:19" x14ac:dyDescent="0.25">
      <c r="E2713" t="str">
        <f>IFERROR(VLOOKUP(D2713,'Team Data'!C:AB,4,FALSE),"")</f>
        <v/>
      </c>
      <c r="F2713" t="str">
        <f>IFERROR(VLOOKUP(D2713,'Team Data'!C:AB,5,FALSE),"")</f>
        <v/>
      </c>
      <c r="G2713" t="str">
        <f>IFERROR(VLOOKUP('OB Format'!D2713,'Team Data'!C:AB,17,FALSE),"")</f>
        <v/>
      </c>
      <c r="H2713" t="str">
        <f>IFERROR(VLOOKUP(D2713,'Team Data'!C:AB,7,FALSE),"")</f>
        <v/>
      </c>
      <c r="I2713" t="str">
        <f>IFERROR(VLOOKUP(D2713,'Team Data'!C:AB,14,FALSE),"")</f>
        <v/>
      </c>
      <c r="J2713" t="str">
        <f>IFERROR(VLOOKUP(D2713,'Team Data'!C:AB,8,FALSE),"")</f>
        <v/>
      </c>
      <c r="K2713" t="str">
        <f>IFERROR(VLOOKUP(D2713,'Team Data'!C:AB,9,FALSE),"")</f>
        <v/>
      </c>
      <c r="L2713" t="str">
        <f>IFERROR(VLOOKUP(D2713,'Team Data'!C:AB,10,FALSE),"")</f>
        <v/>
      </c>
      <c r="M2713" t="str">
        <f t="shared" si="86"/>
        <v/>
      </c>
      <c r="N2713" t="str">
        <f>IFERROR(VLOOKUP(D2713,'Team Data'!C:AB,23,FALSE),"")</f>
        <v/>
      </c>
      <c r="O2713" t="str">
        <f>IFERROR(VLOOKUP(D2713,'Team Data'!C:AB,22,FALSE),"")</f>
        <v/>
      </c>
      <c r="P2713" t="str">
        <f t="shared" si="87"/>
        <v/>
      </c>
      <c r="Q2713" t="str">
        <f>IFERROR(VLOOKUP(D2713,'Team Data'!C:AB,15,FALSE),"")</f>
        <v/>
      </c>
      <c r="R2713" t="str">
        <f>IFERROR(VLOOKUP('OB Format'!D2713,'Team Data'!C:AB,24,FALSE),"")</f>
        <v/>
      </c>
      <c r="S2713" t="str">
        <f>IFERROR(VLOOKUP('OB Format'!D2713,'Team Data'!C:AC,25,FALSE),"")</f>
        <v/>
      </c>
    </row>
    <row r="2714" spans="5:19" x14ac:dyDescent="0.25">
      <c r="E2714" t="str">
        <f>IFERROR(VLOOKUP(D2714,'Team Data'!C:AB,4,FALSE),"")</f>
        <v/>
      </c>
      <c r="F2714" t="str">
        <f>IFERROR(VLOOKUP(D2714,'Team Data'!C:AB,5,FALSE),"")</f>
        <v/>
      </c>
      <c r="G2714" t="str">
        <f>IFERROR(VLOOKUP('OB Format'!D2714,'Team Data'!C:AB,17,FALSE),"")</f>
        <v/>
      </c>
      <c r="H2714" t="str">
        <f>IFERROR(VLOOKUP(D2714,'Team Data'!C:AB,7,FALSE),"")</f>
        <v/>
      </c>
      <c r="I2714" t="str">
        <f>IFERROR(VLOOKUP(D2714,'Team Data'!C:AB,14,FALSE),"")</f>
        <v/>
      </c>
      <c r="J2714" t="str">
        <f>IFERROR(VLOOKUP(D2714,'Team Data'!C:AB,8,FALSE),"")</f>
        <v/>
      </c>
      <c r="K2714" t="str">
        <f>IFERROR(VLOOKUP(D2714,'Team Data'!C:AB,9,FALSE),"")</f>
        <v/>
      </c>
      <c r="L2714" t="str">
        <f>IFERROR(VLOOKUP(D2714,'Team Data'!C:AB,10,FALSE),"")</f>
        <v/>
      </c>
      <c r="M2714" t="str">
        <f t="shared" si="86"/>
        <v/>
      </c>
      <c r="N2714" t="str">
        <f>IFERROR(VLOOKUP(D2714,'Team Data'!C:AB,23,FALSE),"")</f>
        <v/>
      </c>
      <c r="O2714" t="str">
        <f>IFERROR(VLOOKUP(D2714,'Team Data'!C:AB,22,FALSE),"")</f>
        <v/>
      </c>
      <c r="P2714" t="str">
        <f t="shared" si="87"/>
        <v/>
      </c>
      <c r="Q2714" t="str">
        <f>IFERROR(VLOOKUP(D2714,'Team Data'!C:AB,15,FALSE),"")</f>
        <v/>
      </c>
      <c r="R2714" t="str">
        <f>IFERROR(VLOOKUP('OB Format'!D2714,'Team Data'!C:AB,24,FALSE),"")</f>
        <v/>
      </c>
      <c r="S2714" t="str">
        <f>IFERROR(VLOOKUP('OB Format'!D2714,'Team Data'!C:AC,25,FALSE),"")</f>
        <v/>
      </c>
    </row>
    <row r="2715" spans="5:19" x14ac:dyDescent="0.25">
      <c r="E2715" t="str">
        <f>IFERROR(VLOOKUP(D2715,'Team Data'!C:AB,4,FALSE),"")</f>
        <v/>
      </c>
      <c r="F2715" t="str">
        <f>IFERROR(VLOOKUP(D2715,'Team Data'!C:AB,5,FALSE),"")</f>
        <v/>
      </c>
      <c r="G2715" t="str">
        <f>IFERROR(VLOOKUP('OB Format'!D2715,'Team Data'!C:AB,17,FALSE),"")</f>
        <v/>
      </c>
      <c r="H2715" t="str">
        <f>IFERROR(VLOOKUP(D2715,'Team Data'!C:AB,7,FALSE),"")</f>
        <v/>
      </c>
      <c r="I2715" t="str">
        <f>IFERROR(VLOOKUP(D2715,'Team Data'!C:AB,14,FALSE),"")</f>
        <v/>
      </c>
      <c r="J2715" t="str">
        <f>IFERROR(VLOOKUP(D2715,'Team Data'!C:AB,8,FALSE),"")</f>
        <v/>
      </c>
      <c r="K2715" t="str">
        <f>IFERROR(VLOOKUP(D2715,'Team Data'!C:AB,9,FALSE),"")</f>
        <v/>
      </c>
      <c r="L2715" t="str">
        <f>IFERROR(VLOOKUP(D2715,'Team Data'!C:AB,10,FALSE),"")</f>
        <v/>
      </c>
      <c r="M2715" t="str">
        <f t="shared" si="86"/>
        <v/>
      </c>
      <c r="N2715" t="str">
        <f>IFERROR(VLOOKUP(D2715,'Team Data'!C:AB,23,FALSE),"")</f>
        <v/>
      </c>
      <c r="O2715" t="str">
        <f>IFERROR(VLOOKUP(D2715,'Team Data'!C:AB,22,FALSE),"")</f>
        <v/>
      </c>
      <c r="P2715" t="str">
        <f t="shared" si="87"/>
        <v/>
      </c>
      <c r="Q2715" t="str">
        <f>IFERROR(VLOOKUP(D2715,'Team Data'!C:AB,15,FALSE),"")</f>
        <v/>
      </c>
      <c r="R2715" t="str">
        <f>IFERROR(VLOOKUP('OB Format'!D2715,'Team Data'!C:AB,24,FALSE),"")</f>
        <v/>
      </c>
      <c r="S2715" t="str">
        <f>IFERROR(VLOOKUP('OB Format'!D2715,'Team Data'!C:AC,25,FALSE),"")</f>
        <v/>
      </c>
    </row>
    <row r="2716" spans="5:19" x14ac:dyDescent="0.25">
      <c r="E2716" t="str">
        <f>IFERROR(VLOOKUP(D2716,'Team Data'!C:AB,4,FALSE),"")</f>
        <v/>
      </c>
      <c r="F2716" t="str">
        <f>IFERROR(VLOOKUP(D2716,'Team Data'!C:AB,5,FALSE),"")</f>
        <v/>
      </c>
      <c r="G2716" t="str">
        <f>IFERROR(VLOOKUP('OB Format'!D2716,'Team Data'!C:AB,17,FALSE),"")</f>
        <v/>
      </c>
      <c r="H2716" t="str">
        <f>IFERROR(VLOOKUP(D2716,'Team Data'!C:AB,7,FALSE),"")</f>
        <v/>
      </c>
      <c r="I2716" t="str">
        <f>IFERROR(VLOOKUP(D2716,'Team Data'!C:AB,14,FALSE),"")</f>
        <v/>
      </c>
      <c r="J2716" t="str">
        <f>IFERROR(VLOOKUP(D2716,'Team Data'!C:AB,8,FALSE),"")</f>
        <v/>
      </c>
      <c r="K2716" t="str">
        <f>IFERROR(VLOOKUP(D2716,'Team Data'!C:AB,9,FALSE),"")</f>
        <v/>
      </c>
      <c r="L2716" t="str">
        <f>IFERROR(VLOOKUP(D2716,'Team Data'!C:AB,10,FALSE),"")</f>
        <v/>
      </c>
      <c r="M2716" t="str">
        <f t="shared" si="86"/>
        <v/>
      </c>
      <c r="N2716" t="str">
        <f>IFERROR(VLOOKUP(D2716,'Team Data'!C:AB,23,FALSE),"")</f>
        <v/>
      </c>
      <c r="O2716" t="str">
        <f>IFERROR(VLOOKUP(D2716,'Team Data'!C:AB,22,FALSE),"")</f>
        <v/>
      </c>
      <c r="P2716" t="str">
        <f t="shared" si="87"/>
        <v/>
      </c>
      <c r="Q2716" t="str">
        <f>IFERROR(VLOOKUP(D2716,'Team Data'!C:AB,15,FALSE),"")</f>
        <v/>
      </c>
      <c r="R2716" t="str">
        <f>IFERROR(VLOOKUP('OB Format'!D2716,'Team Data'!C:AB,24,FALSE),"")</f>
        <v/>
      </c>
      <c r="S2716" t="str">
        <f>IFERROR(VLOOKUP('OB Format'!D2716,'Team Data'!C:AC,25,FALSE),"")</f>
        <v/>
      </c>
    </row>
    <row r="2717" spans="5:19" x14ac:dyDescent="0.25">
      <c r="E2717" t="str">
        <f>IFERROR(VLOOKUP(D2717,'Team Data'!C:AB,4,FALSE),"")</f>
        <v/>
      </c>
      <c r="F2717" t="str">
        <f>IFERROR(VLOOKUP(D2717,'Team Data'!C:AB,5,FALSE),"")</f>
        <v/>
      </c>
      <c r="G2717" t="str">
        <f>IFERROR(VLOOKUP('OB Format'!D2717,'Team Data'!C:AB,17,FALSE),"")</f>
        <v/>
      </c>
      <c r="H2717" t="str">
        <f>IFERROR(VLOOKUP(D2717,'Team Data'!C:AB,7,FALSE),"")</f>
        <v/>
      </c>
      <c r="I2717" t="str">
        <f>IFERROR(VLOOKUP(D2717,'Team Data'!C:AB,14,FALSE),"")</f>
        <v/>
      </c>
      <c r="J2717" t="str">
        <f>IFERROR(VLOOKUP(D2717,'Team Data'!C:AB,8,FALSE),"")</f>
        <v/>
      </c>
      <c r="K2717" t="str">
        <f>IFERROR(VLOOKUP(D2717,'Team Data'!C:AB,9,FALSE),"")</f>
        <v/>
      </c>
      <c r="L2717" t="str">
        <f>IFERROR(VLOOKUP(D2717,'Team Data'!C:AB,10,FALSE),"")</f>
        <v/>
      </c>
      <c r="M2717" t="str">
        <f t="shared" si="86"/>
        <v/>
      </c>
      <c r="N2717" t="str">
        <f>IFERROR(VLOOKUP(D2717,'Team Data'!C:AB,23,FALSE),"")</f>
        <v/>
      </c>
      <c r="O2717" t="str">
        <f>IFERROR(VLOOKUP(D2717,'Team Data'!C:AB,22,FALSE),"")</f>
        <v/>
      </c>
      <c r="P2717" t="str">
        <f t="shared" si="87"/>
        <v/>
      </c>
      <c r="Q2717" t="str">
        <f>IFERROR(VLOOKUP(D2717,'Team Data'!C:AB,15,FALSE),"")</f>
        <v/>
      </c>
      <c r="R2717" t="str">
        <f>IFERROR(VLOOKUP('OB Format'!D2717,'Team Data'!C:AB,24,FALSE),"")</f>
        <v/>
      </c>
      <c r="S2717" t="str">
        <f>IFERROR(VLOOKUP('OB Format'!D2717,'Team Data'!C:AC,25,FALSE),"")</f>
        <v/>
      </c>
    </row>
    <row r="2718" spans="5:19" x14ac:dyDescent="0.25">
      <c r="E2718" t="str">
        <f>IFERROR(VLOOKUP(D2718,'Team Data'!C:AB,4,FALSE),"")</f>
        <v/>
      </c>
      <c r="F2718" t="str">
        <f>IFERROR(VLOOKUP(D2718,'Team Data'!C:AB,5,FALSE),"")</f>
        <v/>
      </c>
      <c r="G2718" t="str">
        <f>IFERROR(VLOOKUP('OB Format'!D2718,'Team Data'!C:AB,17,FALSE),"")</f>
        <v/>
      </c>
      <c r="H2718" t="str">
        <f>IFERROR(VLOOKUP(D2718,'Team Data'!C:AB,7,FALSE),"")</f>
        <v/>
      </c>
      <c r="I2718" t="str">
        <f>IFERROR(VLOOKUP(D2718,'Team Data'!C:AB,14,FALSE),"")</f>
        <v/>
      </c>
      <c r="J2718" t="str">
        <f>IFERROR(VLOOKUP(D2718,'Team Data'!C:AB,8,FALSE),"")</f>
        <v/>
      </c>
      <c r="K2718" t="str">
        <f>IFERROR(VLOOKUP(D2718,'Team Data'!C:AB,9,FALSE),"")</f>
        <v/>
      </c>
      <c r="L2718" t="str">
        <f>IFERROR(VLOOKUP(D2718,'Team Data'!C:AB,10,FALSE),"")</f>
        <v/>
      </c>
      <c r="M2718" t="str">
        <f t="shared" si="86"/>
        <v/>
      </c>
      <c r="N2718" t="str">
        <f>IFERROR(VLOOKUP(D2718,'Team Data'!C:AB,23,FALSE),"")</f>
        <v/>
      </c>
      <c r="O2718" t="str">
        <f>IFERROR(VLOOKUP(D2718,'Team Data'!C:AB,22,FALSE),"")</f>
        <v/>
      </c>
      <c r="P2718" t="str">
        <f t="shared" si="87"/>
        <v/>
      </c>
      <c r="Q2718" t="str">
        <f>IFERROR(VLOOKUP(D2718,'Team Data'!C:AB,15,FALSE),"")</f>
        <v/>
      </c>
      <c r="R2718" t="str">
        <f>IFERROR(VLOOKUP('OB Format'!D2718,'Team Data'!C:AB,24,FALSE),"")</f>
        <v/>
      </c>
      <c r="S2718" t="str">
        <f>IFERROR(VLOOKUP('OB Format'!D2718,'Team Data'!C:AC,25,FALSE),"")</f>
        <v/>
      </c>
    </row>
    <row r="2719" spans="5:19" x14ac:dyDescent="0.25">
      <c r="E2719" t="str">
        <f>IFERROR(VLOOKUP(D2719,'Team Data'!C:AB,4,FALSE),"")</f>
        <v/>
      </c>
      <c r="F2719" t="str">
        <f>IFERROR(VLOOKUP(D2719,'Team Data'!C:AB,5,FALSE),"")</f>
        <v/>
      </c>
      <c r="G2719" t="str">
        <f>IFERROR(VLOOKUP('OB Format'!D2719,'Team Data'!C:AB,17,FALSE),"")</f>
        <v/>
      </c>
      <c r="H2719" t="str">
        <f>IFERROR(VLOOKUP(D2719,'Team Data'!C:AB,7,FALSE),"")</f>
        <v/>
      </c>
      <c r="I2719" t="str">
        <f>IFERROR(VLOOKUP(D2719,'Team Data'!C:AB,14,FALSE),"")</f>
        <v/>
      </c>
      <c r="J2719" t="str">
        <f>IFERROR(VLOOKUP(D2719,'Team Data'!C:AB,8,FALSE),"")</f>
        <v/>
      </c>
      <c r="K2719" t="str">
        <f>IFERROR(VLOOKUP(D2719,'Team Data'!C:AB,9,FALSE),"")</f>
        <v/>
      </c>
      <c r="L2719" t="str">
        <f>IFERROR(VLOOKUP(D2719,'Team Data'!C:AB,10,FALSE),"")</f>
        <v/>
      </c>
      <c r="M2719" t="str">
        <f t="shared" si="86"/>
        <v/>
      </c>
      <c r="N2719" t="str">
        <f>IFERROR(VLOOKUP(D2719,'Team Data'!C:AB,23,FALSE),"")</f>
        <v/>
      </c>
      <c r="O2719" t="str">
        <f>IFERROR(VLOOKUP(D2719,'Team Data'!C:AB,22,FALSE),"")</f>
        <v/>
      </c>
      <c r="P2719" t="str">
        <f t="shared" si="87"/>
        <v/>
      </c>
      <c r="Q2719" t="str">
        <f>IFERROR(VLOOKUP(D2719,'Team Data'!C:AB,15,FALSE),"")</f>
        <v/>
      </c>
      <c r="R2719" t="str">
        <f>IFERROR(VLOOKUP('OB Format'!D2719,'Team Data'!C:AB,24,FALSE),"")</f>
        <v/>
      </c>
      <c r="S2719" t="str">
        <f>IFERROR(VLOOKUP('OB Format'!D2719,'Team Data'!C:AC,25,FALSE),"")</f>
        <v/>
      </c>
    </row>
    <row r="2720" spans="5:19" x14ac:dyDescent="0.25">
      <c r="E2720" t="str">
        <f>IFERROR(VLOOKUP(D2720,'Team Data'!C:AB,4,FALSE),"")</f>
        <v/>
      </c>
      <c r="F2720" t="str">
        <f>IFERROR(VLOOKUP(D2720,'Team Data'!C:AB,5,FALSE),"")</f>
        <v/>
      </c>
      <c r="G2720" t="str">
        <f>IFERROR(VLOOKUP('OB Format'!D2720,'Team Data'!C:AB,17,FALSE),"")</f>
        <v/>
      </c>
      <c r="H2720" t="str">
        <f>IFERROR(VLOOKUP(D2720,'Team Data'!C:AB,7,FALSE),"")</f>
        <v/>
      </c>
      <c r="I2720" t="str">
        <f>IFERROR(VLOOKUP(D2720,'Team Data'!C:AB,14,FALSE),"")</f>
        <v/>
      </c>
      <c r="J2720" t="str">
        <f>IFERROR(VLOOKUP(D2720,'Team Data'!C:AB,8,FALSE),"")</f>
        <v/>
      </c>
      <c r="K2720" t="str">
        <f>IFERROR(VLOOKUP(D2720,'Team Data'!C:AB,9,FALSE),"")</f>
        <v/>
      </c>
      <c r="L2720" t="str">
        <f>IFERROR(VLOOKUP(D2720,'Team Data'!C:AB,10,FALSE),"")</f>
        <v/>
      </c>
      <c r="M2720" t="str">
        <f t="shared" si="86"/>
        <v/>
      </c>
      <c r="N2720" t="str">
        <f>IFERROR(VLOOKUP(D2720,'Team Data'!C:AB,23,FALSE),"")</f>
        <v/>
      </c>
      <c r="O2720" t="str">
        <f>IFERROR(VLOOKUP(D2720,'Team Data'!C:AB,22,FALSE),"")</f>
        <v/>
      </c>
      <c r="P2720" t="str">
        <f t="shared" si="87"/>
        <v/>
      </c>
      <c r="Q2720" t="str">
        <f>IFERROR(VLOOKUP(D2720,'Team Data'!C:AB,15,FALSE),"")</f>
        <v/>
      </c>
      <c r="R2720" t="str">
        <f>IFERROR(VLOOKUP('OB Format'!D2720,'Team Data'!C:AB,24,FALSE),"")</f>
        <v/>
      </c>
      <c r="S2720" t="str">
        <f>IFERROR(VLOOKUP('OB Format'!D2720,'Team Data'!C:AC,25,FALSE),"")</f>
        <v/>
      </c>
    </row>
    <row r="2721" spans="5:19" x14ac:dyDescent="0.25">
      <c r="E2721" t="str">
        <f>IFERROR(VLOOKUP(D2721,'Team Data'!C:AB,4,FALSE),"")</f>
        <v/>
      </c>
      <c r="F2721" t="str">
        <f>IFERROR(VLOOKUP(D2721,'Team Data'!C:AB,5,FALSE),"")</f>
        <v/>
      </c>
      <c r="G2721" t="str">
        <f>IFERROR(VLOOKUP('OB Format'!D2721,'Team Data'!C:AB,17,FALSE),"")</f>
        <v/>
      </c>
      <c r="H2721" t="str">
        <f>IFERROR(VLOOKUP(D2721,'Team Data'!C:AB,7,FALSE),"")</f>
        <v/>
      </c>
      <c r="I2721" t="str">
        <f>IFERROR(VLOOKUP(D2721,'Team Data'!C:AB,14,FALSE),"")</f>
        <v/>
      </c>
      <c r="J2721" t="str">
        <f>IFERROR(VLOOKUP(D2721,'Team Data'!C:AB,8,FALSE),"")</f>
        <v/>
      </c>
      <c r="K2721" t="str">
        <f>IFERROR(VLOOKUP(D2721,'Team Data'!C:AB,9,FALSE),"")</f>
        <v/>
      </c>
      <c r="L2721" t="str">
        <f>IFERROR(VLOOKUP(D2721,'Team Data'!C:AB,10,FALSE),"")</f>
        <v/>
      </c>
      <c r="M2721" t="str">
        <f t="shared" si="86"/>
        <v/>
      </c>
      <c r="N2721" t="str">
        <f>IFERROR(VLOOKUP(D2721,'Team Data'!C:AB,23,FALSE),"")</f>
        <v/>
      </c>
      <c r="O2721" t="str">
        <f>IFERROR(VLOOKUP(D2721,'Team Data'!C:AB,22,FALSE),"")</f>
        <v/>
      </c>
      <c r="P2721" t="str">
        <f t="shared" si="87"/>
        <v/>
      </c>
      <c r="Q2721" t="str">
        <f>IFERROR(VLOOKUP(D2721,'Team Data'!C:AB,15,FALSE),"")</f>
        <v/>
      </c>
      <c r="R2721" t="str">
        <f>IFERROR(VLOOKUP('OB Format'!D2721,'Team Data'!C:AB,24,FALSE),"")</f>
        <v/>
      </c>
      <c r="S2721" t="str">
        <f>IFERROR(VLOOKUP('OB Format'!D2721,'Team Data'!C:AC,25,FALSE),"")</f>
        <v/>
      </c>
    </row>
    <row r="2722" spans="5:19" x14ac:dyDescent="0.25">
      <c r="E2722" t="str">
        <f>IFERROR(VLOOKUP(D2722,'Team Data'!C:AB,4,FALSE),"")</f>
        <v/>
      </c>
      <c r="F2722" t="str">
        <f>IFERROR(VLOOKUP(D2722,'Team Data'!C:AB,5,FALSE),"")</f>
        <v/>
      </c>
      <c r="G2722" t="str">
        <f>IFERROR(VLOOKUP('OB Format'!D2722,'Team Data'!C:AB,17,FALSE),"")</f>
        <v/>
      </c>
      <c r="H2722" t="str">
        <f>IFERROR(VLOOKUP(D2722,'Team Data'!C:AB,7,FALSE),"")</f>
        <v/>
      </c>
      <c r="I2722" t="str">
        <f>IFERROR(VLOOKUP(D2722,'Team Data'!C:AB,14,FALSE),"")</f>
        <v/>
      </c>
      <c r="J2722" t="str">
        <f>IFERROR(VLOOKUP(D2722,'Team Data'!C:AB,8,FALSE),"")</f>
        <v/>
      </c>
      <c r="K2722" t="str">
        <f>IFERROR(VLOOKUP(D2722,'Team Data'!C:AB,9,FALSE),"")</f>
        <v/>
      </c>
      <c r="L2722" t="str">
        <f>IFERROR(VLOOKUP(D2722,'Team Data'!C:AB,10,FALSE),"")</f>
        <v/>
      </c>
      <c r="M2722" t="str">
        <f t="shared" si="86"/>
        <v/>
      </c>
      <c r="N2722" t="str">
        <f>IFERROR(VLOOKUP(D2722,'Team Data'!C:AB,23,FALSE),"")</f>
        <v/>
      </c>
      <c r="O2722" t="str">
        <f>IFERROR(VLOOKUP(D2722,'Team Data'!C:AB,22,FALSE),"")</f>
        <v/>
      </c>
      <c r="P2722" t="str">
        <f t="shared" si="87"/>
        <v/>
      </c>
      <c r="Q2722" t="str">
        <f>IFERROR(VLOOKUP(D2722,'Team Data'!C:AB,15,FALSE),"")</f>
        <v/>
      </c>
      <c r="R2722" t="str">
        <f>IFERROR(VLOOKUP('OB Format'!D2722,'Team Data'!C:AB,24,FALSE),"")</f>
        <v/>
      </c>
      <c r="S2722" t="str">
        <f>IFERROR(VLOOKUP('OB Format'!D2722,'Team Data'!C:AC,25,FALSE),"")</f>
        <v/>
      </c>
    </row>
    <row r="2723" spans="5:19" x14ac:dyDescent="0.25">
      <c r="E2723" t="str">
        <f>IFERROR(VLOOKUP(D2723,'Team Data'!C:AB,4,FALSE),"")</f>
        <v/>
      </c>
      <c r="F2723" t="str">
        <f>IFERROR(VLOOKUP(D2723,'Team Data'!C:AB,5,FALSE),"")</f>
        <v/>
      </c>
      <c r="G2723" t="str">
        <f>IFERROR(VLOOKUP('OB Format'!D2723,'Team Data'!C:AB,17,FALSE),"")</f>
        <v/>
      </c>
      <c r="H2723" t="str">
        <f>IFERROR(VLOOKUP(D2723,'Team Data'!C:AB,7,FALSE),"")</f>
        <v/>
      </c>
      <c r="I2723" t="str">
        <f>IFERROR(VLOOKUP(D2723,'Team Data'!C:AB,14,FALSE),"")</f>
        <v/>
      </c>
      <c r="J2723" t="str">
        <f>IFERROR(VLOOKUP(D2723,'Team Data'!C:AB,8,FALSE),"")</f>
        <v/>
      </c>
      <c r="K2723" t="str">
        <f>IFERROR(VLOOKUP(D2723,'Team Data'!C:AB,9,FALSE),"")</f>
        <v/>
      </c>
      <c r="L2723" t="str">
        <f>IFERROR(VLOOKUP(D2723,'Team Data'!C:AB,10,FALSE),"")</f>
        <v/>
      </c>
      <c r="M2723" t="str">
        <f t="shared" si="86"/>
        <v/>
      </c>
      <c r="N2723" t="str">
        <f>IFERROR(VLOOKUP(D2723,'Team Data'!C:AB,23,FALSE),"")</f>
        <v/>
      </c>
      <c r="O2723" t="str">
        <f>IFERROR(VLOOKUP(D2723,'Team Data'!C:AB,22,FALSE),"")</f>
        <v/>
      </c>
      <c r="P2723" t="str">
        <f t="shared" si="87"/>
        <v/>
      </c>
      <c r="Q2723" t="str">
        <f>IFERROR(VLOOKUP(D2723,'Team Data'!C:AB,15,FALSE),"")</f>
        <v/>
      </c>
      <c r="R2723" t="str">
        <f>IFERROR(VLOOKUP('OB Format'!D2723,'Team Data'!C:AB,24,FALSE),"")</f>
        <v/>
      </c>
      <c r="S2723" t="str">
        <f>IFERROR(VLOOKUP('OB Format'!D2723,'Team Data'!C:AC,25,FALSE),"")</f>
        <v/>
      </c>
    </row>
    <row r="2724" spans="5:19" x14ac:dyDescent="0.25">
      <c r="E2724" t="str">
        <f>IFERROR(VLOOKUP(D2724,'Team Data'!C:AB,4,FALSE),"")</f>
        <v/>
      </c>
      <c r="F2724" t="str">
        <f>IFERROR(VLOOKUP(D2724,'Team Data'!C:AB,5,FALSE),"")</f>
        <v/>
      </c>
      <c r="G2724" t="str">
        <f>IFERROR(VLOOKUP('OB Format'!D2724,'Team Data'!C:AB,17,FALSE),"")</f>
        <v/>
      </c>
      <c r="H2724" t="str">
        <f>IFERROR(VLOOKUP(D2724,'Team Data'!C:AB,7,FALSE),"")</f>
        <v/>
      </c>
      <c r="I2724" t="str">
        <f>IFERROR(VLOOKUP(D2724,'Team Data'!C:AB,14,FALSE),"")</f>
        <v/>
      </c>
      <c r="J2724" t="str">
        <f>IFERROR(VLOOKUP(D2724,'Team Data'!C:AB,8,FALSE),"")</f>
        <v/>
      </c>
      <c r="K2724" t="str">
        <f>IFERROR(VLOOKUP(D2724,'Team Data'!C:AB,9,FALSE),"")</f>
        <v/>
      </c>
      <c r="L2724" t="str">
        <f>IFERROR(VLOOKUP(D2724,'Team Data'!C:AB,10,FALSE),"")</f>
        <v/>
      </c>
      <c r="M2724" t="str">
        <f t="shared" si="86"/>
        <v/>
      </c>
      <c r="N2724" t="str">
        <f>IFERROR(VLOOKUP(D2724,'Team Data'!C:AB,23,FALSE),"")</f>
        <v/>
      </c>
      <c r="O2724" t="str">
        <f>IFERROR(VLOOKUP(D2724,'Team Data'!C:AB,22,FALSE),"")</f>
        <v/>
      </c>
      <c r="P2724" t="str">
        <f t="shared" si="87"/>
        <v/>
      </c>
      <c r="Q2724" t="str">
        <f>IFERROR(VLOOKUP(D2724,'Team Data'!C:AB,15,FALSE),"")</f>
        <v/>
      </c>
      <c r="R2724" t="str">
        <f>IFERROR(VLOOKUP('OB Format'!D2724,'Team Data'!C:AB,24,FALSE),"")</f>
        <v/>
      </c>
      <c r="S2724" t="str">
        <f>IFERROR(VLOOKUP('OB Format'!D2724,'Team Data'!C:AC,25,FALSE),"")</f>
        <v/>
      </c>
    </row>
    <row r="2725" spans="5:19" x14ac:dyDescent="0.25">
      <c r="E2725" t="str">
        <f>IFERROR(VLOOKUP(D2725,'Team Data'!C:AB,4,FALSE),"")</f>
        <v/>
      </c>
      <c r="F2725" t="str">
        <f>IFERROR(VLOOKUP(D2725,'Team Data'!C:AB,5,FALSE),"")</f>
        <v/>
      </c>
      <c r="G2725" t="str">
        <f>IFERROR(VLOOKUP('OB Format'!D2725,'Team Data'!C:AB,17,FALSE),"")</f>
        <v/>
      </c>
      <c r="H2725" t="str">
        <f>IFERROR(VLOOKUP(D2725,'Team Data'!C:AB,7,FALSE),"")</f>
        <v/>
      </c>
      <c r="I2725" t="str">
        <f>IFERROR(VLOOKUP(D2725,'Team Data'!C:AB,14,FALSE),"")</f>
        <v/>
      </c>
      <c r="J2725" t="str">
        <f>IFERROR(VLOOKUP(D2725,'Team Data'!C:AB,8,FALSE),"")</f>
        <v/>
      </c>
      <c r="K2725" t="str">
        <f>IFERROR(VLOOKUP(D2725,'Team Data'!C:AB,9,FALSE),"")</f>
        <v/>
      </c>
      <c r="L2725" t="str">
        <f>IFERROR(VLOOKUP(D2725,'Team Data'!C:AB,10,FALSE),"")</f>
        <v/>
      </c>
      <c r="M2725" t="str">
        <f t="shared" si="86"/>
        <v/>
      </c>
      <c r="N2725" t="str">
        <f>IFERROR(VLOOKUP(D2725,'Team Data'!C:AB,23,FALSE),"")</f>
        <v/>
      </c>
      <c r="O2725" t="str">
        <f>IFERROR(VLOOKUP(D2725,'Team Data'!C:AB,22,FALSE),"")</f>
        <v/>
      </c>
      <c r="P2725" t="str">
        <f t="shared" si="87"/>
        <v/>
      </c>
      <c r="Q2725" t="str">
        <f>IFERROR(VLOOKUP(D2725,'Team Data'!C:AB,15,FALSE),"")</f>
        <v/>
      </c>
      <c r="R2725" t="str">
        <f>IFERROR(VLOOKUP('OB Format'!D2725,'Team Data'!C:AB,24,FALSE),"")</f>
        <v/>
      </c>
      <c r="S2725" t="str">
        <f>IFERROR(VLOOKUP('OB Format'!D2725,'Team Data'!C:AC,25,FALSE),"")</f>
        <v/>
      </c>
    </row>
    <row r="2726" spans="5:19" x14ac:dyDescent="0.25">
      <c r="E2726" t="str">
        <f>IFERROR(VLOOKUP(D2726,'Team Data'!C:AB,4,FALSE),"")</f>
        <v/>
      </c>
      <c r="F2726" t="str">
        <f>IFERROR(VLOOKUP(D2726,'Team Data'!C:AB,5,FALSE),"")</f>
        <v/>
      </c>
      <c r="G2726" t="str">
        <f>IFERROR(VLOOKUP('OB Format'!D2726,'Team Data'!C:AB,17,FALSE),"")</f>
        <v/>
      </c>
      <c r="H2726" t="str">
        <f>IFERROR(VLOOKUP(D2726,'Team Data'!C:AB,7,FALSE),"")</f>
        <v/>
      </c>
      <c r="I2726" t="str">
        <f>IFERROR(VLOOKUP(D2726,'Team Data'!C:AB,14,FALSE),"")</f>
        <v/>
      </c>
      <c r="J2726" t="str">
        <f>IFERROR(VLOOKUP(D2726,'Team Data'!C:AB,8,FALSE),"")</f>
        <v/>
      </c>
      <c r="K2726" t="str">
        <f>IFERROR(VLOOKUP(D2726,'Team Data'!C:AB,9,FALSE),"")</f>
        <v/>
      </c>
      <c r="L2726" t="str">
        <f>IFERROR(VLOOKUP(D2726,'Team Data'!C:AB,10,FALSE),"")</f>
        <v/>
      </c>
      <c r="M2726" t="str">
        <f t="shared" si="86"/>
        <v/>
      </c>
      <c r="N2726" t="str">
        <f>IFERROR(VLOOKUP(D2726,'Team Data'!C:AB,23,FALSE),"")</f>
        <v/>
      </c>
      <c r="O2726" t="str">
        <f>IFERROR(VLOOKUP(D2726,'Team Data'!C:AB,22,FALSE),"")</f>
        <v/>
      </c>
      <c r="P2726" t="str">
        <f t="shared" si="87"/>
        <v/>
      </c>
      <c r="Q2726" t="str">
        <f>IFERROR(VLOOKUP(D2726,'Team Data'!C:AB,15,FALSE),"")</f>
        <v/>
      </c>
      <c r="R2726" t="str">
        <f>IFERROR(VLOOKUP('OB Format'!D2726,'Team Data'!C:AB,24,FALSE),"")</f>
        <v/>
      </c>
      <c r="S2726" t="str">
        <f>IFERROR(VLOOKUP('OB Format'!D2726,'Team Data'!C:AC,25,FALSE),"")</f>
        <v/>
      </c>
    </row>
    <row r="2727" spans="5:19" x14ac:dyDescent="0.25">
      <c r="E2727" t="str">
        <f>IFERROR(VLOOKUP(D2727,'Team Data'!C:AB,4,FALSE),"")</f>
        <v/>
      </c>
      <c r="F2727" t="str">
        <f>IFERROR(VLOOKUP(D2727,'Team Data'!C:AB,5,FALSE),"")</f>
        <v/>
      </c>
      <c r="G2727" t="str">
        <f>IFERROR(VLOOKUP('OB Format'!D2727,'Team Data'!C:AB,17,FALSE),"")</f>
        <v/>
      </c>
      <c r="H2727" t="str">
        <f>IFERROR(VLOOKUP(D2727,'Team Data'!C:AB,7,FALSE),"")</f>
        <v/>
      </c>
      <c r="I2727" t="str">
        <f>IFERROR(VLOOKUP(D2727,'Team Data'!C:AB,14,FALSE),"")</f>
        <v/>
      </c>
      <c r="J2727" t="str">
        <f>IFERROR(VLOOKUP(D2727,'Team Data'!C:AB,8,FALSE),"")</f>
        <v/>
      </c>
      <c r="K2727" t="str">
        <f>IFERROR(VLOOKUP(D2727,'Team Data'!C:AB,9,FALSE),"")</f>
        <v/>
      </c>
      <c r="L2727" t="str">
        <f>IFERROR(VLOOKUP(D2727,'Team Data'!C:AB,10,FALSE),"")</f>
        <v/>
      </c>
      <c r="M2727" t="str">
        <f t="shared" si="86"/>
        <v/>
      </c>
      <c r="N2727" t="str">
        <f>IFERROR(VLOOKUP(D2727,'Team Data'!C:AB,23,FALSE),"")</f>
        <v/>
      </c>
      <c r="O2727" t="str">
        <f>IFERROR(VLOOKUP(D2727,'Team Data'!C:AB,22,FALSE),"")</f>
        <v/>
      </c>
      <c r="P2727" t="str">
        <f t="shared" si="87"/>
        <v/>
      </c>
      <c r="Q2727" t="str">
        <f>IFERROR(VLOOKUP(D2727,'Team Data'!C:AB,15,FALSE),"")</f>
        <v/>
      </c>
      <c r="R2727" t="str">
        <f>IFERROR(VLOOKUP('OB Format'!D2727,'Team Data'!C:AB,24,FALSE),"")</f>
        <v/>
      </c>
      <c r="S2727" t="str">
        <f>IFERROR(VLOOKUP('OB Format'!D2727,'Team Data'!C:AC,25,FALSE),"")</f>
        <v/>
      </c>
    </row>
    <row r="2728" spans="5:19" x14ac:dyDescent="0.25">
      <c r="E2728" t="str">
        <f>IFERROR(VLOOKUP(D2728,'Team Data'!C:AB,4,FALSE),"")</f>
        <v/>
      </c>
      <c r="F2728" t="str">
        <f>IFERROR(VLOOKUP(D2728,'Team Data'!C:AB,5,FALSE),"")</f>
        <v/>
      </c>
      <c r="G2728" t="str">
        <f>IFERROR(VLOOKUP('OB Format'!D2728,'Team Data'!C:AB,17,FALSE),"")</f>
        <v/>
      </c>
      <c r="H2728" t="str">
        <f>IFERROR(VLOOKUP(D2728,'Team Data'!C:AB,7,FALSE),"")</f>
        <v/>
      </c>
      <c r="I2728" t="str">
        <f>IFERROR(VLOOKUP(D2728,'Team Data'!C:AB,14,FALSE),"")</f>
        <v/>
      </c>
      <c r="J2728" t="str">
        <f>IFERROR(VLOOKUP(D2728,'Team Data'!C:AB,8,FALSE),"")</f>
        <v/>
      </c>
      <c r="K2728" t="str">
        <f>IFERROR(VLOOKUP(D2728,'Team Data'!C:AB,9,FALSE),"")</f>
        <v/>
      </c>
      <c r="L2728" t="str">
        <f>IFERROR(VLOOKUP(D2728,'Team Data'!C:AB,10,FALSE),"")</f>
        <v/>
      </c>
      <c r="M2728" t="str">
        <f t="shared" si="86"/>
        <v/>
      </c>
      <c r="N2728" t="str">
        <f>IFERROR(VLOOKUP(D2728,'Team Data'!C:AB,23,FALSE),"")</f>
        <v/>
      </c>
      <c r="O2728" t="str">
        <f>IFERROR(VLOOKUP(D2728,'Team Data'!C:AB,22,FALSE),"")</f>
        <v/>
      </c>
      <c r="P2728" t="str">
        <f t="shared" si="87"/>
        <v/>
      </c>
      <c r="Q2728" t="str">
        <f>IFERROR(VLOOKUP(D2728,'Team Data'!C:AB,15,FALSE),"")</f>
        <v/>
      </c>
      <c r="R2728" t="str">
        <f>IFERROR(VLOOKUP('OB Format'!D2728,'Team Data'!C:AB,24,FALSE),"")</f>
        <v/>
      </c>
      <c r="S2728" t="str">
        <f>IFERROR(VLOOKUP('OB Format'!D2728,'Team Data'!C:AC,25,FALSE),"")</f>
        <v/>
      </c>
    </row>
    <row r="2729" spans="5:19" x14ac:dyDescent="0.25">
      <c r="E2729" t="str">
        <f>IFERROR(VLOOKUP(D2729,'Team Data'!C:AB,4,FALSE),"")</f>
        <v/>
      </c>
      <c r="F2729" t="str">
        <f>IFERROR(VLOOKUP(D2729,'Team Data'!C:AB,5,FALSE),"")</f>
        <v/>
      </c>
      <c r="G2729" t="str">
        <f>IFERROR(VLOOKUP('OB Format'!D2729,'Team Data'!C:AB,17,FALSE),"")</f>
        <v/>
      </c>
      <c r="H2729" t="str">
        <f>IFERROR(VLOOKUP(D2729,'Team Data'!C:AB,7,FALSE),"")</f>
        <v/>
      </c>
      <c r="I2729" t="str">
        <f>IFERROR(VLOOKUP(D2729,'Team Data'!C:AB,14,FALSE),"")</f>
        <v/>
      </c>
      <c r="J2729" t="str">
        <f>IFERROR(VLOOKUP(D2729,'Team Data'!C:AB,8,FALSE),"")</f>
        <v/>
      </c>
      <c r="K2729" t="str">
        <f>IFERROR(VLOOKUP(D2729,'Team Data'!C:AB,9,FALSE),"")</f>
        <v/>
      </c>
      <c r="L2729" t="str">
        <f>IFERROR(VLOOKUP(D2729,'Team Data'!C:AB,10,FALSE),"")</f>
        <v/>
      </c>
      <c r="M2729" t="str">
        <f t="shared" si="86"/>
        <v/>
      </c>
      <c r="N2729" t="str">
        <f>IFERROR(VLOOKUP(D2729,'Team Data'!C:AB,23,FALSE),"")</f>
        <v/>
      </c>
      <c r="O2729" t="str">
        <f>IFERROR(VLOOKUP(D2729,'Team Data'!C:AB,22,FALSE),"")</f>
        <v/>
      </c>
      <c r="P2729" t="str">
        <f t="shared" si="87"/>
        <v/>
      </c>
      <c r="Q2729" t="str">
        <f>IFERROR(VLOOKUP(D2729,'Team Data'!C:AB,15,FALSE),"")</f>
        <v/>
      </c>
      <c r="R2729" t="str">
        <f>IFERROR(VLOOKUP('OB Format'!D2729,'Team Data'!C:AB,24,FALSE),"")</f>
        <v/>
      </c>
      <c r="S2729" t="str">
        <f>IFERROR(VLOOKUP('OB Format'!D2729,'Team Data'!C:AC,25,FALSE),"")</f>
        <v/>
      </c>
    </row>
    <row r="2730" spans="5:19" x14ac:dyDescent="0.25">
      <c r="E2730" t="str">
        <f>IFERROR(VLOOKUP(D2730,'Team Data'!C:AB,4,FALSE),"")</f>
        <v/>
      </c>
      <c r="F2730" t="str">
        <f>IFERROR(VLOOKUP(D2730,'Team Data'!C:AB,5,FALSE),"")</f>
        <v/>
      </c>
      <c r="G2730" t="str">
        <f>IFERROR(VLOOKUP('OB Format'!D2730,'Team Data'!C:AB,17,FALSE),"")</f>
        <v/>
      </c>
      <c r="H2730" t="str">
        <f>IFERROR(VLOOKUP(D2730,'Team Data'!C:AB,7,FALSE),"")</f>
        <v/>
      </c>
      <c r="I2730" t="str">
        <f>IFERROR(VLOOKUP(D2730,'Team Data'!C:AB,14,FALSE),"")</f>
        <v/>
      </c>
      <c r="J2730" t="str">
        <f>IFERROR(VLOOKUP(D2730,'Team Data'!C:AB,8,FALSE),"")</f>
        <v/>
      </c>
      <c r="K2730" t="str">
        <f>IFERROR(VLOOKUP(D2730,'Team Data'!C:AB,9,FALSE),"")</f>
        <v/>
      </c>
      <c r="L2730" t="str">
        <f>IFERROR(VLOOKUP(D2730,'Team Data'!C:AB,10,FALSE),"")</f>
        <v/>
      </c>
      <c r="M2730" t="str">
        <f t="shared" si="86"/>
        <v/>
      </c>
      <c r="N2730" t="str">
        <f>IFERROR(VLOOKUP(D2730,'Team Data'!C:AB,23,FALSE),"")</f>
        <v/>
      </c>
      <c r="O2730" t="str">
        <f>IFERROR(VLOOKUP(D2730,'Team Data'!C:AB,22,FALSE),"")</f>
        <v/>
      </c>
      <c r="P2730" t="str">
        <f t="shared" si="87"/>
        <v/>
      </c>
      <c r="Q2730" t="str">
        <f>IFERROR(VLOOKUP(D2730,'Team Data'!C:AB,15,FALSE),"")</f>
        <v/>
      </c>
      <c r="R2730" t="str">
        <f>IFERROR(VLOOKUP('OB Format'!D2730,'Team Data'!C:AB,24,FALSE),"")</f>
        <v/>
      </c>
      <c r="S2730" t="str">
        <f>IFERROR(VLOOKUP('OB Format'!D2730,'Team Data'!C:AC,25,FALSE),"")</f>
        <v/>
      </c>
    </row>
    <row r="2731" spans="5:19" x14ac:dyDescent="0.25">
      <c r="E2731" t="str">
        <f>IFERROR(VLOOKUP(D2731,'Team Data'!C:AB,4,FALSE),"")</f>
        <v/>
      </c>
      <c r="F2731" t="str">
        <f>IFERROR(VLOOKUP(D2731,'Team Data'!C:AB,5,FALSE),"")</f>
        <v/>
      </c>
      <c r="G2731" t="str">
        <f>IFERROR(VLOOKUP('OB Format'!D2731,'Team Data'!C:AB,17,FALSE),"")</f>
        <v/>
      </c>
      <c r="H2731" t="str">
        <f>IFERROR(VLOOKUP(D2731,'Team Data'!C:AB,7,FALSE),"")</f>
        <v/>
      </c>
      <c r="I2731" t="str">
        <f>IFERROR(VLOOKUP(D2731,'Team Data'!C:AB,14,FALSE),"")</f>
        <v/>
      </c>
      <c r="J2731" t="str">
        <f>IFERROR(VLOOKUP(D2731,'Team Data'!C:AB,8,FALSE),"")</f>
        <v/>
      </c>
      <c r="K2731" t="str">
        <f>IFERROR(VLOOKUP(D2731,'Team Data'!C:AB,9,FALSE),"")</f>
        <v/>
      </c>
      <c r="L2731" t="str">
        <f>IFERROR(VLOOKUP(D2731,'Team Data'!C:AB,10,FALSE),"")</f>
        <v/>
      </c>
      <c r="M2731" t="str">
        <f t="shared" si="86"/>
        <v/>
      </c>
      <c r="N2731" t="str">
        <f>IFERROR(VLOOKUP(D2731,'Team Data'!C:AB,23,FALSE),"")</f>
        <v/>
      </c>
      <c r="O2731" t="str">
        <f>IFERROR(VLOOKUP(D2731,'Team Data'!C:AB,22,FALSE),"")</f>
        <v/>
      </c>
      <c r="P2731" t="str">
        <f t="shared" si="87"/>
        <v/>
      </c>
      <c r="Q2731" t="str">
        <f>IFERROR(VLOOKUP(D2731,'Team Data'!C:AB,15,FALSE),"")</f>
        <v/>
      </c>
      <c r="R2731" t="str">
        <f>IFERROR(VLOOKUP('OB Format'!D2731,'Team Data'!C:AB,24,FALSE),"")</f>
        <v/>
      </c>
      <c r="S2731" t="str">
        <f>IFERROR(VLOOKUP('OB Format'!D2731,'Team Data'!C:AC,25,FALSE),"")</f>
        <v/>
      </c>
    </row>
    <row r="2732" spans="5:19" x14ac:dyDescent="0.25">
      <c r="E2732" t="str">
        <f>IFERROR(VLOOKUP(D2732,'Team Data'!C:AB,4,FALSE),"")</f>
        <v/>
      </c>
      <c r="F2732" t="str">
        <f>IFERROR(VLOOKUP(D2732,'Team Data'!C:AB,5,FALSE),"")</f>
        <v/>
      </c>
      <c r="G2732" t="str">
        <f>IFERROR(VLOOKUP('OB Format'!D2732,'Team Data'!C:AB,17,FALSE),"")</f>
        <v/>
      </c>
      <c r="H2732" t="str">
        <f>IFERROR(VLOOKUP(D2732,'Team Data'!C:AB,7,FALSE),"")</f>
        <v/>
      </c>
      <c r="I2732" t="str">
        <f>IFERROR(VLOOKUP(D2732,'Team Data'!C:AB,14,FALSE),"")</f>
        <v/>
      </c>
      <c r="J2732" t="str">
        <f>IFERROR(VLOOKUP(D2732,'Team Data'!C:AB,8,FALSE),"")</f>
        <v/>
      </c>
      <c r="K2732" t="str">
        <f>IFERROR(VLOOKUP(D2732,'Team Data'!C:AB,9,FALSE),"")</f>
        <v/>
      </c>
      <c r="L2732" t="str">
        <f>IFERROR(VLOOKUP(D2732,'Team Data'!C:AB,10,FALSE),"")</f>
        <v/>
      </c>
      <c r="M2732" t="str">
        <f t="shared" si="86"/>
        <v/>
      </c>
      <c r="N2732" t="str">
        <f>IFERROR(VLOOKUP(D2732,'Team Data'!C:AB,23,FALSE),"")</f>
        <v/>
      </c>
      <c r="O2732" t="str">
        <f>IFERROR(VLOOKUP(D2732,'Team Data'!C:AB,22,FALSE),"")</f>
        <v/>
      </c>
      <c r="P2732" t="str">
        <f t="shared" si="87"/>
        <v/>
      </c>
      <c r="Q2732" t="str">
        <f>IFERROR(VLOOKUP(D2732,'Team Data'!C:AB,15,FALSE),"")</f>
        <v/>
      </c>
      <c r="R2732" t="str">
        <f>IFERROR(VLOOKUP('OB Format'!D2732,'Team Data'!C:AB,24,FALSE),"")</f>
        <v/>
      </c>
      <c r="S2732" t="str">
        <f>IFERROR(VLOOKUP('OB Format'!D2732,'Team Data'!C:AC,25,FALSE),"")</f>
        <v/>
      </c>
    </row>
    <row r="2733" spans="5:19" x14ac:dyDescent="0.25">
      <c r="E2733" t="str">
        <f>IFERROR(VLOOKUP(D2733,'Team Data'!C:AB,4,FALSE),"")</f>
        <v/>
      </c>
      <c r="F2733" t="str">
        <f>IFERROR(VLOOKUP(D2733,'Team Data'!C:AB,5,FALSE),"")</f>
        <v/>
      </c>
      <c r="G2733" t="str">
        <f>IFERROR(VLOOKUP('OB Format'!D2733,'Team Data'!C:AB,17,FALSE),"")</f>
        <v/>
      </c>
      <c r="H2733" t="str">
        <f>IFERROR(VLOOKUP(D2733,'Team Data'!C:AB,7,FALSE),"")</f>
        <v/>
      </c>
      <c r="I2733" t="str">
        <f>IFERROR(VLOOKUP(D2733,'Team Data'!C:AB,14,FALSE),"")</f>
        <v/>
      </c>
      <c r="J2733" t="str">
        <f>IFERROR(VLOOKUP(D2733,'Team Data'!C:AB,8,FALSE),"")</f>
        <v/>
      </c>
      <c r="K2733" t="str">
        <f>IFERROR(VLOOKUP(D2733,'Team Data'!C:AB,9,FALSE),"")</f>
        <v/>
      </c>
      <c r="L2733" t="str">
        <f>IFERROR(VLOOKUP(D2733,'Team Data'!C:AB,10,FALSE),"")</f>
        <v/>
      </c>
      <c r="M2733" t="str">
        <f t="shared" si="86"/>
        <v/>
      </c>
      <c r="N2733" t="str">
        <f>IFERROR(VLOOKUP(D2733,'Team Data'!C:AB,23,FALSE),"")</f>
        <v/>
      </c>
      <c r="O2733" t="str">
        <f>IFERROR(VLOOKUP(D2733,'Team Data'!C:AB,22,FALSE),"")</f>
        <v/>
      </c>
      <c r="P2733" t="str">
        <f t="shared" si="87"/>
        <v/>
      </c>
      <c r="Q2733" t="str">
        <f>IFERROR(VLOOKUP(D2733,'Team Data'!C:AB,15,FALSE),"")</f>
        <v/>
      </c>
      <c r="R2733" t="str">
        <f>IFERROR(VLOOKUP('OB Format'!D2733,'Team Data'!C:AB,24,FALSE),"")</f>
        <v/>
      </c>
      <c r="S2733" t="str">
        <f>IFERROR(VLOOKUP('OB Format'!D2733,'Team Data'!C:AC,25,FALSE),"")</f>
        <v/>
      </c>
    </row>
    <row r="2734" spans="5:19" x14ac:dyDescent="0.25">
      <c r="E2734" t="str">
        <f>IFERROR(VLOOKUP(D2734,'Team Data'!C:AB,4,FALSE),"")</f>
        <v/>
      </c>
      <c r="F2734" t="str">
        <f>IFERROR(VLOOKUP(D2734,'Team Data'!C:AB,5,FALSE),"")</f>
        <v/>
      </c>
      <c r="G2734" t="str">
        <f>IFERROR(VLOOKUP('OB Format'!D2734,'Team Data'!C:AB,17,FALSE),"")</f>
        <v/>
      </c>
      <c r="H2734" t="str">
        <f>IFERROR(VLOOKUP(D2734,'Team Data'!C:AB,7,FALSE),"")</f>
        <v/>
      </c>
      <c r="I2734" t="str">
        <f>IFERROR(VLOOKUP(D2734,'Team Data'!C:AB,14,FALSE),"")</f>
        <v/>
      </c>
      <c r="J2734" t="str">
        <f>IFERROR(VLOOKUP(D2734,'Team Data'!C:AB,8,FALSE),"")</f>
        <v/>
      </c>
      <c r="K2734" t="str">
        <f>IFERROR(VLOOKUP(D2734,'Team Data'!C:AB,9,FALSE),"")</f>
        <v/>
      </c>
      <c r="L2734" t="str">
        <f>IFERROR(VLOOKUP(D2734,'Team Data'!C:AB,10,FALSE),"")</f>
        <v/>
      </c>
      <c r="M2734" t="str">
        <f t="shared" si="86"/>
        <v/>
      </c>
      <c r="N2734" t="str">
        <f>IFERROR(VLOOKUP(D2734,'Team Data'!C:AB,23,FALSE),"")</f>
        <v/>
      </c>
      <c r="O2734" t="str">
        <f>IFERROR(VLOOKUP(D2734,'Team Data'!C:AB,22,FALSE),"")</f>
        <v/>
      </c>
      <c r="P2734" t="str">
        <f t="shared" si="87"/>
        <v/>
      </c>
      <c r="Q2734" t="str">
        <f>IFERROR(VLOOKUP(D2734,'Team Data'!C:AB,15,FALSE),"")</f>
        <v/>
      </c>
      <c r="R2734" t="str">
        <f>IFERROR(VLOOKUP('OB Format'!D2734,'Team Data'!C:AB,24,FALSE),"")</f>
        <v/>
      </c>
      <c r="S2734" t="str">
        <f>IFERROR(VLOOKUP('OB Format'!D2734,'Team Data'!C:AC,25,FALSE),"")</f>
        <v/>
      </c>
    </row>
    <row r="2735" spans="5:19" x14ac:dyDescent="0.25">
      <c r="E2735" t="str">
        <f>IFERROR(VLOOKUP(D2735,'Team Data'!C:AB,4,FALSE),"")</f>
        <v/>
      </c>
      <c r="F2735" t="str">
        <f>IFERROR(VLOOKUP(D2735,'Team Data'!C:AB,5,FALSE),"")</f>
        <v/>
      </c>
      <c r="G2735" t="str">
        <f>IFERROR(VLOOKUP('OB Format'!D2735,'Team Data'!C:AB,17,FALSE),"")</f>
        <v/>
      </c>
      <c r="H2735" t="str">
        <f>IFERROR(VLOOKUP(D2735,'Team Data'!C:AB,7,FALSE),"")</f>
        <v/>
      </c>
      <c r="I2735" t="str">
        <f>IFERROR(VLOOKUP(D2735,'Team Data'!C:AB,14,FALSE),"")</f>
        <v/>
      </c>
      <c r="J2735" t="str">
        <f>IFERROR(VLOOKUP(D2735,'Team Data'!C:AB,8,FALSE),"")</f>
        <v/>
      </c>
      <c r="K2735" t="str">
        <f>IFERROR(VLOOKUP(D2735,'Team Data'!C:AB,9,FALSE),"")</f>
        <v/>
      </c>
      <c r="L2735" t="str">
        <f>IFERROR(VLOOKUP(D2735,'Team Data'!C:AB,10,FALSE),"")</f>
        <v/>
      </c>
      <c r="M2735" t="str">
        <f t="shared" si="86"/>
        <v/>
      </c>
      <c r="N2735" t="str">
        <f>IFERROR(VLOOKUP(D2735,'Team Data'!C:AB,23,FALSE),"")</f>
        <v/>
      </c>
      <c r="O2735" t="str">
        <f>IFERROR(VLOOKUP(D2735,'Team Data'!C:AB,22,FALSE),"")</f>
        <v/>
      </c>
      <c r="P2735" t="str">
        <f t="shared" si="87"/>
        <v/>
      </c>
      <c r="Q2735" t="str">
        <f>IFERROR(VLOOKUP(D2735,'Team Data'!C:AB,15,FALSE),"")</f>
        <v/>
      </c>
      <c r="R2735" t="str">
        <f>IFERROR(VLOOKUP('OB Format'!D2735,'Team Data'!C:AB,24,FALSE),"")</f>
        <v/>
      </c>
      <c r="S2735" t="str">
        <f>IFERROR(VLOOKUP('OB Format'!D2735,'Team Data'!C:AC,25,FALSE),"")</f>
        <v/>
      </c>
    </row>
    <row r="2736" spans="5:19" x14ac:dyDescent="0.25">
      <c r="E2736" t="str">
        <f>IFERROR(VLOOKUP(D2736,'Team Data'!C:AB,4,FALSE),"")</f>
        <v/>
      </c>
      <c r="F2736" t="str">
        <f>IFERROR(VLOOKUP(D2736,'Team Data'!C:AB,5,FALSE),"")</f>
        <v/>
      </c>
      <c r="G2736" t="str">
        <f>IFERROR(VLOOKUP('OB Format'!D2736,'Team Data'!C:AB,17,FALSE),"")</f>
        <v/>
      </c>
      <c r="H2736" t="str">
        <f>IFERROR(VLOOKUP(D2736,'Team Data'!C:AB,7,FALSE),"")</f>
        <v/>
      </c>
      <c r="I2736" t="str">
        <f>IFERROR(VLOOKUP(D2736,'Team Data'!C:AB,14,FALSE),"")</f>
        <v/>
      </c>
      <c r="J2736" t="str">
        <f>IFERROR(VLOOKUP(D2736,'Team Data'!C:AB,8,FALSE),"")</f>
        <v/>
      </c>
      <c r="K2736" t="str">
        <f>IFERROR(VLOOKUP(D2736,'Team Data'!C:AB,9,FALSE),"")</f>
        <v/>
      </c>
      <c r="L2736" t="str">
        <f>IFERROR(VLOOKUP(D2736,'Team Data'!C:AB,10,FALSE),"")</f>
        <v/>
      </c>
      <c r="M2736" t="str">
        <f t="shared" si="86"/>
        <v/>
      </c>
      <c r="N2736" t="str">
        <f>IFERROR(VLOOKUP(D2736,'Team Data'!C:AB,23,FALSE),"")</f>
        <v/>
      </c>
      <c r="O2736" t="str">
        <f>IFERROR(VLOOKUP(D2736,'Team Data'!C:AB,22,FALSE),"")</f>
        <v/>
      </c>
      <c r="P2736" t="str">
        <f t="shared" si="87"/>
        <v/>
      </c>
      <c r="Q2736" t="str">
        <f>IFERROR(VLOOKUP(D2736,'Team Data'!C:AB,15,FALSE),"")</f>
        <v/>
      </c>
      <c r="R2736" t="str">
        <f>IFERROR(VLOOKUP('OB Format'!D2736,'Team Data'!C:AB,24,FALSE),"")</f>
        <v/>
      </c>
      <c r="S2736" t="str">
        <f>IFERROR(VLOOKUP('OB Format'!D2736,'Team Data'!C:AC,25,FALSE),"")</f>
        <v/>
      </c>
    </row>
    <row r="2737" spans="5:19" x14ac:dyDescent="0.25">
      <c r="E2737" t="str">
        <f>IFERROR(VLOOKUP(D2737,'Team Data'!C:AB,4,FALSE),"")</f>
        <v/>
      </c>
      <c r="F2737" t="str">
        <f>IFERROR(VLOOKUP(D2737,'Team Data'!C:AB,5,FALSE),"")</f>
        <v/>
      </c>
      <c r="G2737" t="str">
        <f>IFERROR(VLOOKUP('OB Format'!D2737,'Team Data'!C:AB,17,FALSE),"")</f>
        <v/>
      </c>
      <c r="H2737" t="str">
        <f>IFERROR(VLOOKUP(D2737,'Team Data'!C:AB,7,FALSE),"")</f>
        <v/>
      </c>
      <c r="I2737" t="str">
        <f>IFERROR(VLOOKUP(D2737,'Team Data'!C:AB,14,FALSE),"")</f>
        <v/>
      </c>
      <c r="J2737" t="str">
        <f>IFERROR(VLOOKUP(D2737,'Team Data'!C:AB,8,FALSE),"")</f>
        <v/>
      </c>
      <c r="K2737" t="str">
        <f>IFERROR(VLOOKUP(D2737,'Team Data'!C:AB,9,FALSE),"")</f>
        <v/>
      </c>
      <c r="L2737" t="str">
        <f>IFERROR(VLOOKUP(D2737,'Team Data'!C:AB,10,FALSE),"")</f>
        <v/>
      </c>
      <c r="M2737" t="str">
        <f t="shared" si="86"/>
        <v/>
      </c>
      <c r="N2737" t="str">
        <f>IFERROR(VLOOKUP(D2737,'Team Data'!C:AB,23,FALSE),"")</f>
        <v/>
      </c>
      <c r="O2737" t="str">
        <f>IFERROR(VLOOKUP(D2737,'Team Data'!C:AB,22,FALSE),"")</f>
        <v/>
      </c>
      <c r="P2737" t="str">
        <f t="shared" si="87"/>
        <v/>
      </c>
      <c r="Q2737" t="str">
        <f>IFERROR(VLOOKUP(D2737,'Team Data'!C:AB,15,FALSE),"")</f>
        <v/>
      </c>
      <c r="R2737" t="str">
        <f>IFERROR(VLOOKUP('OB Format'!D2737,'Team Data'!C:AB,24,FALSE),"")</f>
        <v/>
      </c>
      <c r="S2737" t="str">
        <f>IFERROR(VLOOKUP('OB Format'!D2737,'Team Data'!C:AC,25,FALSE),"")</f>
        <v/>
      </c>
    </row>
    <row r="2738" spans="5:19" x14ac:dyDescent="0.25">
      <c r="E2738" t="str">
        <f>IFERROR(VLOOKUP(D2738,'Team Data'!C:AB,4,FALSE),"")</f>
        <v/>
      </c>
      <c r="F2738" t="str">
        <f>IFERROR(VLOOKUP(D2738,'Team Data'!C:AB,5,FALSE),"")</f>
        <v/>
      </c>
      <c r="G2738" t="str">
        <f>IFERROR(VLOOKUP('OB Format'!D2738,'Team Data'!C:AB,17,FALSE),"")</f>
        <v/>
      </c>
      <c r="H2738" t="str">
        <f>IFERROR(VLOOKUP(D2738,'Team Data'!C:AB,7,FALSE),"")</f>
        <v/>
      </c>
      <c r="I2738" t="str">
        <f>IFERROR(VLOOKUP(D2738,'Team Data'!C:AB,14,FALSE),"")</f>
        <v/>
      </c>
      <c r="J2738" t="str">
        <f>IFERROR(VLOOKUP(D2738,'Team Data'!C:AB,8,FALSE),"")</f>
        <v/>
      </c>
      <c r="K2738" t="str">
        <f>IFERROR(VLOOKUP(D2738,'Team Data'!C:AB,9,FALSE),"")</f>
        <v/>
      </c>
      <c r="L2738" t="str">
        <f>IFERROR(VLOOKUP(D2738,'Team Data'!C:AB,10,FALSE),"")</f>
        <v/>
      </c>
      <c r="M2738" t="str">
        <f t="shared" si="86"/>
        <v/>
      </c>
      <c r="N2738" t="str">
        <f>IFERROR(VLOOKUP(D2738,'Team Data'!C:AB,23,FALSE),"")</f>
        <v/>
      </c>
      <c r="O2738" t="str">
        <f>IFERROR(VLOOKUP(D2738,'Team Data'!C:AB,22,FALSE),"")</f>
        <v/>
      </c>
      <c r="P2738" t="str">
        <f t="shared" si="87"/>
        <v/>
      </c>
      <c r="Q2738" t="str">
        <f>IFERROR(VLOOKUP(D2738,'Team Data'!C:AB,15,FALSE),"")</f>
        <v/>
      </c>
      <c r="R2738" t="str">
        <f>IFERROR(VLOOKUP('OB Format'!D2738,'Team Data'!C:AB,24,FALSE),"")</f>
        <v/>
      </c>
      <c r="S2738" t="str">
        <f>IFERROR(VLOOKUP('OB Format'!D2738,'Team Data'!C:AC,25,FALSE),"")</f>
        <v/>
      </c>
    </row>
    <row r="2739" spans="5:19" x14ac:dyDescent="0.25">
      <c r="E2739" t="str">
        <f>IFERROR(VLOOKUP(D2739,'Team Data'!C:AB,4,FALSE),"")</f>
        <v/>
      </c>
      <c r="F2739" t="str">
        <f>IFERROR(VLOOKUP(D2739,'Team Data'!C:AB,5,FALSE),"")</f>
        <v/>
      </c>
      <c r="G2739" t="str">
        <f>IFERROR(VLOOKUP('OB Format'!D2739,'Team Data'!C:AB,17,FALSE),"")</f>
        <v/>
      </c>
      <c r="H2739" t="str">
        <f>IFERROR(VLOOKUP(D2739,'Team Data'!C:AB,7,FALSE),"")</f>
        <v/>
      </c>
      <c r="I2739" t="str">
        <f>IFERROR(VLOOKUP(D2739,'Team Data'!C:AB,14,FALSE),"")</f>
        <v/>
      </c>
      <c r="J2739" t="str">
        <f>IFERROR(VLOOKUP(D2739,'Team Data'!C:AB,8,FALSE),"")</f>
        <v/>
      </c>
      <c r="K2739" t="str">
        <f>IFERROR(VLOOKUP(D2739,'Team Data'!C:AB,9,FALSE),"")</f>
        <v/>
      </c>
      <c r="L2739" t="str">
        <f>IFERROR(VLOOKUP(D2739,'Team Data'!C:AB,10,FALSE),"")</f>
        <v/>
      </c>
      <c r="M2739" t="str">
        <f t="shared" si="86"/>
        <v/>
      </c>
      <c r="N2739" t="str">
        <f>IFERROR(VLOOKUP(D2739,'Team Data'!C:AB,23,FALSE),"")</f>
        <v/>
      </c>
      <c r="O2739" t="str">
        <f>IFERROR(VLOOKUP(D2739,'Team Data'!C:AB,22,FALSE),"")</f>
        <v/>
      </c>
      <c r="P2739" t="str">
        <f t="shared" si="87"/>
        <v/>
      </c>
      <c r="Q2739" t="str">
        <f>IFERROR(VLOOKUP(D2739,'Team Data'!C:AB,15,FALSE),"")</f>
        <v/>
      </c>
      <c r="R2739" t="str">
        <f>IFERROR(VLOOKUP('OB Format'!D2739,'Team Data'!C:AB,24,FALSE),"")</f>
        <v/>
      </c>
      <c r="S2739" t="str">
        <f>IFERROR(VLOOKUP('OB Format'!D2739,'Team Data'!C:AC,25,FALSE),"")</f>
        <v/>
      </c>
    </row>
    <row r="2740" spans="5:19" x14ac:dyDescent="0.25">
      <c r="E2740" t="str">
        <f>IFERROR(VLOOKUP(D2740,'Team Data'!C:AB,4,FALSE),"")</f>
        <v/>
      </c>
      <c r="F2740" t="str">
        <f>IFERROR(VLOOKUP(D2740,'Team Data'!C:AB,5,FALSE),"")</f>
        <v/>
      </c>
      <c r="G2740" t="str">
        <f>IFERROR(VLOOKUP('OB Format'!D2740,'Team Data'!C:AB,17,FALSE),"")</f>
        <v/>
      </c>
      <c r="H2740" t="str">
        <f>IFERROR(VLOOKUP(D2740,'Team Data'!C:AB,7,FALSE),"")</f>
        <v/>
      </c>
      <c r="I2740" t="str">
        <f>IFERROR(VLOOKUP(D2740,'Team Data'!C:AB,14,FALSE),"")</f>
        <v/>
      </c>
      <c r="J2740" t="str">
        <f>IFERROR(VLOOKUP(D2740,'Team Data'!C:AB,8,FALSE),"")</f>
        <v/>
      </c>
      <c r="K2740" t="str">
        <f>IFERROR(VLOOKUP(D2740,'Team Data'!C:AB,9,FALSE),"")</f>
        <v/>
      </c>
      <c r="L2740" t="str">
        <f>IFERROR(VLOOKUP(D2740,'Team Data'!C:AB,10,FALSE),"")</f>
        <v/>
      </c>
      <c r="M2740" t="str">
        <f t="shared" si="86"/>
        <v/>
      </c>
      <c r="N2740" t="str">
        <f>IFERROR(VLOOKUP(D2740,'Team Data'!C:AB,23,FALSE),"")</f>
        <v/>
      </c>
      <c r="O2740" t="str">
        <f>IFERROR(VLOOKUP(D2740,'Team Data'!C:AB,22,FALSE),"")</f>
        <v/>
      </c>
      <c r="P2740" t="str">
        <f t="shared" si="87"/>
        <v/>
      </c>
      <c r="Q2740" t="str">
        <f>IFERROR(VLOOKUP(D2740,'Team Data'!C:AB,15,FALSE),"")</f>
        <v/>
      </c>
      <c r="R2740" t="str">
        <f>IFERROR(VLOOKUP('OB Format'!D2740,'Team Data'!C:AB,24,FALSE),"")</f>
        <v/>
      </c>
      <c r="S2740" t="str">
        <f>IFERROR(VLOOKUP('OB Format'!D2740,'Team Data'!C:AC,25,FALSE),"")</f>
        <v/>
      </c>
    </row>
    <row r="2741" spans="5:19" x14ac:dyDescent="0.25">
      <c r="E2741" t="str">
        <f>IFERROR(VLOOKUP(D2741,'Team Data'!C:AB,4,FALSE),"")</f>
        <v/>
      </c>
      <c r="F2741" t="str">
        <f>IFERROR(VLOOKUP(D2741,'Team Data'!C:AB,5,FALSE),"")</f>
        <v/>
      </c>
      <c r="G2741" t="str">
        <f>IFERROR(VLOOKUP('OB Format'!D2741,'Team Data'!C:AB,17,FALSE),"")</f>
        <v/>
      </c>
      <c r="H2741" t="str">
        <f>IFERROR(VLOOKUP(D2741,'Team Data'!C:AB,7,FALSE),"")</f>
        <v/>
      </c>
      <c r="I2741" t="str">
        <f>IFERROR(VLOOKUP(D2741,'Team Data'!C:AB,14,FALSE),"")</f>
        <v/>
      </c>
      <c r="J2741" t="str">
        <f>IFERROR(VLOOKUP(D2741,'Team Data'!C:AB,8,FALSE),"")</f>
        <v/>
      </c>
      <c r="K2741" t="str">
        <f>IFERROR(VLOOKUP(D2741,'Team Data'!C:AB,9,FALSE),"")</f>
        <v/>
      </c>
      <c r="L2741" t="str">
        <f>IFERROR(VLOOKUP(D2741,'Team Data'!C:AB,10,FALSE),"")</f>
        <v/>
      </c>
      <c r="M2741" t="str">
        <f t="shared" si="86"/>
        <v/>
      </c>
      <c r="N2741" t="str">
        <f>IFERROR(VLOOKUP(D2741,'Team Data'!C:AB,23,FALSE),"")</f>
        <v/>
      </c>
      <c r="O2741" t="str">
        <f>IFERROR(VLOOKUP(D2741,'Team Data'!C:AB,22,FALSE),"")</f>
        <v/>
      </c>
      <c r="P2741" t="str">
        <f t="shared" si="87"/>
        <v/>
      </c>
      <c r="Q2741" t="str">
        <f>IFERROR(VLOOKUP(D2741,'Team Data'!C:AB,15,FALSE),"")</f>
        <v/>
      </c>
      <c r="R2741" t="str">
        <f>IFERROR(VLOOKUP('OB Format'!D2741,'Team Data'!C:AB,24,FALSE),"")</f>
        <v/>
      </c>
      <c r="S2741" t="str">
        <f>IFERROR(VLOOKUP('OB Format'!D2741,'Team Data'!C:AC,25,FALSE),"")</f>
        <v/>
      </c>
    </row>
    <row r="2742" spans="5:19" x14ac:dyDescent="0.25">
      <c r="E2742" t="str">
        <f>IFERROR(VLOOKUP(D2742,'Team Data'!C:AB,4,FALSE),"")</f>
        <v/>
      </c>
      <c r="F2742" t="str">
        <f>IFERROR(VLOOKUP(D2742,'Team Data'!C:AB,5,FALSE),"")</f>
        <v/>
      </c>
      <c r="G2742" t="str">
        <f>IFERROR(VLOOKUP('OB Format'!D2742,'Team Data'!C:AB,17,FALSE),"")</f>
        <v/>
      </c>
      <c r="H2742" t="str">
        <f>IFERROR(VLOOKUP(D2742,'Team Data'!C:AB,7,FALSE),"")</f>
        <v/>
      </c>
      <c r="I2742" t="str">
        <f>IFERROR(VLOOKUP(D2742,'Team Data'!C:AB,14,FALSE),"")</f>
        <v/>
      </c>
      <c r="J2742" t="str">
        <f>IFERROR(VLOOKUP(D2742,'Team Data'!C:AB,8,FALSE),"")</f>
        <v/>
      </c>
      <c r="K2742" t="str">
        <f>IFERROR(VLOOKUP(D2742,'Team Data'!C:AB,9,FALSE),"")</f>
        <v/>
      </c>
      <c r="L2742" t="str">
        <f>IFERROR(VLOOKUP(D2742,'Team Data'!C:AB,10,FALSE),"")</f>
        <v/>
      </c>
      <c r="M2742" t="str">
        <f t="shared" si="86"/>
        <v/>
      </c>
      <c r="N2742" t="str">
        <f>IFERROR(VLOOKUP(D2742,'Team Data'!C:AB,23,FALSE),"")</f>
        <v/>
      </c>
      <c r="O2742" t="str">
        <f>IFERROR(VLOOKUP(D2742,'Team Data'!C:AB,22,FALSE),"")</f>
        <v/>
      </c>
      <c r="P2742" t="str">
        <f t="shared" si="87"/>
        <v/>
      </c>
      <c r="Q2742" t="str">
        <f>IFERROR(VLOOKUP(D2742,'Team Data'!C:AB,15,FALSE),"")</f>
        <v/>
      </c>
      <c r="R2742" t="str">
        <f>IFERROR(VLOOKUP('OB Format'!D2742,'Team Data'!C:AB,24,FALSE),"")</f>
        <v/>
      </c>
      <c r="S2742" t="str">
        <f>IFERROR(VLOOKUP('OB Format'!D2742,'Team Data'!C:AC,25,FALSE),"")</f>
        <v/>
      </c>
    </row>
    <row r="2743" spans="5:19" x14ac:dyDescent="0.25">
      <c r="E2743" t="str">
        <f>IFERROR(VLOOKUP(D2743,'Team Data'!C:AB,4,FALSE),"")</f>
        <v/>
      </c>
      <c r="F2743" t="str">
        <f>IFERROR(VLOOKUP(D2743,'Team Data'!C:AB,5,FALSE),"")</f>
        <v/>
      </c>
      <c r="G2743" t="str">
        <f>IFERROR(VLOOKUP('OB Format'!D2743,'Team Data'!C:AB,17,FALSE),"")</f>
        <v/>
      </c>
      <c r="H2743" t="str">
        <f>IFERROR(VLOOKUP(D2743,'Team Data'!C:AB,7,FALSE),"")</f>
        <v/>
      </c>
      <c r="I2743" t="str">
        <f>IFERROR(VLOOKUP(D2743,'Team Data'!C:AB,14,FALSE),"")</f>
        <v/>
      </c>
      <c r="J2743" t="str">
        <f>IFERROR(VLOOKUP(D2743,'Team Data'!C:AB,8,FALSE),"")</f>
        <v/>
      </c>
      <c r="K2743" t="str">
        <f>IFERROR(VLOOKUP(D2743,'Team Data'!C:AB,9,FALSE),"")</f>
        <v/>
      </c>
      <c r="L2743" t="str">
        <f>IFERROR(VLOOKUP(D2743,'Team Data'!C:AB,10,FALSE),"")</f>
        <v/>
      </c>
      <c r="M2743" t="str">
        <f t="shared" si="86"/>
        <v/>
      </c>
      <c r="N2743" t="str">
        <f>IFERROR(VLOOKUP(D2743,'Team Data'!C:AB,23,FALSE),"")</f>
        <v/>
      </c>
      <c r="O2743" t="str">
        <f>IFERROR(VLOOKUP(D2743,'Team Data'!C:AB,22,FALSE),"")</f>
        <v/>
      </c>
      <c r="P2743" t="str">
        <f t="shared" si="87"/>
        <v/>
      </c>
      <c r="Q2743" t="str">
        <f>IFERROR(VLOOKUP(D2743,'Team Data'!C:AB,15,FALSE),"")</f>
        <v/>
      </c>
      <c r="R2743" t="str">
        <f>IFERROR(VLOOKUP('OB Format'!D2743,'Team Data'!C:AB,24,FALSE),"")</f>
        <v/>
      </c>
      <c r="S2743" t="str">
        <f>IFERROR(VLOOKUP('OB Format'!D2743,'Team Data'!C:AC,25,FALSE),"")</f>
        <v/>
      </c>
    </row>
    <row r="2744" spans="5:19" x14ac:dyDescent="0.25">
      <c r="E2744" t="str">
        <f>IFERROR(VLOOKUP(D2744,'Team Data'!C:AB,4,FALSE),"")</f>
        <v/>
      </c>
      <c r="F2744" t="str">
        <f>IFERROR(VLOOKUP(D2744,'Team Data'!C:AB,5,FALSE),"")</f>
        <v/>
      </c>
      <c r="G2744" t="str">
        <f>IFERROR(VLOOKUP('OB Format'!D2744,'Team Data'!C:AB,17,FALSE),"")</f>
        <v/>
      </c>
      <c r="H2744" t="str">
        <f>IFERROR(VLOOKUP(D2744,'Team Data'!C:AB,7,FALSE),"")</f>
        <v/>
      </c>
      <c r="I2744" t="str">
        <f>IFERROR(VLOOKUP(D2744,'Team Data'!C:AB,14,FALSE),"")</f>
        <v/>
      </c>
      <c r="J2744" t="str">
        <f>IFERROR(VLOOKUP(D2744,'Team Data'!C:AB,8,FALSE),"")</f>
        <v/>
      </c>
      <c r="K2744" t="str">
        <f>IFERROR(VLOOKUP(D2744,'Team Data'!C:AB,9,FALSE),"")</f>
        <v/>
      </c>
      <c r="L2744" t="str">
        <f>IFERROR(VLOOKUP(D2744,'Team Data'!C:AB,10,FALSE),"")</f>
        <v/>
      </c>
      <c r="M2744" t="str">
        <f t="shared" si="86"/>
        <v/>
      </c>
      <c r="N2744" t="str">
        <f>IFERROR(VLOOKUP(D2744,'Team Data'!C:AB,23,FALSE),"")</f>
        <v/>
      </c>
      <c r="O2744" t="str">
        <f>IFERROR(VLOOKUP(D2744,'Team Data'!C:AB,22,FALSE),"")</f>
        <v/>
      </c>
      <c r="P2744" t="str">
        <f t="shared" si="87"/>
        <v/>
      </c>
      <c r="Q2744" t="str">
        <f>IFERROR(VLOOKUP(D2744,'Team Data'!C:AB,15,FALSE),"")</f>
        <v/>
      </c>
      <c r="R2744" t="str">
        <f>IFERROR(VLOOKUP('OB Format'!D2744,'Team Data'!C:AB,24,FALSE),"")</f>
        <v/>
      </c>
      <c r="S2744" t="str">
        <f>IFERROR(VLOOKUP('OB Format'!D2744,'Team Data'!C:AC,25,FALSE),"")</f>
        <v/>
      </c>
    </row>
    <row r="2745" spans="5:19" x14ac:dyDescent="0.25">
      <c r="E2745" t="str">
        <f>IFERROR(VLOOKUP(D2745,'Team Data'!C:AB,4,FALSE),"")</f>
        <v/>
      </c>
      <c r="F2745" t="str">
        <f>IFERROR(VLOOKUP(D2745,'Team Data'!C:AB,5,FALSE),"")</f>
        <v/>
      </c>
      <c r="G2745" t="str">
        <f>IFERROR(VLOOKUP('OB Format'!D2745,'Team Data'!C:AB,17,FALSE),"")</f>
        <v/>
      </c>
      <c r="H2745" t="str">
        <f>IFERROR(VLOOKUP(D2745,'Team Data'!C:AB,7,FALSE),"")</f>
        <v/>
      </c>
      <c r="I2745" t="str">
        <f>IFERROR(VLOOKUP(D2745,'Team Data'!C:AB,14,FALSE),"")</f>
        <v/>
      </c>
      <c r="J2745" t="str">
        <f>IFERROR(VLOOKUP(D2745,'Team Data'!C:AB,8,FALSE),"")</f>
        <v/>
      </c>
      <c r="K2745" t="str">
        <f>IFERROR(VLOOKUP(D2745,'Team Data'!C:AB,9,FALSE),"")</f>
        <v/>
      </c>
      <c r="L2745" t="str">
        <f>IFERROR(VLOOKUP(D2745,'Team Data'!C:AB,10,FALSE),"")</f>
        <v/>
      </c>
      <c r="M2745" t="str">
        <f t="shared" si="86"/>
        <v/>
      </c>
      <c r="N2745" t="str">
        <f>IFERROR(VLOOKUP(D2745,'Team Data'!C:AB,23,FALSE),"")</f>
        <v/>
      </c>
      <c r="O2745" t="str">
        <f>IFERROR(VLOOKUP(D2745,'Team Data'!C:AB,22,FALSE),"")</f>
        <v/>
      </c>
      <c r="P2745" t="str">
        <f t="shared" si="87"/>
        <v/>
      </c>
      <c r="Q2745" t="str">
        <f>IFERROR(VLOOKUP(D2745,'Team Data'!C:AB,15,FALSE),"")</f>
        <v/>
      </c>
      <c r="R2745" t="str">
        <f>IFERROR(VLOOKUP('OB Format'!D2745,'Team Data'!C:AB,24,FALSE),"")</f>
        <v/>
      </c>
      <c r="S2745" t="str">
        <f>IFERROR(VLOOKUP('OB Format'!D2745,'Team Data'!C:AC,25,FALSE),"")</f>
        <v/>
      </c>
    </row>
    <row r="2746" spans="5:19" x14ac:dyDescent="0.25">
      <c r="E2746" t="str">
        <f>IFERROR(VLOOKUP(D2746,'Team Data'!C:AB,4,FALSE),"")</f>
        <v/>
      </c>
      <c r="F2746" t="str">
        <f>IFERROR(VLOOKUP(D2746,'Team Data'!C:AB,5,FALSE),"")</f>
        <v/>
      </c>
      <c r="G2746" t="str">
        <f>IFERROR(VLOOKUP('OB Format'!D2746,'Team Data'!C:AB,17,FALSE),"")</f>
        <v/>
      </c>
      <c r="H2746" t="str">
        <f>IFERROR(VLOOKUP(D2746,'Team Data'!C:AB,7,FALSE),"")</f>
        <v/>
      </c>
      <c r="I2746" t="str">
        <f>IFERROR(VLOOKUP(D2746,'Team Data'!C:AB,14,FALSE),"")</f>
        <v/>
      </c>
      <c r="J2746" t="str">
        <f>IFERROR(VLOOKUP(D2746,'Team Data'!C:AB,8,FALSE),"")</f>
        <v/>
      </c>
      <c r="K2746" t="str">
        <f>IFERROR(VLOOKUP(D2746,'Team Data'!C:AB,9,FALSE),"")</f>
        <v/>
      </c>
      <c r="L2746" t="str">
        <f>IFERROR(VLOOKUP(D2746,'Team Data'!C:AB,10,FALSE),"")</f>
        <v/>
      </c>
      <c r="M2746" t="str">
        <f t="shared" si="86"/>
        <v/>
      </c>
      <c r="N2746" t="str">
        <f>IFERROR(VLOOKUP(D2746,'Team Data'!C:AB,23,FALSE),"")</f>
        <v/>
      </c>
      <c r="O2746" t="str">
        <f>IFERROR(VLOOKUP(D2746,'Team Data'!C:AB,22,FALSE),"")</f>
        <v/>
      </c>
      <c r="P2746" t="str">
        <f t="shared" si="87"/>
        <v/>
      </c>
      <c r="Q2746" t="str">
        <f>IFERROR(VLOOKUP(D2746,'Team Data'!C:AB,15,FALSE),"")</f>
        <v/>
      </c>
      <c r="R2746" t="str">
        <f>IFERROR(VLOOKUP('OB Format'!D2746,'Team Data'!C:AB,24,FALSE),"")</f>
        <v/>
      </c>
      <c r="S2746" t="str">
        <f>IFERROR(VLOOKUP('OB Format'!D2746,'Team Data'!C:AC,25,FALSE),"")</f>
        <v/>
      </c>
    </row>
    <row r="2747" spans="5:19" x14ac:dyDescent="0.25">
      <c r="E2747" t="str">
        <f>IFERROR(VLOOKUP(D2747,'Team Data'!C:AB,4,FALSE),"")</f>
        <v/>
      </c>
      <c r="F2747" t="str">
        <f>IFERROR(VLOOKUP(D2747,'Team Data'!C:AB,5,FALSE),"")</f>
        <v/>
      </c>
      <c r="G2747" t="str">
        <f>IFERROR(VLOOKUP('OB Format'!D2747,'Team Data'!C:AB,17,FALSE),"")</f>
        <v/>
      </c>
      <c r="H2747" t="str">
        <f>IFERROR(VLOOKUP(D2747,'Team Data'!C:AB,7,FALSE),"")</f>
        <v/>
      </c>
      <c r="I2747" t="str">
        <f>IFERROR(VLOOKUP(D2747,'Team Data'!C:AB,14,FALSE),"")</f>
        <v/>
      </c>
      <c r="J2747" t="str">
        <f>IFERROR(VLOOKUP(D2747,'Team Data'!C:AB,8,FALSE),"")</f>
        <v/>
      </c>
      <c r="K2747" t="str">
        <f>IFERROR(VLOOKUP(D2747,'Team Data'!C:AB,9,FALSE),"")</f>
        <v/>
      </c>
      <c r="L2747" t="str">
        <f>IFERROR(VLOOKUP(D2747,'Team Data'!C:AB,10,FALSE),"")</f>
        <v/>
      </c>
      <c r="M2747" t="str">
        <f t="shared" si="86"/>
        <v/>
      </c>
      <c r="N2747" t="str">
        <f>IFERROR(VLOOKUP(D2747,'Team Data'!C:AB,23,FALSE),"")</f>
        <v/>
      </c>
      <c r="O2747" t="str">
        <f>IFERROR(VLOOKUP(D2747,'Team Data'!C:AB,22,FALSE),"")</f>
        <v/>
      </c>
      <c r="P2747" t="str">
        <f t="shared" si="87"/>
        <v/>
      </c>
      <c r="Q2747" t="str">
        <f>IFERROR(VLOOKUP(D2747,'Team Data'!C:AB,15,FALSE),"")</f>
        <v/>
      </c>
      <c r="R2747" t="str">
        <f>IFERROR(VLOOKUP('OB Format'!D2747,'Team Data'!C:AB,24,FALSE),"")</f>
        <v/>
      </c>
      <c r="S2747" t="str">
        <f>IFERROR(VLOOKUP('OB Format'!D2747,'Team Data'!C:AC,25,FALSE),"")</f>
        <v/>
      </c>
    </row>
    <row r="2748" spans="5:19" x14ac:dyDescent="0.25">
      <c r="E2748" t="str">
        <f>IFERROR(VLOOKUP(D2748,'Team Data'!C:AB,4,FALSE),"")</f>
        <v/>
      </c>
      <c r="F2748" t="str">
        <f>IFERROR(VLOOKUP(D2748,'Team Data'!C:AB,5,FALSE),"")</f>
        <v/>
      </c>
      <c r="G2748" t="str">
        <f>IFERROR(VLOOKUP('OB Format'!D2748,'Team Data'!C:AB,17,FALSE),"")</f>
        <v/>
      </c>
      <c r="H2748" t="str">
        <f>IFERROR(VLOOKUP(D2748,'Team Data'!C:AB,7,FALSE),"")</f>
        <v/>
      </c>
      <c r="I2748" t="str">
        <f>IFERROR(VLOOKUP(D2748,'Team Data'!C:AB,14,FALSE),"")</f>
        <v/>
      </c>
      <c r="J2748" t="str">
        <f>IFERROR(VLOOKUP(D2748,'Team Data'!C:AB,8,FALSE),"")</f>
        <v/>
      </c>
      <c r="K2748" t="str">
        <f>IFERROR(VLOOKUP(D2748,'Team Data'!C:AB,9,FALSE),"")</f>
        <v/>
      </c>
      <c r="L2748" t="str">
        <f>IFERROR(VLOOKUP(D2748,'Team Data'!C:AB,10,FALSE),"")</f>
        <v/>
      </c>
      <c r="M2748" t="str">
        <f t="shared" si="86"/>
        <v/>
      </c>
      <c r="N2748" t="str">
        <f>IFERROR(VLOOKUP(D2748,'Team Data'!C:AB,23,FALSE),"")</f>
        <v/>
      </c>
      <c r="O2748" t="str">
        <f>IFERROR(VLOOKUP(D2748,'Team Data'!C:AB,22,FALSE),"")</f>
        <v/>
      </c>
      <c r="P2748" t="str">
        <f t="shared" si="87"/>
        <v/>
      </c>
      <c r="Q2748" t="str">
        <f>IFERROR(VLOOKUP(D2748,'Team Data'!C:AB,15,FALSE),"")</f>
        <v/>
      </c>
      <c r="R2748" t="str">
        <f>IFERROR(VLOOKUP('OB Format'!D2748,'Team Data'!C:AB,24,FALSE),"")</f>
        <v/>
      </c>
      <c r="S2748" t="str">
        <f>IFERROR(VLOOKUP('OB Format'!D2748,'Team Data'!C:AC,25,FALSE),"")</f>
        <v/>
      </c>
    </row>
    <row r="2749" spans="5:19" x14ac:dyDescent="0.25">
      <c r="E2749" t="str">
        <f>IFERROR(VLOOKUP(D2749,'Team Data'!C:AB,4,FALSE),"")</f>
        <v/>
      </c>
      <c r="F2749" t="str">
        <f>IFERROR(VLOOKUP(D2749,'Team Data'!C:AB,5,FALSE),"")</f>
        <v/>
      </c>
      <c r="G2749" t="str">
        <f>IFERROR(VLOOKUP('OB Format'!D2749,'Team Data'!C:AB,17,FALSE),"")</f>
        <v/>
      </c>
      <c r="H2749" t="str">
        <f>IFERROR(VLOOKUP(D2749,'Team Data'!C:AB,7,FALSE),"")</f>
        <v/>
      </c>
      <c r="I2749" t="str">
        <f>IFERROR(VLOOKUP(D2749,'Team Data'!C:AB,14,FALSE),"")</f>
        <v/>
      </c>
      <c r="J2749" t="str">
        <f>IFERROR(VLOOKUP(D2749,'Team Data'!C:AB,8,FALSE),"")</f>
        <v/>
      </c>
      <c r="K2749" t="str">
        <f>IFERROR(VLOOKUP(D2749,'Team Data'!C:AB,9,FALSE),"")</f>
        <v/>
      </c>
      <c r="L2749" t="str">
        <f>IFERROR(VLOOKUP(D2749,'Team Data'!C:AB,10,FALSE),"")</f>
        <v/>
      </c>
      <c r="M2749" t="str">
        <f t="shared" si="86"/>
        <v/>
      </c>
      <c r="N2749" t="str">
        <f>IFERROR(VLOOKUP(D2749,'Team Data'!C:AB,23,FALSE),"")</f>
        <v/>
      </c>
      <c r="O2749" t="str">
        <f>IFERROR(VLOOKUP(D2749,'Team Data'!C:AB,22,FALSE),"")</f>
        <v/>
      </c>
      <c r="P2749" t="str">
        <f t="shared" si="87"/>
        <v/>
      </c>
      <c r="Q2749" t="str">
        <f>IFERROR(VLOOKUP(D2749,'Team Data'!C:AB,15,FALSE),"")</f>
        <v/>
      </c>
      <c r="R2749" t="str">
        <f>IFERROR(VLOOKUP('OB Format'!D2749,'Team Data'!C:AB,24,FALSE),"")</f>
        <v/>
      </c>
      <c r="S2749" t="str">
        <f>IFERROR(VLOOKUP('OB Format'!D2749,'Team Data'!C:AC,25,FALSE),"")</f>
        <v/>
      </c>
    </row>
    <row r="2750" spans="5:19" x14ac:dyDescent="0.25">
      <c r="E2750" t="str">
        <f>IFERROR(VLOOKUP(D2750,'Team Data'!C:AB,4,FALSE),"")</f>
        <v/>
      </c>
      <c r="F2750" t="str">
        <f>IFERROR(VLOOKUP(D2750,'Team Data'!C:AB,5,FALSE),"")</f>
        <v/>
      </c>
      <c r="G2750" t="str">
        <f>IFERROR(VLOOKUP('OB Format'!D2750,'Team Data'!C:AB,17,FALSE),"")</f>
        <v/>
      </c>
      <c r="H2750" t="str">
        <f>IFERROR(VLOOKUP(D2750,'Team Data'!C:AB,7,FALSE),"")</f>
        <v/>
      </c>
      <c r="I2750" t="str">
        <f>IFERROR(VLOOKUP(D2750,'Team Data'!C:AB,14,FALSE),"")</f>
        <v/>
      </c>
      <c r="J2750" t="str">
        <f>IFERROR(VLOOKUP(D2750,'Team Data'!C:AB,8,FALSE),"")</f>
        <v/>
      </c>
      <c r="K2750" t="str">
        <f>IFERROR(VLOOKUP(D2750,'Team Data'!C:AB,9,FALSE),"")</f>
        <v/>
      </c>
      <c r="L2750" t="str">
        <f>IFERROR(VLOOKUP(D2750,'Team Data'!C:AB,10,FALSE),"")</f>
        <v/>
      </c>
      <c r="M2750" t="str">
        <f t="shared" si="86"/>
        <v/>
      </c>
      <c r="N2750" t="str">
        <f>IFERROR(VLOOKUP(D2750,'Team Data'!C:AB,23,FALSE),"")</f>
        <v/>
      </c>
      <c r="O2750" t="str">
        <f>IFERROR(VLOOKUP(D2750,'Team Data'!C:AB,22,FALSE),"")</f>
        <v/>
      </c>
      <c r="P2750" t="str">
        <f t="shared" si="87"/>
        <v/>
      </c>
      <c r="Q2750" t="str">
        <f>IFERROR(VLOOKUP(D2750,'Team Data'!C:AB,15,FALSE),"")</f>
        <v/>
      </c>
      <c r="R2750" t="str">
        <f>IFERROR(VLOOKUP('OB Format'!D2750,'Team Data'!C:AB,24,FALSE),"")</f>
        <v/>
      </c>
      <c r="S2750" t="str">
        <f>IFERROR(VLOOKUP('OB Format'!D2750,'Team Data'!C:AC,25,FALSE),"")</f>
        <v/>
      </c>
    </row>
    <row r="2751" spans="5:19" x14ac:dyDescent="0.25">
      <c r="E2751" t="str">
        <f>IFERROR(VLOOKUP(D2751,'Team Data'!C:AB,4,FALSE),"")</f>
        <v/>
      </c>
      <c r="F2751" t="str">
        <f>IFERROR(VLOOKUP(D2751,'Team Data'!C:AB,5,FALSE),"")</f>
        <v/>
      </c>
      <c r="G2751" t="str">
        <f>IFERROR(VLOOKUP('OB Format'!D2751,'Team Data'!C:AB,17,FALSE),"")</f>
        <v/>
      </c>
      <c r="H2751" t="str">
        <f>IFERROR(VLOOKUP(D2751,'Team Data'!C:AB,7,FALSE),"")</f>
        <v/>
      </c>
      <c r="I2751" t="str">
        <f>IFERROR(VLOOKUP(D2751,'Team Data'!C:AB,14,FALSE),"")</f>
        <v/>
      </c>
      <c r="J2751" t="str">
        <f>IFERROR(VLOOKUP(D2751,'Team Data'!C:AB,8,FALSE),"")</f>
        <v/>
      </c>
      <c r="K2751" t="str">
        <f>IFERROR(VLOOKUP(D2751,'Team Data'!C:AB,9,FALSE),"")</f>
        <v/>
      </c>
      <c r="L2751" t="str">
        <f>IFERROR(VLOOKUP(D2751,'Team Data'!C:AB,10,FALSE),"")</f>
        <v/>
      </c>
      <c r="M2751" t="str">
        <f t="shared" si="86"/>
        <v/>
      </c>
      <c r="N2751" t="str">
        <f>IFERROR(VLOOKUP(D2751,'Team Data'!C:AB,23,FALSE),"")</f>
        <v/>
      </c>
      <c r="O2751" t="str">
        <f>IFERROR(VLOOKUP(D2751,'Team Data'!C:AB,22,FALSE),"")</f>
        <v/>
      </c>
      <c r="P2751" t="str">
        <f t="shared" si="87"/>
        <v/>
      </c>
      <c r="Q2751" t="str">
        <f>IFERROR(VLOOKUP(D2751,'Team Data'!C:AB,15,FALSE),"")</f>
        <v/>
      </c>
      <c r="R2751" t="str">
        <f>IFERROR(VLOOKUP('OB Format'!D2751,'Team Data'!C:AB,24,FALSE),"")</f>
        <v/>
      </c>
      <c r="S2751" t="str">
        <f>IFERROR(VLOOKUP('OB Format'!D2751,'Team Data'!C:AC,25,FALSE),"")</f>
        <v/>
      </c>
    </row>
    <row r="2752" spans="5:19" x14ac:dyDescent="0.25">
      <c r="E2752" t="str">
        <f>IFERROR(VLOOKUP(D2752,'Team Data'!C:AB,4,FALSE),"")</f>
        <v/>
      </c>
      <c r="F2752" t="str">
        <f>IFERROR(VLOOKUP(D2752,'Team Data'!C:AB,5,FALSE),"")</f>
        <v/>
      </c>
      <c r="G2752" t="str">
        <f>IFERROR(VLOOKUP('OB Format'!D2752,'Team Data'!C:AB,17,FALSE),"")</f>
        <v/>
      </c>
      <c r="H2752" t="str">
        <f>IFERROR(VLOOKUP(D2752,'Team Data'!C:AB,7,FALSE),"")</f>
        <v/>
      </c>
      <c r="I2752" t="str">
        <f>IFERROR(VLOOKUP(D2752,'Team Data'!C:AB,14,FALSE),"")</f>
        <v/>
      </c>
      <c r="J2752" t="str">
        <f>IFERROR(VLOOKUP(D2752,'Team Data'!C:AB,8,FALSE),"")</f>
        <v/>
      </c>
      <c r="K2752" t="str">
        <f>IFERROR(VLOOKUP(D2752,'Team Data'!C:AB,9,FALSE),"")</f>
        <v/>
      </c>
      <c r="L2752" t="str">
        <f>IFERROR(VLOOKUP(D2752,'Team Data'!C:AB,10,FALSE),"")</f>
        <v/>
      </c>
      <c r="M2752" t="str">
        <f t="shared" si="86"/>
        <v/>
      </c>
      <c r="N2752" t="str">
        <f>IFERROR(VLOOKUP(D2752,'Team Data'!C:AB,23,FALSE),"")</f>
        <v/>
      </c>
      <c r="O2752" t="str">
        <f>IFERROR(VLOOKUP(D2752,'Team Data'!C:AB,22,FALSE),"")</f>
        <v/>
      </c>
      <c r="P2752" t="str">
        <f t="shared" si="87"/>
        <v/>
      </c>
      <c r="Q2752" t="str">
        <f>IFERROR(VLOOKUP(D2752,'Team Data'!C:AB,15,FALSE),"")</f>
        <v/>
      </c>
      <c r="R2752" t="str">
        <f>IFERROR(VLOOKUP('OB Format'!D2752,'Team Data'!C:AB,24,FALSE),"")</f>
        <v/>
      </c>
      <c r="S2752" t="str">
        <f>IFERROR(VLOOKUP('OB Format'!D2752,'Team Data'!C:AC,25,FALSE),"")</f>
        <v/>
      </c>
    </row>
    <row r="2753" spans="5:19" x14ac:dyDescent="0.25">
      <c r="E2753" t="str">
        <f>IFERROR(VLOOKUP(D2753,'Team Data'!C:AB,4,FALSE),"")</f>
        <v/>
      </c>
      <c r="F2753" t="str">
        <f>IFERROR(VLOOKUP(D2753,'Team Data'!C:AB,5,FALSE),"")</f>
        <v/>
      </c>
      <c r="G2753" t="str">
        <f>IFERROR(VLOOKUP('OB Format'!D2753,'Team Data'!C:AB,17,FALSE),"")</f>
        <v/>
      </c>
      <c r="H2753" t="str">
        <f>IFERROR(VLOOKUP(D2753,'Team Data'!C:AB,7,FALSE),"")</f>
        <v/>
      </c>
      <c r="I2753" t="str">
        <f>IFERROR(VLOOKUP(D2753,'Team Data'!C:AB,14,FALSE),"")</f>
        <v/>
      </c>
      <c r="J2753" t="str">
        <f>IFERROR(VLOOKUP(D2753,'Team Data'!C:AB,8,FALSE),"")</f>
        <v/>
      </c>
      <c r="K2753" t="str">
        <f>IFERROR(VLOOKUP(D2753,'Team Data'!C:AB,9,FALSE),"")</f>
        <v/>
      </c>
      <c r="L2753" t="str">
        <f>IFERROR(VLOOKUP(D2753,'Team Data'!C:AB,10,FALSE),"")</f>
        <v/>
      </c>
      <c r="M2753" t="str">
        <f t="shared" si="86"/>
        <v/>
      </c>
      <c r="N2753" t="str">
        <f>IFERROR(VLOOKUP(D2753,'Team Data'!C:AB,23,FALSE),"")</f>
        <v/>
      </c>
      <c r="O2753" t="str">
        <f>IFERROR(VLOOKUP(D2753,'Team Data'!C:AB,22,FALSE),"")</f>
        <v/>
      </c>
      <c r="P2753" t="str">
        <f t="shared" si="87"/>
        <v/>
      </c>
      <c r="Q2753" t="str">
        <f>IFERROR(VLOOKUP(D2753,'Team Data'!C:AB,15,FALSE),"")</f>
        <v/>
      </c>
      <c r="R2753" t="str">
        <f>IFERROR(VLOOKUP('OB Format'!D2753,'Team Data'!C:AB,24,FALSE),"")</f>
        <v/>
      </c>
      <c r="S2753" t="str">
        <f>IFERROR(VLOOKUP('OB Format'!D2753,'Team Data'!C:AC,25,FALSE),"")</f>
        <v/>
      </c>
    </row>
    <row r="2754" spans="5:19" x14ac:dyDescent="0.25">
      <c r="E2754" t="str">
        <f>IFERROR(VLOOKUP(D2754,'Team Data'!C:AB,4,FALSE),"")</f>
        <v/>
      </c>
      <c r="F2754" t="str">
        <f>IFERROR(VLOOKUP(D2754,'Team Data'!C:AB,5,FALSE),"")</f>
        <v/>
      </c>
      <c r="G2754" t="str">
        <f>IFERROR(VLOOKUP('OB Format'!D2754,'Team Data'!C:AB,17,FALSE),"")</f>
        <v/>
      </c>
      <c r="H2754" t="str">
        <f>IFERROR(VLOOKUP(D2754,'Team Data'!C:AB,7,FALSE),"")</f>
        <v/>
      </c>
      <c r="I2754" t="str">
        <f>IFERROR(VLOOKUP(D2754,'Team Data'!C:AB,14,FALSE),"")</f>
        <v/>
      </c>
      <c r="J2754" t="str">
        <f>IFERROR(VLOOKUP(D2754,'Team Data'!C:AB,8,FALSE),"")</f>
        <v/>
      </c>
      <c r="K2754" t="str">
        <f>IFERROR(VLOOKUP(D2754,'Team Data'!C:AB,9,FALSE),"")</f>
        <v/>
      </c>
      <c r="L2754" t="str">
        <f>IFERROR(VLOOKUP(D2754,'Team Data'!C:AB,10,FALSE),"")</f>
        <v/>
      </c>
      <c r="M2754" t="str">
        <f t="shared" si="86"/>
        <v/>
      </c>
      <c r="N2754" t="str">
        <f>IFERROR(VLOOKUP(D2754,'Team Data'!C:AB,23,FALSE),"")</f>
        <v/>
      </c>
      <c r="O2754" t="str">
        <f>IFERROR(VLOOKUP(D2754,'Team Data'!C:AB,22,FALSE),"")</f>
        <v/>
      </c>
      <c r="P2754" t="str">
        <f t="shared" si="87"/>
        <v/>
      </c>
      <c r="Q2754" t="str">
        <f>IFERROR(VLOOKUP(D2754,'Team Data'!C:AB,15,FALSE),"")</f>
        <v/>
      </c>
      <c r="R2754" t="str">
        <f>IFERROR(VLOOKUP('OB Format'!D2754,'Team Data'!C:AB,24,FALSE),"")</f>
        <v/>
      </c>
      <c r="S2754" t="str">
        <f>IFERROR(VLOOKUP('OB Format'!D2754,'Team Data'!C:AC,25,FALSE),"")</f>
        <v/>
      </c>
    </row>
    <row r="2755" spans="5:19" x14ac:dyDescent="0.25">
      <c r="E2755" t="str">
        <f>IFERROR(VLOOKUP(D2755,'Team Data'!C:AB,4,FALSE),"")</f>
        <v/>
      </c>
      <c r="F2755" t="str">
        <f>IFERROR(VLOOKUP(D2755,'Team Data'!C:AB,5,FALSE),"")</f>
        <v/>
      </c>
      <c r="G2755" t="str">
        <f>IFERROR(VLOOKUP('OB Format'!D2755,'Team Data'!C:AB,17,FALSE),"")</f>
        <v/>
      </c>
      <c r="H2755" t="str">
        <f>IFERROR(VLOOKUP(D2755,'Team Data'!C:AB,7,FALSE),"")</f>
        <v/>
      </c>
      <c r="I2755" t="str">
        <f>IFERROR(VLOOKUP(D2755,'Team Data'!C:AB,14,FALSE),"")</f>
        <v/>
      </c>
      <c r="J2755" t="str">
        <f>IFERROR(VLOOKUP(D2755,'Team Data'!C:AB,8,FALSE),"")</f>
        <v/>
      </c>
      <c r="K2755" t="str">
        <f>IFERROR(VLOOKUP(D2755,'Team Data'!C:AB,9,FALSE),"")</f>
        <v/>
      </c>
      <c r="L2755" t="str">
        <f>IFERROR(VLOOKUP(D2755,'Team Data'!C:AB,10,FALSE),"")</f>
        <v/>
      </c>
      <c r="M2755" t="str">
        <f t="shared" si="86"/>
        <v/>
      </c>
      <c r="N2755" t="str">
        <f>IFERROR(VLOOKUP(D2755,'Team Data'!C:AB,23,FALSE),"")</f>
        <v/>
      </c>
      <c r="O2755" t="str">
        <f>IFERROR(VLOOKUP(D2755,'Team Data'!C:AB,22,FALSE),"")</f>
        <v/>
      </c>
      <c r="P2755" t="str">
        <f t="shared" si="87"/>
        <v/>
      </c>
      <c r="Q2755" t="str">
        <f>IFERROR(VLOOKUP(D2755,'Team Data'!C:AB,15,FALSE),"")</f>
        <v/>
      </c>
      <c r="R2755" t="str">
        <f>IFERROR(VLOOKUP('OB Format'!D2755,'Team Data'!C:AB,24,FALSE),"")</f>
        <v/>
      </c>
      <c r="S2755" t="str">
        <f>IFERROR(VLOOKUP('OB Format'!D2755,'Team Data'!C:AC,25,FALSE),"")</f>
        <v/>
      </c>
    </row>
    <row r="2756" spans="5:19" x14ac:dyDescent="0.25">
      <c r="E2756" t="str">
        <f>IFERROR(VLOOKUP(D2756,'Team Data'!C:AB,4,FALSE),"")</f>
        <v/>
      </c>
      <c r="F2756" t="str">
        <f>IFERROR(VLOOKUP(D2756,'Team Data'!C:AB,5,FALSE),"")</f>
        <v/>
      </c>
      <c r="G2756" t="str">
        <f>IFERROR(VLOOKUP('OB Format'!D2756,'Team Data'!C:AB,17,FALSE),"")</f>
        <v/>
      </c>
      <c r="H2756" t="str">
        <f>IFERROR(VLOOKUP(D2756,'Team Data'!C:AB,7,FALSE),"")</f>
        <v/>
      </c>
      <c r="I2756" t="str">
        <f>IFERROR(VLOOKUP(D2756,'Team Data'!C:AB,14,FALSE),"")</f>
        <v/>
      </c>
      <c r="J2756" t="str">
        <f>IFERROR(VLOOKUP(D2756,'Team Data'!C:AB,8,FALSE),"")</f>
        <v/>
      </c>
      <c r="K2756" t="str">
        <f>IFERROR(VLOOKUP(D2756,'Team Data'!C:AB,9,FALSE),"")</f>
        <v/>
      </c>
      <c r="L2756" t="str">
        <f>IFERROR(VLOOKUP(D2756,'Team Data'!C:AB,10,FALSE),"")</f>
        <v/>
      </c>
      <c r="M2756" t="str">
        <f t="shared" si="86"/>
        <v/>
      </c>
      <c r="N2756" t="str">
        <f>IFERROR(VLOOKUP(D2756,'Team Data'!C:AB,23,FALSE),"")</f>
        <v/>
      </c>
      <c r="O2756" t="str">
        <f>IFERROR(VLOOKUP(D2756,'Team Data'!C:AB,22,FALSE),"")</f>
        <v/>
      </c>
      <c r="P2756" t="str">
        <f t="shared" si="87"/>
        <v/>
      </c>
      <c r="Q2756" t="str">
        <f>IFERROR(VLOOKUP(D2756,'Team Data'!C:AB,15,FALSE),"")</f>
        <v/>
      </c>
      <c r="R2756" t="str">
        <f>IFERROR(VLOOKUP('OB Format'!D2756,'Team Data'!C:AB,24,FALSE),"")</f>
        <v/>
      </c>
      <c r="S2756" t="str">
        <f>IFERROR(VLOOKUP('OB Format'!D2756,'Team Data'!C:AC,25,FALSE),"")</f>
        <v/>
      </c>
    </row>
    <row r="2757" spans="5:19" x14ac:dyDescent="0.25">
      <c r="E2757" t="str">
        <f>IFERROR(VLOOKUP(D2757,'Team Data'!C:AB,4,FALSE),"")</f>
        <v/>
      </c>
      <c r="F2757" t="str">
        <f>IFERROR(VLOOKUP(D2757,'Team Data'!C:AB,5,FALSE),"")</f>
        <v/>
      </c>
      <c r="G2757" t="str">
        <f>IFERROR(VLOOKUP('OB Format'!D2757,'Team Data'!C:AB,17,FALSE),"")</f>
        <v/>
      </c>
      <c r="H2757" t="str">
        <f>IFERROR(VLOOKUP(D2757,'Team Data'!C:AB,7,FALSE),"")</f>
        <v/>
      </c>
      <c r="I2757" t="str">
        <f>IFERROR(VLOOKUP(D2757,'Team Data'!C:AB,14,FALSE),"")</f>
        <v/>
      </c>
      <c r="J2757" t="str">
        <f>IFERROR(VLOOKUP(D2757,'Team Data'!C:AB,8,FALSE),"")</f>
        <v/>
      </c>
      <c r="K2757" t="str">
        <f>IFERROR(VLOOKUP(D2757,'Team Data'!C:AB,9,FALSE),"")</f>
        <v/>
      </c>
      <c r="L2757" t="str">
        <f>IFERROR(VLOOKUP(D2757,'Team Data'!C:AB,10,FALSE),"")</f>
        <v/>
      </c>
      <c r="M2757" t="str">
        <f t="shared" si="86"/>
        <v/>
      </c>
      <c r="N2757" t="str">
        <f>IFERROR(VLOOKUP(D2757,'Team Data'!C:AB,23,FALSE),"")</f>
        <v/>
      </c>
      <c r="O2757" t="str">
        <f>IFERROR(VLOOKUP(D2757,'Team Data'!C:AB,22,FALSE),"")</f>
        <v/>
      </c>
      <c r="P2757" t="str">
        <f t="shared" si="87"/>
        <v/>
      </c>
      <c r="Q2757" t="str">
        <f>IFERROR(VLOOKUP(D2757,'Team Data'!C:AB,15,FALSE),"")</f>
        <v/>
      </c>
      <c r="R2757" t="str">
        <f>IFERROR(VLOOKUP('OB Format'!D2757,'Team Data'!C:AB,24,FALSE),"")</f>
        <v/>
      </c>
      <c r="S2757" t="str">
        <f>IFERROR(VLOOKUP('OB Format'!D2757,'Team Data'!C:AC,25,FALSE),"")</f>
        <v/>
      </c>
    </row>
    <row r="2758" spans="5:19" x14ac:dyDescent="0.25">
      <c r="E2758" t="str">
        <f>IFERROR(VLOOKUP(D2758,'Team Data'!C:AB,4,FALSE),"")</f>
        <v/>
      </c>
      <c r="F2758" t="str">
        <f>IFERROR(VLOOKUP(D2758,'Team Data'!C:AB,5,FALSE),"")</f>
        <v/>
      </c>
      <c r="G2758" t="str">
        <f>IFERROR(VLOOKUP('OB Format'!D2758,'Team Data'!C:AB,17,FALSE),"")</f>
        <v/>
      </c>
      <c r="H2758" t="str">
        <f>IFERROR(VLOOKUP(D2758,'Team Data'!C:AB,7,FALSE),"")</f>
        <v/>
      </c>
      <c r="I2758" t="str">
        <f>IFERROR(VLOOKUP(D2758,'Team Data'!C:AB,14,FALSE),"")</f>
        <v/>
      </c>
      <c r="J2758" t="str">
        <f>IFERROR(VLOOKUP(D2758,'Team Data'!C:AB,8,FALSE),"")</f>
        <v/>
      </c>
      <c r="K2758" t="str">
        <f>IFERROR(VLOOKUP(D2758,'Team Data'!C:AB,9,FALSE),"")</f>
        <v/>
      </c>
      <c r="L2758" t="str">
        <f>IFERROR(VLOOKUP(D2758,'Team Data'!C:AB,10,FALSE),"")</f>
        <v/>
      </c>
      <c r="M2758" t="str">
        <f t="shared" si="86"/>
        <v/>
      </c>
      <c r="N2758" t="str">
        <f>IFERROR(VLOOKUP(D2758,'Team Data'!C:AB,23,FALSE),"")</f>
        <v/>
      </c>
      <c r="O2758" t="str">
        <f>IFERROR(VLOOKUP(D2758,'Team Data'!C:AB,22,FALSE),"")</f>
        <v/>
      </c>
      <c r="P2758" t="str">
        <f t="shared" si="87"/>
        <v/>
      </c>
      <c r="Q2758" t="str">
        <f>IFERROR(VLOOKUP(D2758,'Team Data'!C:AB,15,FALSE),"")</f>
        <v/>
      </c>
      <c r="R2758" t="str">
        <f>IFERROR(VLOOKUP('OB Format'!D2758,'Team Data'!C:AB,24,FALSE),"")</f>
        <v/>
      </c>
      <c r="S2758" t="str">
        <f>IFERROR(VLOOKUP('OB Format'!D2758,'Team Data'!C:AC,25,FALSE),"")</f>
        <v/>
      </c>
    </row>
    <row r="2759" spans="5:19" x14ac:dyDescent="0.25">
      <c r="E2759" t="str">
        <f>IFERROR(VLOOKUP(D2759,'Team Data'!C:AB,4,FALSE),"")</f>
        <v/>
      </c>
      <c r="F2759" t="str">
        <f>IFERROR(VLOOKUP(D2759,'Team Data'!C:AB,5,FALSE),"")</f>
        <v/>
      </c>
      <c r="G2759" t="str">
        <f>IFERROR(VLOOKUP('OB Format'!D2759,'Team Data'!C:AB,17,FALSE),"")</f>
        <v/>
      </c>
      <c r="H2759" t="str">
        <f>IFERROR(VLOOKUP(D2759,'Team Data'!C:AB,7,FALSE),"")</f>
        <v/>
      </c>
      <c r="I2759" t="str">
        <f>IFERROR(VLOOKUP(D2759,'Team Data'!C:AB,14,FALSE),"")</f>
        <v/>
      </c>
      <c r="J2759" t="str">
        <f>IFERROR(VLOOKUP(D2759,'Team Data'!C:AB,8,FALSE),"")</f>
        <v/>
      </c>
      <c r="K2759" t="str">
        <f>IFERROR(VLOOKUP(D2759,'Team Data'!C:AB,9,FALSE),"")</f>
        <v/>
      </c>
      <c r="L2759" t="str">
        <f>IFERROR(VLOOKUP(D2759,'Team Data'!C:AB,10,FALSE),"")</f>
        <v/>
      </c>
      <c r="M2759" t="str">
        <f t="shared" si="86"/>
        <v/>
      </c>
      <c r="N2759" t="str">
        <f>IFERROR(VLOOKUP(D2759,'Team Data'!C:AB,23,FALSE),"")</f>
        <v/>
      </c>
      <c r="O2759" t="str">
        <f>IFERROR(VLOOKUP(D2759,'Team Data'!C:AB,22,FALSE),"")</f>
        <v/>
      </c>
      <c r="P2759" t="str">
        <f t="shared" si="87"/>
        <v/>
      </c>
      <c r="Q2759" t="str">
        <f>IFERROR(VLOOKUP(D2759,'Team Data'!C:AB,15,FALSE),"")</f>
        <v/>
      </c>
      <c r="R2759" t="str">
        <f>IFERROR(VLOOKUP('OB Format'!D2759,'Team Data'!C:AB,24,FALSE),"")</f>
        <v/>
      </c>
      <c r="S2759" t="str">
        <f>IFERROR(VLOOKUP('OB Format'!D2759,'Team Data'!C:AC,25,FALSE),"")</f>
        <v/>
      </c>
    </row>
    <row r="2760" spans="5:19" x14ac:dyDescent="0.25">
      <c r="E2760" t="str">
        <f>IFERROR(VLOOKUP(D2760,'Team Data'!C:AB,4,FALSE),"")</f>
        <v/>
      </c>
      <c r="F2760" t="str">
        <f>IFERROR(VLOOKUP(D2760,'Team Data'!C:AB,5,FALSE),"")</f>
        <v/>
      </c>
      <c r="G2760" t="str">
        <f>IFERROR(VLOOKUP('OB Format'!D2760,'Team Data'!C:AB,17,FALSE),"")</f>
        <v/>
      </c>
      <c r="H2760" t="str">
        <f>IFERROR(VLOOKUP(D2760,'Team Data'!C:AB,7,FALSE),"")</f>
        <v/>
      </c>
      <c r="I2760" t="str">
        <f>IFERROR(VLOOKUP(D2760,'Team Data'!C:AB,14,FALSE),"")</f>
        <v/>
      </c>
      <c r="J2760" t="str">
        <f>IFERROR(VLOOKUP(D2760,'Team Data'!C:AB,8,FALSE),"")</f>
        <v/>
      </c>
      <c r="K2760" t="str">
        <f>IFERROR(VLOOKUP(D2760,'Team Data'!C:AB,9,FALSE),"")</f>
        <v/>
      </c>
      <c r="L2760" t="str">
        <f>IFERROR(VLOOKUP(D2760,'Team Data'!C:AB,10,FALSE),"")</f>
        <v/>
      </c>
      <c r="M2760" t="str">
        <f t="shared" si="86"/>
        <v/>
      </c>
      <c r="N2760" t="str">
        <f>IFERROR(VLOOKUP(D2760,'Team Data'!C:AB,23,FALSE),"")</f>
        <v/>
      </c>
      <c r="O2760" t="str">
        <f>IFERROR(VLOOKUP(D2760,'Team Data'!C:AB,22,FALSE),"")</f>
        <v/>
      </c>
      <c r="P2760" t="str">
        <f t="shared" si="87"/>
        <v/>
      </c>
      <c r="Q2760" t="str">
        <f>IFERROR(VLOOKUP(D2760,'Team Data'!C:AB,15,FALSE),"")</f>
        <v/>
      </c>
      <c r="R2760" t="str">
        <f>IFERROR(VLOOKUP('OB Format'!D2760,'Team Data'!C:AB,24,FALSE),"")</f>
        <v/>
      </c>
      <c r="S2760" t="str">
        <f>IFERROR(VLOOKUP('OB Format'!D2760,'Team Data'!C:AC,25,FALSE),"")</f>
        <v/>
      </c>
    </row>
    <row r="2761" spans="5:19" x14ac:dyDescent="0.25">
      <c r="E2761" t="str">
        <f>IFERROR(VLOOKUP(D2761,'Team Data'!C:AB,4,FALSE),"")</f>
        <v/>
      </c>
      <c r="F2761" t="str">
        <f>IFERROR(VLOOKUP(D2761,'Team Data'!C:AB,5,FALSE),"")</f>
        <v/>
      </c>
      <c r="G2761" t="str">
        <f>IFERROR(VLOOKUP('OB Format'!D2761,'Team Data'!C:AB,17,FALSE),"")</f>
        <v/>
      </c>
      <c r="H2761" t="str">
        <f>IFERROR(VLOOKUP(D2761,'Team Data'!C:AB,7,FALSE),"")</f>
        <v/>
      </c>
      <c r="I2761" t="str">
        <f>IFERROR(VLOOKUP(D2761,'Team Data'!C:AB,14,FALSE),"")</f>
        <v/>
      </c>
      <c r="J2761" t="str">
        <f>IFERROR(VLOOKUP(D2761,'Team Data'!C:AB,8,FALSE),"")</f>
        <v/>
      </c>
      <c r="K2761" t="str">
        <f>IFERROR(VLOOKUP(D2761,'Team Data'!C:AB,9,FALSE),"")</f>
        <v/>
      </c>
      <c r="L2761" t="str">
        <f>IFERROR(VLOOKUP(D2761,'Team Data'!C:AB,10,FALSE),"")</f>
        <v/>
      </c>
      <c r="M2761" t="str">
        <f t="shared" si="86"/>
        <v/>
      </c>
      <c r="N2761" t="str">
        <f>IFERROR(VLOOKUP(D2761,'Team Data'!C:AB,23,FALSE),"")</f>
        <v/>
      </c>
      <c r="O2761" t="str">
        <f>IFERROR(VLOOKUP(D2761,'Team Data'!C:AB,22,FALSE),"")</f>
        <v/>
      </c>
      <c r="P2761" t="str">
        <f t="shared" si="87"/>
        <v/>
      </c>
      <c r="Q2761" t="str">
        <f>IFERROR(VLOOKUP(D2761,'Team Data'!C:AB,15,FALSE),"")</f>
        <v/>
      </c>
      <c r="R2761" t="str">
        <f>IFERROR(VLOOKUP('OB Format'!D2761,'Team Data'!C:AB,24,FALSE),"")</f>
        <v/>
      </c>
      <c r="S2761" t="str">
        <f>IFERROR(VLOOKUP('OB Format'!D2761,'Team Data'!C:AC,25,FALSE),"")</f>
        <v/>
      </c>
    </row>
    <row r="2762" spans="5:19" x14ac:dyDescent="0.25">
      <c r="E2762" t="str">
        <f>IFERROR(VLOOKUP(D2762,'Team Data'!C:AB,4,FALSE),"")</f>
        <v/>
      </c>
      <c r="F2762" t="str">
        <f>IFERROR(VLOOKUP(D2762,'Team Data'!C:AB,5,FALSE),"")</f>
        <v/>
      </c>
      <c r="G2762" t="str">
        <f>IFERROR(VLOOKUP('OB Format'!D2762,'Team Data'!C:AB,17,FALSE),"")</f>
        <v/>
      </c>
      <c r="H2762" t="str">
        <f>IFERROR(VLOOKUP(D2762,'Team Data'!C:AB,7,FALSE),"")</f>
        <v/>
      </c>
      <c r="I2762" t="str">
        <f>IFERROR(VLOOKUP(D2762,'Team Data'!C:AB,14,FALSE),"")</f>
        <v/>
      </c>
      <c r="J2762" t="str">
        <f>IFERROR(VLOOKUP(D2762,'Team Data'!C:AB,8,FALSE),"")</f>
        <v/>
      </c>
      <c r="K2762" t="str">
        <f>IFERROR(VLOOKUP(D2762,'Team Data'!C:AB,9,FALSE),"")</f>
        <v/>
      </c>
      <c r="L2762" t="str">
        <f>IFERROR(VLOOKUP(D2762,'Team Data'!C:AB,10,FALSE),"")</f>
        <v/>
      </c>
      <c r="M2762" t="str">
        <f t="shared" si="86"/>
        <v/>
      </c>
      <c r="N2762" t="str">
        <f>IFERROR(VLOOKUP(D2762,'Team Data'!C:AB,23,FALSE),"")</f>
        <v/>
      </c>
      <c r="O2762" t="str">
        <f>IFERROR(VLOOKUP(D2762,'Team Data'!C:AB,22,FALSE),"")</f>
        <v/>
      </c>
      <c r="P2762" t="str">
        <f t="shared" si="87"/>
        <v/>
      </c>
      <c r="Q2762" t="str">
        <f>IFERROR(VLOOKUP(D2762,'Team Data'!C:AB,15,FALSE),"")</f>
        <v/>
      </c>
      <c r="R2762" t="str">
        <f>IFERROR(VLOOKUP('OB Format'!D2762,'Team Data'!C:AB,24,FALSE),"")</f>
        <v/>
      </c>
      <c r="S2762" t="str">
        <f>IFERROR(VLOOKUP('OB Format'!D2762,'Team Data'!C:AC,25,FALSE),"")</f>
        <v/>
      </c>
    </row>
    <row r="2763" spans="5:19" x14ac:dyDescent="0.25">
      <c r="E2763" t="str">
        <f>IFERROR(VLOOKUP(D2763,'Team Data'!C:AB,4,FALSE),"")</f>
        <v/>
      </c>
      <c r="F2763" t="str">
        <f>IFERROR(VLOOKUP(D2763,'Team Data'!C:AB,5,FALSE),"")</f>
        <v/>
      </c>
      <c r="G2763" t="str">
        <f>IFERROR(VLOOKUP('OB Format'!D2763,'Team Data'!C:AB,17,FALSE),"")</f>
        <v/>
      </c>
      <c r="H2763" t="str">
        <f>IFERROR(VLOOKUP(D2763,'Team Data'!C:AB,7,FALSE),"")</f>
        <v/>
      </c>
      <c r="I2763" t="str">
        <f>IFERROR(VLOOKUP(D2763,'Team Data'!C:AB,14,FALSE),"")</f>
        <v/>
      </c>
      <c r="J2763" t="str">
        <f>IFERROR(VLOOKUP(D2763,'Team Data'!C:AB,8,FALSE),"")</f>
        <v/>
      </c>
      <c r="K2763" t="str">
        <f>IFERROR(VLOOKUP(D2763,'Team Data'!C:AB,9,FALSE),"")</f>
        <v/>
      </c>
      <c r="L2763" t="str">
        <f>IFERROR(VLOOKUP(D2763,'Team Data'!C:AB,10,FALSE),"")</f>
        <v/>
      </c>
      <c r="M2763" t="str">
        <f t="shared" si="86"/>
        <v/>
      </c>
      <c r="N2763" t="str">
        <f>IFERROR(VLOOKUP(D2763,'Team Data'!C:AB,23,FALSE),"")</f>
        <v/>
      </c>
      <c r="O2763" t="str">
        <f>IFERROR(VLOOKUP(D2763,'Team Data'!C:AB,22,FALSE),"")</f>
        <v/>
      </c>
      <c r="P2763" t="str">
        <f t="shared" si="87"/>
        <v/>
      </c>
      <c r="Q2763" t="str">
        <f>IFERROR(VLOOKUP(D2763,'Team Data'!C:AB,15,FALSE),"")</f>
        <v/>
      </c>
      <c r="R2763" t="str">
        <f>IFERROR(VLOOKUP('OB Format'!D2763,'Team Data'!C:AB,24,FALSE),"")</f>
        <v/>
      </c>
      <c r="S2763" t="str">
        <f>IFERROR(VLOOKUP('OB Format'!D2763,'Team Data'!C:AC,25,FALSE),"")</f>
        <v/>
      </c>
    </row>
    <row r="2764" spans="5:19" x14ac:dyDescent="0.25">
      <c r="E2764" t="str">
        <f>IFERROR(VLOOKUP(D2764,'Team Data'!C:AB,4,FALSE),"")</f>
        <v/>
      </c>
      <c r="F2764" t="str">
        <f>IFERROR(VLOOKUP(D2764,'Team Data'!C:AB,5,FALSE),"")</f>
        <v/>
      </c>
      <c r="G2764" t="str">
        <f>IFERROR(VLOOKUP('OB Format'!D2764,'Team Data'!C:AB,17,FALSE),"")</f>
        <v/>
      </c>
      <c r="H2764" t="str">
        <f>IFERROR(VLOOKUP(D2764,'Team Data'!C:AB,7,FALSE),"")</f>
        <v/>
      </c>
      <c r="I2764" t="str">
        <f>IFERROR(VLOOKUP(D2764,'Team Data'!C:AB,14,FALSE),"")</f>
        <v/>
      </c>
      <c r="J2764" t="str">
        <f>IFERROR(VLOOKUP(D2764,'Team Data'!C:AB,8,FALSE),"")</f>
        <v/>
      </c>
      <c r="K2764" t="str">
        <f>IFERROR(VLOOKUP(D2764,'Team Data'!C:AB,9,FALSE),"")</f>
        <v/>
      </c>
      <c r="L2764" t="str">
        <f>IFERROR(VLOOKUP(D2764,'Team Data'!C:AB,10,FALSE),"")</f>
        <v/>
      </c>
      <c r="M2764" t="str">
        <f t="shared" si="86"/>
        <v/>
      </c>
      <c r="N2764" t="str">
        <f>IFERROR(VLOOKUP(D2764,'Team Data'!C:AB,23,FALSE),"")</f>
        <v/>
      </c>
      <c r="O2764" t="str">
        <f>IFERROR(VLOOKUP(D2764,'Team Data'!C:AB,22,FALSE),"")</f>
        <v/>
      </c>
      <c r="P2764" t="str">
        <f t="shared" si="87"/>
        <v/>
      </c>
      <c r="Q2764" t="str">
        <f>IFERROR(VLOOKUP(D2764,'Team Data'!C:AB,15,FALSE),"")</f>
        <v/>
      </c>
      <c r="R2764" t="str">
        <f>IFERROR(VLOOKUP('OB Format'!D2764,'Team Data'!C:AB,24,FALSE),"")</f>
        <v/>
      </c>
      <c r="S2764" t="str">
        <f>IFERROR(VLOOKUP('OB Format'!D2764,'Team Data'!C:AC,25,FALSE),"")</f>
        <v/>
      </c>
    </row>
    <row r="2765" spans="5:19" x14ac:dyDescent="0.25">
      <c r="E2765" t="str">
        <f>IFERROR(VLOOKUP(D2765,'Team Data'!C:AB,4,FALSE),"")</f>
        <v/>
      </c>
      <c r="F2765" t="str">
        <f>IFERROR(VLOOKUP(D2765,'Team Data'!C:AB,5,FALSE),"")</f>
        <v/>
      </c>
      <c r="G2765" t="str">
        <f>IFERROR(VLOOKUP('OB Format'!D2765,'Team Data'!C:AB,17,FALSE),"")</f>
        <v/>
      </c>
      <c r="H2765" t="str">
        <f>IFERROR(VLOOKUP(D2765,'Team Data'!C:AB,7,FALSE),"")</f>
        <v/>
      </c>
      <c r="I2765" t="str">
        <f>IFERROR(VLOOKUP(D2765,'Team Data'!C:AB,14,FALSE),"")</f>
        <v/>
      </c>
      <c r="J2765" t="str">
        <f>IFERROR(VLOOKUP(D2765,'Team Data'!C:AB,8,FALSE),"")</f>
        <v/>
      </c>
      <c r="K2765" t="str">
        <f>IFERROR(VLOOKUP(D2765,'Team Data'!C:AB,9,FALSE),"")</f>
        <v/>
      </c>
      <c r="L2765" t="str">
        <f>IFERROR(VLOOKUP(D2765,'Team Data'!C:AB,10,FALSE),"")</f>
        <v/>
      </c>
      <c r="M2765" t="str">
        <f t="shared" ref="M2765:M2828" si="88">IFERROR(H2765-(J2765+L2765+K2765),"")</f>
        <v/>
      </c>
      <c r="N2765" t="str">
        <f>IFERROR(VLOOKUP(D2765,'Team Data'!C:AB,23,FALSE),"")</f>
        <v/>
      </c>
      <c r="O2765" t="str">
        <f>IFERROR(VLOOKUP(D2765,'Team Data'!C:AB,22,FALSE),"")</f>
        <v/>
      </c>
      <c r="P2765" t="str">
        <f t="shared" ref="P2765:P2828" si="89">IFERROR(E2765-(H2765+N2765+Q2765+I2765+O2765),"")</f>
        <v/>
      </c>
      <c r="Q2765" t="str">
        <f>IFERROR(VLOOKUP(D2765,'Team Data'!C:AB,15,FALSE),"")</f>
        <v/>
      </c>
      <c r="R2765" t="str">
        <f>IFERROR(VLOOKUP('OB Format'!D2765,'Team Data'!C:AB,24,FALSE),"")</f>
        <v/>
      </c>
      <c r="S2765" t="str">
        <f>IFERROR(VLOOKUP('OB Format'!D2765,'Team Data'!C:AC,25,FALSE),"")</f>
        <v/>
      </c>
    </row>
    <row r="2766" spans="5:19" x14ac:dyDescent="0.25">
      <c r="E2766" t="str">
        <f>IFERROR(VLOOKUP(D2766,'Team Data'!C:AB,4,FALSE),"")</f>
        <v/>
      </c>
      <c r="F2766" t="str">
        <f>IFERROR(VLOOKUP(D2766,'Team Data'!C:AB,5,FALSE),"")</f>
        <v/>
      </c>
      <c r="G2766" t="str">
        <f>IFERROR(VLOOKUP('OB Format'!D2766,'Team Data'!C:AB,17,FALSE),"")</f>
        <v/>
      </c>
      <c r="H2766" t="str">
        <f>IFERROR(VLOOKUP(D2766,'Team Data'!C:AB,7,FALSE),"")</f>
        <v/>
      </c>
      <c r="I2766" t="str">
        <f>IFERROR(VLOOKUP(D2766,'Team Data'!C:AB,14,FALSE),"")</f>
        <v/>
      </c>
      <c r="J2766" t="str">
        <f>IFERROR(VLOOKUP(D2766,'Team Data'!C:AB,8,FALSE),"")</f>
        <v/>
      </c>
      <c r="K2766" t="str">
        <f>IFERROR(VLOOKUP(D2766,'Team Data'!C:AB,9,FALSE),"")</f>
        <v/>
      </c>
      <c r="L2766" t="str">
        <f>IFERROR(VLOOKUP(D2766,'Team Data'!C:AB,10,FALSE),"")</f>
        <v/>
      </c>
      <c r="M2766" t="str">
        <f t="shared" si="88"/>
        <v/>
      </c>
      <c r="N2766" t="str">
        <f>IFERROR(VLOOKUP(D2766,'Team Data'!C:AB,23,FALSE),"")</f>
        <v/>
      </c>
      <c r="O2766" t="str">
        <f>IFERROR(VLOOKUP(D2766,'Team Data'!C:AB,22,FALSE),"")</f>
        <v/>
      </c>
      <c r="P2766" t="str">
        <f t="shared" si="89"/>
        <v/>
      </c>
      <c r="Q2766" t="str">
        <f>IFERROR(VLOOKUP(D2766,'Team Data'!C:AB,15,FALSE),"")</f>
        <v/>
      </c>
      <c r="R2766" t="str">
        <f>IFERROR(VLOOKUP('OB Format'!D2766,'Team Data'!C:AB,24,FALSE),"")</f>
        <v/>
      </c>
      <c r="S2766" t="str">
        <f>IFERROR(VLOOKUP('OB Format'!D2766,'Team Data'!C:AC,25,FALSE),"")</f>
        <v/>
      </c>
    </row>
    <row r="2767" spans="5:19" x14ac:dyDescent="0.25">
      <c r="E2767" t="str">
        <f>IFERROR(VLOOKUP(D2767,'Team Data'!C:AB,4,FALSE),"")</f>
        <v/>
      </c>
      <c r="F2767" t="str">
        <f>IFERROR(VLOOKUP(D2767,'Team Data'!C:AB,5,FALSE),"")</f>
        <v/>
      </c>
      <c r="G2767" t="str">
        <f>IFERROR(VLOOKUP('OB Format'!D2767,'Team Data'!C:AB,17,FALSE),"")</f>
        <v/>
      </c>
      <c r="H2767" t="str">
        <f>IFERROR(VLOOKUP(D2767,'Team Data'!C:AB,7,FALSE),"")</f>
        <v/>
      </c>
      <c r="I2767" t="str">
        <f>IFERROR(VLOOKUP(D2767,'Team Data'!C:AB,14,FALSE),"")</f>
        <v/>
      </c>
      <c r="J2767" t="str">
        <f>IFERROR(VLOOKUP(D2767,'Team Data'!C:AB,8,FALSE),"")</f>
        <v/>
      </c>
      <c r="K2767" t="str">
        <f>IFERROR(VLOOKUP(D2767,'Team Data'!C:AB,9,FALSE),"")</f>
        <v/>
      </c>
      <c r="L2767" t="str">
        <f>IFERROR(VLOOKUP(D2767,'Team Data'!C:AB,10,FALSE),"")</f>
        <v/>
      </c>
      <c r="M2767" t="str">
        <f t="shared" si="88"/>
        <v/>
      </c>
      <c r="N2767" t="str">
        <f>IFERROR(VLOOKUP(D2767,'Team Data'!C:AB,23,FALSE),"")</f>
        <v/>
      </c>
      <c r="O2767" t="str">
        <f>IFERROR(VLOOKUP(D2767,'Team Data'!C:AB,22,FALSE),"")</f>
        <v/>
      </c>
      <c r="P2767" t="str">
        <f t="shared" si="89"/>
        <v/>
      </c>
      <c r="Q2767" t="str">
        <f>IFERROR(VLOOKUP(D2767,'Team Data'!C:AB,15,FALSE),"")</f>
        <v/>
      </c>
      <c r="R2767" t="str">
        <f>IFERROR(VLOOKUP('OB Format'!D2767,'Team Data'!C:AB,24,FALSE),"")</f>
        <v/>
      </c>
      <c r="S2767" t="str">
        <f>IFERROR(VLOOKUP('OB Format'!D2767,'Team Data'!C:AC,25,FALSE),"")</f>
        <v/>
      </c>
    </row>
    <row r="2768" spans="5:19" x14ac:dyDescent="0.25">
      <c r="E2768" t="str">
        <f>IFERROR(VLOOKUP(D2768,'Team Data'!C:AB,4,FALSE),"")</f>
        <v/>
      </c>
      <c r="F2768" t="str">
        <f>IFERROR(VLOOKUP(D2768,'Team Data'!C:AB,5,FALSE),"")</f>
        <v/>
      </c>
      <c r="G2768" t="str">
        <f>IFERROR(VLOOKUP('OB Format'!D2768,'Team Data'!C:AB,17,FALSE),"")</f>
        <v/>
      </c>
      <c r="H2768" t="str">
        <f>IFERROR(VLOOKUP(D2768,'Team Data'!C:AB,7,FALSE),"")</f>
        <v/>
      </c>
      <c r="I2768" t="str">
        <f>IFERROR(VLOOKUP(D2768,'Team Data'!C:AB,14,FALSE),"")</f>
        <v/>
      </c>
      <c r="J2768" t="str">
        <f>IFERROR(VLOOKUP(D2768,'Team Data'!C:AB,8,FALSE),"")</f>
        <v/>
      </c>
      <c r="K2768" t="str">
        <f>IFERROR(VLOOKUP(D2768,'Team Data'!C:AB,9,FALSE),"")</f>
        <v/>
      </c>
      <c r="L2768" t="str">
        <f>IFERROR(VLOOKUP(D2768,'Team Data'!C:AB,10,FALSE),"")</f>
        <v/>
      </c>
      <c r="M2768" t="str">
        <f t="shared" si="88"/>
        <v/>
      </c>
      <c r="N2768" t="str">
        <f>IFERROR(VLOOKUP(D2768,'Team Data'!C:AB,23,FALSE),"")</f>
        <v/>
      </c>
      <c r="O2768" t="str">
        <f>IFERROR(VLOOKUP(D2768,'Team Data'!C:AB,22,FALSE),"")</f>
        <v/>
      </c>
      <c r="P2768" t="str">
        <f t="shared" si="89"/>
        <v/>
      </c>
      <c r="Q2768" t="str">
        <f>IFERROR(VLOOKUP(D2768,'Team Data'!C:AB,15,FALSE),"")</f>
        <v/>
      </c>
      <c r="R2768" t="str">
        <f>IFERROR(VLOOKUP('OB Format'!D2768,'Team Data'!C:AB,24,FALSE),"")</f>
        <v/>
      </c>
      <c r="S2768" t="str">
        <f>IFERROR(VLOOKUP('OB Format'!D2768,'Team Data'!C:AC,25,FALSE),"")</f>
        <v/>
      </c>
    </row>
    <row r="2769" spans="5:19" x14ac:dyDescent="0.25">
      <c r="E2769" t="str">
        <f>IFERROR(VLOOKUP(D2769,'Team Data'!C:AB,4,FALSE),"")</f>
        <v/>
      </c>
      <c r="F2769" t="str">
        <f>IFERROR(VLOOKUP(D2769,'Team Data'!C:AB,5,FALSE),"")</f>
        <v/>
      </c>
      <c r="G2769" t="str">
        <f>IFERROR(VLOOKUP('OB Format'!D2769,'Team Data'!C:AB,17,FALSE),"")</f>
        <v/>
      </c>
      <c r="H2769" t="str">
        <f>IFERROR(VLOOKUP(D2769,'Team Data'!C:AB,7,FALSE),"")</f>
        <v/>
      </c>
      <c r="I2769" t="str">
        <f>IFERROR(VLOOKUP(D2769,'Team Data'!C:AB,14,FALSE),"")</f>
        <v/>
      </c>
      <c r="J2769" t="str">
        <f>IFERROR(VLOOKUP(D2769,'Team Data'!C:AB,8,FALSE),"")</f>
        <v/>
      </c>
      <c r="K2769" t="str">
        <f>IFERROR(VLOOKUP(D2769,'Team Data'!C:AB,9,FALSE),"")</f>
        <v/>
      </c>
      <c r="L2769" t="str">
        <f>IFERROR(VLOOKUP(D2769,'Team Data'!C:AB,10,FALSE),"")</f>
        <v/>
      </c>
      <c r="M2769" t="str">
        <f t="shared" si="88"/>
        <v/>
      </c>
      <c r="N2769" t="str">
        <f>IFERROR(VLOOKUP(D2769,'Team Data'!C:AB,23,FALSE),"")</f>
        <v/>
      </c>
      <c r="O2769" t="str">
        <f>IFERROR(VLOOKUP(D2769,'Team Data'!C:AB,22,FALSE),"")</f>
        <v/>
      </c>
      <c r="P2769" t="str">
        <f t="shared" si="89"/>
        <v/>
      </c>
      <c r="Q2769" t="str">
        <f>IFERROR(VLOOKUP(D2769,'Team Data'!C:AB,15,FALSE),"")</f>
        <v/>
      </c>
      <c r="R2769" t="str">
        <f>IFERROR(VLOOKUP('OB Format'!D2769,'Team Data'!C:AB,24,FALSE),"")</f>
        <v/>
      </c>
      <c r="S2769" t="str">
        <f>IFERROR(VLOOKUP('OB Format'!D2769,'Team Data'!C:AC,25,FALSE),"")</f>
        <v/>
      </c>
    </row>
    <row r="2770" spans="5:19" x14ac:dyDescent="0.25">
      <c r="E2770" t="str">
        <f>IFERROR(VLOOKUP(D2770,'Team Data'!C:AB,4,FALSE),"")</f>
        <v/>
      </c>
      <c r="F2770" t="str">
        <f>IFERROR(VLOOKUP(D2770,'Team Data'!C:AB,5,FALSE),"")</f>
        <v/>
      </c>
      <c r="G2770" t="str">
        <f>IFERROR(VLOOKUP('OB Format'!D2770,'Team Data'!C:AB,17,FALSE),"")</f>
        <v/>
      </c>
      <c r="H2770" t="str">
        <f>IFERROR(VLOOKUP(D2770,'Team Data'!C:AB,7,FALSE),"")</f>
        <v/>
      </c>
      <c r="I2770" t="str">
        <f>IFERROR(VLOOKUP(D2770,'Team Data'!C:AB,14,FALSE),"")</f>
        <v/>
      </c>
      <c r="J2770" t="str">
        <f>IFERROR(VLOOKUP(D2770,'Team Data'!C:AB,8,FALSE),"")</f>
        <v/>
      </c>
      <c r="K2770" t="str">
        <f>IFERROR(VLOOKUP(D2770,'Team Data'!C:AB,9,FALSE),"")</f>
        <v/>
      </c>
      <c r="L2770" t="str">
        <f>IFERROR(VLOOKUP(D2770,'Team Data'!C:AB,10,FALSE),"")</f>
        <v/>
      </c>
      <c r="M2770" t="str">
        <f t="shared" si="88"/>
        <v/>
      </c>
      <c r="N2770" t="str">
        <f>IFERROR(VLOOKUP(D2770,'Team Data'!C:AB,23,FALSE),"")</f>
        <v/>
      </c>
      <c r="O2770" t="str">
        <f>IFERROR(VLOOKUP(D2770,'Team Data'!C:AB,22,FALSE),"")</f>
        <v/>
      </c>
      <c r="P2770" t="str">
        <f t="shared" si="89"/>
        <v/>
      </c>
      <c r="Q2770" t="str">
        <f>IFERROR(VLOOKUP(D2770,'Team Data'!C:AB,15,FALSE),"")</f>
        <v/>
      </c>
      <c r="R2770" t="str">
        <f>IFERROR(VLOOKUP('OB Format'!D2770,'Team Data'!C:AB,24,FALSE),"")</f>
        <v/>
      </c>
      <c r="S2770" t="str">
        <f>IFERROR(VLOOKUP('OB Format'!D2770,'Team Data'!C:AC,25,FALSE),"")</f>
        <v/>
      </c>
    </row>
    <row r="2771" spans="5:19" x14ac:dyDescent="0.25">
      <c r="E2771" t="str">
        <f>IFERROR(VLOOKUP(D2771,'Team Data'!C:AB,4,FALSE),"")</f>
        <v/>
      </c>
      <c r="F2771" t="str">
        <f>IFERROR(VLOOKUP(D2771,'Team Data'!C:AB,5,FALSE),"")</f>
        <v/>
      </c>
      <c r="G2771" t="str">
        <f>IFERROR(VLOOKUP('OB Format'!D2771,'Team Data'!C:AB,17,FALSE),"")</f>
        <v/>
      </c>
      <c r="H2771" t="str">
        <f>IFERROR(VLOOKUP(D2771,'Team Data'!C:AB,7,FALSE),"")</f>
        <v/>
      </c>
      <c r="I2771" t="str">
        <f>IFERROR(VLOOKUP(D2771,'Team Data'!C:AB,14,FALSE),"")</f>
        <v/>
      </c>
      <c r="J2771" t="str">
        <f>IFERROR(VLOOKUP(D2771,'Team Data'!C:AB,8,FALSE),"")</f>
        <v/>
      </c>
      <c r="K2771" t="str">
        <f>IFERROR(VLOOKUP(D2771,'Team Data'!C:AB,9,FALSE),"")</f>
        <v/>
      </c>
      <c r="L2771" t="str">
        <f>IFERROR(VLOOKUP(D2771,'Team Data'!C:AB,10,FALSE),"")</f>
        <v/>
      </c>
      <c r="M2771" t="str">
        <f t="shared" si="88"/>
        <v/>
      </c>
      <c r="N2771" t="str">
        <f>IFERROR(VLOOKUP(D2771,'Team Data'!C:AB,23,FALSE),"")</f>
        <v/>
      </c>
      <c r="O2771" t="str">
        <f>IFERROR(VLOOKUP(D2771,'Team Data'!C:AB,22,FALSE),"")</f>
        <v/>
      </c>
      <c r="P2771" t="str">
        <f t="shared" si="89"/>
        <v/>
      </c>
      <c r="Q2771" t="str">
        <f>IFERROR(VLOOKUP(D2771,'Team Data'!C:AB,15,FALSE),"")</f>
        <v/>
      </c>
      <c r="R2771" t="str">
        <f>IFERROR(VLOOKUP('OB Format'!D2771,'Team Data'!C:AB,24,FALSE),"")</f>
        <v/>
      </c>
      <c r="S2771" t="str">
        <f>IFERROR(VLOOKUP('OB Format'!D2771,'Team Data'!C:AC,25,FALSE),"")</f>
        <v/>
      </c>
    </row>
    <row r="2772" spans="5:19" x14ac:dyDescent="0.25">
      <c r="E2772" t="str">
        <f>IFERROR(VLOOKUP(D2772,'Team Data'!C:AB,4,FALSE),"")</f>
        <v/>
      </c>
      <c r="F2772" t="str">
        <f>IFERROR(VLOOKUP(D2772,'Team Data'!C:AB,5,FALSE),"")</f>
        <v/>
      </c>
      <c r="G2772" t="str">
        <f>IFERROR(VLOOKUP('OB Format'!D2772,'Team Data'!C:AB,17,FALSE),"")</f>
        <v/>
      </c>
      <c r="H2772" t="str">
        <f>IFERROR(VLOOKUP(D2772,'Team Data'!C:AB,7,FALSE),"")</f>
        <v/>
      </c>
      <c r="I2772" t="str">
        <f>IFERROR(VLOOKUP(D2772,'Team Data'!C:AB,14,FALSE),"")</f>
        <v/>
      </c>
      <c r="J2772" t="str">
        <f>IFERROR(VLOOKUP(D2772,'Team Data'!C:AB,8,FALSE),"")</f>
        <v/>
      </c>
      <c r="K2772" t="str">
        <f>IFERROR(VLOOKUP(D2772,'Team Data'!C:AB,9,FALSE),"")</f>
        <v/>
      </c>
      <c r="L2772" t="str">
        <f>IFERROR(VLOOKUP(D2772,'Team Data'!C:AB,10,FALSE),"")</f>
        <v/>
      </c>
      <c r="M2772" t="str">
        <f t="shared" si="88"/>
        <v/>
      </c>
      <c r="N2772" t="str">
        <f>IFERROR(VLOOKUP(D2772,'Team Data'!C:AB,23,FALSE),"")</f>
        <v/>
      </c>
      <c r="O2772" t="str">
        <f>IFERROR(VLOOKUP(D2772,'Team Data'!C:AB,22,FALSE),"")</f>
        <v/>
      </c>
      <c r="P2772" t="str">
        <f t="shared" si="89"/>
        <v/>
      </c>
      <c r="Q2772" t="str">
        <f>IFERROR(VLOOKUP(D2772,'Team Data'!C:AB,15,FALSE),"")</f>
        <v/>
      </c>
      <c r="R2772" t="str">
        <f>IFERROR(VLOOKUP('OB Format'!D2772,'Team Data'!C:AB,24,FALSE),"")</f>
        <v/>
      </c>
      <c r="S2772" t="str">
        <f>IFERROR(VLOOKUP('OB Format'!D2772,'Team Data'!C:AC,25,FALSE),"")</f>
        <v/>
      </c>
    </row>
    <row r="2773" spans="5:19" x14ac:dyDescent="0.25">
      <c r="E2773" t="str">
        <f>IFERROR(VLOOKUP(D2773,'Team Data'!C:AB,4,FALSE),"")</f>
        <v/>
      </c>
      <c r="F2773" t="str">
        <f>IFERROR(VLOOKUP(D2773,'Team Data'!C:AB,5,FALSE),"")</f>
        <v/>
      </c>
      <c r="G2773" t="str">
        <f>IFERROR(VLOOKUP('OB Format'!D2773,'Team Data'!C:AB,17,FALSE),"")</f>
        <v/>
      </c>
      <c r="H2773" t="str">
        <f>IFERROR(VLOOKUP(D2773,'Team Data'!C:AB,7,FALSE),"")</f>
        <v/>
      </c>
      <c r="I2773" t="str">
        <f>IFERROR(VLOOKUP(D2773,'Team Data'!C:AB,14,FALSE),"")</f>
        <v/>
      </c>
      <c r="J2773" t="str">
        <f>IFERROR(VLOOKUP(D2773,'Team Data'!C:AB,8,FALSE),"")</f>
        <v/>
      </c>
      <c r="K2773" t="str">
        <f>IFERROR(VLOOKUP(D2773,'Team Data'!C:AB,9,FALSE),"")</f>
        <v/>
      </c>
      <c r="L2773" t="str">
        <f>IFERROR(VLOOKUP(D2773,'Team Data'!C:AB,10,FALSE),"")</f>
        <v/>
      </c>
      <c r="M2773" t="str">
        <f t="shared" si="88"/>
        <v/>
      </c>
      <c r="N2773" t="str">
        <f>IFERROR(VLOOKUP(D2773,'Team Data'!C:AB,23,FALSE),"")</f>
        <v/>
      </c>
      <c r="O2773" t="str">
        <f>IFERROR(VLOOKUP(D2773,'Team Data'!C:AB,22,FALSE),"")</f>
        <v/>
      </c>
      <c r="P2773" t="str">
        <f t="shared" si="89"/>
        <v/>
      </c>
      <c r="Q2773" t="str">
        <f>IFERROR(VLOOKUP(D2773,'Team Data'!C:AB,15,FALSE),"")</f>
        <v/>
      </c>
      <c r="R2773" t="str">
        <f>IFERROR(VLOOKUP('OB Format'!D2773,'Team Data'!C:AB,24,FALSE),"")</f>
        <v/>
      </c>
      <c r="S2773" t="str">
        <f>IFERROR(VLOOKUP('OB Format'!D2773,'Team Data'!C:AC,25,FALSE),"")</f>
        <v/>
      </c>
    </row>
    <row r="2774" spans="5:19" x14ac:dyDescent="0.25">
      <c r="E2774" t="str">
        <f>IFERROR(VLOOKUP(D2774,'Team Data'!C:AB,4,FALSE),"")</f>
        <v/>
      </c>
      <c r="F2774" t="str">
        <f>IFERROR(VLOOKUP(D2774,'Team Data'!C:AB,5,FALSE),"")</f>
        <v/>
      </c>
      <c r="G2774" t="str">
        <f>IFERROR(VLOOKUP('OB Format'!D2774,'Team Data'!C:AB,17,FALSE),"")</f>
        <v/>
      </c>
      <c r="H2774" t="str">
        <f>IFERROR(VLOOKUP(D2774,'Team Data'!C:AB,7,FALSE),"")</f>
        <v/>
      </c>
      <c r="I2774" t="str">
        <f>IFERROR(VLOOKUP(D2774,'Team Data'!C:AB,14,FALSE),"")</f>
        <v/>
      </c>
      <c r="J2774" t="str">
        <f>IFERROR(VLOOKUP(D2774,'Team Data'!C:AB,8,FALSE),"")</f>
        <v/>
      </c>
      <c r="K2774" t="str">
        <f>IFERROR(VLOOKUP(D2774,'Team Data'!C:AB,9,FALSE),"")</f>
        <v/>
      </c>
      <c r="L2774" t="str">
        <f>IFERROR(VLOOKUP(D2774,'Team Data'!C:AB,10,FALSE),"")</f>
        <v/>
      </c>
      <c r="M2774" t="str">
        <f t="shared" si="88"/>
        <v/>
      </c>
      <c r="N2774" t="str">
        <f>IFERROR(VLOOKUP(D2774,'Team Data'!C:AB,23,FALSE),"")</f>
        <v/>
      </c>
      <c r="O2774" t="str">
        <f>IFERROR(VLOOKUP(D2774,'Team Data'!C:AB,22,FALSE),"")</f>
        <v/>
      </c>
      <c r="P2774" t="str">
        <f t="shared" si="89"/>
        <v/>
      </c>
      <c r="Q2774" t="str">
        <f>IFERROR(VLOOKUP(D2774,'Team Data'!C:AB,15,FALSE),"")</f>
        <v/>
      </c>
      <c r="R2774" t="str">
        <f>IFERROR(VLOOKUP('OB Format'!D2774,'Team Data'!C:AB,24,FALSE),"")</f>
        <v/>
      </c>
      <c r="S2774" t="str">
        <f>IFERROR(VLOOKUP('OB Format'!D2774,'Team Data'!C:AC,25,FALSE),"")</f>
        <v/>
      </c>
    </row>
    <row r="2775" spans="5:19" x14ac:dyDescent="0.25">
      <c r="E2775" t="str">
        <f>IFERROR(VLOOKUP(D2775,'Team Data'!C:AB,4,FALSE),"")</f>
        <v/>
      </c>
      <c r="F2775" t="str">
        <f>IFERROR(VLOOKUP(D2775,'Team Data'!C:AB,5,FALSE),"")</f>
        <v/>
      </c>
      <c r="G2775" t="str">
        <f>IFERROR(VLOOKUP('OB Format'!D2775,'Team Data'!C:AB,17,FALSE),"")</f>
        <v/>
      </c>
      <c r="H2775" t="str">
        <f>IFERROR(VLOOKUP(D2775,'Team Data'!C:AB,7,FALSE),"")</f>
        <v/>
      </c>
      <c r="I2775" t="str">
        <f>IFERROR(VLOOKUP(D2775,'Team Data'!C:AB,14,FALSE),"")</f>
        <v/>
      </c>
      <c r="J2775" t="str">
        <f>IFERROR(VLOOKUP(D2775,'Team Data'!C:AB,8,FALSE),"")</f>
        <v/>
      </c>
      <c r="K2775" t="str">
        <f>IFERROR(VLOOKUP(D2775,'Team Data'!C:AB,9,FALSE),"")</f>
        <v/>
      </c>
      <c r="L2775" t="str">
        <f>IFERROR(VLOOKUP(D2775,'Team Data'!C:AB,10,FALSE),"")</f>
        <v/>
      </c>
      <c r="M2775" t="str">
        <f t="shared" si="88"/>
        <v/>
      </c>
      <c r="N2775" t="str">
        <f>IFERROR(VLOOKUP(D2775,'Team Data'!C:AB,23,FALSE),"")</f>
        <v/>
      </c>
      <c r="O2775" t="str">
        <f>IFERROR(VLOOKUP(D2775,'Team Data'!C:AB,22,FALSE),"")</f>
        <v/>
      </c>
      <c r="P2775" t="str">
        <f t="shared" si="89"/>
        <v/>
      </c>
      <c r="Q2775" t="str">
        <f>IFERROR(VLOOKUP(D2775,'Team Data'!C:AB,15,FALSE),"")</f>
        <v/>
      </c>
      <c r="R2775" t="str">
        <f>IFERROR(VLOOKUP('OB Format'!D2775,'Team Data'!C:AB,24,FALSE),"")</f>
        <v/>
      </c>
      <c r="S2775" t="str">
        <f>IFERROR(VLOOKUP('OB Format'!D2775,'Team Data'!C:AC,25,FALSE),"")</f>
        <v/>
      </c>
    </row>
    <row r="2776" spans="5:19" x14ac:dyDescent="0.25">
      <c r="E2776" t="str">
        <f>IFERROR(VLOOKUP(D2776,'Team Data'!C:AB,4,FALSE),"")</f>
        <v/>
      </c>
      <c r="F2776" t="str">
        <f>IFERROR(VLOOKUP(D2776,'Team Data'!C:AB,5,FALSE),"")</f>
        <v/>
      </c>
      <c r="G2776" t="str">
        <f>IFERROR(VLOOKUP('OB Format'!D2776,'Team Data'!C:AB,17,FALSE),"")</f>
        <v/>
      </c>
      <c r="H2776" t="str">
        <f>IFERROR(VLOOKUP(D2776,'Team Data'!C:AB,7,FALSE),"")</f>
        <v/>
      </c>
      <c r="I2776" t="str">
        <f>IFERROR(VLOOKUP(D2776,'Team Data'!C:AB,14,FALSE),"")</f>
        <v/>
      </c>
      <c r="J2776" t="str">
        <f>IFERROR(VLOOKUP(D2776,'Team Data'!C:AB,8,FALSE),"")</f>
        <v/>
      </c>
      <c r="K2776" t="str">
        <f>IFERROR(VLOOKUP(D2776,'Team Data'!C:AB,9,FALSE),"")</f>
        <v/>
      </c>
      <c r="L2776" t="str">
        <f>IFERROR(VLOOKUP(D2776,'Team Data'!C:AB,10,FALSE),"")</f>
        <v/>
      </c>
      <c r="M2776" t="str">
        <f t="shared" si="88"/>
        <v/>
      </c>
      <c r="N2776" t="str">
        <f>IFERROR(VLOOKUP(D2776,'Team Data'!C:AB,23,FALSE),"")</f>
        <v/>
      </c>
      <c r="O2776" t="str">
        <f>IFERROR(VLOOKUP(D2776,'Team Data'!C:AB,22,FALSE),"")</f>
        <v/>
      </c>
      <c r="P2776" t="str">
        <f t="shared" si="89"/>
        <v/>
      </c>
      <c r="Q2776" t="str">
        <f>IFERROR(VLOOKUP(D2776,'Team Data'!C:AB,15,FALSE),"")</f>
        <v/>
      </c>
      <c r="R2776" t="str">
        <f>IFERROR(VLOOKUP('OB Format'!D2776,'Team Data'!C:AB,24,FALSE),"")</f>
        <v/>
      </c>
      <c r="S2776" t="str">
        <f>IFERROR(VLOOKUP('OB Format'!D2776,'Team Data'!C:AC,25,FALSE),"")</f>
        <v/>
      </c>
    </row>
    <row r="2777" spans="5:19" x14ac:dyDescent="0.25">
      <c r="E2777" t="str">
        <f>IFERROR(VLOOKUP(D2777,'Team Data'!C:AB,4,FALSE),"")</f>
        <v/>
      </c>
      <c r="F2777" t="str">
        <f>IFERROR(VLOOKUP(D2777,'Team Data'!C:AB,5,FALSE),"")</f>
        <v/>
      </c>
      <c r="G2777" t="str">
        <f>IFERROR(VLOOKUP('OB Format'!D2777,'Team Data'!C:AB,17,FALSE),"")</f>
        <v/>
      </c>
      <c r="H2777" t="str">
        <f>IFERROR(VLOOKUP(D2777,'Team Data'!C:AB,7,FALSE),"")</f>
        <v/>
      </c>
      <c r="I2777" t="str">
        <f>IFERROR(VLOOKUP(D2777,'Team Data'!C:AB,14,FALSE),"")</f>
        <v/>
      </c>
      <c r="J2777" t="str">
        <f>IFERROR(VLOOKUP(D2777,'Team Data'!C:AB,8,FALSE),"")</f>
        <v/>
      </c>
      <c r="K2777" t="str">
        <f>IFERROR(VLOOKUP(D2777,'Team Data'!C:AB,9,FALSE),"")</f>
        <v/>
      </c>
      <c r="L2777" t="str">
        <f>IFERROR(VLOOKUP(D2777,'Team Data'!C:AB,10,FALSE),"")</f>
        <v/>
      </c>
      <c r="M2777" t="str">
        <f t="shared" si="88"/>
        <v/>
      </c>
      <c r="N2777" t="str">
        <f>IFERROR(VLOOKUP(D2777,'Team Data'!C:AB,23,FALSE),"")</f>
        <v/>
      </c>
      <c r="O2777" t="str">
        <f>IFERROR(VLOOKUP(D2777,'Team Data'!C:AB,22,FALSE),"")</f>
        <v/>
      </c>
      <c r="P2777" t="str">
        <f t="shared" si="89"/>
        <v/>
      </c>
      <c r="Q2777" t="str">
        <f>IFERROR(VLOOKUP(D2777,'Team Data'!C:AB,15,FALSE),"")</f>
        <v/>
      </c>
      <c r="R2777" t="str">
        <f>IFERROR(VLOOKUP('OB Format'!D2777,'Team Data'!C:AB,24,FALSE),"")</f>
        <v/>
      </c>
      <c r="S2777" t="str">
        <f>IFERROR(VLOOKUP('OB Format'!D2777,'Team Data'!C:AC,25,FALSE),"")</f>
        <v/>
      </c>
    </row>
    <row r="2778" spans="5:19" x14ac:dyDescent="0.25">
      <c r="E2778" t="str">
        <f>IFERROR(VLOOKUP(D2778,'Team Data'!C:AB,4,FALSE),"")</f>
        <v/>
      </c>
      <c r="F2778" t="str">
        <f>IFERROR(VLOOKUP(D2778,'Team Data'!C:AB,5,FALSE),"")</f>
        <v/>
      </c>
      <c r="G2778" t="str">
        <f>IFERROR(VLOOKUP('OB Format'!D2778,'Team Data'!C:AB,17,FALSE),"")</f>
        <v/>
      </c>
      <c r="H2778" t="str">
        <f>IFERROR(VLOOKUP(D2778,'Team Data'!C:AB,7,FALSE),"")</f>
        <v/>
      </c>
      <c r="I2778" t="str">
        <f>IFERROR(VLOOKUP(D2778,'Team Data'!C:AB,14,FALSE),"")</f>
        <v/>
      </c>
      <c r="J2778" t="str">
        <f>IFERROR(VLOOKUP(D2778,'Team Data'!C:AB,8,FALSE),"")</f>
        <v/>
      </c>
      <c r="K2778" t="str">
        <f>IFERROR(VLOOKUP(D2778,'Team Data'!C:AB,9,FALSE),"")</f>
        <v/>
      </c>
      <c r="L2778" t="str">
        <f>IFERROR(VLOOKUP(D2778,'Team Data'!C:AB,10,FALSE),"")</f>
        <v/>
      </c>
      <c r="M2778" t="str">
        <f t="shared" si="88"/>
        <v/>
      </c>
      <c r="N2778" t="str">
        <f>IFERROR(VLOOKUP(D2778,'Team Data'!C:AB,23,FALSE),"")</f>
        <v/>
      </c>
      <c r="O2778" t="str">
        <f>IFERROR(VLOOKUP(D2778,'Team Data'!C:AB,22,FALSE),"")</f>
        <v/>
      </c>
      <c r="P2778" t="str">
        <f t="shared" si="89"/>
        <v/>
      </c>
      <c r="Q2778" t="str">
        <f>IFERROR(VLOOKUP(D2778,'Team Data'!C:AB,15,FALSE),"")</f>
        <v/>
      </c>
      <c r="R2778" t="str">
        <f>IFERROR(VLOOKUP('OB Format'!D2778,'Team Data'!C:AB,24,FALSE),"")</f>
        <v/>
      </c>
      <c r="S2778" t="str">
        <f>IFERROR(VLOOKUP('OB Format'!D2778,'Team Data'!C:AC,25,FALSE),"")</f>
        <v/>
      </c>
    </row>
    <row r="2779" spans="5:19" x14ac:dyDescent="0.25">
      <c r="E2779" t="str">
        <f>IFERROR(VLOOKUP(D2779,'Team Data'!C:AB,4,FALSE),"")</f>
        <v/>
      </c>
      <c r="F2779" t="str">
        <f>IFERROR(VLOOKUP(D2779,'Team Data'!C:AB,5,FALSE),"")</f>
        <v/>
      </c>
      <c r="G2779" t="str">
        <f>IFERROR(VLOOKUP('OB Format'!D2779,'Team Data'!C:AB,17,FALSE),"")</f>
        <v/>
      </c>
      <c r="H2779" t="str">
        <f>IFERROR(VLOOKUP(D2779,'Team Data'!C:AB,7,FALSE),"")</f>
        <v/>
      </c>
      <c r="I2779" t="str">
        <f>IFERROR(VLOOKUP(D2779,'Team Data'!C:AB,14,FALSE),"")</f>
        <v/>
      </c>
      <c r="J2779" t="str">
        <f>IFERROR(VLOOKUP(D2779,'Team Data'!C:AB,8,FALSE),"")</f>
        <v/>
      </c>
      <c r="K2779" t="str">
        <f>IFERROR(VLOOKUP(D2779,'Team Data'!C:AB,9,FALSE),"")</f>
        <v/>
      </c>
      <c r="L2779" t="str">
        <f>IFERROR(VLOOKUP(D2779,'Team Data'!C:AB,10,FALSE),"")</f>
        <v/>
      </c>
      <c r="M2779" t="str">
        <f t="shared" si="88"/>
        <v/>
      </c>
      <c r="N2779" t="str">
        <f>IFERROR(VLOOKUP(D2779,'Team Data'!C:AB,23,FALSE),"")</f>
        <v/>
      </c>
      <c r="O2779" t="str">
        <f>IFERROR(VLOOKUP(D2779,'Team Data'!C:AB,22,FALSE),"")</f>
        <v/>
      </c>
      <c r="P2779" t="str">
        <f t="shared" si="89"/>
        <v/>
      </c>
      <c r="Q2779" t="str">
        <f>IFERROR(VLOOKUP(D2779,'Team Data'!C:AB,15,FALSE),"")</f>
        <v/>
      </c>
      <c r="R2779" t="str">
        <f>IFERROR(VLOOKUP('OB Format'!D2779,'Team Data'!C:AB,24,FALSE),"")</f>
        <v/>
      </c>
      <c r="S2779" t="str">
        <f>IFERROR(VLOOKUP('OB Format'!D2779,'Team Data'!C:AC,25,FALSE),"")</f>
        <v/>
      </c>
    </row>
    <row r="2780" spans="5:19" x14ac:dyDescent="0.25">
      <c r="E2780" t="str">
        <f>IFERROR(VLOOKUP(D2780,'Team Data'!C:AB,4,FALSE),"")</f>
        <v/>
      </c>
      <c r="F2780" t="str">
        <f>IFERROR(VLOOKUP(D2780,'Team Data'!C:AB,5,FALSE),"")</f>
        <v/>
      </c>
      <c r="G2780" t="str">
        <f>IFERROR(VLOOKUP('OB Format'!D2780,'Team Data'!C:AB,17,FALSE),"")</f>
        <v/>
      </c>
      <c r="H2780" t="str">
        <f>IFERROR(VLOOKUP(D2780,'Team Data'!C:AB,7,FALSE),"")</f>
        <v/>
      </c>
      <c r="I2780" t="str">
        <f>IFERROR(VLOOKUP(D2780,'Team Data'!C:AB,14,FALSE),"")</f>
        <v/>
      </c>
      <c r="J2780" t="str">
        <f>IFERROR(VLOOKUP(D2780,'Team Data'!C:AB,8,FALSE),"")</f>
        <v/>
      </c>
      <c r="K2780" t="str">
        <f>IFERROR(VLOOKUP(D2780,'Team Data'!C:AB,9,FALSE),"")</f>
        <v/>
      </c>
      <c r="L2780" t="str">
        <f>IFERROR(VLOOKUP(D2780,'Team Data'!C:AB,10,FALSE),"")</f>
        <v/>
      </c>
      <c r="M2780" t="str">
        <f t="shared" si="88"/>
        <v/>
      </c>
      <c r="N2780" t="str">
        <f>IFERROR(VLOOKUP(D2780,'Team Data'!C:AB,23,FALSE),"")</f>
        <v/>
      </c>
      <c r="O2780" t="str">
        <f>IFERROR(VLOOKUP(D2780,'Team Data'!C:AB,22,FALSE),"")</f>
        <v/>
      </c>
      <c r="P2780" t="str">
        <f t="shared" si="89"/>
        <v/>
      </c>
      <c r="Q2780" t="str">
        <f>IFERROR(VLOOKUP(D2780,'Team Data'!C:AB,15,FALSE),"")</f>
        <v/>
      </c>
      <c r="R2780" t="str">
        <f>IFERROR(VLOOKUP('OB Format'!D2780,'Team Data'!C:AB,24,FALSE),"")</f>
        <v/>
      </c>
      <c r="S2780" t="str">
        <f>IFERROR(VLOOKUP('OB Format'!D2780,'Team Data'!C:AC,25,FALSE),"")</f>
        <v/>
      </c>
    </row>
    <row r="2781" spans="5:19" x14ac:dyDescent="0.25">
      <c r="E2781" t="str">
        <f>IFERROR(VLOOKUP(D2781,'Team Data'!C:AB,4,FALSE),"")</f>
        <v/>
      </c>
      <c r="F2781" t="str">
        <f>IFERROR(VLOOKUP(D2781,'Team Data'!C:AB,5,FALSE),"")</f>
        <v/>
      </c>
      <c r="G2781" t="str">
        <f>IFERROR(VLOOKUP('OB Format'!D2781,'Team Data'!C:AB,17,FALSE),"")</f>
        <v/>
      </c>
      <c r="H2781" t="str">
        <f>IFERROR(VLOOKUP(D2781,'Team Data'!C:AB,7,FALSE),"")</f>
        <v/>
      </c>
      <c r="I2781" t="str">
        <f>IFERROR(VLOOKUP(D2781,'Team Data'!C:AB,14,FALSE),"")</f>
        <v/>
      </c>
      <c r="J2781" t="str">
        <f>IFERROR(VLOOKUP(D2781,'Team Data'!C:AB,8,FALSE),"")</f>
        <v/>
      </c>
      <c r="K2781" t="str">
        <f>IFERROR(VLOOKUP(D2781,'Team Data'!C:AB,9,FALSE),"")</f>
        <v/>
      </c>
      <c r="L2781" t="str">
        <f>IFERROR(VLOOKUP(D2781,'Team Data'!C:AB,10,FALSE),"")</f>
        <v/>
      </c>
      <c r="M2781" t="str">
        <f t="shared" si="88"/>
        <v/>
      </c>
      <c r="N2781" t="str">
        <f>IFERROR(VLOOKUP(D2781,'Team Data'!C:AB,23,FALSE),"")</f>
        <v/>
      </c>
      <c r="O2781" t="str">
        <f>IFERROR(VLOOKUP(D2781,'Team Data'!C:AB,22,FALSE),"")</f>
        <v/>
      </c>
      <c r="P2781" t="str">
        <f t="shared" si="89"/>
        <v/>
      </c>
      <c r="Q2781" t="str">
        <f>IFERROR(VLOOKUP(D2781,'Team Data'!C:AB,15,FALSE),"")</f>
        <v/>
      </c>
      <c r="R2781" t="str">
        <f>IFERROR(VLOOKUP('OB Format'!D2781,'Team Data'!C:AB,24,FALSE),"")</f>
        <v/>
      </c>
      <c r="S2781" t="str">
        <f>IFERROR(VLOOKUP('OB Format'!D2781,'Team Data'!C:AC,25,FALSE),"")</f>
        <v/>
      </c>
    </row>
    <row r="2782" spans="5:19" x14ac:dyDescent="0.25">
      <c r="E2782" t="str">
        <f>IFERROR(VLOOKUP(D2782,'Team Data'!C:AB,4,FALSE),"")</f>
        <v/>
      </c>
      <c r="F2782" t="str">
        <f>IFERROR(VLOOKUP(D2782,'Team Data'!C:AB,5,FALSE),"")</f>
        <v/>
      </c>
      <c r="G2782" t="str">
        <f>IFERROR(VLOOKUP('OB Format'!D2782,'Team Data'!C:AB,17,FALSE),"")</f>
        <v/>
      </c>
      <c r="H2782" t="str">
        <f>IFERROR(VLOOKUP(D2782,'Team Data'!C:AB,7,FALSE),"")</f>
        <v/>
      </c>
      <c r="I2782" t="str">
        <f>IFERROR(VLOOKUP(D2782,'Team Data'!C:AB,14,FALSE),"")</f>
        <v/>
      </c>
      <c r="J2782" t="str">
        <f>IFERROR(VLOOKUP(D2782,'Team Data'!C:AB,8,FALSE),"")</f>
        <v/>
      </c>
      <c r="K2782" t="str">
        <f>IFERROR(VLOOKUP(D2782,'Team Data'!C:AB,9,FALSE),"")</f>
        <v/>
      </c>
      <c r="L2782" t="str">
        <f>IFERROR(VLOOKUP(D2782,'Team Data'!C:AB,10,FALSE),"")</f>
        <v/>
      </c>
      <c r="M2782" t="str">
        <f t="shared" si="88"/>
        <v/>
      </c>
      <c r="N2782" t="str">
        <f>IFERROR(VLOOKUP(D2782,'Team Data'!C:AB,23,FALSE),"")</f>
        <v/>
      </c>
      <c r="O2782" t="str">
        <f>IFERROR(VLOOKUP(D2782,'Team Data'!C:AB,22,FALSE),"")</f>
        <v/>
      </c>
      <c r="P2782" t="str">
        <f t="shared" si="89"/>
        <v/>
      </c>
      <c r="Q2782" t="str">
        <f>IFERROR(VLOOKUP(D2782,'Team Data'!C:AB,15,FALSE),"")</f>
        <v/>
      </c>
      <c r="R2782" t="str">
        <f>IFERROR(VLOOKUP('OB Format'!D2782,'Team Data'!C:AB,24,FALSE),"")</f>
        <v/>
      </c>
      <c r="S2782" t="str">
        <f>IFERROR(VLOOKUP('OB Format'!D2782,'Team Data'!C:AC,25,FALSE),"")</f>
        <v/>
      </c>
    </row>
    <row r="2783" spans="5:19" x14ac:dyDescent="0.25">
      <c r="E2783" t="str">
        <f>IFERROR(VLOOKUP(D2783,'Team Data'!C:AB,4,FALSE),"")</f>
        <v/>
      </c>
      <c r="F2783" t="str">
        <f>IFERROR(VLOOKUP(D2783,'Team Data'!C:AB,5,FALSE),"")</f>
        <v/>
      </c>
      <c r="G2783" t="str">
        <f>IFERROR(VLOOKUP('OB Format'!D2783,'Team Data'!C:AB,17,FALSE),"")</f>
        <v/>
      </c>
      <c r="H2783" t="str">
        <f>IFERROR(VLOOKUP(D2783,'Team Data'!C:AB,7,FALSE),"")</f>
        <v/>
      </c>
      <c r="I2783" t="str">
        <f>IFERROR(VLOOKUP(D2783,'Team Data'!C:AB,14,FALSE),"")</f>
        <v/>
      </c>
      <c r="J2783" t="str">
        <f>IFERROR(VLOOKUP(D2783,'Team Data'!C:AB,8,FALSE),"")</f>
        <v/>
      </c>
      <c r="K2783" t="str">
        <f>IFERROR(VLOOKUP(D2783,'Team Data'!C:AB,9,FALSE),"")</f>
        <v/>
      </c>
      <c r="L2783" t="str">
        <f>IFERROR(VLOOKUP(D2783,'Team Data'!C:AB,10,FALSE),"")</f>
        <v/>
      </c>
      <c r="M2783" t="str">
        <f t="shared" si="88"/>
        <v/>
      </c>
      <c r="N2783" t="str">
        <f>IFERROR(VLOOKUP(D2783,'Team Data'!C:AB,23,FALSE),"")</f>
        <v/>
      </c>
      <c r="O2783" t="str">
        <f>IFERROR(VLOOKUP(D2783,'Team Data'!C:AB,22,FALSE),"")</f>
        <v/>
      </c>
      <c r="P2783" t="str">
        <f t="shared" si="89"/>
        <v/>
      </c>
      <c r="Q2783" t="str">
        <f>IFERROR(VLOOKUP(D2783,'Team Data'!C:AB,15,FALSE),"")</f>
        <v/>
      </c>
      <c r="R2783" t="str">
        <f>IFERROR(VLOOKUP('OB Format'!D2783,'Team Data'!C:AB,24,FALSE),"")</f>
        <v/>
      </c>
      <c r="S2783" t="str">
        <f>IFERROR(VLOOKUP('OB Format'!D2783,'Team Data'!C:AC,25,FALSE),"")</f>
        <v/>
      </c>
    </row>
    <row r="2784" spans="5:19" x14ac:dyDescent="0.25">
      <c r="E2784" t="str">
        <f>IFERROR(VLOOKUP(D2784,'Team Data'!C:AB,4,FALSE),"")</f>
        <v/>
      </c>
      <c r="F2784" t="str">
        <f>IFERROR(VLOOKUP(D2784,'Team Data'!C:AB,5,FALSE),"")</f>
        <v/>
      </c>
      <c r="G2784" t="str">
        <f>IFERROR(VLOOKUP('OB Format'!D2784,'Team Data'!C:AB,17,FALSE),"")</f>
        <v/>
      </c>
      <c r="H2784" t="str">
        <f>IFERROR(VLOOKUP(D2784,'Team Data'!C:AB,7,FALSE),"")</f>
        <v/>
      </c>
      <c r="I2784" t="str">
        <f>IFERROR(VLOOKUP(D2784,'Team Data'!C:AB,14,FALSE),"")</f>
        <v/>
      </c>
      <c r="J2784" t="str">
        <f>IFERROR(VLOOKUP(D2784,'Team Data'!C:AB,8,FALSE),"")</f>
        <v/>
      </c>
      <c r="K2784" t="str">
        <f>IFERROR(VLOOKUP(D2784,'Team Data'!C:AB,9,FALSE),"")</f>
        <v/>
      </c>
      <c r="L2784" t="str">
        <f>IFERROR(VLOOKUP(D2784,'Team Data'!C:AB,10,FALSE),"")</f>
        <v/>
      </c>
      <c r="M2784" t="str">
        <f t="shared" si="88"/>
        <v/>
      </c>
      <c r="N2784" t="str">
        <f>IFERROR(VLOOKUP(D2784,'Team Data'!C:AB,23,FALSE),"")</f>
        <v/>
      </c>
      <c r="O2784" t="str">
        <f>IFERROR(VLOOKUP(D2784,'Team Data'!C:AB,22,FALSE),"")</f>
        <v/>
      </c>
      <c r="P2784" t="str">
        <f t="shared" si="89"/>
        <v/>
      </c>
      <c r="Q2784" t="str">
        <f>IFERROR(VLOOKUP(D2784,'Team Data'!C:AB,15,FALSE),"")</f>
        <v/>
      </c>
      <c r="R2784" t="str">
        <f>IFERROR(VLOOKUP('OB Format'!D2784,'Team Data'!C:AB,24,FALSE),"")</f>
        <v/>
      </c>
      <c r="S2784" t="str">
        <f>IFERROR(VLOOKUP('OB Format'!D2784,'Team Data'!C:AC,25,FALSE),"")</f>
        <v/>
      </c>
    </row>
    <row r="2785" spans="5:19" x14ac:dyDescent="0.25">
      <c r="E2785" t="str">
        <f>IFERROR(VLOOKUP(D2785,'Team Data'!C:AB,4,FALSE),"")</f>
        <v/>
      </c>
      <c r="F2785" t="str">
        <f>IFERROR(VLOOKUP(D2785,'Team Data'!C:AB,5,FALSE),"")</f>
        <v/>
      </c>
      <c r="G2785" t="str">
        <f>IFERROR(VLOOKUP('OB Format'!D2785,'Team Data'!C:AB,17,FALSE),"")</f>
        <v/>
      </c>
      <c r="H2785" t="str">
        <f>IFERROR(VLOOKUP(D2785,'Team Data'!C:AB,7,FALSE),"")</f>
        <v/>
      </c>
      <c r="I2785" t="str">
        <f>IFERROR(VLOOKUP(D2785,'Team Data'!C:AB,14,FALSE),"")</f>
        <v/>
      </c>
      <c r="J2785" t="str">
        <f>IFERROR(VLOOKUP(D2785,'Team Data'!C:AB,8,FALSE),"")</f>
        <v/>
      </c>
      <c r="K2785" t="str">
        <f>IFERROR(VLOOKUP(D2785,'Team Data'!C:AB,9,FALSE),"")</f>
        <v/>
      </c>
      <c r="L2785" t="str">
        <f>IFERROR(VLOOKUP(D2785,'Team Data'!C:AB,10,FALSE),"")</f>
        <v/>
      </c>
      <c r="M2785" t="str">
        <f t="shared" si="88"/>
        <v/>
      </c>
      <c r="N2785" t="str">
        <f>IFERROR(VLOOKUP(D2785,'Team Data'!C:AB,23,FALSE),"")</f>
        <v/>
      </c>
      <c r="O2785" t="str">
        <f>IFERROR(VLOOKUP(D2785,'Team Data'!C:AB,22,FALSE),"")</f>
        <v/>
      </c>
      <c r="P2785" t="str">
        <f t="shared" si="89"/>
        <v/>
      </c>
      <c r="Q2785" t="str">
        <f>IFERROR(VLOOKUP(D2785,'Team Data'!C:AB,15,FALSE),"")</f>
        <v/>
      </c>
      <c r="R2785" t="str">
        <f>IFERROR(VLOOKUP('OB Format'!D2785,'Team Data'!C:AB,24,FALSE),"")</f>
        <v/>
      </c>
      <c r="S2785" t="str">
        <f>IFERROR(VLOOKUP('OB Format'!D2785,'Team Data'!C:AC,25,FALSE),"")</f>
        <v/>
      </c>
    </row>
    <row r="2786" spans="5:19" x14ac:dyDescent="0.25">
      <c r="E2786" t="str">
        <f>IFERROR(VLOOKUP(D2786,'Team Data'!C:AB,4,FALSE),"")</f>
        <v/>
      </c>
      <c r="F2786" t="str">
        <f>IFERROR(VLOOKUP(D2786,'Team Data'!C:AB,5,FALSE),"")</f>
        <v/>
      </c>
      <c r="G2786" t="str">
        <f>IFERROR(VLOOKUP('OB Format'!D2786,'Team Data'!C:AB,17,FALSE),"")</f>
        <v/>
      </c>
      <c r="H2786" t="str">
        <f>IFERROR(VLOOKUP(D2786,'Team Data'!C:AB,7,FALSE),"")</f>
        <v/>
      </c>
      <c r="I2786" t="str">
        <f>IFERROR(VLOOKUP(D2786,'Team Data'!C:AB,14,FALSE),"")</f>
        <v/>
      </c>
      <c r="J2786" t="str">
        <f>IFERROR(VLOOKUP(D2786,'Team Data'!C:AB,8,FALSE),"")</f>
        <v/>
      </c>
      <c r="K2786" t="str">
        <f>IFERROR(VLOOKUP(D2786,'Team Data'!C:AB,9,FALSE),"")</f>
        <v/>
      </c>
      <c r="L2786" t="str">
        <f>IFERROR(VLOOKUP(D2786,'Team Data'!C:AB,10,FALSE),"")</f>
        <v/>
      </c>
      <c r="M2786" t="str">
        <f t="shared" si="88"/>
        <v/>
      </c>
      <c r="N2786" t="str">
        <f>IFERROR(VLOOKUP(D2786,'Team Data'!C:AB,23,FALSE),"")</f>
        <v/>
      </c>
      <c r="O2786" t="str">
        <f>IFERROR(VLOOKUP(D2786,'Team Data'!C:AB,22,FALSE),"")</f>
        <v/>
      </c>
      <c r="P2786" t="str">
        <f t="shared" si="89"/>
        <v/>
      </c>
      <c r="Q2786" t="str">
        <f>IFERROR(VLOOKUP(D2786,'Team Data'!C:AB,15,FALSE),"")</f>
        <v/>
      </c>
      <c r="R2786" t="str">
        <f>IFERROR(VLOOKUP('OB Format'!D2786,'Team Data'!C:AB,24,FALSE),"")</f>
        <v/>
      </c>
      <c r="S2786" t="str">
        <f>IFERROR(VLOOKUP('OB Format'!D2786,'Team Data'!C:AC,25,FALSE),"")</f>
        <v/>
      </c>
    </row>
    <row r="2787" spans="5:19" x14ac:dyDescent="0.25">
      <c r="E2787" t="str">
        <f>IFERROR(VLOOKUP(D2787,'Team Data'!C:AB,4,FALSE),"")</f>
        <v/>
      </c>
      <c r="F2787" t="str">
        <f>IFERROR(VLOOKUP(D2787,'Team Data'!C:AB,5,FALSE),"")</f>
        <v/>
      </c>
      <c r="G2787" t="str">
        <f>IFERROR(VLOOKUP('OB Format'!D2787,'Team Data'!C:AB,17,FALSE),"")</f>
        <v/>
      </c>
      <c r="H2787" t="str">
        <f>IFERROR(VLOOKUP(D2787,'Team Data'!C:AB,7,FALSE),"")</f>
        <v/>
      </c>
      <c r="I2787" t="str">
        <f>IFERROR(VLOOKUP(D2787,'Team Data'!C:AB,14,FALSE),"")</f>
        <v/>
      </c>
      <c r="J2787" t="str">
        <f>IFERROR(VLOOKUP(D2787,'Team Data'!C:AB,8,FALSE),"")</f>
        <v/>
      </c>
      <c r="K2787" t="str">
        <f>IFERROR(VLOOKUP(D2787,'Team Data'!C:AB,9,FALSE),"")</f>
        <v/>
      </c>
      <c r="L2787" t="str">
        <f>IFERROR(VLOOKUP(D2787,'Team Data'!C:AB,10,FALSE),"")</f>
        <v/>
      </c>
      <c r="M2787" t="str">
        <f t="shared" si="88"/>
        <v/>
      </c>
      <c r="N2787" t="str">
        <f>IFERROR(VLOOKUP(D2787,'Team Data'!C:AB,23,FALSE),"")</f>
        <v/>
      </c>
      <c r="O2787" t="str">
        <f>IFERROR(VLOOKUP(D2787,'Team Data'!C:AB,22,FALSE),"")</f>
        <v/>
      </c>
      <c r="P2787" t="str">
        <f t="shared" si="89"/>
        <v/>
      </c>
      <c r="Q2787" t="str">
        <f>IFERROR(VLOOKUP(D2787,'Team Data'!C:AB,15,FALSE),"")</f>
        <v/>
      </c>
      <c r="R2787" t="str">
        <f>IFERROR(VLOOKUP('OB Format'!D2787,'Team Data'!C:AB,24,FALSE),"")</f>
        <v/>
      </c>
      <c r="S2787" t="str">
        <f>IFERROR(VLOOKUP('OB Format'!D2787,'Team Data'!C:AC,25,FALSE),"")</f>
        <v/>
      </c>
    </row>
    <row r="2788" spans="5:19" x14ac:dyDescent="0.25">
      <c r="E2788" t="str">
        <f>IFERROR(VLOOKUP(D2788,'Team Data'!C:AB,4,FALSE),"")</f>
        <v/>
      </c>
      <c r="F2788" t="str">
        <f>IFERROR(VLOOKUP(D2788,'Team Data'!C:AB,5,FALSE),"")</f>
        <v/>
      </c>
      <c r="G2788" t="str">
        <f>IFERROR(VLOOKUP('OB Format'!D2788,'Team Data'!C:AB,17,FALSE),"")</f>
        <v/>
      </c>
      <c r="H2788" t="str">
        <f>IFERROR(VLOOKUP(D2788,'Team Data'!C:AB,7,FALSE),"")</f>
        <v/>
      </c>
      <c r="I2788" t="str">
        <f>IFERROR(VLOOKUP(D2788,'Team Data'!C:AB,14,FALSE),"")</f>
        <v/>
      </c>
      <c r="J2788" t="str">
        <f>IFERROR(VLOOKUP(D2788,'Team Data'!C:AB,8,FALSE),"")</f>
        <v/>
      </c>
      <c r="K2788" t="str">
        <f>IFERROR(VLOOKUP(D2788,'Team Data'!C:AB,9,FALSE),"")</f>
        <v/>
      </c>
      <c r="L2788" t="str">
        <f>IFERROR(VLOOKUP(D2788,'Team Data'!C:AB,10,FALSE),"")</f>
        <v/>
      </c>
      <c r="M2788" t="str">
        <f t="shared" si="88"/>
        <v/>
      </c>
      <c r="N2788" t="str">
        <f>IFERROR(VLOOKUP(D2788,'Team Data'!C:AB,23,FALSE),"")</f>
        <v/>
      </c>
      <c r="O2788" t="str">
        <f>IFERROR(VLOOKUP(D2788,'Team Data'!C:AB,22,FALSE),"")</f>
        <v/>
      </c>
      <c r="P2788" t="str">
        <f t="shared" si="89"/>
        <v/>
      </c>
      <c r="Q2788" t="str">
        <f>IFERROR(VLOOKUP(D2788,'Team Data'!C:AB,15,FALSE),"")</f>
        <v/>
      </c>
      <c r="R2788" t="str">
        <f>IFERROR(VLOOKUP('OB Format'!D2788,'Team Data'!C:AB,24,FALSE),"")</f>
        <v/>
      </c>
      <c r="S2788" t="str">
        <f>IFERROR(VLOOKUP('OB Format'!D2788,'Team Data'!C:AC,25,FALSE),"")</f>
        <v/>
      </c>
    </row>
    <row r="2789" spans="5:19" x14ac:dyDescent="0.25">
      <c r="E2789" t="str">
        <f>IFERROR(VLOOKUP(D2789,'Team Data'!C:AB,4,FALSE),"")</f>
        <v/>
      </c>
      <c r="F2789" t="str">
        <f>IFERROR(VLOOKUP(D2789,'Team Data'!C:AB,5,FALSE),"")</f>
        <v/>
      </c>
      <c r="G2789" t="str">
        <f>IFERROR(VLOOKUP('OB Format'!D2789,'Team Data'!C:AB,17,FALSE),"")</f>
        <v/>
      </c>
      <c r="H2789" t="str">
        <f>IFERROR(VLOOKUP(D2789,'Team Data'!C:AB,7,FALSE),"")</f>
        <v/>
      </c>
      <c r="I2789" t="str">
        <f>IFERROR(VLOOKUP(D2789,'Team Data'!C:AB,14,FALSE),"")</f>
        <v/>
      </c>
      <c r="J2789" t="str">
        <f>IFERROR(VLOOKUP(D2789,'Team Data'!C:AB,8,FALSE),"")</f>
        <v/>
      </c>
      <c r="K2789" t="str">
        <f>IFERROR(VLOOKUP(D2789,'Team Data'!C:AB,9,FALSE),"")</f>
        <v/>
      </c>
      <c r="L2789" t="str">
        <f>IFERROR(VLOOKUP(D2789,'Team Data'!C:AB,10,FALSE),"")</f>
        <v/>
      </c>
      <c r="M2789" t="str">
        <f t="shared" si="88"/>
        <v/>
      </c>
      <c r="N2789" t="str">
        <f>IFERROR(VLOOKUP(D2789,'Team Data'!C:AB,23,FALSE),"")</f>
        <v/>
      </c>
      <c r="O2789" t="str">
        <f>IFERROR(VLOOKUP(D2789,'Team Data'!C:AB,22,FALSE),"")</f>
        <v/>
      </c>
      <c r="P2789" t="str">
        <f t="shared" si="89"/>
        <v/>
      </c>
      <c r="Q2789" t="str">
        <f>IFERROR(VLOOKUP(D2789,'Team Data'!C:AB,15,FALSE),"")</f>
        <v/>
      </c>
      <c r="R2789" t="str">
        <f>IFERROR(VLOOKUP('OB Format'!D2789,'Team Data'!C:AB,24,FALSE),"")</f>
        <v/>
      </c>
      <c r="S2789" t="str">
        <f>IFERROR(VLOOKUP('OB Format'!D2789,'Team Data'!C:AC,25,FALSE),"")</f>
        <v/>
      </c>
    </row>
    <row r="2790" spans="5:19" x14ac:dyDescent="0.25">
      <c r="E2790" t="str">
        <f>IFERROR(VLOOKUP(D2790,'Team Data'!C:AB,4,FALSE),"")</f>
        <v/>
      </c>
      <c r="F2790" t="str">
        <f>IFERROR(VLOOKUP(D2790,'Team Data'!C:AB,5,FALSE),"")</f>
        <v/>
      </c>
      <c r="G2790" t="str">
        <f>IFERROR(VLOOKUP('OB Format'!D2790,'Team Data'!C:AB,17,FALSE),"")</f>
        <v/>
      </c>
      <c r="H2790" t="str">
        <f>IFERROR(VLOOKUP(D2790,'Team Data'!C:AB,7,FALSE),"")</f>
        <v/>
      </c>
      <c r="I2790" t="str">
        <f>IFERROR(VLOOKUP(D2790,'Team Data'!C:AB,14,FALSE),"")</f>
        <v/>
      </c>
      <c r="J2790" t="str">
        <f>IFERROR(VLOOKUP(D2790,'Team Data'!C:AB,8,FALSE),"")</f>
        <v/>
      </c>
      <c r="K2790" t="str">
        <f>IFERROR(VLOOKUP(D2790,'Team Data'!C:AB,9,FALSE),"")</f>
        <v/>
      </c>
      <c r="L2790" t="str">
        <f>IFERROR(VLOOKUP(D2790,'Team Data'!C:AB,10,FALSE),"")</f>
        <v/>
      </c>
      <c r="M2790" t="str">
        <f t="shared" si="88"/>
        <v/>
      </c>
      <c r="N2790" t="str">
        <f>IFERROR(VLOOKUP(D2790,'Team Data'!C:AB,23,FALSE),"")</f>
        <v/>
      </c>
      <c r="O2790" t="str">
        <f>IFERROR(VLOOKUP(D2790,'Team Data'!C:AB,22,FALSE),"")</f>
        <v/>
      </c>
      <c r="P2790" t="str">
        <f t="shared" si="89"/>
        <v/>
      </c>
      <c r="Q2790" t="str">
        <f>IFERROR(VLOOKUP(D2790,'Team Data'!C:AB,15,FALSE),"")</f>
        <v/>
      </c>
      <c r="R2790" t="str">
        <f>IFERROR(VLOOKUP('OB Format'!D2790,'Team Data'!C:AB,24,FALSE),"")</f>
        <v/>
      </c>
      <c r="S2790" t="str">
        <f>IFERROR(VLOOKUP('OB Format'!D2790,'Team Data'!C:AC,25,FALSE),"")</f>
        <v/>
      </c>
    </row>
    <row r="2791" spans="5:19" x14ac:dyDescent="0.25">
      <c r="E2791" t="str">
        <f>IFERROR(VLOOKUP(D2791,'Team Data'!C:AB,4,FALSE),"")</f>
        <v/>
      </c>
      <c r="F2791" t="str">
        <f>IFERROR(VLOOKUP(D2791,'Team Data'!C:AB,5,FALSE),"")</f>
        <v/>
      </c>
      <c r="G2791" t="str">
        <f>IFERROR(VLOOKUP('OB Format'!D2791,'Team Data'!C:AB,17,FALSE),"")</f>
        <v/>
      </c>
      <c r="H2791" t="str">
        <f>IFERROR(VLOOKUP(D2791,'Team Data'!C:AB,7,FALSE),"")</f>
        <v/>
      </c>
      <c r="I2791" t="str">
        <f>IFERROR(VLOOKUP(D2791,'Team Data'!C:AB,14,FALSE),"")</f>
        <v/>
      </c>
      <c r="J2791" t="str">
        <f>IFERROR(VLOOKUP(D2791,'Team Data'!C:AB,8,FALSE),"")</f>
        <v/>
      </c>
      <c r="K2791" t="str">
        <f>IFERROR(VLOOKUP(D2791,'Team Data'!C:AB,9,FALSE),"")</f>
        <v/>
      </c>
      <c r="L2791" t="str">
        <f>IFERROR(VLOOKUP(D2791,'Team Data'!C:AB,10,FALSE),"")</f>
        <v/>
      </c>
      <c r="M2791" t="str">
        <f t="shared" si="88"/>
        <v/>
      </c>
      <c r="N2791" t="str">
        <f>IFERROR(VLOOKUP(D2791,'Team Data'!C:AB,23,FALSE),"")</f>
        <v/>
      </c>
      <c r="O2791" t="str">
        <f>IFERROR(VLOOKUP(D2791,'Team Data'!C:AB,22,FALSE),"")</f>
        <v/>
      </c>
      <c r="P2791" t="str">
        <f t="shared" si="89"/>
        <v/>
      </c>
      <c r="Q2791" t="str">
        <f>IFERROR(VLOOKUP(D2791,'Team Data'!C:AB,15,FALSE),"")</f>
        <v/>
      </c>
      <c r="R2791" t="str">
        <f>IFERROR(VLOOKUP('OB Format'!D2791,'Team Data'!C:AB,24,FALSE),"")</f>
        <v/>
      </c>
      <c r="S2791" t="str">
        <f>IFERROR(VLOOKUP('OB Format'!D2791,'Team Data'!C:AC,25,FALSE),"")</f>
        <v/>
      </c>
    </row>
    <row r="2792" spans="5:19" x14ac:dyDescent="0.25">
      <c r="E2792" t="str">
        <f>IFERROR(VLOOKUP(D2792,'Team Data'!C:AB,4,FALSE),"")</f>
        <v/>
      </c>
      <c r="F2792" t="str">
        <f>IFERROR(VLOOKUP(D2792,'Team Data'!C:AB,5,FALSE),"")</f>
        <v/>
      </c>
      <c r="G2792" t="str">
        <f>IFERROR(VLOOKUP('OB Format'!D2792,'Team Data'!C:AB,17,FALSE),"")</f>
        <v/>
      </c>
      <c r="H2792" t="str">
        <f>IFERROR(VLOOKUP(D2792,'Team Data'!C:AB,7,FALSE),"")</f>
        <v/>
      </c>
      <c r="I2792" t="str">
        <f>IFERROR(VLOOKUP(D2792,'Team Data'!C:AB,14,FALSE),"")</f>
        <v/>
      </c>
      <c r="J2792" t="str">
        <f>IFERROR(VLOOKUP(D2792,'Team Data'!C:AB,8,FALSE),"")</f>
        <v/>
      </c>
      <c r="K2792" t="str">
        <f>IFERROR(VLOOKUP(D2792,'Team Data'!C:AB,9,FALSE),"")</f>
        <v/>
      </c>
      <c r="L2792" t="str">
        <f>IFERROR(VLOOKUP(D2792,'Team Data'!C:AB,10,FALSE),"")</f>
        <v/>
      </c>
      <c r="M2792" t="str">
        <f t="shared" si="88"/>
        <v/>
      </c>
      <c r="N2792" t="str">
        <f>IFERROR(VLOOKUP(D2792,'Team Data'!C:AB,23,FALSE),"")</f>
        <v/>
      </c>
      <c r="O2792" t="str">
        <f>IFERROR(VLOOKUP(D2792,'Team Data'!C:AB,22,FALSE),"")</f>
        <v/>
      </c>
      <c r="P2792" t="str">
        <f t="shared" si="89"/>
        <v/>
      </c>
      <c r="Q2792" t="str">
        <f>IFERROR(VLOOKUP(D2792,'Team Data'!C:AB,15,FALSE),"")</f>
        <v/>
      </c>
      <c r="R2792" t="str">
        <f>IFERROR(VLOOKUP('OB Format'!D2792,'Team Data'!C:AB,24,FALSE),"")</f>
        <v/>
      </c>
      <c r="S2792" t="str">
        <f>IFERROR(VLOOKUP('OB Format'!D2792,'Team Data'!C:AC,25,FALSE),"")</f>
        <v/>
      </c>
    </row>
    <row r="2793" spans="5:19" x14ac:dyDescent="0.25">
      <c r="E2793" t="str">
        <f>IFERROR(VLOOKUP(D2793,'Team Data'!C:AB,4,FALSE),"")</f>
        <v/>
      </c>
      <c r="F2793" t="str">
        <f>IFERROR(VLOOKUP(D2793,'Team Data'!C:AB,5,FALSE),"")</f>
        <v/>
      </c>
      <c r="G2793" t="str">
        <f>IFERROR(VLOOKUP('OB Format'!D2793,'Team Data'!C:AB,17,FALSE),"")</f>
        <v/>
      </c>
      <c r="H2793" t="str">
        <f>IFERROR(VLOOKUP(D2793,'Team Data'!C:AB,7,FALSE),"")</f>
        <v/>
      </c>
      <c r="I2793" t="str">
        <f>IFERROR(VLOOKUP(D2793,'Team Data'!C:AB,14,FALSE),"")</f>
        <v/>
      </c>
      <c r="J2793" t="str">
        <f>IFERROR(VLOOKUP(D2793,'Team Data'!C:AB,8,FALSE),"")</f>
        <v/>
      </c>
      <c r="K2793" t="str">
        <f>IFERROR(VLOOKUP(D2793,'Team Data'!C:AB,9,FALSE),"")</f>
        <v/>
      </c>
      <c r="L2793" t="str">
        <f>IFERROR(VLOOKUP(D2793,'Team Data'!C:AB,10,FALSE),"")</f>
        <v/>
      </c>
      <c r="M2793" t="str">
        <f t="shared" si="88"/>
        <v/>
      </c>
      <c r="N2793" t="str">
        <f>IFERROR(VLOOKUP(D2793,'Team Data'!C:AB,23,FALSE),"")</f>
        <v/>
      </c>
      <c r="O2793" t="str">
        <f>IFERROR(VLOOKUP(D2793,'Team Data'!C:AB,22,FALSE),"")</f>
        <v/>
      </c>
      <c r="P2793" t="str">
        <f t="shared" si="89"/>
        <v/>
      </c>
      <c r="Q2793" t="str">
        <f>IFERROR(VLOOKUP(D2793,'Team Data'!C:AB,15,FALSE),"")</f>
        <v/>
      </c>
      <c r="R2793" t="str">
        <f>IFERROR(VLOOKUP('OB Format'!D2793,'Team Data'!C:AB,24,FALSE),"")</f>
        <v/>
      </c>
      <c r="S2793" t="str">
        <f>IFERROR(VLOOKUP('OB Format'!D2793,'Team Data'!C:AC,25,FALSE),"")</f>
        <v/>
      </c>
    </row>
    <row r="2794" spans="5:19" x14ac:dyDescent="0.25">
      <c r="E2794" t="str">
        <f>IFERROR(VLOOKUP(D2794,'Team Data'!C:AB,4,FALSE),"")</f>
        <v/>
      </c>
      <c r="F2794" t="str">
        <f>IFERROR(VLOOKUP(D2794,'Team Data'!C:AB,5,FALSE),"")</f>
        <v/>
      </c>
      <c r="G2794" t="str">
        <f>IFERROR(VLOOKUP('OB Format'!D2794,'Team Data'!C:AB,17,FALSE),"")</f>
        <v/>
      </c>
      <c r="H2794" t="str">
        <f>IFERROR(VLOOKUP(D2794,'Team Data'!C:AB,7,FALSE),"")</f>
        <v/>
      </c>
      <c r="I2794" t="str">
        <f>IFERROR(VLOOKUP(D2794,'Team Data'!C:AB,14,FALSE),"")</f>
        <v/>
      </c>
      <c r="J2794" t="str">
        <f>IFERROR(VLOOKUP(D2794,'Team Data'!C:AB,8,FALSE),"")</f>
        <v/>
      </c>
      <c r="K2794" t="str">
        <f>IFERROR(VLOOKUP(D2794,'Team Data'!C:AB,9,FALSE),"")</f>
        <v/>
      </c>
      <c r="L2794" t="str">
        <f>IFERROR(VLOOKUP(D2794,'Team Data'!C:AB,10,FALSE),"")</f>
        <v/>
      </c>
      <c r="M2794" t="str">
        <f t="shared" si="88"/>
        <v/>
      </c>
      <c r="N2794" t="str">
        <f>IFERROR(VLOOKUP(D2794,'Team Data'!C:AB,23,FALSE),"")</f>
        <v/>
      </c>
      <c r="O2794" t="str">
        <f>IFERROR(VLOOKUP(D2794,'Team Data'!C:AB,22,FALSE),"")</f>
        <v/>
      </c>
      <c r="P2794" t="str">
        <f t="shared" si="89"/>
        <v/>
      </c>
      <c r="Q2794" t="str">
        <f>IFERROR(VLOOKUP(D2794,'Team Data'!C:AB,15,FALSE),"")</f>
        <v/>
      </c>
      <c r="R2794" t="str">
        <f>IFERROR(VLOOKUP('OB Format'!D2794,'Team Data'!C:AB,24,FALSE),"")</f>
        <v/>
      </c>
      <c r="S2794" t="str">
        <f>IFERROR(VLOOKUP('OB Format'!D2794,'Team Data'!C:AC,25,FALSE),"")</f>
        <v/>
      </c>
    </row>
    <row r="2795" spans="5:19" x14ac:dyDescent="0.25">
      <c r="E2795" t="str">
        <f>IFERROR(VLOOKUP(D2795,'Team Data'!C:AB,4,FALSE),"")</f>
        <v/>
      </c>
      <c r="F2795" t="str">
        <f>IFERROR(VLOOKUP(D2795,'Team Data'!C:AB,5,FALSE),"")</f>
        <v/>
      </c>
      <c r="G2795" t="str">
        <f>IFERROR(VLOOKUP('OB Format'!D2795,'Team Data'!C:AB,17,FALSE),"")</f>
        <v/>
      </c>
      <c r="H2795" t="str">
        <f>IFERROR(VLOOKUP(D2795,'Team Data'!C:AB,7,FALSE),"")</f>
        <v/>
      </c>
      <c r="I2795" t="str">
        <f>IFERROR(VLOOKUP(D2795,'Team Data'!C:AB,14,FALSE),"")</f>
        <v/>
      </c>
      <c r="J2795" t="str">
        <f>IFERROR(VLOOKUP(D2795,'Team Data'!C:AB,8,FALSE),"")</f>
        <v/>
      </c>
      <c r="K2795" t="str">
        <f>IFERROR(VLOOKUP(D2795,'Team Data'!C:AB,9,FALSE),"")</f>
        <v/>
      </c>
      <c r="L2795" t="str">
        <f>IFERROR(VLOOKUP(D2795,'Team Data'!C:AB,10,FALSE),"")</f>
        <v/>
      </c>
      <c r="M2795" t="str">
        <f t="shared" si="88"/>
        <v/>
      </c>
      <c r="N2795" t="str">
        <f>IFERROR(VLOOKUP(D2795,'Team Data'!C:AB,23,FALSE),"")</f>
        <v/>
      </c>
      <c r="O2795" t="str">
        <f>IFERROR(VLOOKUP(D2795,'Team Data'!C:AB,22,FALSE),"")</f>
        <v/>
      </c>
      <c r="P2795" t="str">
        <f t="shared" si="89"/>
        <v/>
      </c>
      <c r="Q2795" t="str">
        <f>IFERROR(VLOOKUP(D2795,'Team Data'!C:AB,15,FALSE),"")</f>
        <v/>
      </c>
      <c r="R2795" t="str">
        <f>IFERROR(VLOOKUP('OB Format'!D2795,'Team Data'!C:AB,24,FALSE),"")</f>
        <v/>
      </c>
      <c r="S2795" t="str">
        <f>IFERROR(VLOOKUP('OB Format'!D2795,'Team Data'!C:AC,25,FALSE),"")</f>
        <v/>
      </c>
    </row>
    <row r="2796" spans="5:19" x14ac:dyDescent="0.25">
      <c r="E2796" t="str">
        <f>IFERROR(VLOOKUP(D2796,'Team Data'!C:AB,4,FALSE),"")</f>
        <v/>
      </c>
      <c r="F2796" t="str">
        <f>IFERROR(VLOOKUP(D2796,'Team Data'!C:AB,5,FALSE),"")</f>
        <v/>
      </c>
      <c r="G2796" t="str">
        <f>IFERROR(VLOOKUP('OB Format'!D2796,'Team Data'!C:AB,17,FALSE),"")</f>
        <v/>
      </c>
      <c r="H2796" t="str">
        <f>IFERROR(VLOOKUP(D2796,'Team Data'!C:AB,7,FALSE),"")</f>
        <v/>
      </c>
      <c r="I2796" t="str">
        <f>IFERROR(VLOOKUP(D2796,'Team Data'!C:AB,14,FALSE),"")</f>
        <v/>
      </c>
      <c r="J2796" t="str">
        <f>IFERROR(VLOOKUP(D2796,'Team Data'!C:AB,8,FALSE),"")</f>
        <v/>
      </c>
      <c r="K2796" t="str">
        <f>IFERROR(VLOOKUP(D2796,'Team Data'!C:AB,9,FALSE),"")</f>
        <v/>
      </c>
      <c r="L2796" t="str">
        <f>IFERROR(VLOOKUP(D2796,'Team Data'!C:AB,10,FALSE),"")</f>
        <v/>
      </c>
      <c r="M2796" t="str">
        <f t="shared" si="88"/>
        <v/>
      </c>
      <c r="N2796" t="str">
        <f>IFERROR(VLOOKUP(D2796,'Team Data'!C:AB,23,FALSE),"")</f>
        <v/>
      </c>
      <c r="O2796" t="str">
        <f>IFERROR(VLOOKUP(D2796,'Team Data'!C:AB,22,FALSE),"")</f>
        <v/>
      </c>
      <c r="P2796" t="str">
        <f t="shared" si="89"/>
        <v/>
      </c>
      <c r="Q2796" t="str">
        <f>IFERROR(VLOOKUP(D2796,'Team Data'!C:AB,15,FALSE),"")</f>
        <v/>
      </c>
      <c r="R2796" t="str">
        <f>IFERROR(VLOOKUP('OB Format'!D2796,'Team Data'!C:AB,24,FALSE),"")</f>
        <v/>
      </c>
      <c r="S2796" t="str">
        <f>IFERROR(VLOOKUP('OB Format'!D2796,'Team Data'!C:AC,25,FALSE),"")</f>
        <v/>
      </c>
    </row>
    <row r="2797" spans="5:19" x14ac:dyDescent="0.25">
      <c r="E2797" t="str">
        <f>IFERROR(VLOOKUP(D2797,'Team Data'!C:AB,4,FALSE),"")</f>
        <v/>
      </c>
      <c r="F2797" t="str">
        <f>IFERROR(VLOOKUP(D2797,'Team Data'!C:AB,5,FALSE),"")</f>
        <v/>
      </c>
      <c r="G2797" t="str">
        <f>IFERROR(VLOOKUP('OB Format'!D2797,'Team Data'!C:AB,17,FALSE),"")</f>
        <v/>
      </c>
      <c r="H2797" t="str">
        <f>IFERROR(VLOOKUP(D2797,'Team Data'!C:AB,7,FALSE),"")</f>
        <v/>
      </c>
      <c r="I2797" t="str">
        <f>IFERROR(VLOOKUP(D2797,'Team Data'!C:AB,14,FALSE),"")</f>
        <v/>
      </c>
      <c r="J2797" t="str">
        <f>IFERROR(VLOOKUP(D2797,'Team Data'!C:AB,8,FALSE),"")</f>
        <v/>
      </c>
      <c r="K2797" t="str">
        <f>IFERROR(VLOOKUP(D2797,'Team Data'!C:AB,9,FALSE),"")</f>
        <v/>
      </c>
      <c r="L2797" t="str">
        <f>IFERROR(VLOOKUP(D2797,'Team Data'!C:AB,10,FALSE),"")</f>
        <v/>
      </c>
      <c r="M2797" t="str">
        <f t="shared" si="88"/>
        <v/>
      </c>
      <c r="N2797" t="str">
        <f>IFERROR(VLOOKUP(D2797,'Team Data'!C:AB,23,FALSE),"")</f>
        <v/>
      </c>
      <c r="O2797" t="str">
        <f>IFERROR(VLOOKUP(D2797,'Team Data'!C:AB,22,FALSE),"")</f>
        <v/>
      </c>
      <c r="P2797" t="str">
        <f t="shared" si="89"/>
        <v/>
      </c>
      <c r="Q2797" t="str">
        <f>IFERROR(VLOOKUP(D2797,'Team Data'!C:AB,15,FALSE),"")</f>
        <v/>
      </c>
      <c r="R2797" t="str">
        <f>IFERROR(VLOOKUP('OB Format'!D2797,'Team Data'!C:AB,24,FALSE),"")</f>
        <v/>
      </c>
      <c r="S2797" t="str">
        <f>IFERROR(VLOOKUP('OB Format'!D2797,'Team Data'!C:AC,25,FALSE),"")</f>
        <v/>
      </c>
    </row>
    <row r="2798" spans="5:19" x14ac:dyDescent="0.25">
      <c r="E2798" t="str">
        <f>IFERROR(VLOOKUP(D2798,'Team Data'!C:AB,4,FALSE),"")</f>
        <v/>
      </c>
      <c r="F2798" t="str">
        <f>IFERROR(VLOOKUP(D2798,'Team Data'!C:AB,5,FALSE),"")</f>
        <v/>
      </c>
      <c r="G2798" t="str">
        <f>IFERROR(VLOOKUP('OB Format'!D2798,'Team Data'!C:AB,17,FALSE),"")</f>
        <v/>
      </c>
      <c r="H2798" t="str">
        <f>IFERROR(VLOOKUP(D2798,'Team Data'!C:AB,7,FALSE),"")</f>
        <v/>
      </c>
      <c r="I2798" t="str">
        <f>IFERROR(VLOOKUP(D2798,'Team Data'!C:AB,14,FALSE),"")</f>
        <v/>
      </c>
      <c r="J2798" t="str">
        <f>IFERROR(VLOOKUP(D2798,'Team Data'!C:AB,8,FALSE),"")</f>
        <v/>
      </c>
      <c r="K2798" t="str">
        <f>IFERROR(VLOOKUP(D2798,'Team Data'!C:AB,9,FALSE),"")</f>
        <v/>
      </c>
      <c r="L2798" t="str">
        <f>IFERROR(VLOOKUP(D2798,'Team Data'!C:AB,10,FALSE),"")</f>
        <v/>
      </c>
      <c r="M2798" t="str">
        <f t="shared" si="88"/>
        <v/>
      </c>
      <c r="N2798" t="str">
        <f>IFERROR(VLOOKUP(D2798,'Team Data'!C:AB,23,FALSE),"")</f>
        <v/>
      </c>
      <c r="O2798" t="str">
        <f>IFERROR(VLOOKUP(D2798,'Team Data'!C:AB,22,FALSE),"")</f>
        <v/>
      </c>
      <c r="P2798" t="str">
        <f t="shared" si="89"/>
        <v/>
      </c>
      <c r="Q2798" t="str">
        <f>IFERROR(VLOOKUP(D2798,'Team Data'!C:AB,15,FALSE),"")</f>
        <v/>
      </c>
      <c r="R2798" t="str">
        <f>IFERROR(VLOOKUP('OB Format'!D2798,'Team Data'!C:AB,24,FALSE),"")</f>
        <v/>
      </c>
      <c r="S2798" t="str">
        <f>IFERROR(VLOOKUP('OB Format'!D2798,'Team Data'!C:AC,25,FALSE),"")</f>
        <v/>
      </c>
    </row>
    <row r="2799" spans="5:19" x14ac:dyDescent="0.25">
      <c r="E2799" t="str">
        <f>IFERROR(VLOOKUP(D2799,'Team Data'!C:AB,4,FALSE),"")</f>
        <v/>
      </c>
      <c r="F2799" t="str">
        <f>IFERROR(VLOOKUP(D2799,'Team Data'!C:AB,5,FALSE),"")</f>
        <v/>
      </c>
      <c r="G2799" t="str">
        <f>IFERROR(VLOOKUP('OB Format'!D2799,'Team Data'!C:AB,17,FALSE),"")</f>
        <v/>
      </c>
      <c r="H2799" t="str">
        <f>IFERROR(VLOOKUP(D2799,'Team Data'!C:AB,7,FALSE),"")</f>
        <v/>
      </c>
      <c r="I2799" t="str">
        <f>IFERROR(VLOOKUP(D2799,'Team Data'!C:AB,14,FALSE),"")</f>
        <v/>
      </c>
      <c r="J2799" t="str">
        <f>IFERROR(VLOOKUP(D2799,'Team Data'!C:AB,8,FALSE),"")</f>
        <v/>
      </c>
      <c r="K2799" t="str">
        <f>IFERROR(VLOOKUP(D2799,'Team Data'!C:AB,9,FALSE),"")</f>
        <v/>
      </c>
      <c r="L2799" t="str">
        <f>IFERROR(VLOOKUP(D2799,'Team Data'!C:AB,10,FALSE),"")</f>
        <v/>
      </c>
      <c r="M2799" t="str">
        <f t="shared" si="88"/>
        <v/>
      </c>
      <c r="N2799" t="str">
        <f>IFERROR(VLOOKUP(D2799,'Team Data'!C:AB,23,FALSE),"")</f>
        <v/>
      </c>
      <c r="O2799" t="str">
        <f>IFERROR(VLOOKUP(D2799,'Team Data'!C:AB,22,FALSE),"")</f>
        <v/>
      </c>
      <c r="P2799" t="str">
        <f t="shared" si="89"/>
        <v/>
      </c>
      <c r="Q2799" t="str">
        <f>IFERROR(VLOOKUP(D2799,'Team Data'!C:AB,15,FALSE),"")</f>
        <v/>
      </c>
      <c r="R2799" t="str">
        <f>IFERROR(VLOOKUP('OB Format'!D2799,'Team Data'!C:AB,24,FALSE),"")</f>
        <v/>
      </c>
      <c r="S2799" t="str">
        <f>IFERROR(VLOOKUP('OB Format'!D2799,'Team Data'!C:AC,25,FALSE),"")</f>
        <v/>
      </c>
    </row>
    <row r="2800" spans="5:19" x14ac:dyDescent="0.25">
      <c r="E2800" t="str">
        <f>IFERROR(VLOOKUP(D2800,'Team Data'!C:AB,4,FALSE),"")</f>
        <v/>
      </c>
      <c r="F2800" t="str">
        <f>IFERROR(VLOOKUP(D2800,'Team Data'!C:AB,5,FALSE),"")</f>
        <v/>
      </c>
      <c r="G2800" t="str">
        <f>IFERROR(VLOOKUP('OB Format'!D2800,'Team Data'!C:AB,17,FALSE),"")</f>
        <v/>
      </c>
      <c r="H2800" t="str">
        <f>IFERROR(VLOOKUP(D2800,'Team Data'!C:AB,7,FALSE),"")</f>
        <v/>
      </c>
      <c r="I2800" t="str">
        <f>IFERROR(VLOOKUP(D2800,'Team Data'!C:AB,14,FALSE),"")</f>
        <v/>
      </c>
      <c r="J2800" t="str">
        <f>IFERROR(VLOOKUP(D2800,'Team Data'!C:AB,8,FALSE),"")</f>
        <v/>
      </c>
      <c r="K2800" t="str">
        <f>IFERROR(VLOOKUP(D2800,'Team Data'!C:AB,9,FALSE),"")</f>
        <v/>
      </c>
      <c r="L2800" t="str">
        <f>IFERROR(VLOOKUP(D2800,'Team Data'!C:AB,10,FALSE),"")</f>
        <v/>
      </c>
      <c r="M2800" t="str">
        <f t="shared" si="88"/>
        <v/>
      </c>
      <c r="N2800" t="str">
        <f>IFERROR(VLOOKUP(D2800,'Team Data'!C:AB,23,FALSE),"")</f>
        <v/>
      </c>
      <c r="O2800" t="str">
        <f>IFERROR(VLOOKUP(D2800,'Team Data'!C:AB,22,FALSE),"")</f>
        <v/>
      </c>
      <c r="P2800" t="str">
        <f t="shared" si="89"/>
        <v/>
      </c>
      <c r="Q2800" t="str">
        <f>IFERROR(VLOOKUP(D2800,'Team Data'!C:AB,15,FALSE),"")</f>
        <v/>
      </c>
      <c r="R2800" t="str">
        <f>IFERROR(VLOOKUP('OB Format'!D2800,'Team Data'!C:AB,24,FALSE),"")</f>
        <v/>
      </c>
      <c r="S2800" t="str">
        <f>IFERROR(VLOOKUP('OB Format'!D2800,'Team Data'!C:AC,25,FALSE),"")</f>
        <v/>
      </c>
    </row>
    <row r="2801" spans="5:19" x14ac:dyDescent="0.25">
      <c r="E2801" t="str">
        <f>IFERROR(VLOOKUP(D2801,'Team Data'!C:AB,4,FALSE),"")</f>
        <v/>
      </c>
      <c r="F2801" t="str">
        <f>IFERROR(VLOOKUP(D2801,'Team Data'!C:AB,5,FALSE),"")</f>
        <v/>
      </c>
      <c r="G2801" t="str">
        <f>IFERROR(VLOOKUP('OB Format'!D2801,'Team Data'!C:AB,17,FALSE),"")</f>
        <v/>
      </c>
      <c r="H2801" t="str">
        <f>IFERROR(VLOOKUP(D2801,'Team Data'!C:AB,7,FALSE),"")</f>
        <v/>
      </c>
      <c r="I2801" t="str">
        <f>IFERROR(VLOOKUP(D2801,'Team Data'!C:AB,14,FALSE),"")</f>
        <v/>
      </c>
      <c r="J2801" t="str">
        <f>IFERROR(VLOOKUP(D2801,'Team Data'!C:AB,8,FALSE),"")</f>
        <v/>
      </c>
      <c r="K2801" t="str">
        <f>IFERROR(VLOOKUP(D2801,'Team Data'!C:AB,9,FALSE),"")</f>
        <v/>
      </c>
      <c r="L2801" t="str">
        <f>IFERROR(VLOOKUP(D2801,'Team Data'!C:AB,10,FALSE),"")</f>
        <v/>
      </c>
      <c r="M2801" t="str">
        <f t="shared" si="88"/>
        <v/>
      </c>
      <c r="N2801" t="str">
        <f>IFERROR(VLOOKUP(D2801,'Team Data'!C:AB,23,FALSE),"")</f>
        <v/>
      </c>
      <c r="O2801" t="str">
        <f>IFERROR(VLOOKUP(D2801,'Team Data'!C:AB,22,FALSE),"")</f>
        <v/>
      </c>
      <c r="P2801" t="str">
        <f t="shared" si="89"/>
        <v/>
      </c>
      <c r="Q2801" t="str">
        <f>IFERROR(VLOOKUP(D2801,'Team Data'!C:AB,15,FALSE),"")</f>
        <v/>
      </c>
      <c r="R2801" t="str">
        <f>IFERROR(VLOOKUP('OB Format'!D2801,'Team Data'!C:AB,24,FALSE),"")</f>
        <v/>
      </c>
      <c r="S2801" t="str">
        <f>IFERROR(VLOOKUP('OB Format'!D2801,'Team Data'!C:AC,25,FALSE),"")</f>
        <v/>
      </c>
    </row>
    <row r="2802" spans="5:19" x14ac:dyDescent="0.25">
      <c r="E2802" t="str">
        <f>IFERROR(VLOOKUP(D2802,'Team Data'!C:AB,4,FALSE),"")</f>
        <v/>
      </c>
      <c r="F2802" t="str">
        <f>IFERROR(VLOOKUP(D2802,'Team Data'!C:AB,5,FALSE),"")</f>
        <v/>
      </c>
      <c r="G2802" t="str">
        <f>IFERROR(VLOOKUP('OB Format'!D2802,'Team Data'!C:AB,17,FALSE),"")</f>
        <v/>
      </c>
      <c r="H2802" t="str">
        <f>IFERROR(VLOOKUP(D2802,'Team Data'!C:AB,7,FALSE),"")</f>
        <v/>
      </c>
      <c r="I2802" t="str">
        <f>IFERROR(VLOOKUP(D2802,'Team Data'!C:AB,14,FALSE),"")</f>
        <v/>
      </c>
      <c r="J2802" t="str">
        <f>IFERROR(VLOOKUP(D2802,'Team Data'!C:AB,8,FALSE),"")</f>
        <v/>
      </c>
      <c r="K2802" t="str">
        <f>IFERROR(VLOOKUP(D2802,'Team Data'!C:AB,9,FALSE),"")</f>
        <v/>
      </c>
      <c r="L2802" t="str">
        <f>IFERROR(VLOOKUP(D2802,'Team Data'!C:AB,10,FALSE),"")</f>
        <v/>
      </c>
      <c r="M2802" t="str">
        <f t="shared" si="88"/>
        <v/>
      </c>
      <c r="N2802" t="str">
        <f>IFERROR(VLOOKUP(D2802,'Team Data'!C:AB,23,FALSE),"")</f>
        <v/>
      </c>
      <c r="O2802" t="str">
        <f>IFERROR(VLOOKUP(D2802,'Team Data'!C:AB,22,FALSE),"")</f>
        <v/>
      </c>
      <c r="P2802" t="str">
        <f t="shared" si="89"/>
        <v/>
      </c>
      <c r="Q2802" t="str">
        <f>IFERROR(VLOOKUP(D2802,'Team Data'!C:AB,15,FALSE),"")</f>
        <v/>
      </c>
      <c r="R2802" t="str">
        <f>IFERROR(VLOOKUP('OB Format'!D2802,'Team Data'!C:AB,24,FALSE),"")</f>
        <v/>
      </c>
      <c r="S2802" t="str">
        <f>IFERROR(VLOOKUP('OB Format'!D2802,'Team Data'!C:AC,25,FALSE),"")</f>
        <v/>
      </c>
    </row>
    <row r="2803" spans="5:19" x14ac:dyDescent="0.25">
      <c r="E2803" t="str">
        <f>IFERROR(VLOOKUP(D2803,'Team Data'!C:AB,4,FALSE),"")</f>
        <v/>
      </c>
      <c r="F2803" t="str">
        <f>IFERROR(VLOOKUP(D2803,'Team Data'!C:AB,5,FALSE),"")</f>
        <v/>
      </c>
      <c r="G2803" t="str">
        <f>IFERROR(VLOOKUP('OB Format'!D2803,'Team Data'!C:AB,17,FALSE),"")</f>
        <v/>
      </c>
      <c r="H2803" t="str">
        <f>IFERROR(VLOOKUP(D2803,'Team Data'!C:AB,7,FALSE),"")</f>
        <v/>
      </c>
      <c r="I2803" t="str">
        <f>IFERROR(VLOOKUP(D2803,'Team Data'!C:AB,14,FALSE),"")</f>
        <v/>
      </c>
      <c r="J2803" t="str">
        <f>IFERROR(VLOOKUP(D2803,'Team Data'!C:AB,8,FALSE),"")</f>
        <v/>
      </c>
      <c r="K2803" t="str">
        <f>IFERROR(VLOOKUP(D2803,'Team Data'!C:AB,9,FALSE),"")</f>
        <v/>
      </c>
      <c r="L2803" t="str">
        <f>IFERROR(VLOOKUP(D2803,'Team Data'!C:AB,10,FALSE),"")</f>
        <v/>
      </c>
      <c r="M2803" t="str">
        <f t="shared" si="88"/>
        <v/>
      </c>
      <c r="N2803" t="str">
        <f>IFERROR(VLOOKUP(D2803,'Team Data'!C:AB,23,FALSE),"")</f>
        <v/>
      </c>
      <c r="O2803" t="str">
        <f>IFERROR(VLOOKUP(D2803,'Team Data'!C:AB,22,FALSE),"")</f>
        <v/>
      </c>
      <c r="P2803" t="str">
        <f t="shared" si="89"/>
        <v/>
      </c>
      <c r="Q2803" t="str">
        <f>IFERROR(VLOOKUP(D2803,'Team Data'!C:AB,15,FALSE),"")</f>
        <v/>
      </c>
      <c r="R2803" t="str">
        <f>IFERROR(VLOOKUP('OB Format'!D2803,'Team Data'!C:AB,24,FALSE),"")</f>
        <v/>
      </c>
      <c r="S2803" t="str">
        <f>IFERROR(VLOOKUP('OB Format'!D2803,'Team Data'!C:AC,25,FALSE),"")</f>
        <v/>
      </c>
    </row>
    <row r="2804" spans="5:19" x14ac:dyDescent="0.25">
      <c r="E2804" t="str">
        <f>IFERROR(VLOOKUP(D2804,'Team Data'!C:AB,4,FALSE),"")</f>
        <v/>
      </c>
      <c r="F2804" t="str">
        <f>IFERROR(VLOOKUP(D2804,'Team Data'!C:AB,5,FALSE),"")</f>
        <v/>
      </c>
      <c r="G2804" t="str">
        <f>IFERROR(VLOOKUP('OB Format'!D2804,'Team Data'!C:AB,17,FALSE),"")</f>
        <v/>
      </c>
      <c r="H2804" t="str">
        <f>IFERROR(VLOOKUP(D2804,'Team Data'!C:AB,7,FALSE),"")</f>
        <v/>
      </c>
      <c r="I2804" t="str">
        <f>IFERROR(VLOOKUP(D2804,'Team Data'!C:AB,14,FALSE),"")</f>
        <v/>
      </c>
      <c r="J2804" t="str">
        <f>IFERROR(VLOOKUP(D2804,'Team Data'!C:AB,8,FALSE),"")</f>
        <v/>
      </c>
      <c r="K2804" t="str">
        <f>IFERROR(VLOOKUP(D2804,'Team Data'!C:AB,9,FALSE),"")</f>
        <v/>
      </c>
      <c r="L2804" t="str">
        <f>IFERROR(VLOOKUP(D2804,'Team Data'!C:AB,10,FALSE),"")</f>
        <v/>
      </c>
      <c r="M2804" t="str">
        <f t="shared" si="88"/>
        <v/>
      </c>
      <c r="N2804" t="str">
        <f>IFERROR(VLOOKUP(D2804,'Team Data'!C:AB,23,FALSE),"")</f>
        <v/>
      </c>
      <c r="O2804" t="str">
        <f>IFERROR(VLOOKUP(D2804,'Team Data'!C:AB,22,FALSE),"")</f>
        <v/>
      </c>
      <c r="P2804" t="str">
        <f t="shared" si="89"/>
        <v/>
      </c>
      <c r="Q2804" t="str">
        <f>IFERROR(VLOOKUP(D2804,'Team Data'!C:AB,15,FALSE),"")</f>
        <v/>
      </c>
      <c r="R2804" t="str">
        <f>IFERROR(VLOOKUP('OB Format'!D2804,'Team Data'!C:AB,24,FALSE),"")</f>
        <v/>
      </c>
      <c r="S2804" t="str">
        <f>IFERROR(VLOOKUP('OB Format'!D2804,'Team Data'!C:AC,25,FALSE),"")</f>
        <v/>
      </c>
    </row>
    <row r="2805" spans="5:19" x14ac:dyDescent="0.25">
      <c r="E2805" t="str">
        <f>IFERROR(VLOOKUP(D2805,'Team Data'!C:AB,4,FALSE),"")</f>
        <v/>
      </c>
      <c r="F2805" t="str">
        <f>IFERROR(VLOOKUP(D2805,'Team Data'!C:AB,5,FALSE),"")</f>
        <v/>
      </c>
      <c r="G2805" t="str">
        <f>IFERROR(VLOOKUP('OB Format'!D2805,'Team Data'!C:AB,17,FALSE),"")</f>
        <v/>
      </c>
      <c r="H2805" t="str">
        <f>IFERROR(VLOOKUP(D2805,'Team Data'!C:AB,7,FALSE),"")</f>
        <v/>
      </c>
      <c r="I2805" t="str">
        <f>IFERROR(VLOOKUP(D2805,'Team Data'!C:AB,14,FALSE),"")</f>
        <v/>
      </c>
      <c r="J2805" t="str">
        <f>IFERROR(VLOOKUP(D2805,'Team Data'!C:AB,8,FALSE),"")</f>
        <v/>
      </c>
      <c r="K2805" t="str">
        <f>IFERROR(VLOOKUP(D2805,'Team Data'!C:AB,9,FALSE),"")</f>
        <v/>
      </c>
      <c r="L2805" t="str">
        <f>IFERROR(VLOOKUP(D2805,'Team Data'!C:AB,10,FALSE),"")</f>
        <v/>
      </c>
      <c r="M2805" t="str">
        <f t="shared" si="88"/>
        <v/>
      </c>
      <c r="N2805" t="str">
        <f>IFERROR(VLOOKUP(D2805,'Team Data'!C:AB,23,FALSE),"")</f>
        <v/>
      </c>
      <c r="O2805" t="str">
        <f>IFERROR(VLOOKUP(D2805,'Team Data'!C:AB,22,FALSE),"")</f>
        <v/>
      </c>
      <c r="P2805" t="str">
        <f t="shared" si="89"/>
        <v/>
      </c>
      <c r="Q2805" t="str">
        <f>IFERROR(VLOOKUP(D2805,'Team Data'!C:AB,15,FALSE),"")</f>
        <v/>
      </c>
      <c r="R2805" t="str">
        <f>IFERROR(VLOOKUP('OB Format'!D2805,'Team Data'!C:AB,24,FALSE),"")</f>
        <v/>
      </c>
      <c r="S2805" t="str">
        <f>IFERROR(VLOOKUP('OB Format'!D2805,'Team Data'!C:AC,25,FALSE),"")</f>
        <v/>
      </c>
    </row>
    <row r="2806" spans="5:19" x14ac:dyDescent="0.25">
      <c r="E2806" t="str">
        <f>IFERROR(VLOOKUP(D2806,'Team Data'!C:AB,4,FALSE),"")</f>
        <v/>
      </c>
      <c r="F2806" t="str">
        <f>IFERROR(VLOOKUP(D2806,'Team Data'!C:AB,5,FALSE),"")</f>
        <v/>
      </c>
      <c r="G2806" t="str">
        <f>IFERROR(VLOOKUP('OB Format'!D2806,'Team Data'!C:AB,17,FALSE),"")</f>
        <v/>
      </c>
      <c r="H2806" t="str">
        <f>IFERROR(VLOOKUP(D2806,'Team Data'!C:AB,7,FALSE),"")</f>
        <v/>
      </c>
      <c r="I2806" t="str">
        <f>IFERROR(VLOOKUP(D2806,'Team Data'!C:AB,14,FALSE),"")</f>
        <v/>
      </c>
      <c r="J2806" t="str">
        <f>IFERROR(VLOOKUP(D2806,'Team Data'!C:AB,8,FALSE),"")</f>
        <v/>
      </c>
      <c r="K2806" t="str">
        <f>IFERROR(VLOOKUP(D2806,'Team Data'!C:AB,9,FALSE),"")</f>
        <v/>
      </c>
      <c r="L2806" t="str">
        <f>IFERROR(VLOOKUP(D2806,'Team Data'!C:AB,10,FALSE),"")</f>
        <v/>
      </c>
      <c r="M2806" t="str">
        <f t="shared" si="88"/>
        <v/>
      </c>
      <c r="N2806" t="str">
        <f>IFERROR(VLOOKUP(D2806,'Team Data'!C:AB,23,FALSE),"")</f>
        <v/>
      </c>
      <c r="O2806" t="str">
        <f>IFERROR(VLOOKUP(D2806,'Team Data'!C:AB,22,FALSE),"")</f>
        <v/>
      </c>
      <c r="P2806" t="str">
        <f t="shared" si="89"/>
        <v/>
      </c>
      <c r="Q2806" t="str">
        <f>IFERROR(VLOOKUP(D2806,'Team Data'!C:AB,15,FALSE),"")</f>
        <v/>
      </c>
      <c r="R2806" t="str">
        <f>IFERROR(VLOOKUP('OB Format'!D2806,'Team Data'!C:AB,24,FALSE),"")</f>
        <v/>
      </c>
      <c r="S2806" t="str">
        <f>IFERROR(VLOOKUP('OB Format'!D2806,'Team Data'!C:AC,25,FALSE),"")</f>
        <v/>
      </c>
    </row>
    <row r="2807" spans="5:19" x14ac:dyDescent="0.25">
      <c r="E2807" t="str">
        <f>IFERROR(VLOOKUP(D2807,'Team Data'!C:AB,4,FALSE),"")</f>
        <v/>
      </c>
      <c r="F2807" t="str">
        <f>IFERROR(VLOOKUP(D2807,'Team Data'!C:AB,5,FALSE),"")</f>
        <v/>
      </c>
      <c r="G2807" t="str">
        <f>IFERROR(VLOOKUP('OB Format'!D2807,'Team Data'!C:AB,17,FALSE),"")</f>
        <v/>
      </c>
      <c r="H2807" t="str">
        <f>IFERROR(VLOOKUP(D2807,'Team Data'!C:AB,7,FALSE),"")</f>
        <v/>
      </c>
      <c r="I2807" t="str">
        <f>IFERROR(VLOOKUP(D2807,'Team Data'!C:AB,14,FALSE),"")</f>
        <v/>
      </c>
      <c r="J2807" t="str">
        <f>IFERROR(VLOOKUP(D2807,'Team Data'!C:AB,8,FALSE),"")</f>
        <v/>
      </c>
      <c r="K2807" t="str">
        <f>IFERROR(VLOOKUP(D2807,'Team Data'!C:AB,9,FALSE),"")</f>
        <v/>
      </c>
      <c r="L2807" t="str">
        <f>IFERROR(VLOOKUP(D2807,'Team Data'!C:AB,10,FALSE),"")</f>
        <v/>
      </c>
      <c r="M2807" t="str">
        <f t="shared" si="88"/>
        <v/>
      </c>
      <c r="N2807" t="str">
        <f>IFERROR(VLOOKUP(D2807,'Team Data'!C:AB,23,FALSE),"")</f>
        <v/>
      </c>
      <c r="O2807" t="str">
        <f>IFERROR(VLOOKUP(D2807,'Team Data'!C:AB,22,FALSE),"")</f>
        <v/>
      </c>
      <c r="P2807" t="str">
        <f t="shared" si="89"/>
        <v/>
      </c>
      <c r="Q2807" t="str">
        <f>IFERROR(VLOOKUP(D2807,'Team Data'!C:AB,15,FALSE),"")</f>
        <v/>
      </c>
      <c r="R2807" t="str">
        <f>IFERROR(VLOOKUP('OB Format'!D2807,'Team Data'!C:AB,24,FALSE),"")</f>
        <v/>
      </c>
      <c r="S2807" t="str">
        <f>IFERROR(VLOOKUP('OB Format'!D2807,'Team Data'!C:AC,25,FALSE),"")</f>
        <v/>
      </c>
    </row>
    <row r="2808" spans="5:19" x14ac:dyDescent="0.25">
      <c r="E2808" t="str">
        <f>IFERROR(VLOOKUP(D2808,'Team Data'!C:AB,4,FALSE),"")</f>
        <v/>
      </c>
      <c r="F2808" t="str">
        <f>IFERROR(VLOOKUP(D2808,'Team Data'!C:AB,5,FALSE),"")</f>
        <v/>
      </c>
      <c r="G2808" t="str">
        <f>IFERROR(VLOOKUP('OB Format'!D2808,'Team Data'!C:AB,17,FALSE),"")</f>
        <v/>
      </c>
      <c r="H2808" t="str">
        <f>IFERROR(VLOOKUP(D2808,'Team Data'!C:AB,7,FALSE),"")</f>
        <v/>
      </c>
      <c r="I2808" t="str">
        <f>IFERROR(VLOOKUP(D2808,'Team Data'!C:AB,14,FALSE),"")</f>
        <v/>
      </c>
      <c r="J2808" t="str">
        <f>IFERROR(VLOOKUP(D2808,'Team Data'!C:AB,8,FALSE),"")</f>
        <v/>
      </c>
      <c r="K2808" t="str">
        <f>IFERROR(VLOOKUP(D2808,'Team Data'!C:AB,9,FALSE),"")</f>
        <v/>
      </c>
      <c r="L2808" t="str">
        <f>IFERROR(VLOOKUP(D2808,'Team Data'!C:AB,10,FALSE),"")</f>
        <v/>
      </c>
      <c r="M2808" t="str">
        <f t="shared" si="88"/>
        <v/>
      </c>
      <c r="N2808" t="str">
        <f>IFERROR(VLOOKUP(D2808,'Team Data'!C:AB,23,FALSE),"")</f>
        <v/>
      </c>
      <c r="O2808" t="str">
        <f>IFERROR(VLOOKUP(D2808,'Team Data'!C:AB,22,FALSE),"")</f>
        <v/>
      </c>
      <c r="P2808" t="str">
        <f t="shared" si="89"/>
        <v/>
      </c>
      <c r="Q2808" t="str">
        <f>IFERROR(VLOOKUP(D2808,'Team Data'!C:AB,15,FALSE),"")</f>
        <v/>
      </c>
      <c r="R2808" t="str">
        <f>IFERROR(VLOOKUP('OB Format'!D2808,'Team Data'!C:AB,24,FALSE),"")</f>
        <v/>
      </c>
      <c r="S2808" t="str">
        <f>IFERROR(VLOOKUP('OB Format'!D2808,'Team Data'!C:AC,25,FALSE),"")</f>
        <v/>
      </c>
    </row>
    <row r="2809" spans="5:19" x14ac:dyDescent="0.25">
      <c r="E2809" t="str">
        <f>IFERROR(VLOOKUP(D2809,'Team Data'!C:AB,4,FALSE),"")</f>
        <v/>
      </c>
      <c r="F2809" t="str">
        <f>IFERROR(VLOOKUP(D2809,'Team Data'!C:AB,5,FALSE),"")</f>
        <v/>
      </c>
      <c r="G2809" t="str">
        <f>IFERROR(VLOOKUP('OB Format'!D2809,'Team Data'!C:AB,17,FALSE),"")</f>
        <v/>
      </c>
      <c r="H2809" t="str">
        <f>IFERROR(VLOOKUP(D2809,'Team Data'!C:AB,7,FALSE),"")</f>
        <v/>
      </c>
      <c r="I2809" t="str">
        <f>IFERROR(VLOOKUP(D2809,'Team Data'!C:AB,14,FALSE),"")</f>
        <v/>
      </c>
      <c r="J2809" t="str">
        <f>IFERROR(VLOOKUP(D2809,'Team Data'!C:AB,8,FALSE),"")</f>
        <v/>
      </c>
      <c r="K2809" t="str">
        <f>IFERROR(VLOOKUP(D2809,'Team Data'!C:AB,9,FALSE),"")</f>
        <v/>
      </c>
      <c r="L2809" t="str">
        <f>IFERROR(VLOOKUP(D2809,'Team Data'!C:AB,10,FALSE),"")</f>
        <v/>
      </c>
      <c r="M2809" t="str">
        <f t="shared" si="88"/>
        <v/>
      </c>
      <c r="N2809" t="str">
        <f>IFERROR(VLOOKUP(D2809,'Team Data'!C:AB,23,FALSE),"")</f>
        <v/>
      </c>
      <c r="O2809" t="str">
        <f>IFERROR(VLOOKUP(D2809,'Team Data'!C:AB,22,FALSE),"")</f>
        <v/>
      </c>
      <c r="P2809" t="str">
        <f t="shared" si="89"/>
        <v/>
      </c>
      <c r="Q2809" t="str">
        <f>IFERROR(VLOOKUP(D2809,'Team Data'!C:AB,15,FALSE),"")</f>
        <v/>
      </c>
      <c r="R2809" t="str">
        <f>IFERROR(VLOOKUP('OB Format'!D2809,'Team Data'!C:AB,24,FALSE),"")</f>
        <v/>
      </c>
      <c r="S2809" t="str">
        <f>IFERROR(VLOOKUP('OB Format'!D2809,'Team Data'!C:AC,25,FALSE),"")</f>
        <v/>
      </c>
    </row>
    <row r="2810" spans="5:19" x14ac:dyDescent="0.25">
      <c r="E2810" t="str">
        <f>IFERROR(VLOOKUP(D2810,'Team Data'!C:AB,4,FALSE),"")</f>
        <v/>
      </c>
      <c r="F2810" t="str">
        <f>IFERROR(VLOOKUP(D2810,'Team Data'!C:AB,5,FALSE),"")</f>
        <v/>
      </c>
      <c r="G2810" t="str">
        <f>IFERROR(VLOOKUP('OB Format'!D2810,'Team Data'!C:AB,17,FALSE),"")</f>
        <v/>
      </c>
      <c r="H2810" t="str">
        <f>IFERROR(VLOOKUP(D2810,'Team Data'!C:AB,7,FALSE),"")</f>
        <v/>
      </c>
      <c r="I2810" t="str">
        <f>IFERROR(VLOOKUP(D2810,'Team Data'!C:AB,14,FALSE),"")</f>
        <v/>
      </c>
      <c r="J2810" t="str">
        <f>IFERROR(VLOOKUP(D2810,'Team Data'!C:AB,8,FALSE),"")</f>
        <v/>
      </c>
      <c r="K2810" t="str">
        <f>IFERROR(VLOOKUP(D2810,'Team Data'!C:AB,9,FALSE),"")</f>
        <v/>
      </c>
      <c r="L2810" t="str">
        <f>IFERROR(VLOOKUP(D2810,'Team Data'!C:AB,10,FALSE),"")</f>
        <v/>
      </c>
      <c r="M2810" t="str">
        <f t="shared" si="88"/>
        <v/>
      </c>
      <c r="N2810" t="str">
        <f>IFERROR(VLOOKUP(D2810,'Team Data'!C:AB,23,FALSE),"")</f>
        <v/>
      </c>
      <c r="O2810" t="str">
        <f>IFERROR(VLOOKUP(D2810,'Team Data'!C:AB,22,FALSE),"")</f>
        <v/>
      </c>
      <c r="P2810" t="str">
        <f t="shared" si="89"/>
        <v/>
      </c>
      <c r="Q2810" t="str">
        <f>IFERROR(VLOOKUP(D2810,'Team Data'!C:AB,15,FALSE),"")</f>
        <v/>
      </c>
      <c r="R2810" t="str">
        <f>IFERROR(VLOOKUP('OB Format'!D2810,'Team Data'!C:AB,24,FALSE),"")</f>
        <v/>
      </c>
      <c r="S2810" t="str">
        <f>IFERROR(VLOOKUP('OB Format'!D2810,'Team Data'!C:AC,25,FALSE),"")</f>
        <v/>
      </c>
    </row>
    <row r="2811" spans="5:19" x14ac:dyDescent="0.25">
      <c r="E2811" t="str">
        <f>IFERROR(VLOOKUP(D2811,'Team Data'!C:AB,4,FALSE),"")</f>
        <v/>
      </c>
      <c r="F2811" t="str">
        <f>IFERROR(VLOOKUP(D2811,'Team Data'!C:AB,5,FALSE),"")</f>
        <v/>
      </c>
      <c r="G2811" t="str">
        <f>IFERROR(VLOOKUP('OB Format'!D2811,'Team Data'!C:AB,17,FALSE),"")</f>
        <v/>
      </c>
      <c r="H2811" t="str">
        <f>IFERROR(VLOOKUP(D2811,'Team Data'!C:AB,7,FALSE),"")</f>
        <v/>
      </c>
      <c r="I2811" t="str">
        <f>IFERROR(VLOOKUP(D2811,'Team Data'!C:AB,14,FALSE),"")</f>
        <v/>
      </c>
      <c r="J2811" t="str">
        <f>IFERROR(VLOOKUP(D2811,'Team Data'!C:AB,8,FALSE),"")</f>
        <v/>
      </c>
      <c r="K2811" t="str">
        <f>IFERROR(VLOOKUP(D2811,'Team Data'!C:AB,9,FALSE),"")</f>
        <v/>
      </c>
      <c r="L2811" t="str">
        <f>IFERROR(VLOOKUP(D2811,'Team Data'!C:AB,10,FALSE),"")</f>
        <v/>
      </c>
      <c r="M2811" t="str">
        <f t="shared" si="88"/>
        <v/>
      </c>
      <c r="N2811" t="str">
        <f>IFERROR(VLOOKUP(D2811,'Team Data'!C:AB,23,FALSE),"")</f>
        <v/>
      </c>
      <c r="O2811" t="str">
        <f>IFERROR(VLOOKUP(D2811,'Team Data'!C:AB,22,FALSE),"")</f>
        <v/>
      </c>
      <c r="P2811" t="str">
        <f t="shared" si="89"/>
        <v/>
      </c>
      <c r="Q2811" t="str">
        <f>IFERROR(VLOOKUP(D2811,'Team Data'!C:AB,15,FALSE),"")</f>
        <v/>
      </c>
      <c r="R2811" t="str">
        <f>IFERROR(VLOOKUP('OB Format'!D2811,'Team Data'!C:AB,24,FALSE),"")</f>
        <v/>
      </c>
      <c r="S2811" t="str">
        <f>IFERROR(VLOOKUP('OB Format'!D2811,'Team Data'!C:AC,25,FALSE),"")</f>
        <v/>
      </c>
    </row>
    <row r="2812" spans="5:19" x14ac:dyDescent="0.25">
      <c r="E2812" t="str">
        <f>IFERROR(VLOOKUP(D2812,'Team Data'!C:AB,4,FALSE),"")</f>
        <v/>
      </c>
      <c r="F2812" t="str">
        <f>IFERROR(VLOOKUP(D2812,'Team Data'!C:AB,5,FALSE),"")</f>
        <v/>
      </c>
      <c r="G2812" t="str">
        <f>IFERROR(VLOOKUP('OB Format'!D2812,'Team Data'!C:AB,17,FALSE),"")</f>
        <v/>
      </c>
      <c r="H2812" t="str">
        <f>IFERROR(VLOOKUP(D2812,'Team Data'!C:AB,7,FALSE),"")</f>
        <v/>
      </c>
      <c r="I2812" t="str">
        <f>IFERROR(VLOOKUP(D2812,'Team Data'!C:AB,14,FALSE),"")</f>
        <v/>
      </c>
      <c r="J2812" t="str">
        <f>IFERROR(VLOOKUP(D2812,'Team Data'!C:AB,8,FALSE),"")</f>
        <v/>
      </c>
      <c r="K2812" t="str">
        <f>IFERROR(VLOOKUP(D2812,'Team Data'!C:AB,9,FALSE),"")</f>
        <v/>
      </c>
      <c r="L2812" t="str">
        <f>IFERROR(VLOOKUP(D2812,'Team Data'!C:AB,10,FALSE),"")</f>
        <v/>
      </c>
      <c r="M2812" t="str">
        <f t="shared" si="88"/>
        <v/>
      </c>
      <c r="N2812" t="str">
        <f>IFERROR(VLOOKUP(D2812,'Team Data'!C:AB,23,FALSE),"")</f>
        <v/>
      </c>
      <c r="O2812" t="str">
        <f>IFERROR(VLOOKUP(D2812,'Team Data'!C:AB,22,FALSE),"")</f>
        <v/>
      </c>
      <c r="P2812" t="str">
        <f t="shared" si="89"/>
        <v/>
      </c>
      <c r="Q2812" t="str">
        <f>IFERROR(VLOOKUP(D2812,'Team Data'!C:AB,15,FALSE),"")</f>
        <v/>
      </c>
      <c r="R2812" t="str">
        <f>IFERROR(VLOOKUP('OB Format'!D2812,'Team Data'!C:AB,24,FALSE),"")</f>
        <v/>
      </c>
      <c r="S2812" t="str">
        <f>IFERROR(VLOOKUP('OB Format'!D2812,'Team Data'!C:AC,25,FALSE),"")</f>
        <v/>
      </c>
    </row>
    <row r="2813" spans="5:19" x14ac:dyDescent="0.25">
      <c r="E2813" t="str">
        <f>IFERROR(VLOOKUP(D2813,'Team Data'!C:AB,4,FALSE),"")</f>
        <v/>
      </c>
      <c r="F2813" t="str">
        <f>IFERROR(VLOOKUP(D2813,'Team Data'!C:AB,5,FALSE),"")</f>
        <v/>
      </c>
      <c r="G2813" t="str">
        <f>IFERROR(VLOOKUP('OB Format'!D2813,'Team Data'!C:AB,17,FALSE),"")</f>
        <v/>
      </c>
      <c r="H2813" t="str">
        <f>IFERROR(VLOOKUP(D2813,'Team Data'!C:AB,7,FALSE),"")</f>
        <v/>
      </c>
      <c r="I2813" t="str">
        <f>IFERROR(VLOOKUP(D2813,'Team Data'!C:AB,14,FALSE),"")</f>
        <v/>
      </c>
      <c r="J2813" t="str">
        <f>IFERROR(VLOOKUP(D2813,'Team Data'!C:AB,8,FALSE),"")</f>
        <v/>
      </c>
      <c r="K2813" t="str">
        <f>IFERROR(VLOOKUP(D2813,'Team Data'!C:AB,9,FALSE),"")</f>
        <v/>
      </c>
      <c r="L2813" t="str">
        <f>IFERROR(VLOOKUP(D2813,'Team Data'!C:AB,10,FALSE),"")</f>
        <v/>
      </c>
      <c r="M2813" t="str">
        <f t="shared" si="88"/>
        <v/>
      </c>
      <c r="N2813" t="str">
        <f>IFERROR(VLOOKUP(D2813,'Team Data'!C:AB,23,FALSE),"")</f>
        <v/>
      </c>
      <c r="O2813" t="str">
        <f>IFERROR(VLOOKUP(D2813,'Team Data'!C:AB,22,FALSE),"")</f>
        <v/>
      </c>
      <c r="P2813" t="str">
        <f t="shared" si="89"/>
        <v/>
      </c>
      <c r="Q2813" t="str">
        <f>IFERROR(VLOOKUP(D2813,'Team Data'!C:AB,15,FALSE),"")</f>
        <v/>
      </c>
      <c r="R2813" t="str">
        <f>IFERROR(VLOOKUP('OB Format'!D2813,'Team Data'!C:AB,24,FALSE),"")</f>
        <v/>
      </c>
      <c r="S2813" t="str">
        <f>IFERROR(VLOOKUP('OB Format'!D2813,'Team Data'!C:AC,25,FALSE),"")</f>
        <v/>
      </c>
    </row>
    <row r="2814" spans="5:19" x14ac:dyDescent="0.25">
      <c r="E2814" t="str">
        <f>IFERROR(VLOOKUP(D2814,'Team Data'!C:AB,4,FALSE),"")</f>
        <v/>
      </c>
      <c r="F2814" t="str">
        <f>IFERROR(VLOOKUP(D2814,'Team Data'!C:AB,5,FALSE),"")</f>
        <v/>
      </c>
      <c r="G2814" t="str">
        <f>IFERROR(VLOOKUP('OB Format'!D2814,'Team Data'!C:AB,17,FALSE),"")</f>
        <v/>
      </c>
      <c r="H2814" t="str">
        <f>IFERROR(VLOOKUP(D2814,'Team Data'!C:AB,7,FALSE),"")</f>
        <v/>
      </c>
      <c r="I2814" t="str">
        <f>IFERROR(VLOOKUP(D2814,'Team Data'!C:AB,14,FALSE),"")</f>
        <v/>
      </c>
      <c r="J2814" t="str">
        <f>IFERROR(VLOOKUP(D2814,'Team Data'!C:AB,8,FALSE),"")</f>
        <v/>
      </c>
      <c r="K2814" t="str">
        <f>IFERROR(VLOOKUP(D2814,'Team Data'!C:AB,9,FALSE),"")</f>
        <v/>
      </c>
      <c r="L2814" t="str">
        <f>IFERROR(VLOOKUP(D2814,'Team Data'!C:AB,10,FALSE),"")</f>
        <v/>
      </c>
      <c r="M2814" t="str">
        <f t="shared" si="88"/>
        <v/>
      </c>
      <c r="N2814" t="str">
        <f>IFERROR(VLOOKUP(D2814,'Team Data'!C:AB,23,FALSE),"")</f>
        <v/>
      </c>
      <c r="O2814" t="str">
        <f>IFERROR(VLOOKUP(D2814,'Team Data'!C:AB,22,FALSE),"")</f>
        <v/>
      </c>
      <c r="P2814" t="str">
        <f t="shared" si="89"/>
        <v/>
      </c>
      <c r="Q2814" t="str">
        <f>IFERROR(VLOOKUP(D2814,'Team Data'!C:AB,15,FALSE),"")</f>
        <v/>
      </c>
      <c r="R2814" t="str">
        <f>IFERROR(VLOOKUP('OB Format'!D2814,'Team Data'!C:AB,24,FALSE),"")</f>
        <v/>
      </c>
      <c r="S2814" t="str">
        <f>IFERROR(VLOOKUP('OB Format'!D2814,'Team Data'!C:AC,25,FALSE),"")</f>
        <v/>
      </c>
    </row>
    <row r="2815" spans="5:19" x14ac:dyDescent="0.25">
      <c r="E2815" t="str">
        <f>IFERROR(VLOOKUP(D2815,'Team Data'!C:AB,4,FALSE),"")</f>
        <v/>
      </c>
      <c r="F2815" t="str">
        <f>IFERROR(VLOOKUP(D2815,'Team Data'!C:AB,5,FALSE),"")</f>
        <v/>
      </c>
      <c r="G2815" t="str">
        <f>IFERROR(VLOOKUP('OB Format'!D2815,'Team Data'!C:AB,17,FALSE),"")</f>
        <v/>
      </c>
      <c r="H2815" t="str">
        <f>IFERROR(VLOOKUP(D2815,'Team Data'!C:AB,7,FALSE),"")</f>
        <v/>
      </c>
      <c r="I2815" t="str">
        <f>IFERROR(VLOOKUP(D2815,'Team Data'!C:AB,14,FALSE),"")</f>
        <v/>
      </c>
      <c r="J2815" t="str">
        <f>IFERROR(VLOOKUP(D2815,'Team Data'!C:AB,8,FALSE),"")</f>
        <v/>
      </c>
      <c r="K2815" t="str">
        <f>IFERROR(VLOOKUP(D2815,'Team Data'!C:AB,9,FALSE),"")</f>
        <v/>
      </c>
      <c r="L2815" t="str">
        <f>IFERROR(VLOOKUP(D2815,'Team Data'!C:AB,10,FALSE),"")</f>
        <v/>
      </c>
      <c r="M2815" t="str">
        <f t="shared" si="88"/>
        <v/>
      </c>
      <c r="N2815" t="str">
        <f>IFERROR(VLOOKUP(D2815,'Team Data'!C:AB,23,FALSE),"")</f>
        <v/>
      </c>
      <c r="O2815" t="str">
        <f>IFERROR(VLOOKUP(D2815,'Team Data'!C:AB,22,FALSE),"")</f>
        <v/>
      </c>
      <c r="P2815" t="str">
        <f t="shared" si="89"/>
        <v/>
      </c>
      <c r="Q2815" t="str">
        <f>IFERROR(VLOOKUP(D2815,'Team Data'!C:AB,15,FALSE),"")</f>
        <v/>
      </c>
      <c r="R2815" t="str">
        <f>IFERROR(VLOOKUP('OB Format'!D2815,'Team Data'!C:AB,24,FALSE),"")</f>
        <v/>
      </c>
      <c r="S2815" t="str">
        <f>IFERROR(VLOOKUP('OB Format'!D2815,'Team Data'!C:AC,25,FALSE),"")</f>
        <v/>
      </c>
    </row>
    <row r="2816" spans="5:19" x14ac:dyDescent="0.25">
      <c r="E2816" t="str">
        <f>IFERROR(VLOOKUP(D2816,'Team Data'!C:AB,4,FALSE),"")</f>
        <v/>
      </c>
      <c r="F2816" t="str">
        <f>IFERROR(VLOOKUP(D2816,'Team Data'!C:AB,5,FALSE),"")</f>
        <v/>
      </c>
      <c r="G2816" t="str">
        <f>IFERROR(VLOOKUP('OB Format'!D2816,'Team Data'!C:AB,17,FALSE),"")</f>
        <v/>
      </c>
      <c r="H2816" t="str">
        <f>IFERROR(VLOOKUP(D2816,'Team Data'!C:AB,7,FALSE),"")</f>
        <v/>
      </c>
      <c r="I2816" t="str">
        <f>IFERROR(VLOOKUP(D2816,'Team Data'!C:AB,14,FALSE),"")</f>
        <v/>
      </c>
      <c r="J2816" t="str">
        <f>IFERROR(VLOOKUP(D2816,'Team Data'!C:AB,8,FALSE),"")</f>
        <v/>
      </c>
      <c r="K2816" t="str">
        <f>IFERROR(VLOOKUP(D2816,'Team Data'!C:AB,9,FALSE),"")</f>
        <v/>
      </c>
      <c r="L2816" t="str">
        <f>IFERROR(VLOOKUP(D2816,'Team Data'!C:AB,10,FALSE),"")</f>
        <v/>
      </c>
      <c r="M2816" t="str">
        <f t="shared" si="88"/>
        <v/>
      </c>
      <c r="N2816" t="str">
        <f>IFERROR(VLOOKUP(D2816,'Team Data'!C:AB,23,FALSE),"")</f>
        <v/>
      </c>
      <c r="O2816" t="str">
        <f>IFERROR(VLOOKUP(D2816,'Team Data'!C:AB,22,FALSE),"")</f>
        <v/>
      </c>
      <c r="P2816" t="str">
        <f t="shared" si="89"/>
        <v/>
      </c>
      <c r="Q2816" t="str">
        <f>IFERROR(VLOOKUP(D2816,'Team Data'!C:AB,15,FALSE),"")</f>
        <v/>
      </c>
      <c r="R2816" t="str">
        <f>IFERROR(VLOOKUP('OB Format'!D2816,'Team Data'!C:AB,24,FALSE),"")</f>
        <v/>
      </c>
      <c r="S2816" t="str">
        <f>IFERROR(VLOOKUP('OB Format'!D2816,'Team Data'!C:AC,25,FALSE),"")</f>
        <v/>
      </c>
    </row>
    <row r="2817" spans="5:19" x14ac:dyDescent="0.25">
      <c r="E2817" t="str">
        <f>IFERROR(VLOOKUP(D2817,'Team Data'!C:AB,4,FALSE),"")</f>
        <v/>
      </c>
      <c r="F2817" t="str">
        <f>IFERROR(VLOOKUP(D2817,'Team Data'!C:AB,5,FALSE),"")</f>
        <v/>
      </c>
      <c r="G2817" t="str">
        <f>IFERROR(VLOOKUP('OB Format'!D2817,'Team Data'!C:AB,17,FALSE),"")</f>
        <v/>
      </c>
      <c r="H2817" t="str">
        <f>IFERROR(VLOOKUP(D2817,'Team Data'!C:AB,7,FALSE),"")</f>
        <v/>
      </c>
      <c r="I2817" t="str">
        <f>IFERROR(VLOOKUP(D2817,'Team Data'!C:AB,14,FALSE),"")</f>
        <v/>
      </c>
      <c r="J2817" t="str">
        <f>IFERROR(VLOOKUP(D2817,'Team Data'!C:AB,8,FALSE),"")</f>
        <v/>
      </c>
      <c r="K2817" t="str">
        <f>IFERROR(VLOOKUP(D2817,'Team Data'!C:AB,9,FALSE),"")</f>
        <v/>
      </c>
      <c r="L2817" t="str">
        <f>IFERROR(VLOOKUP(D2817,'Team Data'!C:AB,10,FALSE),"")</f>
        <v/>
      </c>
      <c r="M2817" t="str">
        <f t="shared" si="88"/>
        <v/>
      </c>
      <c r="N2817" t="str">
        <f>IFERROR(VLOOKUP(D2817,'Team Data'!C:AB,23,FALSE),"")</f>
        <v/>
      </c>
      <c r="O2817" t="str">
        <f>IFERROR(VLOOKUP(D2817,'Team Data'!C:AB,22,FALSE),"")</f>
        <v/>
      </c>
      <c r="P2817" t="str">
        <f t="shared" si="89"/>
        <v/>
      </c>
      <c r="Q2817" t="str">
        <f>IFERROR(VLOOKUP(D2817,'Team Data'!C:AB,15,FALSE),"")</f>
        <v/>
      </c>
      <c r="R2817" t="str">
        <f>IFERROR(VLOOKUP('OB Format'!D2817,'Team Data'!C:AB,24,FALSE),"")</f>
        <v/>
      </c>
      <c r="S2817" t="str">
        <f>IFERROR(VLOOKUP('OB Format'!D2817,'Team Data'!C:AC,25,FALSE),"")</f>
        <v/>
      </c>
    </row>
    <row r="2818" spans="5:19" x14ac:dyDescent="0.25">
      <c r="E2818" t="str">
        <f>IFERROR(VLOOKUP(D2818,'Team Data'!C:AB,4,FALSE),"")</f>
        <v/>
      </c>
      <c r="F2818" t="str">
        <f>IFERROR(VLOOKUP(D2818,'Team Data'!C:AB,5,FALSE),"")</f>
        <v/>
      </c>
      <c r="G2818" t="str">
        <f>IFERROR(VLOOKUP('OB Format'!D2818,'Team Data'!C:AB,17,FALSE),"")</f>
        <v/>
      </c>
      <c r="H2818" t="str">
        <f>IFERROR(VLOOKUP(D2818,'Team Data'!C:AB,7,FALSE),"")</f>
        <v/>
      </c>
      <c r="I2818" t="str">
        <f>IFERROR(VLOOKUP(D2818,'Team Data'!C:AB,14,FALSE),"")</f>
        <v/>
      </c>
      <c r="J2818" t="str">
        <f>IFERROR(VLOOKUP(D2818,'Team Data'!C:AB,8,FALSE),"")</f>
        <v/>
      </c>
      <c r="K2818" t="str">
        <f>IFERROR(VLOOKUP(D2818,'Team Data'!C:AB,9,FALSE),"")</f>
        <v/>
      </c>
      <c r="L2818" t="str">
        <f>IFERROR(VLOOKUP(D2818,'Team Data'!C:AB,10,FALSE),"")</f>
        <v/>
      </c>
      <c r="M2818" t="str">
        <f t="shared" si="88"/>
        <v/>
      </c>
      <c r="N2818" t="str">
        <f>IFERROR(VLOOKUP(D2818,'Team Data'!C:AB,23,FALSE),"")</f>
        <v/>
      </c>
      <c r="O2818" t="str">
        <f>IFERROR(VLOOKUP(D2818,'Team Data'!C:AB,22,FALSE),"")</f>
        <v/>
      </c>
      <c r="P2818" t="str">
        <f t="shared" si="89"/>
        <v/>
      </c>
      <c r="Q2818" t="str">
        <f>IFERROR(VLOOKUP(D2818,'Team Data'!C:AB,15,FALSE),"")</f>
        <v/>
      </c>
      <c r="R2818" t="str">
        <f>IFERROR(VLOOKUP('OB Format'!D2818,'Team Data'!C:AB,24,FALSE),"")</f>
        <v/>
      </c>
      <c r="S2818" t="str">
        <f>IFERROR(VLOOKUP('OB Format'!D2818,'Team Data'!C:AC,25,FALSE),"")</f>
        <v/>
      </c>
    </row>
    <row r="2819" spans="5:19" x14ac:dyDescent="0.25">
      <c r="E2819" t="str">
        <f>IFERROR(VLOOKUP(D2819,'Team Data'!C:AB,4,FALSE),"")</f>
        <v/>
      </c>
      <c r="F2819" t="str">
        <f>IFERROR(VLOOKUP(D2819,'Team Data'!C:AB,5,FALSE),"")</f>
        <v/>
      </c>
      <c r="G2819" t="str">
        <f>IFERROR(VLOOKUP('OB Format'!D2819,'Team Data'!C:AB,17,FALSE),"")</f>
        <v/>
      </c>
      <c r="H2819" t="str">
        <f>IFERROR(VLOOKUP(D2819,'Team Data'!C:AB,7,FALSE),"")</f>
        <v/>
      </c>
      <c r="I2819" t="str">
        <f>IFERROR(VLOOKUP(D2819,'Team Data'!C:AB,14,FALSE),"")</f>
        <v/>
      </c>
      <c r="J2819" t="str">
        <f>IFERROR(VLOOKUP(D2819,'Team Data'!C:AB,8,FALSE),"")</f>
        <v/>
      </c>
      <c r="K2819" t="str">
        <f>IFERROR(VLOOKUP(D2819,'Team Data'!C:AB,9,FALSE),"")</f>
        <v/>
      </c>
      <c r="L2819" t="str">
        <f>IFERROR(VLOOKUP(D2819,'Team Data'!C:AB,10,FALSE),"")</f>
        <v/>
      </c>
      <c r="M2819" t="str">
        <f t="shared" si="88"/>
        <v/>
      </c>
      <c r="N2819" t="str">
        <f>IFERROR(VLOOKUP(D2819,'Team Data'!C:AB,23,FALSE),"")</f>
        <v/>
      </c>
      <c r="O2819" t="str">
        <f>IFERROR(VLOOKUP(D2819,'Team Data'!C:AB,22,FALSE),"")</f>
        <v/>
      </c>
      <c r="P2819" t="str">
        <f t="shared" si="89"/>
        <v/>
      </c>
      <c r="Q2819" t="str">
        <f>IFERROR(VLOOKUP(D2819,'Team Data'!C:AB,15,FALSE),"")</f>
        <v/>
      </c>
      <c r="R2819" t="str">
        <f>IFERROR(VLOOKUP('OB Format'!D2819,'Team Data'!C:AB,24,FALSE),"")</f>
        <v/>
      </c>
      <c r="S2819" t="str">
        <f>IFERROR(VLOOKUP('OB Format'!D2819,'Team Data'!C:AC,25,FALSE),"")</f>
        <v/>
      </c>
    </row>
    <row r="2820" spans="5:19" x14ac:dyDescent="0.25">
      <c r="E2820" t="str">
        <f>IFERROR(VLOOKUP(D2820,'Team Data'!C:AB,4,FALSE),"")</f>
        <v/>
      </c>
      <c r="F2820" t="str">
        <f>IFERROR(VLOOKUP(D2820,'Team Data'!C:AB,5,FALSE),"")</f>
        <v/>
      </c>
      <c r="G2820" t="str">
        <f>IFERROR(VLOOKUP('OB Format'!D2820,'Team Data'!C:AB,17,FALSE),"")</f>
        <v/>
      </c>
      <c r="H2820" t="str">
        <f>IFERROR(VLOOKUP(D2820,'Team Data'!C:AB,7,FALSE),"")</f>
        <v/>
      </c>
      <c r="I2820" t="str">
        <f>IFERROR(VLOOKUP(D2820,'Team Data'!C:AB,14,FALSE),"")</f>
        <v/>
      </c>
      <c r="J2820" t="str">
        <f>IFERROR(VLOOKUP(D2820,'Team Data'!C:AB,8,FALSE),"")</f>
        <v/>
      </c>
      <c r="K2820" t="str">
        <f>IFERROR(VLOOKUP(D2820,'Team Data'!C:AB,9,FALSE),"")</f>
        <v/>
      </c>
      <c r="L2820" t="str">
        <f>IFERROR(VLOOKUP(D2820,'Team Data'!C:AB,10,FALSE),"")</f>
        <v/>
      </c>
      <c r="M2820" t="str">
        <f t="shared" si="88"/>
        <v/>
      </c>
      <c r="N2820" t="str">
        <f>IFERROR(VLOOKUP(D2820,'Team Data'!C:AB,23,FALSE),"")</f>
        <v/>
      </c>
      <c r="O2820" t="str">
        <f>IFERROR(VLOOKUP(D2820,'Team Data'!C:AB,22,FALSE),"")</f>
        <v/>
      </c>
      <c r="P2820" t="str">
        <f t="shared" si="89"/>
        <v/>
      </c>
      <c r="Q2820" t="str">
        <f>IFERROR(VLOOKUP(D2820,'Team Data'!C:AB,15,FALSE),"")</f>
        <v/>
      </c>
      <c r="R2820" t="str">
        <f>IFERROR(VLOOKUP('OB Format'!D2820,'Team Data'!C:AB,24,FALSE),"")</f>
        <v/>
      </c>
      <c r="S2820" t="str">
        <f>IFERROR(VLOOKUP('OB Format'!D2820,'Team Data'!C:AC,25,FALSE),"")</f>
        <v/>
      </c>
    </row>
    <row r="2821" spans="5:19" x14ac:dyDescent="0.25">
      <c r="E2821" t="str">
        <f>IFERROR(VLOOKUP(D2821,'Team Data'!C:AB,4,FALSE),"")</f>
        <v/>
      </c>
      <c r="F2821" t="str">
        <f>IFERROR(VLOOKUP(D2821,'Team Data'!C:AB,5,FALSE),"")</f>
        <v/>
      </c>
      <c r="G2821" t="str">
        <f>IFERROR(VLOOKUP('OB Format'!D2821,'Team Data'!C:AB,17,FALSE),"")</f>
        <v/>
      </c>
      <c r="H2821" t="str">
        <f>IFERROR(VLOOKUP(D2821,'Team Data'!C:AB,7,FALSE),"")</f>
        <v/>
      </c>
      <c r="I2821" t="str">
        <f>IFERROR(VLOOKUP(D2821,'Team Data'!C:AB,14,FALSE),"")</f>
        <v/>
      </c>
      <c r="J2821" t="str">
        <f>IFERROR(VLOOKUP(D2821,'Team Data'!C:AB,8,FALSE),"")</f>
        <v/>
      </c>
      <c r="K2821" t="str">
        <f>IFERROR(VLOOKUP(D2821,'Team Data'!C:AB,9,FALSE),"")</f>
        <v/>
      </c>
      <c r="L2821" t="str">
        <f>IFERROR(VLOOKUP(D2821,'Team Data'!C:AB,10,FALSE),"")</f>
        <v/>
      </c>
      <c r="M2821" t="str">
        <f t="shared" si="88"/>
        <v/>
      </c>
      <c r="N2821" t="str">
        <f>IFERROR(VLOOKUP(D2821,'Team Data'!C:AB,23,FALSE),"")</f>
        <v/>
      </c>
      <c r="O2821" t="str">
        <f>IFERROR(VLOOKUP(D2821,'Team Data'!C:AB,22,FALSE),"")</f>
        <v/>
      </c>
      <c r="P2821" t="str">
        <f t="shared" si="89"/>
        <v/>
      </c>
      <c r="Q2821" t="str">
        <f>IFERROR(VLOOKUP(D2821,'Team Data'!C:AB,15,FALSE),"")</f>
        <v/>
      </c>
      <c r="R2821" t="str">
        <f>IFERROR(VLOOKUP('OB Format'!D2821,'Team Data'!C:AB,24,FALSE),"")</f>
        <v/>
      </c>
      <c r="S2821" t="str">
        <f>IFERROR(VLOOKUP('OB Format'!D2821,'Team Data'!C:AC,25,FALSE),"")</f>
        <v/>
      </c>
    </row>
    <row r="2822" spans="5:19" x14ac:dyDescent="0.25">
      <c r="E2822" t="str">
        <f>IFERROR(VLOOKUP(D2822,'Team Data'!C:AB,4,FALSE),"")</f>
        <v/>
      </c>
      <c r="F2822" t="str">
        <f>IFERROR(VLOOKUP(D2822,'Team Data'!C:AB,5,FALSE),"")</f>
        <v/>
      </c>
      <c r="G2822" t="str">
        <f>IFERROR(VLOOKUP('OB Format'!D2822,'Team Data'!C:AB,17,FALSE),"")</f>
        <v/>
      </c>
      <c r="H2822" t="str">
        <f>IFERROR(VLOOKUP(D2822,'Team Data'!C:AB,7,FALSE),"")</f>
        <v/>
      </c>
      <c r="I2822" t="str">
        <f>IFERROR(VLOOKUP(D2822,'Team Data'!C:AB,14,FALSE),"")</f>
        <v/>
      </c>
      <c r="J2822" t="str">
        <f>IFERROR(VLOOKUP(D2822,'Team Data'!C:AB,8,FALSE),"")</f>
        <v/>
      </c>
      <c r="K2822" t="str">
        <f>IFERROR(VLOOKUP(D2822,'Team Data'!C:AB,9,FALSE),"")</f>
        <v/>
      </c>
      <c r="L2822" t="str">
        <f>IFERROR(VLOOKUP(D2822,'Team Data'!C:AB,10,FALSE),"")</f>
        <v/>
      </c>
      <c r="M2822" t="str">
        <f t="shared" si="88"/>
        <v/>
      </c>
      <c r="N2822" t="str">
        <f>IFERROR(VLOOKUP(D2822,'Team Data'!C:AB,23,FALSE),"")</f>
        <v/>
      </c>
      <c r="O2822" t="str">
        <f>IFERROR(VLOOKUP(D2822,'Team Data'!C:AB,22,FALSE),"")</f>
        <v/>
      </c>
      <c r="P2822" t="str">
        <f t="shared" si="89"/>
        <v/>
      </c>
      <c r="Q2822" t="str">
        <f>IFERROR(VLOOKUP(D2822,'Team Data'!C:AB,15,FALSE),"")</f>
        <v/>
      </c>
      <c r="R2822" t="str">
        <f>IFERROR(VLOOKUP('OB Format'!D2822,'Team Data'!C:AB,24,FALSE),"")</f>
        <v/>
      </c>
      <c r="S2822" t="str">
        <f>IFERROR(VLOOKUP('OB Format'!D2822,'Team Data'!C:AC,25,FALSE),"")</f>
        <v/>
      </c>
    </row>
    <row r="2823" spans="5:19" x14ac:dyDescent="0.25">
      <c r="E2823" t="str">
        <f>IFERROR(VLOOKUP(D2823,'Team Data'!C:AB,4,FALSE),"")</f>
        <v/>
      </c>
      <c r="F2823" t="str">
        <f>IFERROR(VLOOKUP(D2823,'Team Data'!C:AB,5,FALSE),"")</f>
        <v/>
      </c>
      <c r="G2823" t="str">
        <f>IFERROR(VLOOKUP('OB Format'!D2823,'Team Data'!C:AB,17,FALSE),"")</f>
        <v/>
      </c>
      <c r="H2823" t="str">
        <f>IFERROR(VLOOKUP(D2823,'Team Data'!C:AB,7,FALSE),"")</f>
        <v/>
      </c>
      <c r="I2823" t="str">
        <f>IFERROR(VLOOKUP(D2823,'Team Data'!C:AB,14,FALSE),"")</f>
        <v/>
      </c>
      <c r="J2823" t="str">
        <f>IFERROR(VLOOKUP(D2823,'Team Data'!C:AB,8,FALSE),"")</f>
        <v/>
      </c>
      <c r="K2823" t="str">
        <f>IFERROR(VLOOKUP(D2823,'Team Data'!C:AB,9,FALSE),"")</f>
        <v/>
      </c>
      <c r="L2823" t="str">
        <f>IFERROR(VLOOKUP(D2823,'Team Data'!C:AB,10,FALSE),"")</f>
        <v/>
      </c>
      <c r="M2823" t="str">
        <f t="shared" si="88"/>
        <v/>
      </c>
      <c r="N2823" t="str">
        <f>IFERROR(VLOOKUP(D2823,'Team Data'!C:AB,23,FALSE),"")</f>
        <v/>
      </c>
      <c r="O2823" t="str">
        <f>IFERROR(VLOOKUP(D2823,'Team Data'!C:AB,22,FALSE),"")</f>
        <v/>
      </c>
      <c r="P2823" t="str">
        <f t="shared" si="89"/>
        <v/>
      </c>
      <c r="Q2823" t="str">
        <f>IFERROR(VLOOKUP(D2823,'Team Data'!C:AB,15,FALSE),"")</f>
        <v/>
      </c>
      <c r="R2823" t="str">
        <f>IFERROR(VLOOKUP('OB Format'!D2823,'Team Data'!C:AB,24,FALSE),"")</f>
        <v/>
      </c>
      <c r="S2823" t="str">
        <f>IFERROR(VLOOKUP('OB Format'!D2823,'Team Data'!C:AC,25,FALSE),"")</f>
        <v/>
      </c>
    </row>
    <row r="2824" spans="5:19" x14ac:dyDescent="0.25">
      <c r="E2824" t="str">
        <f>IFERROR(VLOOKUP(D2824,'Team Data'!C:AB,4,FALSE),"")</f>
        <v/>
      </c>
      <c r="F2824" t="str">
        <f>IFERROR(VLOOKUP(D2824,'Team Data'!C:AB,5,FALSE),"")</f>
        <v/>
      </c>
      <c r="G2824" t="str">
        <f>IFERROR(VLOOKUP('OB Format'!D2824,'Team Data'!C:AB,17,FALSE),"")</f>
        <v/>
      </c>
      <c r="H2824" t="str">
        <f>IFERROR(VLOOKUP(D2824,'Team Data'!C:AB,7,FALSE),"")</f>
        <v/>
      </c>
      <c r="I2824" t="str">
        <f>IFERROR(VLOOKUP(D2824,'Team Data'!C:AB,14,FALSE),"")</f>
        <v/>
      </c>
      <c r="J2824" t="str">
        <f>IFERROR(VLOOKUP(D2824,'Team Data'!C:AB,8,FALSE),"")</f>
        <v/>
      </c>
      <c r="K2824" t="str">
        <f>IFERROR(VLOOKUP(D2824,'Team Data'!C:AB,9,FALSE),"")</f>
        <v/>
      </c>
      <c r="L2824" t="str">
        <f>IFERROR(VLOOKUP(D2824,'Team Data'!C:AB,10,FALSE),"")</f>
        <v/>
      </c>
      <c r="M2824" t="str">
        <f t="shared" si="88"/>
        <v/>
      </c>
      <c r="N2824" t="str">
        <f>IFERROR(VLOOKUP(D2824,'Team Data'!C:AB,23,FALSE),"")</f>
        <v/>
      </c>
      <c r="O2824" t="str">
        <f>IFERROR(VLOOKUP(D2824,'Team Data'!C:AB,22,FALSE),"")</f>
        <v/>
      </c>
      <c r="P2824" t="str">
        <f t="shared" si="89"/>
        <v/>
      </c>
      <c r="Q2824" t="str">
        <f>IFERROR(VLOOKUP(D2824,'Team Data'!C:AB,15,FALSE),"")</f>
        <v/>
      </c>
      <c r="R2824" t="str">
        <f>IFERROR(VLOOKUP('OB Format'!D2824,'Team Data'!C:AB,24,FALSE),"")</f>
        <v/>
      </c>
      <c r="S2824" t="str">
        <f>IFERROR(VLOOKUP('OB Format'!D2824,'Team Data'!C:AC,25,FALSE),"")</f>
        <v/>
      </c>
    </row>
    <row r="2825" spans="5:19" x14ac:dyDescent="0.25">
      <c r="E2825" t="str">
        <f>IFERROR(VLOOKUP(D2825,'Team Data'!C:AB,4,FALSE),"")</f>
        <v/>
      </c>
      <c r="F2825" t="str">
        <f>IFERROR(VLOOKUP(D2825,'Team Data'!C:AB,5,FALSE),"")</f>
        <v/>
      </c>
      <c r="G2825" t="str">
        <f>IFERROR(VLOOKUP('OB Format'!D2825,'Team Data'!C:AB,17,FALSE),"")</f>
        <v/>
      </c>
      <c r="H2825" t="str">
        <f>IFERROR(VLOOKUP(D2825,'Team Data'!C:AB,7,FALSE),"")</f>
        <v/>
      </c>
      <c r="I2825" t="str">
        <f>IFERROR(VLOOKUP(D2825,'Team Data'!C:AB,14,FALSE),"")</f>
        <v/>
      </c>
      <c r="J2825" t="str">
        <f>IFERROR(VLOOKUP(D2825,'Team Data'!C:AB,8,FALSE),"")</f>
        <v/>
      </c>
      <c r="K2825" t="str">
        <f>IFERROR(VLOOKUP(D2825,'Team Data'!C:AB,9,FALSE),"")</f>
        <v/>
      </c>
      <c r="L2825" t="str">
        <f>IFERROR(VLOOKUP(D2825,'Team Data'!C:AB,10,FALSE),"")</f>
        <v/>
      </c>
      <c r="M2825" t="str">
        <f t="shared" si="88"/>
        <v/>
      </c>
      <c r="N2825" t="str">
        <f>IFERROR(VLOOKUP(D2825,'Team Data'!C:AB,23,FALSE),"")</f>
        <v/>
      </c>
      <c r="O2825" t="str">
        <f>IFERROR(VLOOKUP(D2825,'Team Data'!C:AB,22,FALSE),"")</f>
        <v/>
      </c>
      <c r="P2825" t="str">
        <f t="shared" si="89"/>
        <v/>
      </c>
      <c r="Q2825" t="str">
        <f>IFERROR(VLOOKUP(D2825,'Team Data'!C:AB,15,FALSE),"")</f>
        <v/>
      </c>
      <c r="R2825" t="str">
        <f>IFERROR(VLOOKUP('OB Format'!D2825,'Team Data'!C:AB,24,FALSE),"")</f>
        <v/>
      </c>
      <c r="S2825" t="str">
        <f>IFERROR(VLOOKUP('OB Format'!D2825,'Team Data'!C:AC,25,FALSE),"")</f>
        <v/>
      </c>
    </row>
    <row r="2826" spans="5:19" x14ac:dyDescent="0.25">
      <c r="E2826" t="str">
        <f>IFERROR(VLOOKUP(D2826,'Team Data'!C:AB,4,FALSE),"")</f>
        <v/>
      </c>
      <c r="F2826" t="str">
        <f>IFERROR(VLOOKUP(D2826,'Team Data'!C:AB,5,FALSE),"")</f>
        <v/>
      </c>
      <c r="G2826" t="str">
        <f>IFERROR(VLOOKUP('OB Format'!D2826,'Team Data'!C:AB,17,FALSE),"")</f>
        <v/>
      </c>
      <c r="H2826" t="str">
        <f>IFERROR(VLOOKUP(D2826,'Team Data'!C:AB,7,FALSE),"")</f>
        <v/>
      </c>
      <c r="I2826" t="str">
        <f>IFERROR(VLOOKUP(D2826,'Team Data'!C:AB,14,FALSE),"")</f>
        <v/>
      </c>
      <c r="J2826" t="str">
        <f>IFERROR(VLOOKUP(D2826,'Team Data'!C:AB,8,FALSE),"")</f>
        <v/>
      </c>
      <c r="K2826" t="str">
        <f>IFERROR(VLOOKUP(D2826,'Team Data'!C:AB,9,FALSE),"")</f>
        <v/>
      </c>
      <c r="L2826" t="str">
        <f>IFERROR(VLOOKUP(D2826,'Team Data'!C:AB,10,FALSE),"")</f>
        <v/>
      </c>
      <c r="M2826" t="str">
        <f t="shared" si="88"/>
        <v/>
      </c>
      <c r="N2826" t="str">
        <f>IFERROR(VLOOKUP(D2826,'Team Data'!C:AB,23,FALSE),"")</f>
        <v/>
      </c>
      <c r="O2826" t="str">
        <f>IFERROR(VLOOKUP(D2826,'Team Data'!C:AB,22,FALSE),"")</f>
        <v/>
      </c>
      <c r="P2826" t="str">
        <f t="shared" si="89"/>
        <v/>
      </c>
      <c r="Q2826" t="str">
        <f>IFERROR(VLOOKUP(D2826,'Team Data'!C:AB,15,FALSE),"")</f>
        <v/>
      </c>
      <c r="R2826" t="str">
        <f>IFERROR(VLOOKUP('OB Format'!D2826,'Team Data'!C:AB,24,FALSE),"")</f>
        <v/>
      </c>
      <c r="S2826" t="str">
        <f>IFERROR(VLOOKUP('OB Format'!D2826,'Team Data'!C:AC,25,FALSE),"")</f>
        <v/>
      </c>
    </row>
    <row r="2827" spans="5:19" x14ac:dyDescent="0.25">
      <c r="E2827" t="str">
        <f>IFERROR(VLOOKUP(D2827,'Team Data'!C:AB,4,FALSE),"")</f>
        <v/>
      </c>
      <c r="F2827" t="str">
        <f>IFERROR(VLOOKUP(D2827,'Team Data'!C:AB,5,FALSE),"")</f>
        <v/>
      </c>
      <c r="G2827" t="str">
        <f>IFERROR(VLOOKUP('OB Format'!D2827,'Team Data'!C:AB,17,FALSE),"")</f>
        <v/>
      </c>
      <c r="H2827" t="str">
        <f>IFERROR(VLOOKUP(D2827,'Team Data'!C:AB,7,FALSE),"")</f>
        <v/>
      </c>
      <c r="I2827" t="str">
        <f>IFERROR(VLOOKUP(D2827,'Team Data'!C:AB,14,FALSE),"")</f>
        <v/>
      </c>
      <c r="J2827" t="str">
        <f>IFERROR(VLOOKUP(D2827,'Team Data'!C:AB,8,FALSE),"")</f>
        <v/>
      </c>
      <c r="K2827" t="str">
        <f>IFERROR(VLOOKUP(D2827,'Team Data'!C:AB,9,FALSE),"")</f>
        <v/>
      </c>
      <c r="L2827" t="str">
        <f>IFERROR(VLOOKUP(D2827,'Team Data'!C:AB,10,FALSE),"")</f>
        <v/>
      </c>
      <c r="M2827" t="str">
        <f t="shared" si="88"/>
        <v/>
      </c>
      <c r="N2827" t="str">
        <f>IFERROR(VLOOKUP(D2827,'Team Data'!C:AB,23,FALSE),"")</f>
        <v/>
      </c>
      <c r="O2827" t="str">
        <f>IFERROR(VLOOKUP(D2827,'Team Data'!C:AB,22,FALSE),"")</f>
        <v/>
      </c>
      <c r="P2827" t="str">
        <f t="shared" si="89"/>
        <v/>
      </c>
      <c r="Q2827" t="str">
        <f>IFERROR(VLOOKUP(D2827,'Team Data'!C:AB,15,FALSE),"")</f>
        <v/>
      </c>
      <c r="R2827" t="str">
        <f>IFERROR(VLOOKUP('OB Format'!D2827,'Team Data'!C:AB,24,FALSE),"")</f>
        <v/>
      </c>
      <c r="S2827" t="str">
        <f>IFERROR(VLOOKUP('OB Format'!D2827,'Team Data'!C:AC,25,FALSE),"")</f>
        <v/>
      </c>
    </row>
    <row r="2828" spans="5:19" x14ac:dyDescent="0.25">
      <c r="E2828" t="str">
        <f>IFERROR(VLOOKUP(D2828,'Team Data'!C:AB,4,FALSE),"")</f>
        <v/>
      </c>
      <c r="F2828" t="str">
        <f>IFERROR(VLOOKUP(D2828,'Team Data'!C:AB,5,FALSE),"")</f>
        <v/>
      </c>
      <c r="G2828" t="str">
        <f>IFERROR(VLOOKUP('OB Format'!D2828,'Team Data'!C:AB,17,FALSE),"")</f>
        <v/>
      </c>
      <c r="H2828" t="str">
        <f>IFERROR(VLOOKUP(D2828,'Team Data'!C:AB,7,FALSE),"")</f>
        <v/>
      </c>
      <c r="I2828" t="str">
        <f>IFERROR(VLOOKUP(D2828,'Team Data'!C:AB,14,FALSE),"")</f>
        <v/>
      </c>
      <c r="J2828" t="str">
        <f>IFERROR(VLOOKUP(D2828,'Team Data'!C:AB,8,FALSE),"")</f>
        <v/>
      </c>
      <c r="K2828" t="str">
        <f>IFERROR(VLOOKUP(D2828,'Team Data'!C:AB,9,FALSE),"")</f>
        <v/>
      </c>
      <c r="L2828" t="str">
        <f>IFERROR(VLOOKUP(D2828,'Team Data'!C:AB,10,FALSE),"")</f>
        <v/>
      </c>
      <c r="M2828" t="str">
        <f t="shared" si="88"/>
        <v/>
      </c>
      <c r="N2828" t="str">
        <f>IFERROR(VLOOKUP(D2828,'Team Data'!C:AB,23,FALSE),"")</f>
        <v/>
      </c>
      <c r="O2828" t="str">
        <f>IFERROR(VLOOKUP(D2828,'Team Data'!C:AB,22,FALSE),"")</f>
        <v/>
      </c>
      <c r="P2828" t="str">
        <f t="shared" si="89"/>
        <v/>
      </c>
      <c r="Q2828" t="str">
        <f>IFERROR(VLOOKUP(D2828,'Team Data'!C:AB,15,FALSE),"")</f>
        <v/>
      </c>
      <c r="R2828" t="str">
        <f>IFERROR(VLOOKUP('OB Format'!D2828,'Team Data'!C:AB,24,FALSE),"")</f>
        <v/>
      </c>
      <c r="S2828" t="str">
        <f>IFERROR(VLOOKUP('OB Format'!D2828,'Team Data'!C:AC,25,FALSE),"")</f>
        <v/>
      </c>
    </row>
    <row r="2829" spans="5:19" x14ac:dyDescent="0.25">
      <c r="E2829" t="str">
        <f>IFERROR(VLOOKUP(D2829,'Team Data'!C:AB,4,FALSE),"")</f>
        <v/>
      </c>
      <c r="F2829" t="str">
        <f>IFERROR(VLOOKUP(D2829,'Team Data'!C:AB,5,FALSE),"")</f>
        <v/>
      </c>
      <c r="G2829" t="str">
        <f>IFERROR(VLOOKUP('OB Format'!D2829,'Team Data'!C:AB,17,FALSE),"")</f>
        <v/>
      </c>
      <c r="H2829" t="str">
        <f>IFERROR(VLOOKUP(D2829,'Team Data'!C:AB,7,FALSE),"")</f>
        <v/>
      </c>
      <c r="I2829" t="str">
        <f>IFERROR(VLOOKUP(D2829,'Team Data'!C:AB,14,FALSE),"")</f>
        <v/>
      </c>
      <c r="J2829" t="str">
        <f>IFERROR(VLOOKUP(D2829,'Team Data'!C:AB,8,FALSE),"")</f>
        <v/>
      </c>
      <c r="K2829" t="str">
        <f>IFERROR(VLOOKUP(D2829,'Team Data'!C:AB,9,FALSE),"")</f>
        <v/>
      </c>
      <c r="L2829" t="str">
        <f>IFERROR(VLOOKUP(D2829,'Team Data'!C:AB,10,FALSE),"")</f>
        <v/>
      </c>
      <c r="M2829" t="str">
        <f t="shared" ref="M2829:M2892" si="90">IFERROR(H2829-(J2829+L2829+K2829),"")</f>
        <v/>
      </c>
      <c r="N2829" t="str">
        <f>IFERROR(VLOOKUP(D2829,'Team Data'!C:AB,23,FALSE),"")</f>
        <v/>
      </c>
      <c r="O2829" t="str">
        <f>IFERROR(VLOOKUP(D2829,'Team Data'!C:AB,22,FALSE),"")</f>
        <v/>
      </c>
      <c r="P2829" t="str">
        <f t="shared" ref="P2829:P2892" si="91">IFERROR(E2829-(H2829+N2829+Q2829+I2829+O2829),"")</f>
        <v/>
      </c>
      <c r="Q2829" t="str">
        <f>IFERROR(VLOOKUP(D2829,'Team Data'!C:AB,15,FALSE),"")</f>
        <v/>
      </c>
      <c r="R2829" t="str">
        <f>IFERROR(VLOOKUP('OB Format'!D2829,'Team Data'!C:AB,24,FALSE),"")</f>
        <v/>
      </c>
      <c r="S2829" t="str">
        <f>IFERROR(VLOOKUP('OB Format'!D2829,'Team Data'!C:AC,25,FALSE),"")</f>
        <v/>
      </c>
    </row>
    <row r="2830" spans="5:19" x14ac:dyDescent="0.25">
      <c r="E2830" t="str">
        <f>IFERROR(VLOOKUP(D2830,'Team Data'!C:AB,4,FALSE),"")</f>
        <v/>
      </c>
      <c r="F2830" t="str">
        <f>IFERROR(VLOOKUP(D2830,'Team Data'!C:AB,5,FALSE),"")</f>
        <v/>
      </c>
      <c r="G2830" t="str">
        <f>IFERROR(VLOOKUP('OB Format'!D2830,'Team Data'!C:AB,17,FALSE),"")</f>
        <v/>
      </c>
      <c r="H2830" t="str">
        <f>IFERROR(VLOOKUP(D2830,'Team Data'!C:AB,7,FALSE),"")</f>
        <v/>
      </c>
      <c r="I2830" t="str">
        <f>IFERROR(VLOOKUP(D2830,'Team Data'!C:AB,14,FALSE),"")</f>
        <v/>
      </c>
      <c r="J2830" t="str">
        <f>IFERROR(VLOOKUP(D2830,'Team Data'!C:AB,8,FALSE),"")</f>
        <v/>
      </c>
      <c r="K2830" t="str">
        <f>IFERROR(VLOOKUP(D2830,'Team Data'!C:AB,9,FALSE),"")</f>
        <v/>
      </c>
      <c r="L2830" t="str">
        <f>IFERROR(VLOOKUP(D2830,'Team Data'!C:AB,10,FALSE),"")</f>
        <v/>
      </c>
      <c r="M2830" t="str">
        <f t="shared" si="90"/>
        <v/>
      </c>
      <c r="N2830" t="str">
        <f>IFERROR(VLOOKUP(D2830,'Team Data'!C:AB,23,FALSE),"")</f>
        <v/>
      </c>
      <c r="O2830" t="str">
        <f>IFERROR(VLOOKUP(D2830,'Team Data'!C:AB,22,FALSE),"")</f>
        <v/>
      </c>
      <c r="P2830" t="str">
        <f t="shared" si="91"/>
        <v/>
      </c>
      <c r="Q2830" t="str">
        <f>IFERROR(VLOOKUP(D2830,'Team Data'!C:AB,15,FALSE),"")</f>
        <v/>
      </c>
      <c r="R2830" t="str">
        <f>IFERROR(VLOOKUP('OB Format'!D2830,'Team Data'!C:AB,24,FALSE),"")</f>
        <v/>
      </c>
      <c r="S2830" t="str">
        <f>IFERROR(VLOOKUP('OB Format'!D2830,'Team Data'!C:AC,25,FALSE),"")</f>
        <v/>
      </c>
    </row>
    <row r="2831" spans="5:19" x14ac:dyDescent="0.25">
      <c r="E2831" t="str">
        <f>IFERROR(VLOOKUP(D2831,'Team Data'!C:AB,4,FALSE),"")</f>
        <v/>
      </c>
      <c r="F2831" t="str">
        <f>IFERROR(VLOOKUP(D2831,'Team Data'!C:AB,5,FALSE),"")</f>
        <v/>
      </c>
      <c r="G2831" t="str">
        <f>IFERROR(VLOOKUP('OB Format'!D2831,'Team Data'!C:AB,17,FALSE),"")</f>
        <v/>
      </c>
      <c r="H2831" t="str">
        <f>IFERROR(VLOOKUP(D2831,'Team Data'!C:AB,7,FALSE),"")</f>
        <v/>
      </c>
      <c r="I2831" t="str">
        <f>IFERROR(VLOOKUP(D2831,'Team Data'!C:AB,14,FALSE),"")</f>
        <v/>
      </c>
      <c r="J2831" t="str">
        <f>IFERROR(VLOOKUP(D2831,'Team Data'!C:AB,8,FALSE),"")</f>
        <v/>
      </c>
      <c r="K2831" t="str">
        <f>IFERROR(VLOOKUP(D2831,'Team Data'!C:AB,9,FALSE),"")</f>
        <v/>
      </c>
      <c r="L2831" t="str">
        <f>IFERROR(VLOOKUP(D2831,'Team Data'!C:AB,10,FALSE),"")</f>
        <v/>
      </c>
      <c r="M2831" t="str">
        <f t="shared" si="90"/>
        <v/>
      </c>
      <c r="N2831" t="str">
        <f>IFERROR(VLOOKUP(D2831,'Team Data'!C:AB,23,FALSE),"")</f>
        <v/>
      </c>
      <c r="O2831" t="str">
        <f>IFERROR(VLOOKUP(D2831,'Team Data'!C:AB,22,FALSE),"")</f>
        <v/>
      </c>
      <c r="P2831" t="str">
        <f t="shared" si="91"/>
        <v/>
      </c>
      <c r="Q2831" t="str">
        <f>IFERROR(VLOOKUP(D2831,'Team Data'!C:AB,15,FALSE),"")</f>
        <v/>
      </c>
      <c r="R2831" t="str">
        <f>IFERROR(VLOOKUP('OB Format'!D2831,'Team Data'!C:AB,24,FALSE),"")</f>
        <v/>
      </c>
      <c r="S2831" t="str">
        <f>IFERROR(VLOOKUP('OB Format'!D2831,'Team Data'!C:AC,25,FALSE),"")</f>
        <v/>
      </c>
    </row>
    <row r="2832" spans="5:19" x14ac:dyDescent="0.25">
      <c r="E2832" t="str">
        <f>IFERROR(VLOOKUP(D2832,'Team Data'!C:AB,4,FALSE),"")</f>
        <v/>
      </c>
      <c r="F2832" t="str">
        <f>IFERROR(VLOOKUP(D2832,'Team Data'!C:AB,5,FALSE),"")</f>
        <v/>
      </c>
      <c r="G2832" t="str">
        <f>IFERROR(VLOOKUP('OB Format'!D2832,'Team Data'!C:AB,17,FALSE),"")</f>
        <v/>
      </c>
      <c r="H2832" t="str">
        <f>IFERROR(VLOOKUP(D2832,'Team Data'!C:AB,7,FALSE),"")</f>
        <v/>
      </c>
      <c r="I2832" t="str">
        <f>IFERROR(VLOOKUP(D2832,'Team Data'!C:AB,14,FALSE),"")</f>
        <v/>
      </c>
      <c r="J2832" t="str">
        <f>IFERROR(VLOOKUP(D2832,'Team Data'!C:AB,8,FALSE),"")</f>
        <v/>
      </c>
      <c r="K2832" t="str">
        <f>IFERROR(VLOOKUP(D2832,'Team Data'!C:AB,9,FALSE),"")</f>
        <v/>
      </c>
      <c r="L2832" t="str">
        <f>IFERROR(VLOOKUP(D2832,'Team Data'!C:AB,10,FALSE),"")</f>
        <v/>
      </c>
      <c r="M2832" t="str">
        <f t="shared" si="90"/>
        <v/>
      </c>
      <c r="N2832" t="str">
        <f>IFERROR(VLOOKUP(D2832,'Team Data'!C:AB,23,FALSE),"")</f>
        <v/>
      </c>
      <c r="O2832" t="str">
        <f>IFERROR(VLOOKUP(D2832,'Team Data'!C:AB,22,FALSE),"")</f>
        <v/>
      </c>
      <c r="P2832" t="str">
        <f t="shared" si="91"/>
        <v/>
      </c>
      <c r="Q2832" t="str">
        <f>IFERROR(VLOOKUP(D2832,'Team Data'!C:AB,15,FALSE),"")</f>
        <v/>
      </c>
      <c r="R2832" t="str">
        <f>IFERROR(VLOOKUP('OB Format'!D2832,'Team Data'!C:AB,24,FALSE),"")</f>
        <v/>
      </c>
      <c r="S2832" t="str">
        <f>IFERROR(VLOOKUP('OB Format'!D2832,'Team Data'!C:AC,25,FALSE),"")</f>
        <v/>
      </c>
    </row>
    <row r="2833" spans="5:19" x14ac:dyDescent="0.25">
      <c r="E2833" t="str">
        <f>IFERROR(VLOOKUP(D2833,'Team Data'!C:AB,4,FALSE),"")</f>
        <v/>
      </c>
      <c r="F2833" t="str">
        <f>IFERROR(VLOOKUP(D2833,'Team Data'!C:AB,5,FALSE),"")</f>
        <v/>
      </c>
      <c r="G2833" t="str">
        <f>IFERROR(VLOOKUP('OB Format'!D2833,'Team Data'!C:AB,17,FALSE),"")</f>
        <v/>
      </c>
      <c r="H2833" t="str">
        <f>IFERROR(VLOOKUP(D2833,'Team Data'!C:AB,7,FALSE),"")</f>
        <v/>
      </c>
      <c r="I2833" t="str">
        <f>IFERROR(VLOOKUP(D2833,'Team Data'!C:AB,14,FALSE),"")</f>
        <v/>
      </c>
      <c r="J2833" t="str">
        <f>IFERROR(VLOOKUP(D2833,'Team Data'!C:AB,8,FALSE),"")</f>
        <v/>
      </c>
      <c r="K2833" t="str">
        <f>IFERROR(VLOOKUP(D2833,'Team Data'!C:AB,9,FALSE),"")</f>
        <v/>
      </c>
      <c r="L2833" t="str">
        <f>IFERROR(VLOOKUP(D2833,'Team Data'!C:AB,10,FALSE),"")</f>
        <v/>
      </c>
      <c r="M2833" t="str">
        <f t="shared" si="90"/>
        <v/>
      </c>
      <c r="N2833" t="str">
        <f>IFERROR(VLOOKUP(D2833,'Team Data'!C:AB,23,FALSE),"")</f>
        <v/>
      </c>
      <c r="O2833" t="str">
        <f>IFERROR(VLOOKUP(D2833,'Team Data'!C:AB,22,FALSE),"")</f>
        <v/>
      </c>
      <c r="P2833" t="str">
        <f t="shared" si="91"/>
        <v/>
      </c>
      <c r="Q2833" t="str">
        <f>IFERROR(VLOOKUP(D2833,'Team Data'!C:AB,15,FALSE),"")</f>
        <v/>
      </c>
      <c r="R2833" t="str">
        <f>IFERROR(VLOOKUP('OB Format'!D2833,'Team Data'!C:AB,24,FALSE),"")</f>
        <v/>
      </c>
      <c r="S2833" t="str">
        <f>IFERROR(VLOOKUP('OB Format'!D2833,'Team Data'!C:AC,25,FALSE),"")</f>
        <v/>
      </c>
    </row>
    <row r="2834" spans="5:19" x14ac:dyDescent="0.25">
      <c r="E2834" t="str">
        <f>IFERROR(VLOOKUP(D2834,'Team Data'!C:AB,4,FALSE),"")</f>
        <v/>
      </c>
      <c r="F2834" t="str">
        <f>IFERROR(VLOOKUP(D2834,'Team Data'!C:AB,5,FALSE),"")</f>
        <v/>
      </c>
      <c r="G2834" t="str">
        <f>IFERROR(VLOOKUP('OB Format'!D2834,'Team Data'!C:AB,17,FALSE),"")</f>
        <v/>
      </c>
      <c r="H2834" t="str">
        <f>IFERROR(VLOOKUP(D2834,'Team Data'!C:AB,7,FALSE),"")</f>
        <v/>
      </c>
      <c r="I2834" t="str">
        <f>IFERROR(VLOOKUP(D2834,'Team Data'!C:AB,14,FALSE),"")</f>
        <v/>
      </c>
      <c r="J2834" t="str">
        <f>IFERROR(VLOOKUP(D2834,'Team Data'!C:AB,8,FALSE),"")</f>
        <v/>
      </c>
      <c r="K2834" t="str">
        <f>IFERROR(VLOOKUP(D2834,'Team Data'!C:AB,9,FALSE),"")</f>
        <v/>
      </c>
      <c r="L2834" t="str">
        <f>IFERROR(VLOOKUP(D2834,'Team Data'!C:AB,10,FALSE),"")</f>
        <v/>
      </c>
      <c r="M2834" t="str">
        <f t="shared" si="90"/>
        <v/>
      </c>
      <c r="N2834" t="str">
        <f>IFERROR(VLOOKUP(D2834,'Team Data'!C:AB,23,FALSE),"")</f>
        <v/>
      </c>
      <c r="O2834" t="str">
        <f>IFERROR(VLOOKUP(D2834,'Team Data'!C:AB,22,FALSE),"")</f>
        <v/>
      </c>
      <c r="P2834" t="str">
        <f t="shared" si="91"/>
        <v/>
      </c>
      <c r="Q2834" t="str">
        <f>IFERROR(VLOOKUP(D2834,'Team Data'!C:AB,15,FALSE),"")</f>
        <v/>
      </c>
      <c r="R2834" t="str">
        <f>IFERROR(VLOOKUP('OB Format'!D2834,'Team Data'!C:AB,24,FALSE),"")</f>
        <v/>
      </c>
      <c r="S2834" t="str">
        <f>IFERROR(VLOOKUP('OB Format'!D2834,'Team Data'!C:AC,25,FALSE),"")</f>
        <v/>
      </c>
    </row>
    <row r="2835" spans="5:19" x14ac:dyDescent="0.25">
      <c r="E2835" t="str">
        <f>IFERROR(VLOOKUP(D2835,'Team Data'!C:AB,4,FALSE),"")</f>
        <v/>
      </c>
      <c r="F2835" t="str">
        <f>IFERROR(VLOOKUP(D2835,'Team Data'!C:AB,5,FALSE),"")</f>
        <v/>
      </c>
      <c r="G2835" t="str">
        <f>IFERROR(VLOOKUP('OB Format'!D2835,'Team Data'!C:AB,17,FALSE),"")</f>
        <v/>
      </c>
      <c r="H2835" t="str">
        <f>IFERROR(VLOOKUP(D2835,'Team Data'!C:AB,7,FALSE),"")</f>
        <v/>
      </c>
      <c r="I2835" t="str">
        <f>IFERROR(VLOOKUP(D2835,'Team Data'!C:AB,14,FALSE),"")</f>
        <v/>
      </c>
      <c r="J2835" t="str">
        <f>IFERROR(VLOOKUP(D2835,'Team Data'!C:AB,8,FALSE),"")</f>
        <v/>
      </c>
      <c r="K2835" t="str">
        <f>IFERROR(VLOOKUP(D2835,'Team Data'!C:AB,9,FALSE),"")</f>
        <v/>
      </c>
      <c r="L2835" t="str">
        <f>IFERROR(VLOOKUP(D2835,'Team Data'!C:AB,10,FALSE),"")</f>
        <v/>
      </c>
      <c r="M2835" t="str">
        <f t="shared" si="90"/>
        <v/>
      </c>
      <c r="N2835" t="str">
        <f>IFERROR(VLOOKUP(D2835,'Team Data'!C:AB,23,FALSE),"")</f>
        <v/>
      </c>
      <c r="O2835" t="str">
        <f>IFERROR(VLOOKUP(D2835,'Team Data'!C:AB,22,FALSE),"")</f>
        <v/>
      </c>
      <c r="P2835" t="str">
        <f t="shared" si="91"/>
        <v/>
      </c>
      <c r="Q2835" t="str">
        <f>IFERROR(VLOOKUP(D2835,'Team Data'!C:AB,15,FALSE),"")</f>
        <v/>
      </c>
      <c r="R2835" t="str">
        <f>IFERROR(VLOOKUP('OB Format'!D2835,'Team Data'!C:AB,24,FALSE),"")</f>
        <v/>
      </c>
      <c r="S2835" t="str">
        <f>IFERROR(VLOOKUP('OB Format'!D2835,'Team Data'!C:AC,25,FALSE),"")</f>
        <v/>
      </c>
    </row>
    <row r="2836" spans="5:19" x14ac:dyDescent="0.25">
      <c r="E2836" t="str">
        <f>IFERROR(VLOOKUP(D2836,'Team Data'!C:AB,4,FALSE),"")</f>
        <v/>
      </c>
      <c r="F2836" t="str">
        <f>IFERROR(VLOOKUP(D2836,'Team Data'!C:AB,5,FALSE),"")</f>
        <v/>
      </c>
      <c r="G2836" t="str">
        <f>IFERROR(VLOOKUP('OB Format'!D2836,'Team Data'!C:AB,17,FALSE),"")</f>
        <v/>
      </c>
      <c r="H2836" t="str">
        <f>IFERROR(VLOOKUP(D2836,'Team Data'!C:AB,7,FALSE),"")</f>
        <v/>
      </c>
      <c r="I2836" t="str">
        <f>IFERROR(VLOOKUP(D2836,'Team Data'!C:AB,14,FALSE),"")</f>
        <v/>
      </c>
      <c r="J2836" t="str">
        <f>IFERROR(VLOOKUP(D2836,'Team Data'!C:AB,8,FALSE),"")</f>
        <v/>
      </c>
      <c r="K2836" t="str">
        <f>IFERROR(VLOOKUP(D2836,'Team Data'!C:AB,9,FALSE),"")</f>
        <v/>
      </c>
      <c r="L2836" t="str">
        <f>IFERROR(VLOOKUP(D2836,'Team Data'!C:AB,10,FALSE),"")</f>
        <v/>
      </c>
      <c r="M2836" t="str">
        <f t="shared" si="90"/>
        <v/>
      </c>
      <c r="N2836" t="str">
        <f>IFERROR(VLOOKUP(D2836,'Team Data'!C:AB,23,FALSE),"")</f>
        <v/>
      </c>
      <c r="O2836" t="str">
        <f>IFERROR(VLOOKUP(D2836,'Team Data'!C:AB,22,FALSE),"")</f>
        <v/>
      </c>
      <c r="P2836" t="str">
        <f t="shared" si="91"/>
        <v/>
      </c>
      <c r="Q2836" t="str">
        <f>IFERROR(VLOOKUP(D2836,'Team Data'!C:AB,15,FALSE),"")</f>
        <v/>
      </c>
      <c r="R2836" t="str">
        <f>IFERROR(VLOOKUP('OB Format'!D2836,'Team Data'!C:AB,24,FALSE),"")</f>
        <v/>
      </c>
      <c r="S2836" t="str">
        <f>IFERROR(VLOOKUP('OB Format'!D2836,'Team Data'!C:AC,25,FALSE),"")</f>
        <v/>
      </c>
    </row>
    <row r="2837" spans="5:19" x14ac:dyDescent="0.25">
      <c r="E2837" t="str">
        <f>IFERROR(VLOOKUP(D2837,'Team Data'!C:AB,4,FALSE),"")</f>
        <v/>
      </c>
      <c r="F2837" t="str">
        <f>IFERROR(VLOOKUP(D2837,'Team Data'!C:AB,5,FALSE),"")</f>
        <v/>
      </c>
      <c r="G2837" t="str">
        <f>IFERROR(VLOOKUP('OB Format'!D2837,'Team Data'!C:AB,17,FALSE),"")</f>
        <v/>
      </c>
      <c r="H2837" t="str">
        <f>IFERROR(VLOOKUP(D2837,'Team Data'!C:AB,7,FALSE),"")</f>
        <v/>
      </c>
      <c r="I2837" t="str">
        <f>IFERROR(VLOOKUP(D2837,'Team Data'!C:AB,14,FALSE),"")</f>
        <v/>
      </c>
      <c r="J2837" t="str">
        <f>IFERROR(VLOOKUP(D2837,'Team Data'!C:AB,8,FALSE),"")</f>
        <v/>
      </c>
      <c r="K2837" t="str">
        <f>IFERROR(VLOOKUP(D2837,'Team Data'!C:AB,9,FALSE),"")</f>
        <v/>
      </c>
      <c r="L2837" t="str">
        <f>IFERROR(VLOOKUP(D2837,'Team Data'!C:AB,10,FALSE),"")</f>
        <v/>
      </c>
      <c r="M2837" t="str">
        <f t="shared" si="90"/>
        <v/>
      </c>
      <c r="N2837" t="str">
        <f>IFERROR(VLOOKUP(D2837,'Team Data'!C:AB,23,FALSE),"")</f>
        <v/>
      </c>
      <c r="O2837" t="str">
        <f>IFERROR(VLOOKUP(D2837,'Team Data'!C:AB,22,FALSE),"")</f>
        <v/>
      </c>
      <c r="P2837" t="str">
        <f t="shared" si="91"/>
        <v/>
      </c>
      <c r="Q2837" t="str">
        <f>IFERROR(VLOOKUP(D2837,'Team Data'!C:AB,15,FALSE),"")</f>
        <v/>
      </c>
      <c r="R2837" t="str">
        <f>IFERROR(VLOOKUP('OB Format'!D2837,'Team Data'!C:AB,24,FALSE),"")</f>
        <v/>
      </c>
      <c r="S2837" t="str">
        <f>IFERROR(VLOOKUP('OB Format'!D2837,'Team Data'!C:AC,25,FALSE),"")</f>
        <v/>
      </c>
    </row>
    <row r="2838" spans="5:19" x14ac:dyDescent="0.25">
      <c r="E2838" t="str">
        <f>IFERROR(VLOOKUP(D2838,'Team Data'!C:AB,4,FALSE),"")</f>
        <v/>
      </c>
      <c r="F2838" t="str">
        <f>IFERROR(VLOOKUP(D2838,'Team Data'!C:AB,5,FALSE),"")</f>
        <v/>
      </c>
      <c r="G2838" t="str">
        <f>IFERROR(VLOOKUP('OB Format'!D2838,'Team Data'!C:AB,17,FALSE),"")</f>
        <v/>
      </c>
      <c r="H2838" t="str">
        <f>IFERROR(VLOOKUP(D2838,'Team Data'!C:AB,7,FALSE),"")</f>
        <v/>
      </c>
      <c r="I2838" t="str">
        <f>IFERROR(VLOOKUP(D2838,'Team Data'!C:AB,14,FALSE),"")</f>
        <v/>
      </c>
      <c r="J2838" t="str">
        <f>IFERROR(VLOOKUP(D2838,'Team Data'!C:AB,8,FALSE),"")</f>
        <v/>
      </c>
      <c r="K2838" t="str">
        <f>IFERROR(VLOOKUP(D2838,'Team Data'!C:AB,9,FALSE),"")</f>
        <v/>
      </c>
      <c r="L2838" t="str">
        <f>IFERROR(VLOOKUP(D2838,'Team Data'!C:AB,10,FALSE),"")</f>
        <v/>
      </c>
      <c r="M2838" t="str">
        <f t="shared" si="90"/>
        <v/>
      </c>
      <c r="N2838" t="str">
        <f>IFERROR(VLOOKUP(D2838,'Team Data'!C:AB,23,FALSE),"")</f>
        <v/>
      </c>
      <c r="O2838" t="str">
        <f>IFERROR(VLOOKUP(D2838,'Team Data'!C:AB,22,FALSE),"")</f>
        <v/>
      </c>
      <c r="P2838" t="str">
        <f t="shared" si="91"/>
        <v/>
      </c>
      <c r="Q2838" t="str">
        <f>IFERROR(VLOOKUP(D2838,'Team Data'!C:AB,15,FALSE),"")</f>
        <v/>
      </c>
      <c r="R2838" t="str">
        <f>IFERROR(VLOOKUP('OB Format'!D2838,'Team Data'!C:AB,24,FALSE),"")</f>
        <v/>
      </c>
      <c r="S2838" t="str">
        <f>IFERROR(VLOOKUP('OB Format'!D2838,'Team Data'!C:AC,25,FALSE),"")</f>
        <v/>
      </c>
    </row>
    <row r="2839" spans="5:19" x14ac:dyDescent="0.25">
      <c r="E2839" t="str">
        <f>IFERROR(VLOOKUP(D2839,'Team Data'!C:AB,4,FALSE),"")</f>
        <v/>
      </c>
      <c r="F2839" t="str">
        <f>IFERROR(VLOOKUP(D2839,'Team Data'!C:AB,5,FALSE),"")</f>
        <v/>
      </c>
      <c r="G2839" t="str">
        <f>IFERROR(VLOOKUP('OB Format'!D2839,'Team Data'!C:AB,17,FALSE),"")</f>
        <v/>
      </c>
      <c r="H2839" t="str">
        <f>IFERROR(VLOOKUP(D2839,'Team Data'!C:AB,7,FALSE),"")</f>
        <v/>
      </c>
      <c r="I2839" t="str">
        <f>IFERROR(VLOOKUP(D2839,'Team Data'!C:AB,14,FALSE),"")</f>
        <v/>
      </c>
      <c r="J2839" t="str">
        <f>IFERROR(VLOOKUP(D2839,'Team Data'!C:AB,8,FALSE),"")</f>
        <v/>
      </c>
      <c r="K2839" t="str">
        <f>IFERROR(VLOOKUP(D2839,'Team Data'!C:AB,9,FALSE),"")</f>
        <v/>
      </c>
      <c r="L2839" t="str">
        <f>IFERROR(VLOOKUP(D2839,'Team Data'!C:AB,10,FALSE),"")</f>
        <v/>
      </c>
      <c r="M2839" t="str">
        <f t="shared" si="90"/>
        <v/>
      </c>
      <c r="N2839" t="str">
        <f>IFERROR(VLOOKUP(D2839,'Team Data'!C:AB,23,FALSE),"")</f>
        <v/>
      </c>
      <c r="O2839" t="str">
        <f>IFERROR(VLOOKUP(D2839,'Team Data'!C:AB,22,FALSE),"")</f>
        <v/>
      </c>
      <c r="P2839" t="str">
        <f t="shared" si="91"/>
        <v/>
      </c>
      <c r="Q2839" t="str">
        <f>IFERROR(VLOOKUP(D2839,'Team Data'!C:AB,15,FALSE),"")</f>
        <v/>
      </c>
      <c r="R2839" t="str">
        <f>IFERROR(VLOOKUP('OB Format'!D2839,'Team Data'!C:AB,24,FALSE),"")</f>
        <v/>
      </c>
      <c r="S2839" t="str">
        <f>IFERROR(VLOOKUP('OB Format'!D2839,'Team Data'!C:AC,25,FALSE),"")</f>
        <v/>
      </c>
    </row>
    <row r="2840" spans="5:19" x14ac:dyDescent="0.25">
      <c r="E2840" t="str">
        <f>IFERROR(VLOOKUP(D2840,'Team Data'!C:AB,4,FALSE),"")</f>
        <v/>
      </c>
      <c r="F2840" t="str">
        <f>IFERROR(VLOOKUP(D2840,'Team Data'!C:AB,5,FALSE),"")</f>
        <v/>
      </c>
      <c r="G2840" t="str">
        <f>IFERROR(VLOOKUP('OB Format'!D2840,'Team Data'!C:AB,17,FALSE),"")</f>
        <v/>
      </c>
      <c r="H2840" t="str">
        <f>IFERROR(VLOOKUP(D2840,'Team Data'!C:AB,7,FALSE),"")</f>
        <v/>
      </c>
      <c r="I2840" t="str">
        <f>IFERROR(VLOOKUP(D2840,'Team Data'!C:AB,14,FALSE),"")</f>
        <v/>
      </c>
      <c r="J2840" t="str">
        <f>IFERROR(VLOOKUP(D2840,'Team Data'!C:AB,8,FALSE),"")</f>
        <v/>
      </c>
      <c r="K2840" t="str">
        <f>IFERROR(VLOOKUP(D2840,'Team Data'!C:AB,9,FALSE),"")</f>
        <v/>
      </c>
      <c r="L2840" t="str">
        <f>IFERROR(VLOOKUP(D2840,'Team Data'!C:AB,10,FALSE),"")</f>
        <v/>
      </c>
      <c r="M2840" t="str">
        <f t="shared" si="90"/>
        <v/>
      </c>
      <c r="N2840" t="str">
        <f>IFERROR(VLOOKUP(D2840,'Team Data'!C:AB,23,FALSE),"")</f>
        <v/>
      </c>
      <c r="O2840" t="str">
        <f>IFERROR(VLOOKUP(D2840,'Team Data'!C:AB,22,FALSE),"")</f>
        <v/>
      </c>
      <c r="P2840" t="str">
        <f t="shared" si="91"/>
        <v/>
      </c>
      <c r="Q2840" t="str">
        <f>IFERROR(VLOOKUP(D2840,'Team Data'!C:AB,15,FALSE),"")</f>
        <v/>
      </c>
      <c r="R2840" t="str">
        <f>IFERROR(VLOOKUP('OB Format'!D2840,'Team Data'!C:AB,24,FALSE),"")</f>
        <v/>
      </c>
      <c r="S2840" t="str">
        <f>IFERROR(VLOOKUP('OB Format'!D2840,'Team Data'!C:AC,25,FALSE),"")</f>
        <v/>
      </c>
    </row>
    <row r="2841" spans="5:19" x14ac:dyDescent="0.25">
      <c r="E2841" t="str">
        <f>IFERROR(VLOOKUP(D2841,'Team Data'!C:AB,4,FALSE),"")</f>
        <v/>
      </c>
      <c r="F2841" t="str">
        <f>IFERROR(VLOOKUP(D2841,'Team Data'!C:AB,5,FALSE),"")</f>
        <v/>
      </c>
      <c r="G2841" t="str">
        <f>IFERROR(VLOOKUP('OB Format'!D2841,'Team Data'!C:AB,17,FALSE),"")</f>
        <v/>
      </c>
      <c r="H2841" t="str">
        <f>IFERROR(VLOOKUP(D2841,'Team Data'!C:AB,7,FALSE),"")</f>
        <v/>
      </c>
      <c r="I2841" t="str">
        <f>IFERROR(VLOOKUP(D2841,'Team Data'!C:AB,14,FALSE),"")</f>
        <v/>
      </c>
      <c r="J2841" t="str">
        <f>IFERROR(VLOOKUP(D2841,'Team Data'!C:AB,8,FALSE),"")</f>
        <v/>
      </c>
      <c r="K2841" t="str">
        <f>IFERROR(VLOOKUP(D2841,'Team Data'!C:AB,9,FALSE),"")</f>
        <v/>
      </c>
      <c r="L2841" t="str">
        <f>IFERROR(VLOOKUP(D2841,'Team Data'!C:AB,10,FALSE),"")</f>
        <v/>
      </c>
      <c r="M2841" t="str">
        <f t="shared" si="90"/>
        <v/>
      </c>
      <c r="N2841" t="str">
        <f>IFERROR(VLOOKUP(D2841,'Team Data'!C:AB,23,FALSE),"")</f>
        <v/>
      </c>
      <c r="O2841" t="str">
        <f>IFERROR(VLOOKUP(D2841,'Team Data'!C:AB,22,FALSE),"")</f>
        <v/>
      </c>
      <c r="P2841" t="str">
        <f t="shared" si="91"/>
        <v/>
      </c>
      <c r="Q2841" t="str">
        <f>IFERROR(VLOOKUP(D2841,'Team Data'!C:AB,15,FALSE),"")</f>
        <v/>
      </c>
      <c r="R2841" t="str">
        <f>IFERROR(VLOOKUP('OB Format'!D2841,'Team Data'!C:AB,24,FALSE),"")</f>
        <v/>
      </c>
      <c r="S2841" t="str">
        <f>IFERROR(VLOOKUP('OB Format'!D2841,'Team Data'!C:AC,25,FALSE),"")</f>
        <v/>
      </c>
    </row>
    <row r="2842" spans="5:19" x14ac:dyDescent="0.25">
      <c r="E2842" t="str">
        <f>IFERROR(VLOOKUP(D2842,'Team Data'!C:AB,4,FALSE),"")</f>
        <v/>
      </c>
      <c r="F2842" t="str">
        <f>IFERROR(VLOOKUP(D2842,'Team Data'!C:AB,5,FALSE),"")</f>
        <v/>
      </c>
      <c r="G2842" t="str">
        <f>IFERROR(VLOOKUP('OB Format'!D2842,'Team Data'!C:AB,17,FALSE),"")</f>
        <v/>
      </c>
      <c r="H2842" t="str">
        <f>IFERROR(VLOOKUP(D2842,'Team Data'!C:AB,7,FALSE),"")</f>
        <v/>
      </c>
      <c r="I2842" t="str">
        <f>IFERROR(VLOOKUP(D2842,'Team Data'!C:AB,14,FALSE),"")</f>
        <v/>
      </c>
      <c r="J2842" t="str">
        <f>IFERROR(VLOOKUP(D2842,'Team Data'!C:AB,8,FALSE),"")</f>
        <v/>
      </c>
      <c r="K2842" t="str">
        <f>IFERROR(VLOOKUP(D2842,'Team Data'!C:AB,9,FALSE),"")</f>
        <v/>
      </c>
      <c r="L2842" t="str">
        <f>IFERROR(VLOOKUP(D2842,'Team Data'!C:AB,10,FALSE),"")</f>
        <v/>
      </c>
      <c r="M2842" t="str">
        <f t="shared" si="90"/>
        <v/>
      </c>
      <c r="N2842" t="str">
        <f>IFERROR(VLOOKUP(D2842,'Team Data'!C:AB,23,FALSE),"")</f>
        <v/>
      </c>
      <c r="O2842" t="str">
        <f>IFERROR(VLOOKUP(D2842,'Team Data'!C:AB,22,FALSE),"")</f>
        <v/>
      </c>
      <c r="P2842" t="str">
        <f t="shared" si="91"/>
        <v/>
      </c>
      <c r="Q2842" t="str">
        <f>IFERROR(VLOOKUP(D2842,'Team Data'!C:AB,15,FALSE),"")</f>
        <v/>
      </c>
      <c r="R2842" t="str">
        <f>IFERROR(VLOOKUP('OB Format'!D2842,'Team Data'!C:AB,24,FALSE),"")</f>
        <v/>
      </c>
      <c r="S2842" t="str">
        <f>IFERROR(VLOOKUP('OB Format'!D2842,'Team Data'!C:AC,25,FALSE),"")</f>
        <v/>
      </c>
    </row>
    <row r="2843" spans="5:19" x14ac:dyDescent="0.25">
      <c r="E2843" t="str">
        <f>IFERROR(VLOOKUP(D2843,'Team Data'!C:AB,4,FALSE),"")</f>
        <v/>
      </c>
      <c r="F2843" t="str">
        <f>IFERROR(VLOOKUP(D2843,'Team Data'!C:AB,5,FALSE),"")</f>
        <v/>
      </c>
      <c r="G2843" t="str">
        <f>IFERROR(VLOOKUP('OB Format'!D2843,'Team Data'!C:AB,17,FALSE),"")</f>
        <v/>
      </c>
      <c r="H2843" t="str">
        <f>IFERROR(VLOOKUP(D2843,'Team Data'!C:AB,7,FALSE),"")</f>
        <v/>
      </c>
      <c r="I2843" t="str">
        <f>IFERROR(VLOOKUP(D2843,'Team Data'!C:AB,14,FALSE),"")</f>
        <v/>
      </c>
      <c r="J2843" t="str">
        <f>IFERROR(VLOOKUP(D2843,'Team Data'!C:AB,8,FALSE),"")</f>
        <v/>
      </c>
      <c r="K2843" t="str">
        <f>IFERROR(VLOOKUP(D2843,'Team Data'!C:AB,9,FALSE),"")</f>
        <v/>
      </c>
      <c r="L2843" t="str">
        <f>IFERROR(VLOOKUP(D2843,'Team Data'!C:AB,10,FALSE),"")</f>
        <v/>
      </c>
      <c r="M2843" t="str">
        <f t="shared" si="90"/>
        <v/>
      </c>
      <c r="N2843" t="str">
        <f>IFERROR(VLOOKUP(D2843,'Team Data'!C:AB,23,FALSE),"")</f>
        <v/>
      </c>
      <c r="O2843" t="str">
        <f>IFERROR(VLOOKUP(D2843,'Team Data'!C:AB,22,FALSE),"")</f>
        <v/>
      </c>
      <c r="P2843" t="str">
        <f t="shared" si="91"/>
        <v/>
      </c>
      <c r="Q2843" t="str">
        <f>IFERROR(VLOOKUP(D2843,'Team Data'!C:AB,15,FALSE),"")</f>
        <v/>
      </c>
      <c r="R2843" t="str">
        <f>IFERROR(VLOOKUP('OB Format'!D2843,'Team Data'!C:AB,24,FALSE),"")</f>
        <v/>
      </c>
      <c r="S2843" t="str">
        <f>IFERROR(VLOOKUP('OB Format'!D2843,'Team Data'!C:AC,25,FALSE),"")</f>
        <v/>
      </c>
    </row>
    <row r="2844" spans="5:19" x14ac:dyDescent="0.25">
      <c r="E2844" t="str">
        <f>IFERROR(VLOOKUP(D2844,'Team Data'!C:AB,4,FALSE),"")</f>
        <v/>
      </c>
      <c r="F2844" t="str">
        <f>IFERROR(VLOOKUP(D2844,'Team Data'!C:AB,5,FALSE),"")</f>
        <v/>
      </c>
      <c r="G2844" t="str">
        <f>IFERROR(VLOOKUP('OB Format'!D2844,'Team Data'!C:AB,17,FALSE),"")</f>
        <v/>
      </c>
      <c r="H2844" t="str">
        <f>IFERROR(VLOOKUP(D2844,'Team Data'!C:AB,7,FALSE),"")</f>
        <v/>
      </c>
      <c r="I2844" t="str">
        <f>IFERROR(VLOOKUP(D2844,'Team Data'!C:AB,14,FALSE),"")</f>
        <v/>
      </c>
      <c r="J2844" t="str">
        <f>IFERROR(VLOOKUP(D2844,'Team Data'!C:AB,8,FALSE),"")</f>
        <v/>
      </c>
      <c r="K2844" t="str">
        <f>IFERROR(VLOOKUP(D2844,'Team Data'!C:AB,9,FALSE),"")</f>
        <v/>
      </c>
      <c r="L2844" t="str">
        <f>IFERROR(VLOOKUP(D2844,'Team Data'!C:AB,10,FALSE),"")</f>
        <v/>
      </c>
      <c r="M2844" t="str">
        <f t="shared" si="90"/>
        <v/>
      </c>
      <c r="N2844" t="str">
        <f>IFERROR(VLOOKUP(D2844,'Team Data'!C:AB,23,FALSE),"")</f>
        <v/>
      </c>
      <c r="O2844" t="str">
        <f>IFERROR(VLOOKUP(D2844,'Team Data'!C:AB,22,FALSE),"")</f>
        <v/>
      </c>
      <c r="P2844" t="str">
        <f t="shared" si="91"/>
        <v/>
      </c>
      <c r="Q2844" t="str">
        <f>IFERROR(VLOOKUP(D2844,'Team Data'!C:AB,15,FALSE),"")</f>
        <v/>
      </c>
      <c r="R2844" t="str">
        <f>IFERROR(VLOOKUP('OB Format'!D2844,'Team Data'!C:AB,24,FALSE),"")</f>
        <v/>
      </c>
      <c r="S2844" t="str">
        <f>IFERROR(VLOOKUP('OB Format'!D2844,'Team Data'!C:AC,25,FALSE),"")</f>
        <v/>
      </c>
    </row>
    <row r="2845" spans="5:19" x14ac:dyDescent="0.25">
      <c r="E2845" t="str">
        <f>IFERROR(VLOOKUP(D2845,'Team Data'!C:AB,4,FALSE),"")</f>
        <v/>
      </c>
      <c r="F2845" t="str">
        <f>IFERROR(VLOOKUP(D2845,'Team Data'!C:AB,5,FALSE),"")</f>
        <v/>
      </c>
      <c r="G2845" t="str">
        <f>IFERROR(VLOOKUP('OB Format'!D2845,'Team Data'!C:AB,17,FALSE),"")</f>
        <v/>
      </c>
      <c r="H2845" t="str">
        <f>IFERROR(VLOOKUP(D2845,'Team Data'!C:AB,7,FALSE),"")</f>
        <v/>
      </c>
      <c r="I2845" t="str">
        <f>IFERROR(VLOOKUP(D2845,'Team Data'!C:AB,14,FALSE),"")</f>
        <v/>
      </c>
      <c r="J2845" t="str">
        <f>IFERROR(VLOOKUP(D2845,'Team Data'!C:AB,8,FALSE),"")</f>
        <v/>
      </c>
      <c r="K2845" t="str">
        <f>IFERROR(VLOOKUP(D2845,'Team Data'!C:AB,9,FALSE),"")</f>
        <v/>
      </c>
      <c r="L2845" t="str">
        <f>IFERROR(VLOOKUP(D2845,'Team Data'!C:AB,10,FALSE),"")</f>
        <v/>
      </c>
      <c r="M2845" t="str">
        <f t="shared" si="90"/>
        <v/>
      </c>
      <c r="N2845" t="str">
        <f>IFERROR(VLOOKUP(D2845,'Team Data'!C:AB,23,FALSE),"")</f>
        <v/>
      </c>
      <c r="O2845" t="str">
        <f>IFERROR(VLOOKUP(D2845,'Team Data'!C:AB,22,FALSE),"")</f>
        <v/>
      </c>
      <c r="P2845" t="str">
        <f t="shared" si="91"/>
        <v/>
      </c>
      <c r="Q2845" t="str">
        <f>IFERROR(VLOOKUP(D2845,'Team Data'!C:AB,15,FALSE),"")</f>
        <v/>
      </c>
      <c r="R2845" t="str">
        <f>IFERROR(VLOOKUP('OB Format'!D2845,'Team Data'!C:AB,24,FALSE),"")</f>
        <v/>
      </c>
      <c r="S2845" t="str">
        <f>IFERROR(VLOOKUP('OB Format'!D2845,'Team Data'!C:AC,25,FALSE),"")</f>
        <v/>
      </c>
    </row>
    <row r="2846" spans="5:19" x14ac:dyDescent="0.25">
      <c r="E2846" t="str">
        <f>IFERROR(VLOOKUP(D2846,'Team Data'!C:AB,4,FALSE),"")</f>
        <v/>
      </c>
      <c r="F2846" t="str">
        <f>IFERROR(VLOOKUP(D2846,'Team Data'!C:AB,5,FALSE),"")</f>
        <v/>
      </c>
      <c r="G2846" t="str">
        <f>IFERROR(VLOOKUP('OB Format'!D2846,'Team Data'!C:AB,17,FALSE),"")</f>
        <v/>
      </c>
      <c r="H2846" t="str">
        <f>IFERROR(VLOOKUP(D2846,'Team Data'!C:AB,7,FALSE),"")</f>
        <v/>
      </c>
      <c r="I2846" t="str">
        <f>IFERROR(VLOOKUP(D2846,'Team Data'!C:AB,14,FALSE),"")</f>
        <v/>
      </c>
      <c r="J2846" t="str">
        <f>IFERROR(VLOOKUP(D2846,'Team Data'!C:AB,8,FALSE),"")</f>
        <v/>
      </c>
      <c r="K2846" t="str">
        <f>IFERROR(VLOOKUP(D2846,'Team Data'!C:AB,9,FALSE),"")</f>
        <v/>
      </c>
      <c r="L2846" t="str">
        <f>IFERROR(VLOOKUP(D2846,'Team Data'!C:AB,10,FALSE),"")</f>
        <v/>
      </c>
      <c r="M2846" t="str">
        <f t="shared" si="90"/>
        <v/>
      </c>
      <c r="N2846" t="str">
        <f>IFERROR(VLOOKUP(D2846,'Team Data'!C:AB,23,FALSE),"")</f>
        <v/>
      </c>
      <c r="O2846" t="str">
        <f>IFERROR(VLOOKUP(D2846,'Team Data'!C:AB,22,FALSE),"")</f>
        <v/>
      </c>
      <c r="P2846" t="str">
        <f t="shared" si="91"/>
        <v/>
      </c>
      <c r="Q2846" t="str">
        <f>IFERROR(VLOOKUP(D2846,'Team Data'!C:AB,15,FALSE),"")</f>
        <v/>
      </c>
      <c r="R2846" t="str">
        <f>IFERROR(VLOOKUP('OB Format'!D2846,'Team Data'!C:AB,24,FALSE),"")</f>
        <v/>
      </c>
      <c r="S2846" t="str">
        <f>IFERROR(VLOOKUP('OB Format'!D2846,'Team Data'!C:AC,25,FALSE),"")</f>
        <v/>
      </c>
    </row>
    <row r="2847" spans="5:19" x14ac:dyDescent="0.25">
      <c r="E2847" t="str">
        <f>IFERROR(VLOOKUP(D2847,'Team Data'!C:AB,4,FALSE),"")</f>
        <v/>
      </c>
      <c r="F2847" t="str">
        <f>IFERROR(VLOOKUP(D2847,'Team Data'!C:AB,5,FALSE),"")</f>
        <v/>
      </c>
      <c r="G2847" t="str">
        <f>IFERROR(VLOOKUP('OB Format'!D2847,'Team Data'!C:AB,17,FALSE),"")</f>
        <v/>
      </c>
      <c r="H2847" t="str">
        <f>IFERROR(VLOOKUP(D2847,'Team Data'!C:AB,7,FALSE),"")</f>
        <v/>
      </c>
      <c r="I2847" t="str">
        <f>IFERROR(VLOOKUP(D2847,'Team Data'!C:AB,14,FALSE),"")</f>
        <v/>
      </c>
      <c r="J2847" t="str">
        <f>IFERROR(VLOOKUP(D2847,'Team Data'!C:AB,8,FALSE),"")</f>
        <v/>
      </c>
      <c r="K2847" t="str">
        <f>IFERROR(VLOOKUP(D2847,'Team Data'!C:AB,9,FALSE),"")</f>
        <v/>
      </c>
      <c r="L2847" t="str">
        <f>IFERROR(VLOOKUP(D2847,'Team Data'!C:AB,10,FALSE),"")</f>
        <v/>
      </c>
      <c r="M2847" t="str">
        <f t="shared" si="90"/>
        <v/>
      </c>
      <c r="N2847" t="str">
        <f>IFERROR(VLOOKUP(D2847,'Team Data'!C:AB,23,FALSE),"")</f>
        <v/>
      </c>
      <c r="O2847" t="str">
        <f>IFERROR(VLOOKUP(D2847,'Team Data'!C:AB,22,FALSE),"")</f>
        <v/>
      </c>
      <c r="P2847" t="str">
        <f t="shared" si="91"/>
        <v/>
      </c>
      <c r="Q2847" t="str">
        <f>IFERROR(VLOOKUP(D2847,'Team Data'!C:AB,15,FALSE),"")</f>
        <v/>
      </c>
      <c r="R2847" t="str">
        <f>IFERROR(VLOOKUP('OB Format'!D2847,'Team Data'!C:AB,24,FALSE),"")</f>
        <v/>
      </c>
      <c r="S2847" t="str">
        <f>IFERROR(VLOOKUP('OB Format'!D2847,'Team Data'!C:AC,25,FALSE),"")</f>
        <v/>
      </c>
    </row>
    <row r="2848" spans="5:19" x14ac:dyDescent="0.25">
      <c r="E2848" t="str">
        <f>IFERROR(VLOOKUP(D2848,'Team Data'!C:AB,4,FALSE),"")</f>
        <v/>
      </c>
      <c r="F2848" t="str">
        <f>IFERROR(VLOOKUP(D2848,'Team Data'!C:AB,5,FALSE),"")</f>
        <v/>
      </c>
      <c r="G2848" t="str">
        <f>IFERROR(VLOOKUP('OB Format'!D2848,'Team Data'!C:AB,17,FALSE),"")</f>
        <v/>
      </c>
      <c r="H2848" t="str">
        <f>IFERROR(VLOOKUP(D2848,'Team Data'!C:AB,7,FALSE),"")</f>
        <v/>
      </c>
      <c r="I2848" t="str">
        <f>IFERROR(VLOOKUP(D2848,'Team Data'!C:AB,14,FALSE),"")</f>
        <v/>
      </c>
      <c r="J2848" t="str">
        <f>IFERROR(VLOOKUP(D2848,'Team Data'!C:AB,8,FALSE),"")</f>
        <v/>
      </c>
      <c r="K2848" t="str">
        <f>IFERROR(VLOOKUP(D2848,'Team Data'!C:AB,9,FALSE),"")</f>
        <v/>
      </c>
      <c r="L2848" t="str">
        <f>IFERROR(VLOOKUP(D2848,'Team Data'!C:AB,10,FALSE),"")</f>
        <v/>
      </c>
      <c r="M2848" t="str">
        <f t="shared" si="90"/>
        <v/>
      </c>
      <c r="N2848" t="str">
        <f>IFERROR(VLOOKUP(D2848,'Team Data'!C:AB,23,FALSE),"")</f>
        <v/>
      </c>
      <c r="O2848" t="str">
        <f>IFERROR(VLOOKUP(D2848,'Team Data'!C:AB,22,FALSE),"")</f>
        <v/>
      </c>
      <c r="P2848" t="str">
        <f t="shared" si="91"/>
        <v/>
      </c>
      <c r="Q2848" t="str">
        <f>IFERROR(VLOOKUP(D2848,'Team Data'!C:AB,15,FALSE),"")</f>
        <v/>
      </c>
      <c r="R2848" t="str">
        <f>IFERROR(VLOOKUP('OB Format'!D2848,'Team Data'!C:AB,24,FALSE),"")</f>
        <v/>
      </c>
      <c r="S2848" t="str">
        <f>IFERROR(VLOOKUP('OB Format'!D2848,'Team Data'!C:AC,25,FALSE),"")</f>
        <v/>
      </c>
    </row>
    <row r="2849" spans="5:19" x14ac:dyDescent="0.25">
      <c r="E2849" t="str">
        <f>IFERROR(VLOOKUP(D2849,'Team Data'!C:AB,4,FALSE),"")</f>
        <v/>
      </c>
      <c r="F2849" t="str">
        <f>IFERROR(VLOOKUP(D2849,'Team Data'!C:AB,5,FALSE),"")</f>
        <v/>
      </c>
      <c r="G2849" t="str">
        <f>IFERROR(VLOOKUP('OB Format'!D2849,'Team Data'!C:AB,17,FALSE),"")</f>
        <v/>
      </c>
      <c r="H2849" t="str">
        <f>IFERROR(VLOOKUP(D2849,'Team Data'!C:AB,7,FALSE),"")</f>
        <v/>
      </c>
      <c r="I2849" t="str">
        <f>IFERROR(VLOOKUP(D2849,'Team Data'!C:AB,14,FALSE),"")</f>
        <v/>
      </c>
      <c r="J2849" t="str">
        <f>IFERROR(VLOOKUP(D2849,'Team Data'!C:AB,8,FALSE),"")</f>
        <v/>
      </c>
      <c r="K2849" t="str">
        <f>IFERROR(VLOOKUP(D2849,'Team Data'!C:AB,9,FALSE),"")</f>
        <v/>
      </c>
      <c r="L2849" t="str">
        <f>IFERROR(VLOOKUP(D2849,'Team Data'!C:AB,10,FALSE),"")</f>
        <v/>
      </c>
      <c r="M2849" t="str">
        <f t="shared" si="90"/>
        <v/>
      </c>
      <c r="N2849" t="str">
        <f>IFERROR(VLOOKUP(D2849,'Team Data'!C:AB,23,FALSE),"")</f>
        <v/>
      </c>
      <c r="O2849" t="str">
        <f>IFERROR(VLOOKUP(D2849,'Team Data'!C:AB,22,FALSE),"")</f>
        <v/>
      </c>
      <c r="P2849" t="str">
        <f t="shared" si="91"/>
        <v/>
      </c>
      <c r="Q2849" t="str">
        <f>IFERROR(VLOOKUP(D2849,'Team Data'!C:AB,15,FALSE),"")</f>
        <v/>
      </c>
      <c r="R2849" t="str">
        <f>IFERROR(VLOOKUP('OB Format'!D2849,'Team Data'!C:AB,24,FALSE),"")</f>
        <v/>
      </c>
      <c r="S2849" t="str">
        <f>IFERROR(VLOOKUP('OB Format'!D2849,'Team Data'!C:AC,25,FALSE),"")</f>
        <v/>
      </c>
    </row>
    <row r="2850" spans="5:19" x14ac:dyDescent="0.25">
      <c r="E2850" t="str">
        <f>IFERROR(VLOOKUP(D2850,'Team Data'!C:AB,4,FALSE),"")</f>
        <v/>
      </c>
      <c r="F2850" t="str">
        <f>IFERROR(VLOOKUP(D2850,'Team Data'!C:AB,5,FALSE),"")</f>
        <v/>
      </c>
      <c r="G2850" t="str">
        <f>IFERROR(VLOOKUP('OB Format'!D2850,'Team Data'!C:AB,17,FALSE),"")</f>
        <v/>
      </c>
      <c r="H2850" t="str">
        <f>IFERROR(VLOOKUP(D2850,'Team Data'!C:AB,7,FALSE),"")</f>
        <v/>
      </c>
      <c r="I2850" t="str">
        <f>IFERROR(VLOOKUP(D2850,'Team Data'!C:AB,14,FALSE),"")</f>
        <v/>
      </c>
      <c r="J2850" t="str">
        <f>IFERROR(VLOOKUP(D2850,'Team Data'!C:AB,8,FALSE),"")</f>
        <v/>
      </c>
      <c r="K2850" t="str">
        <f>IFERROR(VLOOKUP(D2850,'Team Data'!C:AB,9,FALSE),"")</f>
        <v/>
      </c>
      <c r="L2850" t="str">
        <f>IFERROR(VLOOKUP(D2850,'Team Data'!C:AB,10,FALSE),"")</f>
        <v/>
      </c>
      <c r="M2850" t="str">
        <f t="shared" si="90"/>
        <v/>
      </c>
      <c r="N2850" t="str">
        <f>IFERROR(VLOOKUP(D2850,'Team Data'!C:AB,23,FALSE),"")</f>
        <v/>
      </c>
      <c r="O2850" t="str">
        <f>IFERROR(VLOOKUP(D2850,'Team Data'!C:AB,22,FALSE),"")</f>
        <v/>
      </c>
      <c r="P2850" t="str">
        <f t="shared" si="91"/>
        <v/>
      </c>
      <c r="Q2850" t="str">
        <f>IFERROR(VLOOKUP(D2850,'Team Data'!C:AB,15,FALSE),"")</f>
        <v/>
      </c>
      <c r="R2850" t="str">
        <f>IFERROR(VLOOKUP('OB Format'!D2850,'Team Data'!C:AB,24,FALSE),"")</f>
        <v/>
      </c>
      <c r="S2850" t="str">
        <f>IFERROR(VLOOKUP('OB Format'!D2850,'Team Data'!C:AC,25,FALSE),"")</f>
        <v/>
      </c>
    </row>
    <row r="2851" spans="5:19" x14ac:dyDescent="0.25">
      <c r="E2851" t="str">
        <f>IFERROR(VLOOKUP(D2851,'Team Data'!C:AB,4,FALSE),"")</f>
        <v/>
      </c>
      <c r="F2851" t="str">
        <f>IFERROR(VLOOKUP(D2851,'Team Data'!C:AB,5,FALSE),"")</f>
        <v/>
      </c>
      <c r="G2851" t="str">
        <f>IFERROR(VLOOKUP('OB Format'!D2851,'Team Data'!C:AB,17,FALSE),"")</f>
        <v/>
      </c>
      <c r="H2851" t="str">
        <f>IFERROR(VLOOKUP(D2851,'Team Data'!C:AB,7,FALSE),"")</f>
        <v/>
      </c>
      <c r="I2851" t="str">
        <f>IFERROR(VLOOKUP(D2851,'Team Data'!C:AB,14,FALSE),"")</f>
        <v/>
      </c>
      <c r="J2851" t="str">
        <f>IFERROR(VLOOKUP(D2851,'Team Data'!C:AB,8,FALSE),"")</f>
        <v/>
      </c>
      <c r="K2851" t="str">
        <f>IFERROR(VLOOKUP(D2851,'Team Data'!C:AB,9,FALSE),"")</f>
        <v/>
      </c>
      <c r="L2851" t="str">
        <f>IFERROR(VLOOKUP(D2851,'Team Data'!C:AB,10,FALSE),"")</f>
        <v/>
      </c>
      <c r="M2851" t="str">
        <f t="shared" si="90"/>
        <v/>
      </c>
      <c r="N2851" t="str">
        <f>IFERROR(VLOOKUP(D2851,'Team Data'!C:AB,23,FALSE),"")</f>
        <v/>
      </c>
      <c r="O2851" t="str">
        <f>IFERROR(VLOOKUP(D2851,'Team Data'!C:AB,22,FALSE),"")</f>
        <v/>
      </c>
      <c r="P2851" t="str">
        <f t="shared" si="91"/>
        <v/>
      </c>
      <c r="Q2851" t="str">
        <f>IFERROR(VLOOKUP(D2851,'Team Data'!C:AB,15,FALSE),"")</f>
        <v/>
      </c>
      <c r="R2851" t="str">
        <f>IFERROR(VLOOKUP('OB Format'!D2851,'Team Data'!C:AB,24,FALSE),"")</f>
        <v/>
      </c>
      <c r="S2851" t="str">
        <f>IFERROR(VLOOKUP('OB Format'!D2851,'Team Data'!C:AC,25,FALSE),"")</f>
        <v/>
      </c>
    </row>
    <row r="2852" spans="5:19" x14ac:dyDescent="0.25">
      <c r="E2852" t="str">
        <f>IFERROR(VLOOKUP(D2852,'Team Data'!C:AB,4,FALSE),"")</f>
        <v/>
      </c>
      <c r="F2852" t="str">
        <f>IFERROR(VLOOKUP(D2852,'Team Data'!C:AB,5,FALSE),"")</f>
        <v/>
      </c>
      <c r="G2852" t="str">
        <f>IFERROR(VLOOKUP('OB Format'!D2852,'Team Data'!C:AB,17,FALSE),"")</f>
        <v/>
      </c>
      <c r="H2852" t="str">
        <f>IFERROR(VLOOKUP(D2852,'Team Data'!C:AB,7,FALSE),"")</f>
        <v/>
      </c>
      <c r="I2852" t="str">
        <f>IFERROR(VLOOKUP(D2852,'Team Data'!C:AB,14,FALSE),"")</f>
        <v/>
      </c>
      <c r="J2852" t="str">
        <f>IFERROR(VLOOKUP(D2852,'Team Data'!C:AB,8,FALSE),"")</f>
        <v/>
      </c>
      <c r="K2852" t="str">
        <f>IFERROR(VLOOKUP(D2852,'Team Data'!C:AB,9,FALSE),"")</f>
        <v/>
      </c>
      <c r="L2852" t="str">
        <f>IFERROR(VLOOKUP(D2852,'Team Data'!C:AB,10,FALSE),"")</f>
        <v/>
      </c>
      <c r="M2852" t="str">
        <f t="shared" si="90"/>
        <v/>
      </c>
      <c r="N2852" t="str">
        <f>IFERROR(VLOOKUP(D2852,'Team Data'!C:AB,23,FALSE),"")</f>
        <v/>
      </c>
      <c r="O2852" t="str">
        <f>IFERROR(VLOOKUP(D2852,'Team Data'!C:AB,22,FALSE),"")</f>
        <v/>
      </c>
      <c r="P2852" t="str">
        <f t="shared" si="91"/>
        <v/>
      </c>
      <c r="Q2852" t="str">
        <f>IFERROR(VLOOKUP(D2852,'Team Data'!C:AB,15,FALSE),"")</f>
        <v/>
      </c>
      <c r="R2852" t="str">
        <f>IFERROR(VLOOKUP('OB Format'!D2852,'Team Data'!C:AB,24,FALSE),"")</f>
        <v/>
      </c>
      <c r="S2852" t="str">
        <f>IFERROR(VLOOKUP('OB Format'!D2852,'Team Data'!C:AC,25,FALSE),"")</f>
        <v/>
      </c>
    </row>
    <row r="2853" spans="5:19" x14ac:dyDescent="0.25">
      <c r="E2853" t="str">
        <f>IFERROR(VLOOKUP(D2853,'Team Data'!C:AB,4,FALSE),"")</f>
        <v/>
      </c>
      <c r="F2853" t="str">
        <f>IFERROR(VLOOKUP(D2853,'Team Data'!C:AB,5,FALSE),"")</f>
        <v/>
      </c>
      <c r="G2853" t="str">
        <f>IFERROR(VLOOKUP('OB Format'!D2853,'Team Data'!C:AB,17,FALSE),"")</f>
        <v/>
      </c>
      <c r="H2853" t="str">
        <f>IFERROR(VLOOKUP(D2853,'Team Data'!C:AB,7,FALSE),"")</f>
        <v/>
      </c>
      <c r="I2853" t="str">
        <f>IFERROR(VLOOKUP(D2853,'Team Data'!C:AB,14,FALSE),"")</f>
        <v/>
      </c>
      <c r="J2853" t="str">
        <f>IFERROR(VLOOKUP(D2853,'Team Data'!C:AB,8,FALSE),"")</f>
        <v/>
      </c>
      <c r="K2853" t="str">
        <f>IFERROR(VLOOKUP(D2853,'Team Data'!C:AB,9,FALSE),"")</f>
        <v/>
      </c>
      <c r="L2853" t="str">
        <f>IFERROR(VLOOKUP(D2853,'Team Data'!C:AB,10,FALSE),"")</f>
        <v/>
      </c>
      <c r="M2853" t="str">
        <f t="shared" si="90"/>
        <v/>
      </c>
      <c r="N2853" t="str">
        <f>IFERROR(VLOOKUP(D2853,'Team Data'!C:AB,23,FALSE),"")</f>
        <v/>
      </c>
      <c r="O2853" t="str">
        <f>IFERROR(VLOOKUP(D2853,'Team Data'!C:AB,22,FALSE),"")</f>
        <v/>
      </c>
      <c r="P2853" t="str">
        <f t="shared" si="91"/>
        <v/>
      </c>
      <c r="Q2853" t="str">
        <f>IFERROR(VLOOKUP(D2853,'Team Data'!C:AB,15,FALSE),"")</f>
        <v/>
      </c>
      <c r="R2853" t="str">
        <f>IFERROR(VLOOKUP('OB Format'!D2853,'Team Data'!C:AB,24,FALSE),"")</f>
        <v/>
      </c>
      <c r="S2853" t="str">
        <f>IFERROR(VLOOKUP('OB Format'!D2853,'Team Data'!C:AC,25,FALSE),"")</f>
        <v/>
      </c>
    </row>
    <row r="2854" spans="5:19" x14ac:dyDescent="0.25">
      <c r="E2854" t="str">
        <f>IFERROR(VLOOKUP(D2854,'Team Data'!C:AB,4,FALSE),"")</f>
        <v/>
      </c>
      <c r="F2854" t="str">
        <f>IFERROR(VLOOKUP(D2854,'Team Data'!C:AB,5,FALSE),"")</f>
        <v/>
      </c>
      <c r="G2854" t="str">
        <f>IFERROR(VLOOKUP('OB Format'!D2854,'Team Data'!C:AB,17,FALSE),"")</f>
        <v/>
      </c>
      <c r="H2854" t="str">
        <f>IFERROR(VLOOKUP(D2854,'Team Data'!C:AB,7,FALSE),"")</f>
        <v/>
      </c>
      <c r="I2854" t="str">
        <f>IFERROR(VLOOKUP(D2854,'Team Data'!C:AB,14,FALSE),"")</f>
        <v/>
      </c>
      <c r="J2854" t="str">
        <f>IFERROR(VLOOKUP(D2854,'Team Data'!C:AB,8,FALSE),"")</f>
        <v/>
      </c>
      <c r="K2854" t="str">
        <f>IFERROR(VLOOKUP(D2854,'Team Data'!C:AB,9,FALSE),"")</f>
        <v/>
      </c>
      <c r="L2854" t="str">
        <f>IFERROR(VLOOKUP(D2854,'Team Data'!C:AB,10,FALSE),"")</f>
        <v/>
      </c>
      <c r="M2854" t="str">
        <f t="shared" si="90"/>
        <v/>
      </c>
      <c r="N2854" t="str">
        <f>IFERROR(VLOOKUP(D2854,'Team Data'!C:AB,23,FALSE),"")</f>
        <v/>
      </c>
      <c r="O2854" t="str">
        <f>IFERROR(VLOOKUP(D2854,'Team Data'!C:AB,22,FALSE),"")</f>
        <v/>
      </c>
      <c r="P2854" t="str">
        <f t="shared" si="91"/>
        <v/>
      </c>
      <c r="Q2854" t="str">
        <f>IFERROR(VLOOKUP(D2854,'Team Data'!C:AB,15,FALSE),"")</f>
        <v/>
      </c>
      <c r="R2854" t="str">
        <f>IFERROR(VLOOKUP('OB Format'!D2854,'Team Data'!C:AB,24,FALSE),"")</f>
        <v/>
      </c>
      <c r="S2854" t="str">
        <f>IFERROR(VLOOKUP('OB Format'!D2854,'Team Data'!C:AC,25,FALSE),"")</f>
        <v/>
      </c>
    </row>
    <row r="2855" spans="5:19" x14ac:dyDescent="0.25">
      <c r="E2855" t="str">
        <f>IFERROR(VLOOKUP(D2855,'Team Data'!C:AB,4,FALSE),"")</f>
        <v/>
      </c>
      <c r="F2855" t="str">
        <f>IFERROR(VLOOKUP(D2855,'Team Data'!C:AB,5,FALSE),"")</f>
        <v/>
      </c>
      <c r="G2855" t="str">
        <f>IFERROR(VLOOKUP('OB Format'!D2855,'Team Data'!C:AB,17,FALSE),"")</f>
        <v/>
      </c>
      <c r="H2855" t="str">
        <f>IFERROR(VLOOKUP(D2855,'Team Data'!C:AB,7,FALSE),"")</f>
        <v/>
      </c>
      <c r="I2855" t="str">
        <f>IFERROR(VLOOKUP(D2855,'Team Data'!C:AB,14,FALSE),"")</f>
        <v/>
      </c>
      <c r="J2855" t="str">
        <f>IFERROR(VLOOKUP(D2855,'Team Data'!C:AB,8,FALSE),"")</f>
        <v/>
      </c>
      <c r="K2855" t="str">
        <f>IFERROR(VLOOKUP(D2855,'Team Data'!C:AB,9,FALSE),"")</f>
        <v/>
      </c>
      <c r="L2855" t="str">
        <f>IFERROR(VLOOKUP(D2855,'Team Data'!C:AB,10,FALSE),"")</f>
        <v/>
      </c>
      <c r="M2855" t="str">
        <f t="shared" si="90"/>
        <v/>
      </c>
      <c r="N2855" t="str">
        <f>IFERROR(VLOOKUP(D2855,'Team Data'!C:AB,23,FALSE),"")</f>
        <v/>
      </c>
      <c r="O2855" t="str">
        <f>IFERROR(VLOOKUP(D2855,'Team Data'!C:AB,22,FALSE),"")</f>
        <v/>
      </c>
      <c r="P2855" t="str">
        <f t="shared" si="91"/>
        <v/>
      </c>
      <c r="Q2855" t="str">
        <f>IFERROR(VLOOKUP(D2855,'Team Data'!C:AB,15,FALSE),"")</f>
        <v/>
      </c>
      <c r="R2855" t="str">
        <f>IFERROR(VLOOKUP('OB Format'!D2855,'Team Data'!C:AB,24,FALSE),"")</f>
        <v/>
      </c>
      <c r="S2855" t="str">
        <f>IFERROR(VLOOKUP('OB Format'!D2855,'Team Data'!C:AC,25,FALSE),"")</f>
        <v/>
      </c>
    </row>
    <row r="2856" spans="5:19" x14ac:dyDescent="0.25">
      <c r="E2856" t="str">
        <f>IFERROR(VLOOKUP(D2856,'Team Data'!C:AB,4,FALSE),"")</f>
        <v/>
      </c>
      <c r="F2856" t="str">
        <f>IFERROR(VLOOKUP(D2856,'Team Data'!C:AB,5,FALSE),"")</f>
        <v/>
      </c>
      <c r="G2856" t="str">
        <f>IFERROR(VLOOKUP('OB Format'!D2856,'Team Data'!C:AB,17,FALSE),"")</f>
        <v/>
      </c>
      <c r="H2856" t="str">
        <f>IFERROR(VLOOKUP(D2856,'Team Data'!C:AB,7,FALSE),"")</f>
        <v/>
      </c>
      <c r="I2856" t="str">
        <f>IFERROR(VLOOKUP(D2856,'Team Data'!C:AB,14,FALSE),"")</f>
        <v/>
      </c>
      <c r="J2856" t="str">
        <f>IFERROR(VLOOKUP(D2856,'Team Data'!C:AB,8,FALSE),"")</f>
        <v/>
      </c>
      <c r="K2856" t="str">
        <f>IFERROR(VLOOKUP(D2856,'Team Data'!C:AB,9,FALSE),"")</f>
        <v/>
      </c>
      <c r="L2856" t="str">
        <f>IFERROR(VLOOKUP(D2856,'Team Data'!C:AB,10,FALSE),"")</f>
        <v/>
      </c>
      <c r="M2856" t="str">
        <f t="shared" si="90"/>
        <v/>
      </c>
      <c r="N2856" t="str">
        <f>IFERROR(VLOOKUP(D2856,'Team Data'!C:AB,23,FALSE),"")</f>
        <v/>
      </c>
      <c r="O2856" t="str">
        <f>IFERROR(VLOOKUP(D2856,'Team Data'!C:AB,22,FALSE),"")</f>
        <v/>
      </c>
      <c r="P2856" t="str">
        <f t="shared" si="91"/>
        <v/>
      </c>
      <c r="Q2856" t="str">
        <f>IFERROR(VLOOKUP(D2856,'Team Data'!C:AB,15,FALSE),"")</f>
        <v/>
      </c>
      <c r="R2856" t="str">
        <f>IFERROR(VLOOKUP('OB Format'!D2856,'Team Data'!C:AB,24,FALSE),"")</f>
        <v/>
      </c>
      <c r="S2856" t="str">
        <f>IFERROR(VLOOKUP('OB Format'!D2856,'Team Data'!C:AC,25,FALSE),"")</f>
        <v/>
      </c>
    </row>
    <row r="2857" spans="5:19" x14ac:dyDescent="0.25">
      <c r="E2857" t="str">
        <f>IFERROR(VLOOKUP(D2857,'Team Data'!C:AB,4,FALSE),"")</f>
        <v/>
      </c>
      <c r="F2857" t="str">
        <f>IFERROR(VLOOKUP(D2857,'Team Data'!C:AB,5,FALSE),"")</f>
        <v/>
      </c>
      <c r="G2857" t="str">
        <f>IFERROR(VLOOKUP('OB Format'!D2857,'Team Data'!C:AB,17,FALSE),"")</f>
        <v/>
      </c>
      <c r="H2857" t="str">
        <f>IFERROR(VLOOKUP(D2857,'Team Data'!C:AB,7,FALSE),"")</f>
        <v/>
      </c>
      <c r="I2857" t="str">
        <f>IFERROR(VLOOKUP(D2857,'Team Data'!C:AB,14,FALSE),"")</f>
        <v/>
      </c>
      <c r="J2857" t="str">
        <f>IFERROR(VLOOKUP(D2857,'Team Data'!C:AB,8,FALSE),"")</f>
        <v/>
      </c>
      <c r="K2857" t="str">
        <f>IFERROR(VLOOKUP(D2857,'Team Data'!C:AB,9,FALSE),"")</f>
        <v/>
      </c>
      <c r="L2857" t="str">
        <f>IFERROR(VLOOKUP(D2857,'Team Data'!C:AB,10,FALSE),"")</f>
        <v/>
      </c>
      <c r="M2857" t="str">
        <f t="shared" si="90"/>
        <v/>
      </c>
      <c r="N2857" t="str">
        <f>IFERROR(VLOOKUP(D2857,'Team Data'!C:AB,23,FALSE),"")</f>
        <v/>
      </c>
      <c r="O2857" t="str">
        <f>IFERROR(VLOOKUP(D2857,'Team Data'!C:AB,22,FALSE),"")</f>
        <v/>
      </c>
      <c r="P2857" t="str">
        <f t="shared" si="91"/>
        <v/>
      </c>
      <c r="Q2857" t="str">
        <f>IFERROR(VLOOKUP(D2857,'Team Data'!C:AB,15,FALSE),"")</f>
        <v/>
      </c>
      <c r="R2857" t="str">
        <f>IFERROR(VLOOKUP('OB Format'!D2857,'Team Data'!C:AB,24,FALSE),"")</f>
        <v/>
      </c>
      <c r="S2857" t="str">
        <f>IFERROR(VLOOKUP('OB Format'!D2857,'Team Data'!C:AC,25,FALSE),"")</f>
        <v/>
      </c>
    </row>
    <row r="2858" spans="5:19" x14ac:dyDescent="0.25">
      <c r="E2858" t="str">
        <f>IFERROR(VLOOKUP(D2858,'Team Data'!C:AB,4,FALSE),"")</f>
        <v/>
      </c>
      <c r="F2858" t="str">
        <f>IFERROR(VLOOKUP(D2858,'Team Data'!C:AB,5,FALSE),"")</f>
        <v/>
      </c>
      <c r="G2858" t="str">
        <f>IFERROR(VLOOKUP('OB Format'!D2858,'Team Data'!C:AB,17,FALSE),"")</f>
        <v/>
      </c>
      <c r="H2858" t="str">
        <f>IFERROR(VLOOKUP(D2858,'Team Data'!C:AB,7,FALSE),"")</f>
        <v/>
      </c>
      <c r="I2858" t="str">
        <f>IFERROR(VLOOKUP(D2858,'Team Data'!C:AB,14,FALSE),"")</f>
        <v/>
      </c>
      <c r="J2858" t="str">
        <f>IFERROR(VLOOKUP(D2858,'Team Data'!C:AB,8,FALSE),"")</f>
        <v/>
      </c>
      <c r="K2858" t="str">
        <f>IFERROR(VLOOKUP(D2858,'Team Data'!C:AB,9,FALSE),"")</f>
        <v/>
      </c>
      <c r="L2858" t="str">
        <f>IFERROR(VLOOKUP(D2858,'Team Data'!C:AB,10,FALSE),"")</f>
        <v/>
      </c>
      <c r="M2858" t="str">
        <f t="shared" si="90"/>
        <v/>
      </c>
      <c r="N2858" t="str">
        <f>IFERROR(VLOOKUP(D2858,'Team Data'!C:AB,23,FALSE),"")</f>
        <v/>
      </c>
      <c r="O2858" t="str">
        <f>IFERROR(VLOOKUP(D2858,'Team Data'!C:AB,22,FALSE),"")</f>
        <v/>
      </c>
      <c r="P2858" t="str">
        <f t="shared" si="91"/>
        <v/>
      </c>
      <c r="Q2858" t="str">
        <f>IFERROR(VLOOKUP(D2858,'Team Data'!C:AB,15,FALSE),"")</f>
        <v/>
      </c>
      <c r="R2858" t="str">
        <f>IFERROR(VLOOKUP('OB Format'!D2858,'Team Data'!C:AB,24,FALSE),"")</f>
        <v/>
      </c>
      <c r="S2858" t="str">
        <f>IFERROR(VLOOKUP('OB Format'!D2858,'Team Data'!C:AC,25,FALSE),"")</f>
        <v/>
      </c>
    </row>
    <row r="2859" spans="5:19" x14ac:dyDescent="0.25">
      <c r="E2859" t="str">
        <f>IFERROR(VLOOKUP(D2859,'Team Data'!C:AB,4,FALSE),"")</f>
        <v/>
      </c>
      <c r="F2859" t="str">
        <f>IFERROR(VLOOKUP(D2859,'Team Data'!C:AB,5,FALSE),"")</f>
        <v/>
      </c>
      <c r="G2859" t="str">
        <f>IFERROR(VLOOKUP('OB Format'!D2859,'Team Data'!C:AB,17,FALSE),"")</f>
        <v/>
      </c>
      <c r="H2859" t="str">
        <f>IFERROR(VLOOKUP(D2859,'Team Data'!C:AB,7,FALSE),"")</f>
        <v/>
      </c>
      <c r="I2859" t="str">
        <f>IFERROR(VLOOKUP(D2859,'Team Data'!C:AB,14,FALSE),"")</f>
        <v/>
      </c>
      <c r="J2859" t="str">
        <f>IFERROR(VLOOKUP(D2859,'Team Data'!C:AB,8,FALSE),"")</f>
        <v/>
      </c>
      <c r="K2859" t="str">
        <f>IFERROR(VLOOKUP(D2859,'Team Data'!C:AB,9,FALSE),"")</f>
        <v/>
      </c>
      <c r="L2859" t="str">
        <f>IFERROR(VLOOKUP(D2859,'Team Data'!C:AB,10,FALSE),"")</f>
        <v/>
      </c>
      <c r="M2859" t="str">
        <f t="shared" si="90"/>
        <v/>
      </c>
      <c r="N2859" t="str">
        <f>IFERROR(VLOOKUP(D2859,'Team Data'!C:AB,23,FALSE),"")</f>
        <v/>
      </c>
      <c r="O2859" t="str">
        <f>IFERROR(VLOOKUP(D2859,'Team Data'!C:AB,22,FALSE),"")</f>
        <v/>
      </c>
      <c r="P2859" t="str">
        <f t="shared" si="91"/>
        <v/>
      </c>
      <c r="Q2859" t="str">
        <f>IFERROR(VLOOKUP(D2859,'Team Data'!C:AB,15,FALSE),"")</f>
        <v/>
      </c>
      <c r="R2859" t="str">
        <f>IFERROR(VLOOKUP('OB Format'!D2859,'Team Data'!C:AB,24,FALSE),"")</f>
        <v/>
      </c>
      <c r="S2859" t="str">
        <f>IFERROR(VLOOKUP('OB Format'!D2859,'Team Data'!C:AC,25,FALSE),"")</f>
        <v/>
      </c>
    </row>
    <row r="2860" spans="5:19" x14ac:dyDescent="0.25">
      <c r="E2860" t="str">
        <f>IFERROR(VLOOKUP(D2860,'Team Data'!C:AB,4,FALSE),"")</f>
        <v/>
      </c>
      <c r="F2860" t="str">
        <f>IFERROR(VLOOKUP(D2860,'Team Data'!C:AB,5,FALSE),"")</f>
        <v/>
      </c>
      <c r="G2860" t="str">
        <f>IFERROR(VLOOKUP('OB Format'!D2860,'Team Data'!C:AB,17,FALSE),"")</f>
        <v/>
      </c>
      <c r="H2860" t="str">
        <f>IFERROR(VLOOKUP(D2860,'Team Data'!C:AB,7,FALSE),"")</f>
        <v/>
      </c>
      <c r="I2860" t="str">
        <f>IFERROR(VLOOKUP(D2860,'Team Data'!C:AB,14,FALSE),"")</f>
        <v/>
      </c>
      <c r="J2860" t="str">
        <f>IFERROR(VLOOKUP(D2860,'Team Data'!C:AB,8,FALSE),"")</f>
        <v/>
      </c>
      <c r="K2860" t="str">
        <f>IFERROR(VLOOKUP(D2860,'Team Data'!C:AB,9,FALSE),"")</f>
        <v/>
      </c>
      <c r="L2860" t="str">
        <f>IFERROR(VLOOKUP(D2860,'Team Data'!C:AB,10,FALSE),"")</f>
        <v/>
      </c>
      <c r="M2860" t="str">
        <f t="shared" si="90"/>
        <v/>
      </c>
      <c r="N2860" t="str">
        <f>IFERROR(VLOOKUP(D2860,'Team Data'!C:AB,23,FALSE),"")</f>
        <v/>
      </c>
      <c r="O2860" t="str">
        <f>IFERROR(VLOOKUP(D2860,'Team Data'!C:AB,22,FALSE),"")</f>
        <v/>
      </c>
      <c r="P2860" t="str">
        <f t="shared" si="91"/>
        <v/>
      </c>
      <c r="Q2860" t="str">
        <f>IFERROR(VLOOKUP(D2860,'Team Data'!C:AB,15,FALSE),"")</f>
        <v/>
      </c>
      <c r="R2860" t="str">
        <f>IFERROR(VLOOKUP('OB Format'!D2860,'Team Data'!C:AB,24,FALSE),"")</f>
        <v/>
      </c>
      <c r="S2860" t="str">
        <f>IFERROR(VLOOKUP('OB Format'!D2860,'Team Data'!C:AC,25,FALSE),"")</f>
        <v/>
      </c>
    </row>
    <row r="2861" spans="5:19" x14ac:dyDescent="0.25">
      <c r="E2861" t="str">
        <f>IFERROR(VLOOKUP(D2861,'Team Data'!C:AB,4,FALSE),"")</f>
        <v/>
      </c>
      <c r="F2861" t="str">
        <f>IFERROR(VLOOKUP(D2861,'Team Data'!C:AB,5,FALSE),"")</f>
        <v/>
      </c>
      <c r="G2861" t="str">
        <f>IFERROR(VLOOKUP('OB Format'!D2861,'Team Data'!C:AB,17,FALSE),"")</f>
        <v/>
      </c>
      <c r="H2861" t="str">
        <f>IFERROR(VLOOKUP(D2861,'Team Data'!C:AB,7,FALSE),"")</f>
        <v/>
      </c>
      <c r="I2861" t="str">
        <f>IFERROR(VLOOKUP(D2861,'Team Data'!C:AB,14,FALSE),"")</f>
        <v/>
      </c>
      <c r="J2861" t="str">
        <f>IFERROR(VLOOKUP(D2861,'Team Data'!C:AB,8,FALSE),"")</f>
        <v/>
      </c>
      <c r="K2861" t="str">
        <f>IFERROR(VLOOKUP(D2861,'Team Data'!C:AB,9,FALSE),"")</f>
        <v/>
      </c>
      <c r="L2861" t="str">
        <f>IFERROR(VLOOKUP(D2861,'Team Data'!C:AB,10,FALSE),"")</f>
        <v/>
      </c>
      <c r="M2861" t="str">
        <f t="shared" si="90"/>
        <v/>
      </c>
      <c r="N2861" t="str">
        <f>IFERROR(VLOOKUP(D2861,'Team Data'!C:AB,23,FALSE),"")</f>
        <v/>
      </c>
      <c r="O2861" t="str">
        <f>IFERROR(VLOOKUP(D2861,'Team Data'!C:AB,22,FALSE),"")</f>
        <v/>
      </c>
      <c r="P2861" t="str">
        <f t="shared" si="91"/>
        <v/>
      </c>
      <c r="Q2861" t="str">
        <f>IFERROR(VLOOKUP(D2861,'Team Data'!C:AB,15,FALSE),"")</f>
        <v/>
      </c>
      <c r="R2861" t="str">
        <f>IFERROR(VLOOKUP('OB Format'!D2861,'Team Data'!C:AB,24,FALSE),"")</f>
        <v/>
      </c>
      <c r="S2861" t="str">
        <f>IFERROR(VLOOKUP('OB Format'!D2861,'Team Data'!C:AC,25,FALSE),"")</f>
        <v/>
      </c>
    </row>
    <row r="2862" spans="5:19" x14ac:dyDescent="0.25">
      <c r="E2862" t="str">
        <f>IFERROR(VLOOKUP(D2862,'Team Data'!C:AB,4,FALSE),"")</f>
        <v/>
      </c>
      <c r="F2862" t="str">
        <f>IFERROR(VLOOKUP(D2862,'Team Data'!C:AB,5,FALSE),"")</f>
        <v/>
      </c>
      <c r="G2862" t="str">
        <f>IFERROR(VLOOKUP('OB Format'!D2862,'Team Data'!C:AB,17,FALSE),"")</f>
        <v/>
      </c>
      <c r="H2862" t="str">
        <f>IFERROR(VLOOKUP(D2862,'Team Data'!C:AB,7,FALSE),"")</f>
        <v/>
      </c>
      <c r="I2862" t="str">
        <f>IFERROR(VLOOKUP(D2862,'Team Data'!C:AB,14,FALSE),"")</f>
        <v/>
      </c>
      <c r="J2862" t="str">
        <f>IFERROR(VLOOKUP(D2862,'Team Data'!C:AB,8,FALSE),"")</f>
        <v/>
      </c>
      <c r="K2862" t="str">
        <f>IFERROR(VLOOKUP(D2862,'Team Data'!C:AB,9,FALSE),"")</f>
        <v/>
      </c>
      <c r="L2862" t="str">
        <f>IFERROR(VLOOKUP(D2862,'Team Data'!C:AB,10,FALSE),"")</f>
        <v/>
      </c>
      <c r="M2862" t="str">
        <f t="shared" si="90"/>
        <v/>
      </c>
      <c r="N2862" t="str">
        <f>IFERROR(VLOOKUP(D2862,'Team Data'!C:AB,23,FALSE),"")</f>
        <v/>
      </c>
      <c r="O2862" t="str">
        <f>IFERROR(VLOOKUP(D2862,'Team Data'!C:AB,22,FALSE),"")</f>
        <v/>
      </c>
      <c r="P2862" t="str">
        <f t="shared" si="91"/>
        <v/>
      </c>
      <c r="Q2862" t="str">
        <f>IFERROR(VLOOKUP(D2862,'Team Data'!C:AB,15,FALSE),"")</f>
        <v/>
      </c>
      <c r="R2862" t="str">
        <f>IFERROR(VLOOKUP('OB Format'!D2862,'Team Data'!C:AB,24,FALSE),"")</f>
        <v/>
      </c>
      <c r="S2862" t="str">
        <f>IFERROR(VLOOKUP('OB Format'!D2862,'Team Data'!C:AC,25,FALSE),"")</f>
        <v/>
      </c>
    </row>
    <row r="2863" spans="5:19" x14ac:dyDescent="0.25">
      <c r="E2863" t="str">
        <f>IFERROR(VLOOKUP(D2863,'Team Data'!C:AB,4,FALSE),"")</f>
        <v/>
      </c>
      <c r="F2863" t="str">
        <f>IFERROR(VLOOKUP(D2863,'Team Data'!C:AB,5,FALSE),"")</f>
        <v/>
      </c>
      <c r="G2863" t="str">
        <f>IFERROR(VLOOKUP('OB Format'!D2863,'Team Data'!C:AB,17,FALSE),"")</f>
        <v/>
      </c>
      <c r="H2863" t="str">
        <f>IFERROR(VLOOKUP(D2863,'Team Data'!C:AB,7,FALSE),"")</f>
        <v/>
      </c>
      <c r="I2863" t="str">
        <f>IFERROR(VLOOKUP(D2863,'Team Data'!C:AB,14,FALSE),"")</f>
        <v/>
      </c>
      <c r="J2863" t="str">
        <f>IFERROR(VLOOKUP(D2863,'Team Data'!C:AB,8,FALSE),"")</f>
        <v/>
      </c>
      <c r="K2863" t="str">
        <f>IFERROR(VLOOKUP(D2863,'Team Data'!C:AB,9,FALSE),"")</f>
        <v/>
      </c>
      <c r="L2863" t="str">
        <f>IFERROR(VLOOKUP(D2863,'Team Data'!C:AB,10,FALSE),"")</f>
        <v/>
      </c>
      <c r="M2863" t="str">
        <f t="shared" si="90"/>
        <v/>
      </c>
      <c r="N2863" t="str">
        <f>IFERROR(VLOOKUP(D2863,'Team Data'!C:AB,23,FALSE),"")</f>
        <v/>
      </c>
      <c r="O2863" t="str">
        <f>IFERROR(VLOOKUP(D2863,'Team Data'!C:AB,22,FALSE),"")</f>
        <v/>
      </c>
      <c r="P2863" t="str">
        <f t="shared" si="91"/>
        <v/>
      </c>
      <c r="Q2863" t="str">
        <f>IFERROR(VLOOKUP(D2863,'Team Data'!C:AB,15,FALSE),"")</f>
        <v/>
      </c>
      <c r="R2863" t="str">
        <f>IFERROR(VLOOKUP('OB Format'!D2863,'Team Data'!C:AB,24,FALSE),"")</f>
        <v/>
      </c>
      <c r="S2863" t="str">
        <f>IFERROR(VLOOKUP('OB Format'!D2863,'Team Data'!C:AC,25,FALSE),"")</f>
        <v/>
      </c>
    </row>
    <row r="2864" spans="5:19" x14ac:dyDescent="0.25">
      <c r="E2864" t="str">
        <f>IFERROR(VLOOKUP(D2864,'Team Data'!C:AB,4,FALSE),"")</f>
        <v/>
      </c>
      <c r="F2864" t="str">
        <f>IFERROR(VLOOKUP(D2864,'Team Data'!C:AB,5,FALSE),"")</f>
        <v/>
      </c>
      <c r="G2864" t="str">
        <f>IFERROR(VLOOKUP('OB Format'!D2864,'Team Data'!C:AB,17,FALSE),"")</f>
        <v/>
      </c>
      <c r="H2864" t="str">
        <f>IFERROR(VLOOKUP(D2864,'Team Data'!C:AB,7,FALSE),"")</f>
        <v/>
      </c>
      <c r="I2864" t="str">
        <f>IFERROR(VLOOKUP(D2864,'Team Data'!C:AB,14,FALSE),"")</f>
        <v/>
      </c>
      <c r="J2864" t="str">
        <f>IFERROR(VLOOKUP(D2864,'Team Data'!C:AB,8,FALSE),"")</f>
        <v/>
      </c>
      <c r="K2864" t="str">
        <f>IFERROR(VLOOKUP(D2864,'Team Data'!C:AB,9,FALSE),"")</f>
        <v/>
      </c>
      <c r="L2864" t="str">
        <f>IFERROR(VLOOKUP(D2864,'Team Data'!C:AB,10,FALSE),"")</f>
        <v/>
      </c>
      <c r="M2864" t="str">
        <f t="shared" si="90"/>
        <v/>
      </c>
      <c r="N2864" t="str">
        <f>IFERROR(VLOOKUP(D2864,'Team Data'!C:AB,23,FALSE),"")</f>
        <v/>
      </c>
      <c r="O2864" t="str">
        <f>IFERROR(VLOOKUP(D2864,'Team Data'!C:AB,22,FALSE),"")</f>
        <v/>
      </c>
      <c r="P2864" t="str">
        <f t="shared" si="91"/>
        <v/>
      </c>
      <c r="Q2864" t="str">
        <f>IFERROR(VLOOKUP(D2864,'Team Data'!C:AB,15,FALSE),"")</f>
        <v/>
      </c>
      <c r="R2864" t="str">
        <f>IFERROR(VLOOKUP('OB Format'!D2864,'Team Data'!C:AB,24,FALSE),"")</f>
        <v/>
      </c>
      <c r="S2864" t="str">
        <f>IFERROR(VLOOKUP('OB Format'!D2864,'Team Data'!C:AC,25,FALSE),"")</f>
        <v/>
      </c>
    </row>
    <row r="2865" spans="5:19" x14ac:dyDescent="0.25">
      <c r="E2865" t="str">
        <f>IFERROR(VLOOKUP(D2865,'Team Data'!C:AB,4,FALSE),"")</f>
        <v/>
      </c>
      <c r="F2865" t="str">
        <f>IFERROR(VLOOKUP(D2865,'Team Data'!C:AB,5,FALSE),"")</f>
        <v/>
      </c>
      <c r="G2865" t="str">
        <f>IFERROR(VLOOKUP('OB Format'!D2865,'Team Data'!C:AB,17,FALSE),"")</f>
        <v/>
      </c>
      <c r="H2865" t="str">
        <f>IFERROR(VLOOKUP(D2865,'Team Data'!C:AB,7,FALSE),"")</f>
        <v/>
      </c>
      <c r="I2865" t="str">
        <f>IFERROR(VLOOKUP(D2865,'Team Data'!C:AB,14,FALSE),"")</f>
        <v/>
      </c>
      <c r="J2865" t="str">
        <f>IFERROR(VLOOKUP(D2865,'Team Data'!C:AB,8,FALSE),"")</f>
        <v/>
      </c>
      <c r="K2865" t="str">
        <f>IFERROR(VLOOKUP(D2865,'Team Data'!C:AB,9,FALSE),"")</f>
        <v/>
      </c>
      <c r="L2865" t="str">
        <f>IFERROR(VLOOKUP(D2865,'Team Data'!C:AB,10,FALSE),"")</f>
        <v/>
      </c>
      <c r="M2865" t="str">
        <f t="shared" si="90"/>
        <v/>
      </c>
      <c r="N2865" t="str">
        <f>IFERROR(VLOOKUP(D2865,'Team Data'!C:AB,23,FALSE),"")</f>
        <v/>
      </c>
      <c r="O2865" t="str">
        <f>IFERROR(VLOOKUP(D2865,'Team Data'!C:AB,22,FALSE),"")</f>
        <v/>
      </c>
      <c r="P2865" t="str">
        <f t="shared" si="91"/>
        <v/>
      </c>
      <c r="Q2865" t="str">
        <f>IFERROR(VLOOKUP(D2865,'Team Data'!C:AB,15,FALSE),"")</f>
        <v/>
      </c>
      <c r="R2865" t="str">
        <f>IFERROR(VLOOKUP('OB Format'!D2865,'Team Data'!C:AB,24,FALSE),"")</f>
        <v/>
      </c>
      <c r="S2865" t="str">
        <f>IFERROR(VLOOKUP('OB Format'!D2865,'Team Data'!C:AC,25,FALSE),"")</f>
        <v/>
      </c>
    </row>
    <row r="2866" spans="5:19" x14ac:dyDescent="0.25">
      <c r="E2866" t="str">
        <f>IFERROR(VLOOKUP(D2866,'Team Data'!C:AB,4,FALSE),"")</f>
        <v/>
      </c>
      <c r="F2866" t="str">
        <f>IFERROR(VLOOKUP(D2866,'Team Data'!C:AB,5,FALSE),"")</f>
        <v/>
      </c>
      <c r="G2866" t="str">
        <f>IFERROR(VLOOKUP('OB Format'!D2866,'Team Data'!C:AB,17,FALSE),"")</f>
        <v/>
      </c>
      <c r="H2866" t="str">
        <f>IFERROR(VLOOKUP(D2866,'Team Data'!C:AB,7,FALSE),"")</f>
        <v/>
      </c>
      <c r="I2866" t="str">
        <f>IFERROR(VLOOKUP(D2866,'Team Data'!C:AB,14,FALSE),"")</f>
        <v/>
      </c>
      <c r="J2866" t="str">
        <f>IFERROR(VLOOKUP(D2866,'Team Data'!C:AB,8,FALSE),"")</f>
        <v/>
      </c>
      <c r="K2866" t="str">
        <f>IFERROR(VLOOKUP(D2866,'Team Data'!C:AB,9,FALSE),"")</f>
        <v/>
      </c>
      <c r="L2866" t="str">
        <f>IFERROR(VLOOKUP(D2866,'Team Data'!C:AB,10,FALSE),"")</f>
        <v/>
      </c>
      <c r="M2866" t="str">
        <f t="shared" si="90"/>
        <v/>
      </c>
      <c r="N2866" t="str">
        <f>IFERROR(VLOOKUP(D2866,'Team Data'!C:AB,23,FALSE),"")</f>
        <v/>
      </c>
      <c r="O2866" t="str">
        <f>IFERROR(VLOOKUP(D2866,'Team Data'!C:AB,22,FALSE),"")</f>
        <v/>
      </c>
      <c r="P2866" t="str">
        <f t="shared" si="91"/>
        <v/>
      </c>
      <c r="Q2866" t="str">
        <f>IFERROR(VLOOKUP(D2866,'Team Data'!C:AB,15,FALSE),"")</f>
        <v/>
      </c>
      <c r="R2866" t="str">
        <f>IFERROR(VLOOKUP('OB Format'!D2866,'Team Data'!C:AB,24,FALSE),"")</f>
        <v/>
      </c>
      <c r="S2866" t="str">
        <f>IFERROR(VLOOKUP('OB Format'!D2866,'Team Data'!C:AC,25,FALSE),"")</f>
        <v/>
      </c>
    </row>
    <row r="2867" spans="5:19" x14ac:dyDescent="0.25">
      <c r="E2867" t="str">
        <f>IFERROR(VLOOKUP(D2867,'Team Data'!C:AB,4,FALSE),"")</f>
        <v/>
      </c>
      <c r="F2867" t="str">
        <f>IFERROR(VLOOKUP(D2867,'Team Data'!C:AB,5,FALSE),"")</f>
        <v/>
      </c>
      <c r="G2867" t="str">
        <f>IFERROR(VLOOKUP('OB Format'!D2867,'Team Data'!C:AB,17,FALSE),"")</f>
        <v/>
      </c>
      <c r="H2867" t="str">
        <f>IFERROR(VLOOKUP(D2867,'Team Data'!C:AB,7,FALSE),"")</f>
        <v/>
      </c>
      <c r="I2867" t="str">
        <f>IFERROR(VLOOKUP(D2867,'Team Data'!C:AB,14,FALSE),"")</f>
        <v/>
      </c>
      <c r="J2867" t="str">
        <f>IFERROR(VLOOKUP(D2867,'Team Data'!C:AB,8,FALSE),"")</f>
        <v/>
      </c>
      <c r="K2867" t="str">
        <f>IFERROR(VLOOKUP(D2867,'Team Data'!C:AB,9,FALSE),"")</f>
        <v/>
      </c>
      <c r="L2867" t="str">
        <f>IFERROR(VLOOKUP(D2867,'Team Data'!C:AB,10,FALSE),"")</f>
        <v/>
      </c>
      <c r="M2867" t="str">
        <f t="shared" si="90"/>
        <v/>
      </c>
      <c r="N2867" t="str">
        <f>IFERROR(VLOOKUP(D2867,'Team Data'!C:AB,23,FALSE),"")</f>
        <v/>
      </c>
      <c r="O2867" t="str">
        <f>IFERROR(VLOOKUP(D2867,'Team Data'!C:AB,22,FALSE),"")</f>
        <v/>
      </c>
      <c r="P2867" t="str">
        <f t="shared" si="91"/>
        <v/>
      </c>
      <c r="Q2867" t="str">
        <f>IFERROR(VLOOKUP(D2867,'Team Data'!C:AB,15,FALSE),"")</f>
        <v/>
      </c>
      <c r="R2867" t="str">
        <f>IFERROR(VLOOKUP('OB Format'!D2867,'Team Data'!C:AB,24,FALSE),"")</f>
        <v/>
      </c>
      <c r="S2867" t="str">
        <f>IFERROR(VLOOKUP('OB Format'!D2867,'Team Data'!C:AC,25,FALSE),"")</f>
        <v/>
      </c>
    </row>
    <row r="2868" spans="5:19" x14ac:dyDescent="0.25">
      <c r="E2868" t="str">
        <f>IFERROR(VLOOKUP(D2868,'Team Data'!C:AB,4,FALSE),"")</f>
        <v/>
      </c>
      <c r="F2868" t="str">
        <f>IFERROR(VLOOKUP(D2868,'Team Data'!C:AB,5,FALSE),"")</f>
        <v/>
      </c>
      <c r="G2868" t="str">
        <f>IFERROR(VLOOKUP('OB Format'!D2868,'Team Data'!C:AB,17,FALSE),"")</f>
        <v/>
      </c>
      <c r="H2868" t="str">
        <f>IFERROR(VLOOKUP(D2868,'Team Data'!C:AB,7,FALSE),"")</f>
        <v/>
      </c>
      <c r="I2868" t="str">
        <f>IFERROR(VLOOKUP(D2868,'Team Data'!C:AB,14,FALSE),"")</f>
        <v/>
      </c>
      <c r="J2868" t="str">
        <f>IFERROR(VLOOKUP(D2868,'Team Data'!C:AB,8,FALSE),"")</f>
        <v/>
      </c>
      <c r="K2868" t="str">
        <f>IFERROR(VLOOKUP(D2868,'Team Data'!C:AB,9,FALSE),"")</f>
        <v/>
      </c>
      <c r="L2868" t="str">
        <f>IFERROR(VLOOKUP(D2868,'Team Data'!C:AB,10,FALSE),"")</f>
        <v/>
      </c>
      <c r="M2868" t="str">
        <f t="shared" si="90"/>
        <v/>
      </c>
      <c r="N2868" t="str">
        <f>IFERROR(VLOOKUP(D2868,'Team Data'!C:AB,23,FALSE),"")</f>
        <v/>
      </c>
      <c r="O2868" t="str">
        <f>IFERROR(VLOOKUP(D2868,'Team Data'!C:AB,22,FALSE),"")</f>
        <v/>
      </c>
      <c r="P2868" t="str">
        <f t="shared" si="91"/>
        <v/>
      </c>
      <c r="Q2868" t="str">
        <f>IFERROR(VLOOKUP(D2868,'Team Data'!C:AB,15,FALSE),"")</f>
        <v/>
      </c>
      <c r="R2868" t="str">
        <f>IFERROR(VLOOKUP('OB Format'!D2868,'Team Data'!C:AB,24,FALSE),"")</f>
        <v/>
      </c>
      <c r="S2868" t="str">
        <f>IFERROR(VLOOKUP('OB Format'!D2868,'Team Data'!C:AC,25,FALSE),"")</f>
        <v/>
      </c>
    </row>
    <row r="2869" spans="5:19" x14ac:dyDescent="0.25">
      <c r="E2869" t="str">
        <f>IFERROR(VLOOKUP(D2869,'Team Data'!C:AB,4,FALSE),"")</f>
        <v/>
      </c>
      <c r="F2869" t="str">
        <f>IFERROR(VLOOKUP(D2869,'Team Data'!C:AB,5,FALSE),"")</f>
        <v/>
      </c>
      <c r="G2869" t="str">
        <f>IFERROR(VLOOKUP('OB Format'!D2869,'Team Data'!C:AB,17,FALSE),"")</f>
        <v/>
      </c>
      <c r="H2869" t="str">
        <f>IFERROR(VLOOKUP(D2869,'Team Data'!C:AB,7,FALSE),"")</f>
        <v/>
      </c>
      <c r="I2869" t="str">
        <f>IFERROR(VLOOKUP(D2869,'Team Data'!C:AB,14,FALSE),"")</f>
        <v/>
      </c>
      <c r="J2869" t="str">
        <f>IFERROR(VLOOKUP(D2869,'Team Data'!C:AB,8,FALSE),"")</f>
        <v/>
      </c>
      <c r="K2869" t="str">
        <f>IFERROR(VLOOKUP(D2869,'Team Data'!C:AB,9,FALSE),"")</f>
        <v/>
      </c>
      <c r="L2869" t="str">
        <f>IFERROR(VLOOKUP(D2869,'Team Data'!C:AB,10,FALSE),"")</f>
        <v/>
      </c>
      <c r="M2869" t="str">
        <f t="shared" si="90"/>
        <v/>
      </c>
      <c r="N2869" t="str">
        <f>IFERROR(VLOOKUP(D2869,'Team Data'!C:AB,23,FALSE),"")</f>
        <v/>
      </c>
      <c r="O2869" t="str">
        <f>IFERROR(VLOOKUP(D2869,'Team Data'!C:AB,22,FALSE),"")</f>
        <v/>
      </c>
      <c r="P2869" t="str">
        <f t="shared" si="91"/>
        <v/>
      </c>
      <c r="Q2869" t="str">
        <f>IFERROR(VLOOKUP(D2869,'Team Data'!C:AB,15,FALSE),"")</f>
        <v/>
      </c>
      <c r="R2869" t="str">
        <f>IFERROR(VLOOKUP('OB Format'!D2869,'Team Data'!C:AB,24,FALSE),"")</f>
        <v/>
      </c>
      <c r="S2869" t="str">
        <f>IFERROR(VLOOKUP('OB Format'!D2869,'Team Data'!C:AC,25,FALSE),"")</f>
        <v/>
      </c>
    </row>
    <row r="2870" spans="5:19" x14ac:dyDescent="0.25">
      <c r="E2870" t="str">
        <f>IFERROR(VLOOKUP(D2870,'Team Data'!C:AB,4,FALSE),"")</f>
        <v/>
      </c>
      <c r="F2870" t="str">
        <f>IFERROR(VLOOKUP(D2870,'Team Data'!C:AB,5,FALSE),"")</f>
        <v/>
      </c>
      <c r="G2870" t="str">
        <f>IFERROR(VLOOKUP('OB Format'!D2870,'Team Data'!C:AB,17,FALSE),"")</f>
        <v/>
      </c>
      <c r="H2870" t="str">
        <f>IFERROR(VLOOKUP(D2870,'Team Data'!C:AB,7,FALSE),"")</f>
        <v/>
      </c>
      <c r="I2870" t="str">
        <f>IFERROR(VLOOKUP(D2870,'Team Data'!C:AB,14,FALSE),"")</f>
        <v/>
      </c>
      <c r="J2870" t="str">
        <f>IFERROR(VLOOKUP(D2870,'Team Data'!C:AB,8,FALSE),"")</f>
        <v/>
      </c>
      <c r="K2870" t="str">
        <f>IFERROR(VLOOKUP(D2870,'Team Data'!C:AB,9,FALSE),"")</f>
        <v/>
      </c>
      <c r="L2870" t="str">
        <f>IFERROR(VLOOKUP(D2870,'Team Data'!C:AB,10,FALSE),"")</f>
        <v/>
      </c>
      <c r="M2870" t="str">
        <f t="shared" si="90"/>
        <v/>
      </c>
      <c r="N2870" t="str">
        <f>IFERROR(VLOOKUP(D2870,'Team Data'!C:AB,23,FALSE),"")</f>
        <v/>
      </c>
      <c r="O2870" t="str">
        <f>IFERROR(VLOOKUP(D2870,'Team Data'!C:AB,22,FALSE),"")</f>
        <v/>
      </c>
      <c r="P2870" t="str">
        <f t="shared" si="91"/>
        <v/>
      </c>
      <c r="Q2870" t="str">
        <f>IFERROR(VLOOKUP(D2870,'Team Data'!C:AB,15,FALSE),"")</f>
        <v/>
      </c>
      <c r="R2870" t="str">
        <f>IFERROR(VLOOKUP('OB Format'!D2870,'Team Data'!C:AB,24,FALSE),"")</f>
        <v/>
      </c>
      <c r="S2870" t="str">
        <f>IFERROR(VLOOKUP('OB Format'!D2870,'Team Data'!C:AC,25,FALSE),"")</f>
        <v/>
      </c>
    </row>
    <row r="2871" spans="5:19" x14ac:dyDescent="0.25">
      <c r="E2871" t="str">
        <f>IFERROR(VLOOKUP(D2871,'Team Data'!C:AB,4,FALSE),"")</f>
        <v/>
      </c>
      <c r="F2871" t="str">
        <f>IFERROR(VLOOKUP(D2871,'Team Data'!C:AB,5,FALSE),"")</f>
        <v/>
      </c>
      <c r="G2871" t="str">
        <f>IFERROR(VLOOKUP('OB Format'!D2871,'Team Data'!C:AB,17,FALSE),"")</f>
        <v/>
      </c>
      <c r="H2871" t="str">
        <f>IFERROR(VLOOKUP(D2871,'Team Data'!C:AB,7,FALSE),"")</f>
        <v/>
      </c>
      <c r="I2871" t="str">
        <f>IFERROR(VLOOKUP(D2871,'Team Data'!C:AB,14,FALSE),"")</f>
        <v/>
      </c>
      <c r="J2871" t="str">
        <f>IFERROR(VLOOKUP(D2871,'Team Data'!C:AB,8,FALSE),"")</f>
        <v/>
      </c>
      <c r="K2871" t="str">
        <f>IFERROR(VLOOKUP(D2871,'Team Data'!C:AB,9,FALSE),"")</f>
        <v/>
      </c>
      <c r="L2871" t="str">
        <f>IFERROR(VLOOKUP(D2871,'Team Data'!C:AB,10,FALSE),"")</f>
        <v/>
      </c>
      <c r="M2871" t="str">
        <f t="shared" si="90"/>
        <v/>
      </c>
      <c r="N2871" t="str">
        <f>IFERROR(VLOOKUP(D2871,'Team Data'!C:AB,23,FALSE),"")</f>
        <v/>
      </c>
      <c r="O2871" t="str">
        <f>IFERROR(VLOOKUP(D2871,'Team Data'!C:AB,22,FALSE),"")</f>
        <v/>
      </c>
      <c r="P2871" t="str">
        <f t="shared" si="91"/>
        <v/>
      </c>
      <c r="Q2871" t="str">
        <f>IFERROR(VLOOKUP(D2871,'Team Data'!C:AB,15,FALSE),"")</f>
        <v/>
      </c>
      <c r="R2871" t="str">
        <f>IFERROR(VLOOKUP('OB Format'!D2871,'Team Data'!C:AB,24,FALSE),"")</f>
        <v/>
      </c>
      <c r="S2871" t="str">
        <f>IFERROR(VLOOKUP('OB Format'!D2871,'Team Data'!C:AC,25,FALSE),"")</f>
        <v/>
      </c>
    </row>
    <row r="2872" spans="5:19" x14ac:dyDescent="0.25">
      <c r="E2872" t="str">
        <f>IFERROR(VLOOKUP(D2872,'Team Data'!C:AB,4,FALSE),"")</f>
        <v/>
      </c>
      <c r="F2872" t="str">
        <f>IFERROR(VLOOKUP(D2872,'Team Data'!C:AB,5,FALSE),"")</f>
        <v/>
      </c>
      <c r="G2872" t="str">
        <f>IFERROR(VLOOKUP('OB Format'!D2872,'Team Data'!C:AB,17,FALSE),"")</f>
        <v/>
      </c>
      <c r="H2872" t="str">
        <f>IFERROR(VLOOKUP(D2872,'Team Data'!C:AB,7,FALSE),"")</f>
        <v/>
      </c>
      <c r="I2872" t="str">
        <f>IFERROR(VLOOKUP(D2872,'Team Data'!C:AB,14,FALSE),"")</f>
        <v/>
      </c>
      <c r="J2872" t="str">
        <f>IFERROR(VLOOKUP(D2872,'Team Data'!C:AB,8,FALSE),"")</f>
        <v/>
      </c>
      <c r="K2872" t="str">
        <f>IFERROR(VLOOKUP(D2872,'Team Data'!C:AB,9,FALSE),"")</f>
        <v/>
      </c>
      <c r="L2872" t="str">
        <f>IFERROR(VLOOKUP(D2872,'Team Data'!C:AB,10,FALSE),"")</f>
        <v/>
      </c>
      <c r="M2872" t="str">
        <f t="shared" si="90"/>
        <v/>
      </c>
      <c r="N2872" t="str">
        <f>IFERROR(VLOOKUP(D2872,'Team Data'!C:AB,23,FALSE),"")</f>
        <v/>
      </c>
      <c r="O2872" t="str">
        <f>IFERROR(VLOOKUP(D2872,'Team Data'!C:AB,22,FALSE),"")</f>
        <v/>
      </c>
      <c r="P2872" t="str">
        <f t="shared" si="91"/>
        <v/>
      </c>
      <c r="Q2872" t="str">
        <f>IFERROR(VLOOKUP(D2872,'Team Data'!C:AB,15,FALSE),"")</f>
        <v/>
      </c>
      <c r="R2872" t="str">
        <f>IFERROR(VLOOKUP('OB Format'!D2872,'Team Data'!C:AB,24,FALSE),"")</f>
        <v/>
      </c>
      <c r="S2872" t="str">
        <f>IFERROR(VLOOKUP('OB Format'!D2872,'Team Data'!C:AC,25,FALSE),"")</f>
        <v/>
      </c>
    </row>
    <row r="2873" spans="5:19" x14ac:dyDescent="0.25">
      <c r="E2873" t="str">
        <f>IFERROR(VLOOKUP(D2873,'Team Data'!C:AB,4,FALSE),"")</f>
        <v/>
      </c>
      <c r="F2873" t="str">
        <f>IFERROR(VLOOKUP(D2873,'Team Data'!C:AB,5,FALSE),"")</f>
        <v/>
      </c>
      <c r="G2873" t="str">
        <f>IFERROR(VLOOKUP('OB Format'!D2873,'Team Data'!C:AB,17,FALSE),"")</f>
        <v/>
      </c>
      <c r="H2873" t="str">
        <f>IFERROR(VLOOKUP(D2873,'Team Data'!C:AB,7,FALSE),"")</f>
        <v/>
      </c>
      <c r="I2873" t="str">
        <f>IFERROR(VLOOKUP(D2873,'Team Data'!C:AB,14,FALSE),"")</f>
        <v/>
      </c>
      <c r="J2873" t="str">
        <f>IFERROR(VLOOKUP(D2873,'Team Data'!C:AB,8,FALSE),"")</f>
        <v/>
      </c>
      <c r="K2873" t="str">
        <f>IFERROR(VLOOKUP(D2873,'Team Data'!C:AB,9,FALSE),"")</f>
        <v/>
      </c>
      <c r="L2873" t="str">
        <f>IFERROR(VLOOKUP(D2873,'Team Data'!C:AB,10,FALSE),"")</f>
        <v/>
      </c>
      <c r="M2873" t="str">
        <f t="shared" si="90"/>
        <v/>
      </c>
      <c r="N2873" t="str">
        <f>IFERROR(VLOOKUP(D2873,'Team Data'!C:AB,23,FALSE),"")</f>
        <v/>
      </c>
      <c r="O2873" t="str">
        <f>IFERROR(VLOOKUP(D2873,'Team Data'!C:AB,22,FALSE),"")</f>
        <v/>
      </c>
      <c r="P2873" t="str">
        <f t="shared" si="91"/>
        <v/>
      </c>
      <c r="Q2873" t="str">
        <f>IFERROR(VLOOKUP(D2873,'Team Data'!C:AB,15,FALSE),"")</f>
        <v/>
      </c>
      <c r="R2873" t="str">
        <f>IFERROR(VLOOKUP('OB Format'!D2873,'Team Data'!C:AB,24,FALSE),"")</f>
        <v/>
      </c>
      <c r="S2873" t="str">
        <f>IFERROR(VLOOKUP('OB Format'!D2873,'Team Data'!C:AC,25,FALSE),"")</f>
        <v/>
      </c>
    </row>
    <row r="2874" spans="5:19" x14ac:dyDescent="0.25">
      <c r="E2874" t="str">
        <f>IFERROR(VLOOKUP(D2874,'Team Data'!C:AB,4,FALSE),"")</f>
        <v/>
      </c>
      <c r="F2874" t="str">
        <f>IFERROR(VLOOKUP(D2874,'Team Data'!C:AB,5,FALSE),"")</f>
        <v/>
      </c>
      <c r="G2874" t="str">
        <f>IFERROR(VLOOKUP('OB Format'!D2874,'Team Data'!C:AB,17,FALSE),"")</f>
        <v/>
      </c>
      <c r="H2874" t="str">
        <f>IFERROR(VLOOKUP(D2874,'Team Data'!C:AB,7,FALSE),"")</f>
        <v/>
      </c>
      <c r="I2874" t="str">
        <f>IFERROR(VLOOKUP(D2874,'Team Data'!C:AB,14,FALSE),"")</f>
        <v/>
      </c>
      <c r="J2874" t="str">
        <f>IFERROR(VLOOKUP(D2874,'Team Data'!C:AB,8,FALSE),"")</f>
        <v/>
      </c>
      <c r="K2874" t="str">
        <f>IFERROR(VLOOKUP(D2874,'Team Data'!C:AB,9,FALSE),"")</f>
        <v/>
      </c>
      <c r="L2874" t="str">
        <f>IFERROR(VLOOKUP(D2874,'Team Data'!C:AB,10,FALSE),"")</f>
        <v/>
      </c>
      <c r="M2874" t="str">
        <f t="shared" si="90"/>
        <v/>
      </c>
      <c r="N2874" t="str">
        <f>IFERROR(VLOOKUP(D2874,'Team Data'!C:AB,23,FALSE),"")</f>
        <v/>
      </c>
      <c r="O2874" t="str">
        <f>IFERROR(VLOOKUP(D2874,'Team Data'!C:AB,22,FALSE),"")</f>
        <v/>
      </c>
      <c r="P2874" t="str">
        <f t="shared" si="91"/>
        <v/>
      </c>
      <c r="Q2874" t="str">
        <f>IFERROR(VLOOKUP(D2874,'Team Data'!C:AB,15,FALSE),"")</f>
        <v/>
      </c>
      <c r="R2874" t="str">
        <f>IFERROR(VLOOKUP('OB Format'!D2874,'Team Data'!C:AB,24,FALSE),"")</f>
        <v/>
      </c>
      <c r="S2874" t="str">
        <f>IFERROR(VLOOKUP('OB Format'!D2874,'Team Data'!C:AC,25,FALSE),"")</f>
        <v/>
      </c>
    </row>
    <row r="2875" spans="5:19" x14ac:dyDescent="0.25">
      <c r="E2875" t="str">
        <f>IFERROR(VLOOKUP(D2875,'Team Data'!C:AB,4,FALSE),"")</f>
        <v/>
      </c>
      <c r="F2875" t="str">
        <f>IFERROR(VLOOKUP(D2875,'Team Data'!C:AB,5,FALSE),"")</f>
        <v/>
      </c>
      <c r="G2875" t="str">
        <f>IFERROR(VLOOKUP('OB Format'!D2875,'Team Data'!C:AB,17,FALSE),"")</f>
        <v/>
      </c>
      <c r="H2875" t="str">
        <f>IFERROR(VLOOKUP(D2875,'Team Data'!C:AB,7,FALSE),"")</f>
        <v/>
      </c>
      <c r="I2875" t="str">
        <f>IFERROR(VLOOKUP(D2875,'Team Data'!C:AB,14,FALSE),"")</f>
        <v/>
      </c>
      <c r="J2875" t="str">
        <f>IFERROR(VLOOKUP(D2875,'Team Data'!C:AB,8,FALSE),"")</f>
        <v/>
      </c>
      <c r="K2875" t="str">
        <f>IFERROR(VLOOKUP(D2875,'Team Data'!C:AB,9,FALSE),"")</f>
        <v/>
      </c>
      <c r="L2875" t="str">
        <f>IFERROR(VLOOKUP(D2875,'Team Data'!C:AB,10,FALSE),"")</f>
        <v/>
      </c>
      <c r="M2875" t="str">
        <f t="shared" si="90"/>
        <v/>
      </c>
      <c r="N2875" t="str">
        <f>IFERROR(VLOOKUP(D2875,'Team Data'!C:AB,23,FALSE),"")</f>
        <v/>
      </c>
      <c r="O2875" t="str">
        <f>IFERROR(VLOOKUP(D2875,'Team Data'!C:AB,22,FALSE),"")</f>
        <v/>
      </c>
      <c r="P2875" t="str">
        <f t="shared" si="91"/>
        <v/>
      </c>
      <c r="Q2875" t="str">
        <f>IFERROR(VLOOKUP(D2875,'Team Data'!C:AB,15,FALSE),"")</f>
        <v/>
      </c>
      <c r="R2875" t="str">
        <f>IFERROR(VLOOKUP('OB Format'!D2875,'Team Data'!C:AB,24,FALSE),"")</f>
        <v/>
      </c>
      <c r="S2875" t="str">
        <f>IFERROR(VLOOKUP('OB Format'!D2875,'Team Data'!C:AC,25,FALSE),"")</f>
        <v/>
      </c>
    </row>
    <row r="2876" spans="5:19" x14ac:dyDescent="0.25">
      <c r="E2876" t="str">
        <f>IFERROR(VLOOKUP(D2876,'Team Data'!C:AB,4,FALSE),"")</f>
        <v/>
      </c>
      <c r="F2876" t="str">
        <f>IFERROR(VLOOKUP(D2876,'Team Data'!C:AB,5,FALSE),"")</f>
        <v/>
      </c>
      <c r="G2876" t="str">
        <f>IFERROR(VLOOKUP('OB Format'!D2876,'Team Data'!C:AB,17,FALSE),"")</f>
        <v/>
      </c>
      <c r="H2876" t="str">
        <f>IFERROR(VLOOKUP(D2876,'Team Data'!C:AB,7,FALSE),"")</f>
        <v/>
      </c>
      <c r="I2876" t="str">
        <f>IFERROR(VLOOKUP(D2876,'Team Data'!C:AB,14,FALSE),"")</f>
        <v/>
      </c>
      <c r="J2876" t="str">
        <f>IFERROR(VLOOKUP(D2876,'Team Data'!C:AB,8,FALSE),"")</f>
        <v/>
      </c>
      <c r="K2876" t="str">
        <f>IFERROR(VLOOKUP(D2876,'Team Data'!C:AB,9,FALSE),"")</f>
        <v/>
      </c>
      <c r="L2876" t="str">
        <f>IFERROR(VLOOKUP(D2876,'Team Data'!C:AB,10,FALSE),"")</f>
        <v/>
      </c>
      <c r="M2876" t="str">
        <f t="shared" si="90"/>
        <v/>
      </c>
      <c r="N2876" t="str">
        <f>IFERROR(VLOOKUP(D2876,'Team Data'!C:AB,23,FALSE),"")</f>
        <v/>
      </c>
      <c r="O2876" t="str">
        <f>IFERROR(VLOOKUP(D2876,'Team Data'!C:AB,22,FALSE),"")</f>
        <v/>
      </c>
      <c r="P2876" t="str">
        <f t="shared" si="91"/>
        <v/>
      </c>
      <c r="Q2876" t="str">
        <f>IFERROR(VLOOKUP(D2876,'Team Data'!C:AB,15,FALSE),"")</f>
        <v/>
      </c>
      <c r="R2876" t="str">
        <f>IFERROR(VLOOKUP('OB Format'!D2876,'Team Data'!C:AB,24,FALSE),"")</f>
        <v/>
      </c>
      <c r="S2876" t="str">
        <f>IFERROR(VLOOKUP('OB Format'!D2876,'Team Data'!C:AC,25,FALSE),"")</f>
        <v/>
      </c>
    </row>
    <row r="2877" spans="5:19" x14ac:dyDescent="0.25">
      <c r="E2877" t="str">
        <f>IFERROR(VLOOKUP(D2877,'Team Data'!C:AB,4,FALSE),"")</f>
        <v/>
      </c>
      <c r="F2877" t="str">
        <f>IFERROR(VLOOKUP(D2877,'Team Data'!C:AB,5,FALSE),"")</f>
        <v/>
      </c>
      <c r="G2877" t="str">
        <f>IFERROR(VLOOKUP('OB Format'!D2877,'Team Data'!C:AB,17,FALSE),"")</f>
        <v/>
      </c>
      <c r="H2877" t="str">
        <f>IFERROR(VLOOKUP(D2877,'Team Data'!C:AB,7,FALSE),"")</f>
        <v/>
      </c>
      <c r="I2877" t="str">
        <f>IFERROR(VLOOKUP(D2877,'Team Data'!C:AB,14,FALSE),"")</f>
        <v/>
      </c>
      <c r="J2877" t="str">
        <f>IFERROR(VLOOKUP(D2877,'Team Data'!C:AB,8,FALSE),"")</f>
        <v/>
      </c>
      <c r="K2877" t="str">
        <f>IFERROR(VLOOKUP(D2877,'Team Data'!C:AB,9,FALSE),"")</f>
        <v/>
      </c>
      <c r="L2877" t="str">
        <f>IFERROR(VLOOKUP(D2877,'Team Data'!C:AB,10,FALSE),"")</f>
        <v/>
      </c>
      <c r="M2877" t="str">
        <f t="shared" si="90"/>
        <v/>
      </c>
      <c r="N2877" t="str">
        <f>IFERROR(VLOOKUP(D2877,'Team Data'!C:AB,23,FALSE),"")</f>
        <v/>
      </c>
      <c r="O2877" t="str">
        <f>IFERROR(VLOOKUP(D2877,'Team Data'!C:AB,22,FALSE),"")</f>
        <v/>
      </c>
      <c r="P2877" t="str">
        <f t="shared" si="91"/>
        <v/>
      </c>
      <c r="Q2877" t="str">
        <f>IFERROR(VLOOKUP(D2877,'Team Data'!C:AB,15,FALSE),"")</f>
        <v/>
      </c>
      <c r="R2877" t="str">
        <f>IFERROR(VLOOKUP('OB Format'!D2877,'Team Data'!C:AB,24,FALSE),"")</f>
        <v/>
      </c>
      <c r="S2877" t="str">
        <f>IFERROR(VLOOKUP('OB Format'!D2877,'Team Data'!C:AC,25,FALSE),"")</f>
        <v/>
      </c>
    </row>
    <row r="2878" spans="5:19" x14ac:dyDescent="0.25">
      <c r="E2878" t="str">
        <f>IFERROR(VLOOKUP(D2878,'Team Data'!C:AB,4,FALSE),"")</f>
        <v/>
      </c>
      <c r="F2878" t="str">
        <f>IFERROR(VLOOKUP(D2878,'Team Data'!C:AB,5,FALSE),"")</f>
        <v/>
      </c>
      <c r="G2878" t="str">
        <f>IFERROR(VLOOKUP('OB Format'!D2878,'Team Data'!C:AB,17,FALSE),"")</f>
        <v/>
      </c>
      <c r="H2878" t="str">
        <f>IFERROR(VLOOKUP(D2878,'Team Data'!C:AB,7,FALSE),"")</f>
        <v/>
      </c>
      <c r="I2878" t="str">
        <f>IFERROR(VLOOKUP(D2878,'Team Data'!C:AB,14,FALSE),"")</f>
        <v/>
      </c>
      <c r="J2878" t="str">
        <f>IFERROR(VLOOKUP(D2878,'Team Data'!C:AB,8,FALSE),"")</f>
        <v/>
      </c>
      <c r="K2878" t="str">
        <f>IFERROR(VLOOKUP(D2878,'Team Data'!C:AB,9,FALSE),"")</f>
        <v/>
      </c>
      <c r="L2878" t="str">
        <f>IFERROR(VLOOKUP(D2878,'Team Data'!C:AB,10,FALSE),"")</f>
        <v/>
      </c>
      <c r="M2878" t="str">
        <f t="shared" si="90"/>
        <v/>
      </c>
      <c r="N2878" t="str">
        <f>IFERROR(VLOOKUP(D2878,'Team Data'!C:AB,23,FALSE),"")</f>
        <v/>
      </c>
      <c r="O2878" t="str">
        <f>IFERROR(VLOOKUP(D2878,'Team Data'!C:AB,22,FALSE),"")</f>
        <v/>
      </c>
      <c r="P2878" t="str">
        <f t="shared" si="91"/>
        <v/>
      </c>
      <c r="Q2878" t="str">
        <f>IFERROR(VLOOKUP(D2878,'Team Data'!C:AB,15,FALSE),"")</f>
        <v/>
      </c>
      <c r="R2878" t="str">
        <f>IFERROR(VLOOKUP('OB Format'!D2878,'Team Data'!C:AB,24,FALSE),"")</f>
        <v/>
      </c>
      <c r="S2878" t="str">
        <f>IFERROR(VLOOKUP('OB Format'!D2878,'Team Data'!C:AC,25,FALSE),"")</f>
        <v/>
      </c>
    </row>
    <row r="2879" spans="5:19" x14ac:dyDescent="0.25">
      <c r="E2879" t="str">
        <f>IFERROR(VLOOKUP(D2879,'Team Data'!C:AB,4,FALSE),"")</f>
        <v/>
      </c>
      <c r="F2879" t="str">
        <f>IFERROR(VLOOKUP(D2879,'Team Data'!C:AB,5,FALSE),"")</f>
        <v/>
      </c>
      <c r="G2879" t="str">
        <f>IFERROR(VLOOKUP('OB Format'!D2879,'Team Data'!C:AB,17,FALSE),"")</f>
        <v/>
      </c>
      <c r="H2879" t="str">
        <f>IFERROR(VLOOKUP(D2879,'Team Data'!C:AB,7,FALSE),"")</f>
        <v/>
      </c>
      <c r="I2879" t="str">
        <f>IFERROR(VLOOKUP(D2879,'Team Data'!C:AB,14,FALSE),"")</f>
        <v/>
      </c>
      <c r="J2879" t="str">
        <f>IFERROR(VLOOKUP(D2879,'Team Data'!C:AB,8,FALSE),"")</f>
        <v/>
      </c>
      <c r="K2879" t="str">
        <f>IFERROR(VLOOKUP(D2879,'Team Data'!C:AB,9,FALSE),"")</f>
        <v/>
      </c>
      <c r="L2879" t="str">
        <f>IFERROR(VLOOKUP(D2879,'Team Data'!C:AB,10,FALSE),"")</f>
        <v/>
      </c>
      <c r="M2879" t="str">
        <f t="shared" si="90"/>
        <v/>
      </c>
      <c r="N2879" t="str">
        <f>IFERROR(VLOOKUP(D2879,'Team Data'!C:AB,23,FALSE),"")</f>
        <v/>
      </c>
      <c r="O2879" t="str">
        <f>IFERROR(VLOOKUP(D2879,'Team Data'!C:AB,22,FALSE),"")</f>
        <v/>
      </c>
      <c r="P2879" t="str">
        <f t="shared" si="91"/>
        <v/>
      </c>
      <c r="Q2879" t="str">
        <f>IFERROR(VLOOKUP(D2879,'Team Data'!C:AB,15,FALSE),"")</f>
        <v/>
      </c>
      <c r="R2879" t="str">
        <f>IFERROR(VLOOKUP('OB Format'!D2879,'Team Data'!C:AB,24,FALSE),"")</f>
        <v/>
      </c>
      <c r="S2879" t="str">
        <f>IFERROR(VLOOKUP('OB Format'!D2879,'Team Data'!C:AC,25,FALSE),"")</f>
        <v/>
      </c>
    </row>
    <row r="2880" spans="5:19" x14ac:dyDescent="0.25">
      <c r="E2880" t="str">
        <f>IFERROR(VLOOKUP(D2880,'Team Data'!C:AB,4,FALSE),"")</f>
        <v/>
      </c>
      <c r="F2880" t="str">
        <f>IFERROR(VLOOKUP(D2880,'Team Data'!C:AB,5,FALSE),"")</f>
        <v/>
      </c>
      <c r="G2880" t="str">
        <f>IFERROR(VLOOKUP('OB Format'!D2880,'Team Data'!C:AB,17,FALSE),"")</f>
        <v/>
      </c>
      <c r="H2880" t="str">
        <f>IFERROR(VLOOKUP(D2880,'Team Data'!C:AB,7,FALSE),"")</f>
        <v/>
      </c>
      <c r="I2880" t="str">
        <f>IFERROR(VLOOKUP(D2880,'Team Data'!C:AB,14,FALSE),"")</f>
        <v/>
      </c>
      <c r="J2880" t="str">
        <f>IFERROR(VLOOKUP(D2880,'Team Data'!C:AB,8,FALSE),"")</f>
        <v/>
      </c>
      <c r="K2880" t="str">
        <f>IFERROR(VLOOKUP(D2880,'Team Data'!C:AB,9,FALSE),"")</f>
        <v/>
      </c>
      <c r="L2880" t="str">
        <f>IFERROR(VLOOKUP(D2880,'Team Data'!C:AB,10,FALSE),"")</f>
        <v/>
      </c>
      <c r="M2880" t="str">
        <f t="shared" si="90"/>
        <v/>
      </c>
      <c r="N2880" t="str">
        <f>IFERROR(VLOOKUP(D2880,'Team Data'!C:AB,23,FALSE),"")</f>
        <v/>
      </c>
      <c r="O2880" t="str">
        <f>IFERROR(VLOOKUP(D2880,'Team Data'!C:AB,22,FALSE),"")</f>
        <v/>
      </c>
      <c r="P2880" t="str">
        <f t="shared" si="91"/>
        <v/>
      </c>
      <c r="Q2880" t="str">
        <f>IFERROR(VLOOKUP(D2880,'Team Data'!C:AB,15,FALSE),"")</f>
        <v/>
      </c>
      <c r="R2880" t="str">
        <f>IFERROR(VLOOKUP('OB Format'!D2880,'Team Data'!C:AB,24,FALSE),"")</f>
        <v/>
      </c>
      <c r="S2880" t="str">
        <f>IFERROR(VLOOKUP('OB Format'!D2880,'Team Data'!C:AC,25,FALSE),"")</f>
        <v/>
      </c>
    </row>
    <row r="2881" spans="5:19" x14ac:dyDescent="0.25">
      <c r="E2881" t="str">
        <f>IFERROR(VLOOKUP(D2881,'Team Data'!C:AB,4,FALSE),"")</f>
        <v/>
      </c>
      <c r="F2881" t="str">
        <f>IFERROR(VLOOKUP(D2881,'Team Data'!C:AB,5,FALSE),"")</f>
        <v/>
      </c>
      <c r="G2881" t="str">
        <f>IFERROR(VLOOKUP('OB Format'!D2881,'Team Data'!C:AB,17,FALSE),"")</f>
        <v/>
      </c>
      <c r="H2881" t="str">
        <f>IFERROR(VLOOKUP(D2881,'Team Data'!C:AB,7,FALSE),"")</f>
        <v/>
      </c>
      <c r="I2881" t="str">
        <f>IFERROR(VLOOKUP(D2881,'Team Data'!C:AB,14,FALSE),"")</f>
        <v/>
      </c>
      <c r="J2881" t="str">
        <f>IFERROR(VLOOKUP(D2881,'Team Data'!C:AB,8,FALSE),"")</f>
        <v/>
      </c>
      <c r="K2881" t="str">
        <f>IFERROR(VLOOKUP(D2881,'Team Data'!C:AB,9,FALSE),"")</f>
        <v/>
      </c>
      <c r="L2881" t="str">
        <f>IFERROR(VLOOKUP(D2881,'Team Data'!C:AB,10,FALSE),"")</f>
        <v/>
      </c>
      <c r="M2881" t="str">
        <f t="shared" si="90"/>
        <v/>
      </c>
      <c r="N2881" t="str">
        <f>IFERROR(VLOOKUP(D2881,'Team Data'!C:AB,23,FALSE),"")</f>
        <v/>
      </c>
      <c r="O2881" t="str">
        <f>IFERROR(VLOOKUP(D2881,'Team Data'!C:AB,22,FALSE),"")</f>
        <v/>
      </c>
      <c r="P2881" t="str">
        <f t="shared" si="91"/>
        <v/>
      </c>
      <c r="Q2881" t="str">
        <f>IFERROR(VLOOKUP(D2881,'Team Data'!C:AB,15,FALSE),"")</f>
        <v/>
      </c>
      <c r="R2881" t="str">
        <f>IFERROR(VLOOKUP('OB Format'!D2881,'Team Data'!C:AB,24,FALSE),"")</f>
        <v/>
      </c>
      <c r="S2881" t="str">
        <f>IFERROR(VLOOKUP('OB Format'!D2881,'Team Data'!C:AC,25,FALSE),"")</f>
        <v/>
      </c>
    </row>
    <row r="2882" spans="5:19" x14ac:dyDescent="0.25">
      <c r="E2882" t="str">
        <f>IFERROR(VLOOKUP(D2882,'Team Data'!C:AB,4,FALSE),"")</f>
        <v/>
      </c>
      <c r="F2882" t="str">
        <f>IFERROR(VLOOKUP(D2882,'Team Data'!C:AB,5,FALSE),"")</f>
        <v/>
      </c>
      <c r="G2882" t="str">
        <f>IFERROR(VLOOKUP('OB Format'!D2882,'Team Data'!C:AB,17,FALSE),"")</f>
        <v/>
      </c>
      <c r="H2882" t="str">
        <f>IFERROR(VLOOKUP(D2882,'Team Data'!C:AB,7,FALSE),"")</f>
        <v/>
      </c>
      <c r="I2882" t="str">
        <f>IFERROR(VLOOKUP(D2882,'Team Data'!C:AB,14,FALSE),"")</f>
        <v/>
      </c>
      <c r="J2882" t="str">
        <f>IFERROR(VLOOKUP(D2882,'Team Data'!C:AB,8,FALSE),"")</f>
        <v/>
      </c>
      <c r="K2882" t="str">
        <f>IFERROR(VLOOKUP(D2882,'Team Data'!C:AB,9,FALSE),"")</f>
        <v/>
      </c>
      <c r="L2882" t="str">
        <f>IFERROR(VLOOKUP(D2882,'Team Data'!C:AB,10,FALSE),"")</f>
        <v/>
      </c>
      <c r="M2882" t="str">
        <f t="shared" si="90"/>
        <v/>
      </c>
      <c r="N2882" t="str">
        <f>IFERROR(VLOOKUP(D2882,'Team Data'!C:AB,23,FALSE),"")</f>
        <v/>
      </c>
      <c r="O2882" t="str">
        <f>IFERROR(VLOOKUP(D2882,'Team Data'!C:AB,22,FALSE),"")</f>
        <v/>
      </c>
      <c r="P2882" t="str">
        <f t="shared" si="91"/>
        <v/>
      </c>
      <c r="Q2882" t="str">
        <f>IFERROR(VLOOKUP(D2882,'Team Data'!C:AB,15,FALSE),"")</f>
        <v/>
      </c>
      <c r="R2882" t="str">
        <f>IFERROR(VLOOKUP('OB Format'!D2882,'Team Data'!C:AB,24,FALSE),"")</f>
        <v/>
      </c>
      <c r="S2882" t="str">
        <f>IFERROR(VLOOKUP('OB Format'!D2882,'Team Data'!C:AC,25,FALSE),"")</f>
        <v/>
      </c>
    </row>
    <row r="2883" spans="5:19" x14ac:dyDescent="0.25">
      <c r="E2883" t="str">
        <f>IFERROR(VLOOKUP(D2883,'Team Data'!C:AB,4,FALSE),"")</f>
        <v/>
      </c>
      <c r="F2883" t="str">
        <f>IFERROR(VLOOKUP(D2883,'Team Data'!C:AB,5,FALSE),"")</f>
        <v/>
      </c>
      <c r="G2883" t="str">
        <f>IFERROR(VLOOKUP('OB Format'!D2883,'Team Data'!C:AB,17,FALSE),"")</f>
        <v/>
      </c>
      <c r="H2883" t="str">
        <f>IFERROR(VLOOKUP(D2883,'Team Data'!C:AB,7,FALSE),"")</f>
        <v/>
      </c>
      <c r="I2883" t="str">
        <f>IFERROR(VLOOKUP(D2883,'Team Data'!C:AB,14,FALSE),"")</f>
        <v/>
      </c>
      <c r="J2883" t="str">
        <f>IFERROR(VLOOKUP(D2883,'Team Data'!C:AB,8,FALSE),"")</f>
        <v/>
      </c>
      <c r="K2883" t="str">
        <f>IFERROR(VLOOKUP(D2883,'Team Data'!C:AB,9,FALSE),"")</f>
        <v/>
      </c>
      <c r="L2883" t="str">
        <f>IFERROR(VLOOKUP(D2883,'Team Data'!C:AB,10,FALSE),"")</f>
        <v/>
      </c>
      <c r="M2883" t="str">
        <f t="shared" si="90"/>
        <v/>
      </c>
      <c r="N2883" t="str">
        <f>IFERROR(VLOOKUP(D2883,'Team Data'!C:AB,23,FALSE),"")</f>
        <v/>
      </c>
      <c r="O2883" t="str">
        <f>IFERROR(VLOOKUP(D2883,'Team Data'!C:AB,22,FALSE),"")</f>
        <v/>
      </c>
      <c r="P2883" t="str">
        <f t="shared" si="91"/>
        <v/>
      </c>
      <c r="Q2883" t="str">
        <f>IFERROR(VLOOKUP(D2883,'Team Data'!C:AB,15,FALSE),"")</f>
        <v/>
      </c>
      <c r="R2883" t="str">
        <f>IFERROR(VLOOKUP('OB Format'!D2883,'Team Data'!C:AB,24,FALSE),"")</f>
        <v/>
      </c>
      <c r="S2883" t="str">
        <f>IFERROR(VLOOKUP('OB Format'!D2883,'Team Data'!C:AC,25,FALSE),"")</f>
        <v/>
      </c>
    </row>
    <row r="2884" spans="5:19" x14ac:dyDescent="0.25">
      <c r="E2884" t="str">
        <f>IFERROR(VLOOKUP(D2884,'Team Data'!C:AB,4,FALSE),"")</f>
        <v/>
      </c>
      <c r="F2884" t="str">
        <f>IFERROR(VLOOKUP(D2884,'Team Data'!C:AB,5,FALSE),"")</f>
        <v/>
      </c>
      <c r="G2884" t="str">
        <f>IFERROR(VLOOKUP('OB Format'!D2884,'Team Data'!C:AB,17,FALSE),"")</f>
        <v/>
      </c>
      <c r="H2884" t="str">
        <f>IFERROR(VLOOKUP(D2884,'Team Data'!C:AB,7,FALSE),"")</f>
        <v/>
      </c>
      <c r="I2884" t="str">
        <f>IFERROR(VLOOKUP(D2884,'Team Data'!C:AB,14,FALSE),"")</f>
        <v/>
      </c>
      <c r="J2884" t="str">
        <f>IFERROR(VLOOKUP(D2884,'Team Data'!C:AB,8,FALSE),"")</f>
        <v/>
      </c>
      <c r="K2884" t="str">
        <f>IFERROR(VLOOKUP(D2884,'Team Data'!C:AB,9,FALSE),"")</f>
        <v/>
      </c>
      <c r="L2884" t="str">
        <f>IFERROR(VLOOKUP(D2884,'Team Data'!C:AB,10,FALSE),"")</f>
        <v/>
      </c>
      <c r="M2884" t="str">
        <f t="shared" si="90"/>
        <v/>
      </c>
      <c r="N2884" t="str">
        <f>IFERROR(VLOOKUP(D2884,'Team Data'!C:AB,23,FALSE),"")</f>
        <v/>
      </c>
      <c r="O2884" t="str">
        <f>IFERROR(VLOOKUP(D2884,'Team Data'!C:AB,22,FALSE),"")</f>
        <v/>
      </c>
      <c r="P2884" t="str">
        <f t="shared" si="91"/>
        <v/>
      </c>
      <c r="Q2884" t="str">
        <f>IFERROR(VLOOKUP(D2884,'Team Data'!C:AB,15,FALSE),"")</f>
        <v/>
      </c>
      <c r="R2884" t="str">
        <f>IFERROR(VLOOKUP('OB Format'!D2884,'Team Data'!C:AB,24,FALSE),"")</f>
        <v/>
      </c>
      <c r="S2884" t="str">
        <f>IFERROR(VLOOKUP('OB Format'!D2884,'Team Data'!C:AC,25,FALSE),"")</f>
        <v/>
      </c>
    </row>
    <row r="2885" spans="5:19" x14ac:dyDescent="0.25">
      <c r="E2885" t="str">
        <f>IFERROR(VLOOKUP(D2885,'Team Data'!C:AB,4,FALSE),"")</f>
        <v/>
      </c>
      <c r="F2885" t="str">
        <f>IFERROR(VLOOKUP(D2885,'Team Data'!C:AB,5,FALSE),"")</f>
        <v/>
      </c>
      <c r="G2885" t="str">
        <f>IFERROR(VLOOKUP('OB Format'!D2885,'Team Data'!C:AB,17,FALSE),"")</f>
        <v/>
      </c>
      <c r="H2885" t="str">
        <f>IFERROR(VLOOKUP(D2885,'Team Data'!C:AB,7,FALSE),"")</f>
        <v/>
      </c>
      <c r="I2885" t="str">
        <f>IFERROR(VLOOKUP(D2885,'Team Data'!C:AB,14,FALSE),"")</f>
        <v/>
      </c>
      <c r="J2885" t="str">
        <f>IFERROR(VLOOKUP(D2885,'Team Data'!C:AB,8,FALSE),"")</f>
        <v/>
      </c>
      <c r="K2885" t="str">
        <f>IFERROR(VLOOKUP(D2885,'Team Data'!C:AB,9,FALSE),"")</f>
        <v/>
      </c>
      <c r="L2885" t="str">
        <f>IFERROR(VLOOKUP(D2885,'Team Data'!C:AB,10,FALSE),"")</f>
        <v/>
      </c>
      <c r="M2885" t="str">
        <f t="shared" si="90"/>
        <v/>
      </c>
      <c r="N2885" t="str">
        <f>IFERROR(VLOOKUP(D2885,'Team Data'!C:AB,23,FALSE),"")</f>
        <v/>
      </c>
      <c r="O2885" t="str">
        <f>IFERROR(VLOOKUP(D2885,'Team Data'!C:AB,22,FALSE),"")</f>
        <v/>
      </c>
      <c r="P2885" t="str">
        <f t="shared" si="91"/>
        <v/>
      </c>
      <c r="Q2885" t="str">
        <f>IFERROR(VLOOKUP(D2885,'Team Data'!C:AB,15,FALSE),"")</f>
        <v/>
      </c>
      <c r="R2885" t="str">
        <f>IFERROR(VLOOKUP('OB Format'!D2885,'Team Data'!C:AB,24,FALSE),"")</f>
        <v/>
      </c>
      <c r="S2885" t="str">
        <f>IFERROR(VLOOKUP('OB Format'!D2885,'Team Data'!C:AC,25,FALSE),"")</f>
        <v/>
      </c>
    </row>
    <row r="2886" spans="5:19" x14ac:dyDescent="0.25">
      <c r="E2886" t="str">
        <f>IFERROR(VLOOKUP(D2886,'Team Data'!C:AB,4,FALSE),"")</f>
        <v/>
      </c>
      <c r="F2886" t="str">
        <f>IFERROR(VLOOKUP(D2886,'Team Data'!C:AB,5,FALSE),"")</f>
        <v/>
      </c>
      <c r="G2886" t="str">
        <f>IFERROR(VLOOKUP('OB Format'!D2886,'Team Data'!C:AB,17,FALSE),"")</f>
        <v/>
      </c>
      <c r="H2886" t="str">
        <f>IFERROR(VLOOKUP(D2886,'Team Data'!C:AB,7,FALSE),"")</f>
        <v/>
      </c>
      <c r="I2886" t="str">
        <f>IFERROR(VLOOKUP(D2886,'Team Data'!C:AB,14,FALSE),"")</f>
        <v/>
      </c>
      <c r="J2886" t="str">
        <f>IFERROR(VLOOKUP(D2886,'Team Data'!C:AB,8,FALSE),"")</f>
        <v/>
      </c>
      <c r="K2886" t="str">
        <f>IFERROR(VLOOKUP(D2886,'Team Data'!C:AB,9,FALSE),"")</f>
        <v/>
      </c>
      <c r="L2886" t="str">
        <f>IFERROR(VLOOKUP(D2886,'Team Data'!C:AB,10,FALSE),"")</f>
        <v/>
      </c>
      <c r="M2886" t="str">
        <f t="shared" si="90"/>
        <v/>
      </c>
      <c r="N2886" t="str">
        <f>IFERROR(VLOOKUP(D2886,'Team Data'!C:AB,23,FALSE),"")</f>
        <v/>
      </c>
      <c r="O2886" t="str">
        <f>IFERROR(VLOOKUP(D2886,'Team Data'!C:AB,22,FALSE),"")</f>
        <v/>
      </c>
      <c r="P2886" t="str">
        <f t="shared" si="91"/>
        <v/>
      </c>
      <c r="Q2886" t="str">
        <f>IFERROR(VLOOKUP(D2886,'Team Data'!C:AB,15,FALSE),"")</f>
        <v/>
      </c>
      <c r="R2886" t="str">
        <f>IFERROR(VLOOKUP('OB Format'!D2886,'Team Data'!C:AB,24,FALSE),"")</f>
        <v/>
      </c>
      <c r="S2886" t="str">
        <f>IFERROR(VLOOKUP('OB Format'!D2886,'Team Data'!C:AC,25,FALSE),"")</f>
        <v/>
      </c>
    </row>
    <row r="2887" spans="5:19" x14ac:dyDescent="0.25">
      <c r="E2887" t="str">
        <f>IFERROR(VLOOKUP(D2887,'Team Data'!C:AB,4,FALSE),"")</f>
        <v/>
      </c>
      <c r="F2887" t="str">
        <f>IFERROR(VLOOKUP(D2887,'Team Data'!C:AB,5,FALSE),"")</f>
        <v/>
      </c>
      <c r="G2887" t="str">
        <f>IFERROR(VLOOKUP('OB Format'!D2887,'Team Data'!C:AB,17,FALSE),"")</f>
        <v/>
      </c>
      <c r="H2887" t="str">
        <f>IFERROR(VLOOKUP(D2887,'Team Data'!C:AB,7,FALSE),"")</f>
        <v/>
      </c>
      <c r="I2887" t="str">
        <f>IFERROR(VLOOKUP(D2887,'Team Data'!C:AB,14,FALSE),"")</f>
        <v/>
      </c>
      <c r="J2887" t="str">
        <f>IFERROR(VLOOKUP(D2887,'Team Data'!C:AB,8,FALSE),"")</f>
        <v/>
      </c>
      <c r="K2887" t="str">
        <f>IFERROR(VLOOKUP(D2887,'Team Data'!C:AB,9,FALSE),"")</f>
        <v/>
      </c>
      <c r="L2887" t="str">
        <f>IFERROR(VLOOKUP(D2887,'Team Data'!C:AB,10,FALSE),"")</f>
        <v/>
      </c>
      <c r="M2887" t="str">
        <f t="shared" si="90"/>
        <v/>
      </c>
      <c r="N2887" t="str">
        <f>IFERROR(VLOOKUP(D2887,'Team Data'!C:AB,23,FALSE),"")</f>
        <v/>
      </c>
      <c r="O2887" t="str">
        <f>IFERROR(VLOOKUP(D2887,'Team Data'!C:AB,22,FALSE),"")</f>
        <v/>
      </c>
      <c r="P2887" t="str">
        <f t="shared" si="91"/>
        <v/>
      </c>
      <c r="Q2887" t="str">
        <f>IFERROR(VLOOKUP(D2887,'Team Data'!C:AB,15,FALSE),"")</f>
        <v/>
      </c>
      <c r="R2887" t="str">
        <f>IFERROR(VLOOKUP('OB Format'!D2887,'Team Data'!C:AB,24,FALSE),"")</f>
        <v/>
      </c>
      <c r="S2887" t="str">
        <f>IFERROR(VLOOKUP('OB Format'!D2887,'Team Data'!C:AC,25,FALSE),"")</f>
        <v/>
      </c>
    </row>
    <row r="2888" spans="5:19" x14ac:dyDescent="0.25">
      <c r="E2888" t="str">
        <f>IFERROR(VLOOKUP(D2888,'Team Data'!C:AB,4,FALSE),"")</f>
        <v/>
      </c>
      <c r="F2888" t="str">
        <f>IFERROR(VLOOKUP(D2888,'Team Data'!C:AB,5,FALSE),"")</f>
        <v/>
      </c>
      <c r="G2888" t="str">
        <f>IFERROR(VLOOKUP('OB Format'!D2888,'Team Data'!C:AB,17,FALSE),"")</f>
        <v/>
      </c>
      <c r="H2888" t="str">
        <f>IFERROR(VLOOKUP(D2888,'Team Data'!C:AB,7,FALSE),"")</f>
        <v/>
      </c>
      <c r="I2888" t="str">
        <f>IFERROR(VLOOKUP(D2888,'Team Data'!C:AB,14,FALSE),"")</f>
        <v/>
      </c>
      <c r="J2888" t="str">
        <f>IFERROR(VLOOKUP(D2888,'Team Data'!C:AB,8,FALSE),"")</f>
        <v/>
      </c>
      <c r="K2888" t="str">
        <f>IFERROR(VLOOKUP(D2888,'Team Data'!C:AB,9,FALSE),"")</f>
        <v/>
      </c>
      <c r="L2888" t="str">
        <f>IFERROR(VLOOKUP(D2888,'Team Data'!C:AB,10,FALSE),"")</f>
        <v/>
      </c>
      <c r="M2888" t="str">
        <f t="shared" si="90"/>
        <v/>
      </c>
      <c r="N2888" t="str">
        <f>IFERROR(VLOOKUP(D2888,'Team Data'!C:AB,23,FALSE),"")</f>
        <v/>
      </c>
      <c r="O2888" t="str">
        <f>IFERROR(VLOOKUP(D2888,'Team Data'!C:AB,22,FALSE),"")</f>
        <v/>
      </c>
      <c r="P2888" t="str">
        <f t="shared" si="91"/>
        <v/>
      </c>
      <c r="Q2888" t="str">
        <f>IFERROR(VLOOKUP(D2888,'Team Data'!C:AB,15,FALSE),"")</f>
        <v/>
      </c>
      <c r="R2888" t="str">
        <f>IFERROR(VLOOKUP('OB Format'!D2888,'Team Data'!C:AB,24,FALSE),"")</f>
        <v/>
      </c>
      <c r="S2888" t="str">
        <f>IFERROR(VLOOKUP('OB Format'!D2888,'Team Data'!C:AC,25,FALSE),"")</f>
        <v/>
      </c>
    </row>
    <row r="2889" spans="5:19" x14ac:dyDescent="0.25">
      <c r="E2889" t="str">
        <f>IFERROR(VLOOKUP(D2889,'Team Data'!C:AB,4,FALSE),"")</f>
        <v/>
      </c>
      <c r="F2889" t="str">
        <f>IFERROR(VLOOKUP(D2889,'Team Data'!C:AB,5,FALSE),"")</f>
        <v/>
      </c>
      <c r="G2889" t="str">
        <f>IFERROR(VLOOKUP('OB Format'!D2889,'Team Data'!C:AB,17,FALSE),"")</f>
        <v/>
      </c>
      <c r="H2889" t="str">
        <f>IFERROR(VLOOKUP(D2889,'Team Data'!C:AB,7,FALSE),"")</f>
        <v/>
      </c>
      <c r="I2889" t="str">
        <f>IFERROR(VLOOKUP(D2889,'Team Data'!C:AB,14,FALSE),"")</f>
        <v/>
      </c>
      <c r="J2889" t="str">
        <f>IFERROR(VLOOKUP(D2889,'Team Data'!C:AB,8,FALSE),"")</f>
        <v/>
      </c>
      <c r="K2889" t="str">
        <f>IFERROR(VLOOKUP(D2889,'Team Data'!C:AB,9,FALSE),"")</f>
        <v/>
      </c>
      <c r="L2889" t="str">
        <f>IFERROR(VLOOKUP(D2889,'Team Data'!C:AB,10,FALSE),"")</f>
        <v/>
      </c>
      <c r="M2889" t="str">
        <f t="shared" si="90"/>
        <v/>
      </c>
      <c r="N2889" t="str">
        <f>IFERROR(VLOOKUP(D2889,'Team Data'!C:AB,23,FALSE),"")</f>
        <v/>
      </c>
      <c r="O2889" t="str">
        <f>IFERROR(VLOOKUP(D2889,'Team Data'!C:AB,22,FALSE),"")</f>
        <v/>
      </c>
      <c r="P2889" t="str">
        <f t="shared" si="91"/>
        <v/>
      </c>
      <c r="Q2889" t="str">
        <f>IFERROR(VLOOKUP(D2889,'Team Data'!C:AB,15,FALSE),"")</f>
        <v/>
      </c>
      <c r="R2889" t="str">
        <f>IFERROR(VLOOKUP('OB Format'!D2889,'Team Data'!C:AB,24,FALSE),"")</f>
        <v/>
      </c>
      <c r="S2889" t="str">
        <f>IFERROR(VLOOKUP('OB Format'!D2889,'Team Data'!C:AC,25,FALSE),"")</f>
        <v/>
      </c>
    </row>
    <row r="2890" spans="5:19" x14ac:dyDescent="0.25">
      <c r="E2890" t="str">
        <f>IFERROR(VLOOKUP(D2890,'Team Data'!C:AB,4,FALSE),"")</f>
        <v/>
      </c>
      <c r="F2890" t="str">
        <f>IFERROR(VLOOKUP(D2890,'Team Data'!C:AB,5,FALSE),"")</f>
        <v/>
      </c>
      <c r="G2890" t="str">
        <f>IFERROR(VLOOKUP('OB Format'!D2890,'Team Data'!C:AB,17,FALSE),"")</f>
        <v/>
      </c>
      <c r="H2890" t="str">
        <f>IFERROR(VLOOKUP(D2890,'Team Data'!C:AB,7,FALSE),"")</f>
        <v/>
      </c>
      <c r="I2890" t="str">
        <f>IFERROR(VLOOKUP(D2890,'Team Data'!C:AB,14,FALSE),"")</f>
        <v/>
      </c>
      <c r="J2890" t="str">
        <f>IFERROR(VLOOKUP(D2890,'Team Data'!C:AB,8,FALSE),"")</f>
        <v/>
      </c>
      <c r="K2890" t="str">
        <f>IFERROR(VLOOKUP(D2890,'Team Data'!C:AB,9,FALSE),"")</f>
        <v/>
      </c>
      <c r="L2890" t="str">
        <f>IFERROR(VLOOKUP(D2890,'Team Data'!C:AB,10,FALSE),"")</f>
        <v/>
      </c>
      <c r="M2890" t="str">
        <f t="shared" si="90"/>
        <v/>
      </c>
      <c r="N2890" t="str">
        <f>IFERROR(VLOOKUP(D2890,'Team Data'!C:AB,23,FALSE),"")</f>
        <v/>
      </c>
      <c r="O2890" t="str">
        <f>IFERROR(VLOOKUP(D2890,'Team Data'!C:AB,22,FALSE),"")</f>
        <v/>
      </c>
      <c r="P2890" t="str">
        <f t="shared" si="91"/>
        <v/>
      </c>
      <c r="Q2890" t="str">
        <f>IFERROR(VLOOKUP(D2890,'Team Data'!C:AB,15,FALSE),"")</f>
        <v/>
      </c>
      <c r="R2890" t="str">
        <f>IFERROR(VLOOKUP('OB Format'!D2890,'Team Data'!C:AB,24,FALSE),"")</f>
        <v/>
      </c>
      <c r="S2890" t="str">
        <f>IFERROR(VLOOKUP('OB Format'!D2890,'Team Data'!C:AC,25,FALSE),"")</f>
        <v/>
      </c>
    </row>
    <row r="2891" spans="5:19" x14ac:dyDescent="0.25">
      <c r="E2891" t="str">
        <f>IFERROR(VLOOKUP(D2891,'Team Data'!C:AB,4,FALSE),"")</f>
        <v/>
      </c>
      <c r="F2891" t="str">
        <f>IFERROR(VLOOKUP(D2891,'Team Data'!C:AB,5,FALSE),"")</f>
        <v/>
      </c>
      <c r="G2891" t="str">
        <f>IFERROR(VLOOKUP('OB Format'!D2891,'Team Data'!C:AB,17,FALSE),"")</f>
        <v/>
      </c>
      <c r="H2891" t="str">
        <f>IFERROR(VLOOKUP(D2891,'Team Data'!C:AB,7,FALSE),"")</f>
        <v/>
      </c>
      <c r="I2891" t="str">
        <f>IFERROR(VLOOKUP(D2891,'Team Data'!C:AB,14,FALSE),"")</f>
        <v/>
      </c>
      <c r="J2891" t="str">
        <f>IFERROR(VLOOKUP(D2891,'Team Data'!C:AB,8,FALSE),"")</f>
        <v/>
      </c>
      <c r="K2891" t="str">
        <f>IFERROR(VLOOKUP(D2891,'Team Data'!C:AB,9,FALSE),"")</f>
        <v/>
      </c>
      <c r="L2891" t="str">
        <f>IFERROR(VLOOKUP(D2891,'Team Data'!C:AB,10,FALSE),"")</f>
        <v/>
      </c>
      <c r="M2891" t="str">
        <f t="shared" si="90"/>
        <v/>
      </c>
      <c r="N2891" t="str">
        <f>IFERROR(VLOOKUP(D2891,'Team Data'!C:AB,23,FALSE),"")</f>
        <v/>
      </c>
      <c r="O2891" t="str">
        <f>IFERROR(VLOOKUP(D2891,'Team Data'!C:AB,22,FALSE),"")</f>
        <v/>
      </c>
      <c r="P2891" t="str">
        <f t="shared" si="91"/>
        <v/>
      </c>
      <c r="Q2891" t="str">
        <f>IFERROR(VLOOKUP(D2891,'Team Data'!C:AB,15,FALSE),"")</f>
        <v/>
      </c>
      <c r="R2891" t="str">
        <f>IFERROR(VLOOKUP('OB Format'!D2891,'Team Data'!C:AB,24,FALSE),"")</f>
        <v/>
      </c>
      <c r="S2891" t="str">
        <f>IFERROR(VLOOKUP('OB Format'!D2891,'Team Data'!C:AC,25,FALSE),"")</f>
        <v/>
      </c>
    </row>
    <row r="2892" spans="5:19" x14ac:dyDescent="0.25">
      <c r="E2892" t="str">
        <f>IFERROR(VLOOKUP(D2892,'Team Data'!C:AB,4,FALSE),"")</f>
        <v/>
      </c>
      <c r="F2892" t="str">
        <f>IFERROR(VLOOKUP(D2892,'Team Data'!C:AB,5,FALSE),"")</f>
        <v/>
      </c>
      <c r="G2892" t="str">
        <f>IFERROR(VLOOKUP('OB Format'!D2892,'Team Data'!C:AB,17,FALSE),"")</f>
        <v/>
      </c>
      <c r="H2892" t="str">
        <f>IFERROR(VLOOKUP(D2892,'Team Data'!C:AB,7,FALSE),"")</f>
        <v/>
      </c>
      <c r="I2892" t="str">
        <f>IFERROR(VLOOKUP(D2892,'Team Data'!C:AB,14,FALSE),"")</f>
        <v/>
      </c>
      <c r="J2892" t="str">
        <f>IFERROR(VLOOKUP(D2892,'Team Data'!C:AB,8,FALSE),"")</f>
        <v/>
      </c>
      <c r="K2892" t="str">
        <f>IFERROR(VLOOKUP(D2892,'Team Data'!C:AB,9,FALSE),"")</f>
        <v/>
      </c>
      <c r="L2892" t="str">
        <f>IFERROR(VLOOKUP(D2892,'Team Data'!C:AB,10,FALSE),"")</f>
        <v/>
      </c>
      <c r="M2892" t="str">
        <f t="shared" si="90"/>
        <v/>
      </c>
      <c r="N2892" t="str">
        <f>IFERROR(VLOOKUP(D2892,'Team Data'!C:AB,23,FALSE),"")</f>
        <v/>
      </c>
      <c r="O2892" t="str">
        <f>IFERROR(VLOOKUP(D2892,'Team Data'!C:AB,22,FALSE),"")</f>
        <v/>
      </c>
      <c r="P2892" t="str">
        <f t="shared" si="91"/>
        <v/>
      </c>
      <c r="Q2892" t="str">
        <f>IFERROR(VLOOKUP(D2892,'Team Data'!C:AB,15,FALSE),"")</f>
        <v/>
      </c>
      <c r="R2892" t="str">
        <f>IFERROR(VLOOKUP('OB Format'!D2892,'Team Data'!C:AB,24,FALSE),"")</f>
        <v/>
      </c>
      <c r="S2892" t="str">
        <f>IFERROR(VLOOKUP('OB Format'!D2892,'Team Data'!C:AC,25,FALSE),"")</f>
        <v/>
      </c>
    </row>
    <row r="2893" spans="5:19" x14ac:dyDescent="0.25">
      <c r="E2893" t="str">
        <f>IFERROR(VLOOKUP(D2893,'Team Data'!C:AB,4,FALSE),"")</f>
        <v/>
      </c>
      <c r="F2893" t="str">
        <f>IFERROR(VLOOKUP(D2893,'Team Data'!C:AB,5,FALSE),"")</f>
        <v/>
      </c>
      <c r="G2893" t="str">
        <f>IFERROR(VLOOKUP('OB Format'!D2893,'Team Data'!C:AB,17,FALSE),"")</f>
        <v/>
      </c>
      <c r="H2893" t="str">
        <f>IFERROR(VLOOKUP(D2893,'Team Data'!C:AB,7,FALSE),"")</f>
        <v/>
      </c>
      <c r="I2893" t="str">
        <f>IFERROR(VLOOKUP(D2893,'Team Data'!C:AB,14,FALSE),"")</f>
        <v/>
      </c>
      <c r="J2893" t="str">
        <f>IFERROR(VLOOKUP(D2893,'Team Data'!C:AB,8,FALSE),"")</f>
        <v/>
      </c>
      <c r="K2893" t="str">
        <f>IFERROR(VLOOKUP(D2893,'Team Data'!C:AB,9,FALSE),"")</f>
        <v/>
      </c>
      <c r="L2893" t="str">
        <f>IFERROR(VLOOKUP(D2893,'Team Data'!C:AB,10,FALSE),"")</f>
        <v/>
      </c>
      <c r="M2893" t="str">
        <f t="shared" ref="M2893:M2956" si="92">IFERROR(H2893-(J2893+L2893+K2893),"")</f>
        <v/>
      </c>
      <c r="N2893" t="str">
        <f>IFERROR(VLOOKUP(D2893,'Team Data'!C:AB,23,FALSE),"")</f>
        <v/>
      </c>
      <c r="O2893" t="str">
        <f>IFERROR(VLOOKUP(D2893,'Team Data'!C:AB,22,FALSE),"")</f>
        <v/>
      </c>
      <c r="P2893" t="str">
        <f t="shared" ref="P2893:P2956" si="93">IFERROR(E2893-(H2893+N2893+Q2893+I2893+O2893),"")</f>
        <v/>
      </c>
      <c r="Q2893" t="str">
        <f>IFERROR(VLOOKUP(D2893,'Team Data'!C:AB,15,FALSE),"")</f>
        <v/>
      </c>
      <c r="R2893" t="str">
        <f>IFERROR(VLOOKUP('OB Format'!D2893,'Team Data'!C:AB,24,FALSE),"")</f>
        <v/>
      </c>
      <c r="S2893" t="str">
        <f>IFERROR(VLOOKUP('OB Format'!D2893,'Team Data'!C:AC,25,FALSE),"")</f>
        <v/>
      </c>
    </row>
    <row r="2894" spans="5:19" x14ac:dyDescent="0.25">
      <c r="E2894" t="str">
        <f>IFERROR(VLOOKUP(D2894,'Team Data'!C:AB,4,FALSE),"")</f>
        <v/>
      </c>
      <c r="F2894" t="str">
        <f>IFERROR(VLOOKUP(D2894,'Team Data'!C:AB,5,FALSE),"")</f>
        <v/>
      </c>
      <c r="G2894" t="str">
        <f>IFERROR(VLOOKUP('OB Format'!D2894,'Team Data'!C:AB,17,FALSE),"")</f>
        <v/>
      </c>
      <c r="H2894" t="str">
        <f>IFERROR(VLOOKUP(D2894,'Team Data'!C:AB,7,FALSE),"")</f>
        <v/>
      </c>
      <c r="I2894" t="str">
        <f>IFERROR(VLOOKUP(D2894,'Team Data'!C:AB,14,FALSE),"")</f>
        <v/>
      </c>
      <c r="J2894" t="str">
        <f>IFERROR(VLOOKUP(D2894,'Team Data'!C:AB,8,FALSE),"")</f>
        <v/>
      </c>
      <c r="K2894" t="str">
        <f>IFERROR(VLOOKUP(D2894,'Team Data'!C:AB,9,FALSE),"")</f>
        <v/>
      </c>
      <c r="L2894" t="str">
        <f>IFERROR(VLOOKUP(D2894,'Team Data'!C:AB,10,FALSE),"")</f>
        <v/>
      </c>
      <c r="M2894" t="str">
        <f t="shared" si="92"/>
        <v/>
      </c>
      <c r="N2894" t="str">
        <f>IFERROR(VLOOKUP(D2894,'Team Data'!C:AB,23,FALSE),"")</f>
        <v/>
      </c>
      <c r="O2894" t="str">
        <f>IFERROR(VLOOKUP(D2894,'Team Data'!C:AB,22,FALSE),"")</f>
        <v/>
      </c>
      <c r="P2894" t="str">
        <f t="shared" si="93"/>
        <v/>
      </c>
      <c r="Q2894" t="str">
        <f>IFERROR(VLOOKUP(D2894,'Team Data'!C:AB,15,FALSE),"")</f>
        <v/>
      </c>
      <c r="R2894" t="str">
        <f>IFERROR(VLOOKUP('OB Format'!D2894,'Team Data'!C:AB,24,FALSE),"")</f>
        <v/>
      </c>
      <c r="S2894" t="str">
        <f>IFERROR(VLOOKUP('OB Format'!D2894,'Team Data'!C:AC,25,FALSE),"")</f>
        <v/>
      </c>
    </row>
    <row r="2895" spans="5:19" x14ac:dyDescent="0.25">
      <c r="E2895" t="str">
        <f>IFERROR(VLOOKUP(D2895,'Team Data'!C:AB,4,FALSE),"")</f>
        <v/>
      </c>
      <c r="F2895" t="str">
        <f>IFERROR(VLOOKUP(D2895,'Team Data'!C:AB,5,FALSE),"")</f>
        <v/>
      </c>
      <c r="G2895" t="str">
        <f>IFERROR(VLOOKUP('OB Format'!D2895,'Team Data'!C:AB,17,FALSE),"")</f>
        <v/>
      </c>
      <c r="H2895" t="str">
        <f>IFERROR(VLOOKUP(D2895,'Team Data'!C:AB,7,FALSE),"")</f>
        <v/>
      </c>
      <c r="I2895" t="str">
        <f>IFERROR(VLOOKUP(D2895,'Team Data'!C:AB,14,FALSE),"")</f>
        <v/>
      </c>
      <c r="J2895" t="str">
        <f>IFERROR(VLOOKUP(D2895,'Team Data'!C:AB,8,FALSE),"")</f>
        <v/>
      </c>
      <c r="K2895" t="str">
        <f>IFERROR(VLOOKUP(D2895,'Team Data'!C:AB,9,FALSE),"")</f>
        <v/>
      </c>
      <c r="L2895" t="str">
        <f>IFERROR(VLOOKUP(D2895,'Team Data'!C:AB,10,FALSE),"")</f>
        <v/>
      </c>
      <c r="M2895" t="str">
        <f t="shared" si="92"/>
        <v/>
      </c>
      <c r="N2895" t="str">
        <f>IFERROR(VLOOKUP(D2895,'Team Data'!C:AB,23,FALSE),"")</f>
        <v/>
      </c>
      <c r="O2895" t="str">
        <f>IFERROR(VLOOKUP(D2895,'Team Data'!C:AB,22,FALSE),"")</f>
        <v/>
      </c>
      <c r="P2895" t="str">
        <f t="shared" si="93"/>
        <v/>
      </c>
      <c r="Q2895" t="str">
        <f>IFERROR(VLOOKUP(D2895,'Team Data'!C:AB,15,FALSE),"")</f>
        <v/>
      </c>
      <c r="R2895" t="str">
        <f>IFERROR(VLOOKUP('OB Format'!D2895,'Team Data'!C:AB,24,FALSE),"")</f>
        <v/>
      </c>
      <c r="S2895" t="str">
        <f>IFERROR(VLOOKUP('OB Format'!D2895,'Team Data'!C:AC,25,FALSE),"")</f>
        <v/>
      </c>
    </row>
    <row r="2896" spans="5:19" x14ac:dyDescent="0.25">
      <c r="E2896" t="str">
        <f>IFERROR(VLOOKUP(D2896,'Team Data'!C:AB,4,FALSE),"")</f>
        <v/>
      </c>
      <c r="F2896" t="str">
        <f>IFERROR(VLOOKUP(D2896,'Team Data'!C:AB,5,FALSE),"")</f>
        <v/>
      </c>
      <c r="G2896" t="str">
        <f>IFERROR(VLOOKUP('OB Format'!D2896,'Team Data'!C:AB,17,FALSE),"")</f>
        <v/>
      </c>
      <c r="H2896" t="str">
        <f>IFERROR(VLOOKUP(D2896,'Team Data'!C:AB,7,FALSE),"")</f>
        <v/>
      </c>
      <c r="I2896" t="str">
        <f>IFERROR(VLOOKUP(D2896,'Team Data'!C:AB,14,FALSE),"")</f>
        <v/>
      </c>
      <c r="J2896" t="str">
        <f>IFERROR(VLOOKUP(D2896,'Team Data'!C:AB,8,FALSE),"")</f>
        <v/>
      </c>
      <c r="K2896" t="str">
        <f>IFERROR(VLOOKUP(D2896,'Team Data'!C:AB,9,FALSE),"")</f>
        <v/>
      </c>
      <c r="L2896" t="str">
        <f>IFERROR(VLOOKUP(D2896,'Team Data'!C:AB,10,FALSE),"")</f>
        <v/>
      </c>
      <c r="M2896" t="str">
        <f t="shared" si="92"/>
        <v/>
      </c>
      <c r="N2896" t="str">
        <f>IFERROR(VLOOKUP(D2896,'Team Data'!C:AB,23,FALSE),"")</f>
        <v/>
      </c>
      <c r="O2896" t="str">
        <f>IFERROR(VLOOKUP(D2896,'Team Data'!C:AB,22,FALSE),"")</f>
        <v/>
      </c>
      <c r="P2896" t="str">
        <f t="shared" si="93"/>
        <v/>
      </c>
      <c r="Q2896" t="str">
        <f>IFERROR(VLOOKUP(D2896,'Team Data'!C:AB,15,FALSE),"")</f>
        <v/>
      </c>
      <c r="R2896" t="str">
        <f>IFERROR(VLOOKUP('OB Format'!D2896,'Team Data'!C:AB,24,FALSE),"")</f>
        <v/>
      </c>
      <c r="S2896" t="str">
        <f>IFERROR(VLOOKUP('OB Format'!D2896,'Team Data'!C:AC,25,FALSE),"")</f>
        <v/>
      </c>
    </row>
    <row r="2897" spans="5:19" x14ac:dyDescent="0.25">
      <c r="E2897" t="str">
        <f>IFERROR(VLOOKUP(D2897,'Team Data'!C:AB,4,FALSE),"")</f>
        <v/>
      </c>
      <c r="F2897" t="str">
        <f>IFERROR(VLOOKUP(D2897,'Team Data'!C:AB,5,FALSE),"")</f>
        <v/>
      </c>
      <c r="G2897" t="str">
        <f>IFERROR(VLOOKUP('OB Format'!D2897,'Team Data'!C:AB,17,FALSE),"")</f>
        <v/>
      </c>
      <c r="H2897" t="str">
        <f>IFERROR(VLOOKUP(D2897,'Team Data'!C:AB,7,FALSE),"")</f>
        <v/>
      </c>
      <c r="I2897" t="str">
        <f>IFERROR(VLOOKUP(D2897,'Team Data'!C:AB,14,FALSE),"")</f>
        <v/>
      </c>
      <c r="J2897" t="str">
        <f>IFERROR(VLOOKUP(D2897,'Team Data'!C:AB,8,FALSE),"")</f>
        <v/>
      </c>
      <c r="K2897" t="str">
        <f>IFERROR(VLOOKUP(D2897,'Team Data'!C:AB,9,FALSE),"")</f>
        <v/>
      </c>
      <c r="L2897" t="str">
        <f>IFERROR(VLOOKUP(D2897,'Team Data'!C:AB,10,FALSE),"")</f>
        <v/>
      </c>
      <c r="M2897" t="str">
        <f t="shared" si="92"/>
        <v/>
      </c>
      <c r="N2897" t="str">
        <f>IFERROR(VLOOKUP(D2897,'Team Data'!C:AB,23,FALSE),"")</f>
        <v/>
      </c>
      <c r="O2897" t="str">
        <f>IFERROR(VLOOKUP(D2897,'Team Data'!C:AB,22,FALSE),"")</f>
        <v/>
      </c>
      <c r="P2897" t="str">
        <f t="shared" si="93"/>
        <v/>
      </c>
      <c r="Q2897" t="str">
        <f>IFERROR(VLOOKUP(D2897,'Team Data'!C:AB,15,FALSE),"")</f>
        <v/>
      </c>
      <c r="R2897" t="str">
        <f>IFERROR(VLOOKUP('OB Format'!D2897,'Team Data'!C:AB,24,FALSE),"")</f>
        <v/>
      </c>
      <c r="S2897" t="str">
        <f>IFERROR(VLOOKUP('OB Format'!D2897,'Team Data'!C:AC,25,FALSE),"")</f>
        <v/>
      </c>
    </row>
    <row r="2898" spans="5:19" x14ac:dyDescent="0.25">
      <c r="E2898" t="str">
        <f>IFERROR(VLOOKUP(D2898,'Team Data'!C:AB,4,FALSE),"")</f>
        <v/>
      </c>
      <c r="F2898" t="str">
        <f>IFERROR(VLOOKUP(D2898,'Team Data'!C:AB,5,FALSE),"")</f>
        <v/>
      </c>
      <c r="G2898" t="str">
        <f>IFERROR(VLOOKUP('OB Format'!D2898,'Team Data'!C:AB,17,FALSE),"")</f>
        <v/>
      </c>
      <c r="H2898" t="str">
        <f>IFERROR(VLOOKUP(D2898,'Team Data'!C:AB,7,FALSE),"")</f>
        <v/>
      </c>
      <c r="I2898" t="str">
        <f>IFERROR(VLOOKUP(D2898,'Team Data'!C:AB,14,FALSE),"")</f>
        <v/>
      </c>
      <c r="J2898" t="str">
        <f>IFERROR(VLOOKUP(D2898,'Team Data'!C:AB,8,FALSE),"")</f>
        <v/>
      </c>
      <c r="K2898" t="str">
        <f>IFERROR(VLOOKUP(D2898,'Team Data'!C:AB,9,FALSE),"")</f>
        <v/>
      </c>
      <c r="L2898" t="str">
        <f>IFERROR(VLOOKUP(D2898,'Team Data'!C:AB,10,FALSE),"")</f>
        <v/>
      </c>
      <c r="M2898" t="str">
        <f t="shared" si="92"/>
        <v/>
      </c>
      <c r="N2898" t="str">
        <f>IFERROR(VLOOKUP(D2898,'Team Data'!C:AB,23,FALSE),"")</f>
        <v/>
      </c>
      <c r="O2898" t="str">
        <f>IFERROR(VLOOKUP(D2898,'Team Data'!C:AB,22,FALSE),"")</f>
        <v/>
      </c>
      <c r="P2898" t="str">
        <f t="shared" si="93"/>
        <v/>
      </c>
      <c r="Q2898" t="str">
        <f>IFERROR(VLOOKUP(D2898,'Team Data'!C:AB,15,FALSE),"")</f>
        <v/>
      </c>
      <c r="R2898" t="str">
        <f>IFERROR(VLOOKUP('OB Format'!D2898,'Team Data'!C:AB,24,FALSE),"")</f>
        <v/>
      </c>
      <c r="S2898" t="str">
        <f>IFERROR(VLOOKUP('OB Format'!D2898,'Team Data'!C:AC,25,FALSE),"")</f>
        <v/>
      </c>
    </row>
    <row r="2899" spans="5:19" x14ac:dyDescent="0.25">
      <c r="E2899" t="str">
        <f>IFERROR(VLOOKUP(D2899,'Team Data'!C:AB,4,FALSE),"")</f>
        <v/>
      </c>
      <c r="F2899" t="str">
        <f>IFERROR(VLOOKUP(D2899,'Team Data'!C:AB,5,FALSE),"")</f>
        <v/>
      </c>
      <c r="G2899" t="str">
        <f>IFERROR(VLOOKUP('OB Format'!D2899,'Team Data'!C:AB,17,FALSE),"")</f>
        <v/>
      </c>
      <c r="H2899" t="str">
        <f>IFERROR(VLOOKUP(D2899,'Team Data'!C:AB,7,FALSE),"")</f>
        <v/>
      </c>
      <c r="I2899" t="str">
        <f>IFERROR(VLOOKUP(D2899,'Team Data'!C:AB,14,FALSE),"")</f>
        <v/>
      </c>
      <c r="J2899" t="str">
        <f>IFERROR(VLOOKUP(D2899,'Team Data'!C:AB,8,FALSE),"")</f>
        <v/>
      </c>
      <c r="K2899" t="str">
        <f>IFERROR(VLOOKUP(D2899,'Team Data'!C:AB,9,FALSE),"")</f>
        <v/>
      </c>
      <c r="L2899" t="str">
        <f>IFERROR(VLOOKUP(D2899,'Team Data'!C:AB,10,FALSE),"")</f>
        <v/>
      </c>
      <c r="M2899" t="str">
        <f t="shared" si="92"/>
        <v/>
      </c>
      <c r="N2899" t="str">
        <f>IFERROR(VLOOKUP(D2899,'Team Data'!C:AB,23,FALSE),"")</f>
        <v/>
      </c>
      <c r="O2899" t="str">
        <f>IFERROR(VLOOKUP(D2899,'Team Data'!C:AB,22,FALSE),"")</f>
        <v/>
      </c>
      <c r="P2899" t="str">
        <f t="shared" si="93"/>
        <v/>
      </c>
      <c r="Q2899" t="str">
        <f>IFERROR(VLOOKUP(D2899,'Team Data'!C:AB,15,FALSE),"")</f>
        <v/>
      </c>
      <c r="R2899" t="str">
        <f>IFERROR(VLOOKUP('OB Format'!D2899,'Team Data'!C:AB,24,FALSE),"")</f>
        <v/>
      </c>
      <c r="S2899" t="str">
        <f>IFERROR(VLOOKUP('OB Format'!D2899,'Team Data'!C:AC,25,FALSE),"")</f>
        <v/>
      </c>
    </row>
    <row r="2900" spans="5:19" x14ac:dyDescent="0.25">
      <c r="E2900" t="str">
        <f>IFERROR(VLOOKUP(D2900,'Team Data'!C:AB,4,FALSE),"")</f>
        <v/>
      </c>
      <c r="F2900" t="str">
        <f>IFERROR(VLOOKUP(D2900,'Team Data'!C:AB,5,FALSE),"")</f>
        <v/>
      </c>
      <c r="G2900" t="str">
        <f>IFERROR(VLOOKUP('OB Format'!D2900,'Team Data'!C:AB,17,FALSE),"")</f>
        <v/>
      </c>
      <c r="H2900" t="str">
        <f>IFERROR(VLOOKUP(D2900,'Team Data'!C:AB,7,FALSE),"")</f>
        <v/>
      </c>
      <c r="I2900" t="str">
        <f>IFERROR(VLOOKUP(D2900,'Team Data'!C:AB,14,FALSE),"")</f>
        <v/>
      </c>
      <c r="J2900" t="str">
        <f>IFERROR(VLOOKUP(D2900,'Team Data'!C:AB,8,FALSE),"")</f>
        <v/>
      </c>
      <c r="K2900" t="str">
        <f>IFERROR(VLOOKUP(D2900,'Team Data'!C:AB,9,FALSE),"")</f>
        <v/>
      </c>
      <c r="L2900" t="str">
        <f>IFERROR(VLOOKUP(D2900,'Team Data'!C:AB,10,FALSE),"")</f>
        <v/>
      </c>
      <c r="M2900" t="str">
        <f t="shared" si="92"/>
        <v/>
      </c>
      <c r="N2900" t="str">
        <f>IFERROR(VLOOKUP(D2900,'Team Data'!C:AB,23,FALSE),"")</f>
        <v/>
      </c>
      <c r="O2900" t="str">
        <f>IFERROR(VLOOKUP(D2900,'Team Data'!C:AB,22,FALSE),"")</f>
        <v/>
      </c>
      <c r="P2900" t="str">
        <f t="shared" si="93"/>
        <v/>
      </c>
      <c r="Q2900" t="str">
        <f>IFERROR(VLOOKUP(D2900,'Team Data'!C:AB,15,FALSE),"")</f>
        <v/>
      </c>
      <c r="R2900" t="str">
        <f>IFERROR(VLOOKUP('OB Format'!D2900,'Team Data'!C:AB,24,FALSE),"")</f>
        <v/>
      </c>
      <c r="S2900" t="str">
        <f>IFERROR(VLOOKUP('OB Format'!D2900,'Team Data'!C:AC,25,FALSE),"")</f>
        <v/>
      </c>
    </row>
    <row r="2901" spans="5:19" x14ac:dyDescent="0.25">
      <c r="E2901" t="str">
        <f>IFERROR(VLOOKUP(D2901,'Team Data'!C:AB,4,FALSE),"")</f>
        <v/>
      </c>
      <c r="F2901" t="str">
        <f>IFERROR(VLOOKUP(D2901,'Team Data'!C:AB,5,FALSE),"")</f>
        <v/>
      </c>
      <c r="G2901" t="str">
        <f>IFERROR(VLOOKUP('OB Format'!D2901,'Team Data'!C:AB,17,FALSE),"")</f>
        <v/>
      </c>
      <c r="H2901" t="str">
        <f>IFERROR(VLOOKUP(D2901,'Team Data'!C:AB,7,FALSE),"")</f>
        <v/>
      </c>
      <c r="I2901" t="str">
        <f>IFERROR(VLOOKUP(D2901,'Team Data'!C:AB,14,FALSE),"")</f>
        <v/>
      </c>
      <c r="J2901" t="str">
        <f>IFERROR(VLOOKUP(D2901,'Team Data'!C:AB,8,FALSE),"")</f>
        <v/>
      </c>
      <c r="K2901" t="str">
        <f>IFERROR(VLOOKUP(D2901,'Team Data'!C:AB,9,FALSE),"")</f>
        <v/>
      </c>
      <c r="L2901" t="str">
        <f>IFERROR(VLOOKUP(D2901,'Team Data'!C:AB,10,FALSE),"")</f>
        <v/>
      </c>
      <c r="M2901" t="str">
        <f t="shared" si="92"/>
        <v/>
      </c>
      <c r="N2901" t="str">
        <f>IFERROR(VLOOKUP(D2901,'Team Data'!C:AB,23,FALSE),"")</f>
        <v/>
      </c>
      <c r="O2901" t="str">
        <f>IFERROR(VLOOKUP(D2901,'Team Data'!C:AB,22,FALSE),"")</f>
        <v/>
      </c>
      <c r="P2901" t="str">
        <f t="shared" si="93"/>
        <v/>
      </c>
      <c r="Q2901" t="str">
        <f>IFERROR(VLOOKUP(D2901,'Team Data'!C:AB,15,FALSE),"")</f>
        <v/>
      </c>
      <c r="R2901" t="str">
        <f>IFERROR(VLOOKUP('OB Format'!D2901,'Team Data'!C:AB,24,FALSE),"")</f>
        <v/>
      </c>
      <c r="S2901" t="str">
        <f>IFERROR(VLOOKUP('OB Format'!D2901,'Team Data'!C:AC,25,FALSE),"")</f>
        <v/>
      </c>
    </row>
    <row r="2902" spans="5:19" x14ac:dyDescent="0.25">
      <c r="E2902" t="str">
        <f>IFERROR(VLOOKUP(D2902,'Team Data'!C:AB,4,FALSE),"")</f>
        <v/>
      </c>
      <c r="F2902" t="str">
        <f>IFERROR(VLOOKUP(D2902,'Team Data'!C:AB,5,FALSE),"")</f>
        <v/>
      </c>
      <c r="G2902" t="str">
        <f>IFERROR(VLOOKUP('OB Format'!D2902,'Team Data'!C:AB,17,FALSE),"")</f>
        <v/>
      </c>
      <c r="H2902" t="str">
        <f>IFERROR(VLOOKUP(D2902,'Team Data'!C:AB,7,FALSE),"")</f>
        <v/>
      </c>
      <c r="I2902" t="str">
        <f>IFERROR(VLOOKUP(D2902,'Team Data'!C:AB,14,FALSE),"")</f>
        <v/>
      </c>
      <c r="J2902" t="str">
        <f>IFERROR(VLOOKUP(D2902,'Team Data'!C:AB,8,FALSE),"")</f>
        <v/>
      </c>
      <c r="K2902" t="str">
        <f>IFERROR(VLOOKUP(D2902,'Team Data'!C:AB,9,FALSE),"")</f>
        <v/>
      </c>
      <c r="L2902" t="str">
        <f>IFERROR(VLOOKUP(D2902,'Team Data'!C:AB,10,FALSE),"")</f>
        <v/>
      </c>
      <c r="M2902" t="str">
        <f t="shared" si="92"/>
        <v/>
      </c>
      <c r="N2902" t="str">
        <f>IFERROR(VLOOKUP(D2902,'Team Data'!C:AB,23,FALSE),"")</f>
        <v/>
      </c>
      <c r="O2902" t="str">
        <f>IFERROR(VLOOKUP(D2902,'Team Data'!C:AB,22,FALSE),"")</f>
        <v/>
      </c>
      <c r="P2902" t="str">
        <f t="shared" si="93"/>
        <v/>
      </c>
      <c r="Q2902" t="str">
        <f>IFERROR(VLOOKUP(D2902,'Team Data'!C:AB,15,FALSE),"")</f>
        <v/>
      </c>
      <c r="R2902" t="str">
        <f>IFERROR(VLOOKUP('OB Format'!D2902,'Team Data'!C:AB,24,FALSE),"")</f>
        <v/>
      </c>
      <c r="S2902" t="str">
        <f>IFERROR(VLOOKUP('OB Format'!D2902,'Team Data'!C:AC,25,FALSE),"")</f>
        <v/>
      </c>
    </row>
    <row r="2903" spans="5:19" x14ac:dyDescent="0.25">
      <c r="E2903" t="str">
        <f>IFERROR(VLOOKUP(D2903,'Team Data'!C:AB,4,FALSE),"")</f>
        <v/>
      </c>
      <c r="F2903" t="str">
        <f>IFERROR(VLOOKUP(D2903,'Team Data'!C:AB,5,FALSE),"")</f>
        <v/>
      </c>
      <c r="G2903" t="str">
        <f>IFERROR(VLOOKUP('OB Format'!D2903,'Team Data'!C:AB,17,FALSE),"")</f>
        <v/>
      </c>
      <c r="H2903" t="str">
        <f>IFERROR(VLOOKUP(D2903,'Team Data'!C:AB,7,FALSE),"")</f>
        <v/>
      </c>
      <c r="I2903" t="str">
        <f>IFERROR(VLOOKUP(D2903,'Team Data'!C:AB,14,FALSE),"")</f>
        <v/>
      </c>
      <c r="J2903" t="str">
        <f>IFERROR(VLOOKUP(D2903,'Team Data'!C:AB,8,FALSE),"")</f>
        <v/>
      </c>
      <c r="K2903" t="str">
        <f>IFERROR(VLOOKUP(D2903,'Team Data'!C:AB,9,FALSE),"")</f>
        <v/>
      </c>
      <c r="L2903" t="str">
        <f>IFERROR(VLOOKUP(D2903,'Team Data'!C:AB,10,FALSE),"")</f>
        <v/>
      </c>
      <c r="M2903" t="str">
        <f t="shared" si="92"/>
        <v/>
      </c>
      <c r="N2903" t="str">
        <f>IFERROR(VLOOKUP(D2903,'Team Data'!C:AB,23,FALSE),"")</f>
        <v/>
      </c>
      <c r="O2903" t="str">
        <f>IFERROR(VLOOKUP(D2903,'Team Data'!C:AB,22,FALSE),"")</f>
        <v/>
      </c>
      <c r="P2903" t="str">
        <f t="shared" si="93"/>
        <v/>
      </c>
      <c r="Q2903" t="str">
        <f>IFERROR(VLOOKUP(D2903,'Team Data'!C:AB,15,FALSE),"")</f>
        <v/>
      </c>
      <c r="R2903" t="str">
        <f>IFERROR(VLOOKUP('OB Format'!D2903,'Team Data'!C:AB,24,FALSE),"")</f>
        <v/>
      </c>
      <c r="S2903" t="str">
        <f>IFERROR(VLOOKUP('OB Format'!D2903,'Team Data'!C:AC,25,FALSE),"")</f>
        <v/>
      </c>
    </row>
    <row r="2904" spans="5:19" x14ac:dyDescent="0.25">
      <c r="E2904" t="str">
        <f>IFERROR(VLOOKUP(D2904,'Team Data'!C:AB,4,FALSE),"")</f>
        <v/>
      </c>
      <c r="F2904" t="str">
        <f>IFERROR(VLOOKUP(D2904,'Team Data'!C:AB,5,FALSE),"")</f>
        <v/>
      </c>
      <c r="G2904" t="str">
        <f>IFERROR(VLOOKUP('OB Format'!D2904,'Team Data'!C:AB,17,FALSE),"")</f>
        <v/>
      </c>
      <c r="H2904" t="str">
        <f>IFERROR(VLOOKUP(D2904,'Team Data'!C:AB,7,FALSE),"")</f>
        <v/>
      </c>
      <c r="I2904" t="str">
        <f>IFERROR(VLOOKUP(D2904,'Team Data'!C:AB,14,FALSE),"")</f>
        <v/>
      </c>
      <c r="J2904" t="str">
        <f>IFERROR(VLOOKUP(D2904,'Team Data'!C:AB,8,FALSE),"")</f>
        <v/>
      </c>
      <c r="K2904" t="str">
        <f>IFERROR(VLOOKUP(D2904,'Team Data'!C:AB,9,FALSE),"")</f>
        <v/>
      </c>
      <c r="L2904" t="str">
        <f>IFERROR(VLOOKUP(D2904,'Team Data'!C:AB,10,FALSE),"")</f>
        <v/>
      </c>
      <c r="M2904" t="str">
        <f t="shared" si="92"/>
        <v/>
      </c>
      <c r="N2904" t="str">
        <f>IFERROR(VLOOKUP(D2904,'Team Data'!C:AB,23,FALSE),"")</f>
        <v/>
      </c>
      <c r="O2904" t="str">
        <f>IFERROR(VLOOKUP(D2904,'Team Data'!C:AB,22,FALSE),"")</f>
        <v/>
      </c>
      <c r="P2904" t="str">
        <f t="shared" si="93"/>
        <v/>
      </c>
      <c r="Q2904" t="str">
        <f>IFERROR(VLOOKUP(D2904,'Team Data'!C:AB,15,FALSE),"")</f>
        <v/>
      </c>
      <c r="R2904" t="str">
        <f>IFERROR(VLOOKUP('OB Format'!D2904,'Team Data'!C:AB,24,FALSE),"")</f>
        <v/>
      </c>
      <c r="S2904" t="str">
        <f>IFERROR(VLOOKUP('OB Format'!D2904,'Team Data'!C:AC,25,FALSE),"")</f>
        <v/>
      </c>
    </row>
    <row r="2905" spans="5:19" x14ac:dyDescent="0.25">
      <c r="E2905" t="str">
        <f>IFERROR(VLOOKUP(D2905,'Team Data'!C:AB,4,FALSE),"")</f>
        <v/>
      </c>
      <c r="F2905" t="str">
        <f>IFERROR(VLOOKUP(D2905,'Team Data'!C:AB,5,FALSE),"")</f>
        <v/>
      </c>
      <c r="G2905" t="str">
        <f>IFERROR(VLOOKUP('OB Format'!D2905,'Team Data'!C:AB,17,FALSE),"")</f>
        <v/>
      </c>
      <c r="H2905" t="str">
        <f>IFERROR(VLOOKUP(D2905,'Team Data'!C:AB,7,FALSE),"")</f>
        <v/>
      </c>
      <c r="I2905" t="str">
        <f>IFERROR(VLOOKUP(D2905,'Team Data'!C:AB,14,FALSE),"")</f>
        <v/>
      </c>
      <c r="J2905" t="str">
        <f>IFERROR(VLOOKUP(D2905,'Team Data'!C:AB,8,FALSE),"")</f>
        <v/>
      </c>
      <c r="K2905" t="str">
        <f>IFERROR(VLOOKUP(D2905,'Team Data'!C:AB,9,FALSE),"")</f>
        <v/>
      </c>
      <c r="L2905" t="str">
        <f>IFERROR(VLOOKUP(D2905,'Team Data'!C:AB,10,FALSE),"")</f>
        <v/>
      </c>
      <c r="M2905" t="str">
        <f t="shared" si="92"/>
        <v/>
      </c>
      <c r="N2905" t="str">
        <f>IFERROR(VLOOKUP(D2905,'Team Data'!C:AB,23,FALSE),"")</f>
        <v/>
      </c>
      <c r="O2905" t="str">
        <f>IFERROR(VLOOKUP(D2905,'Team Data'!C:AB,22,FALSE),"")</f>
        <v/>
      </c>
      <c r="P2905" t="str">
        <f t="shared" si="93"/>
        <v/>
      </c>
      <c r="Q2905" t="str">
        <f>IFERROR(VLOOKUP(D2905,'Team Data'!C:AB,15,FALSE),"")</f>
        <v/>
      </c>
      <c r="R2905" t="str">
        <f>IFERROR(VLOOKUP('OB Format'!D2905,'Team Data'!C:AB,24,FALSE),"")</f>
        <v/>
      </c>
      <c r="S2905" t="str">
        <f>IFERROR(VLOOKUP('OB Format'!D2905,'Team Data'!C:AC,25,FALSE),"")</f>
        <v/>
      </c>
    </row>
    <row r="2906" spans="5:19" x14ac:dyDescent="0.25">
      <c r="E2906" t="str">
        <f>IFERROR(VLOOKUP(D2906,'Team Data'!C:AB,4,FALSE),"")</f>
        <v/>
      </c>
      <c r="F2906" t="str">
        <f>IFERROR(VLOOKUP(D2906,'Team Data'!C:AB,5,FALSE),"")</f>
        <v/>
      </c>
      <c r="G2906" t="str">
        <f>IFERROR(VLOOKUP('OB Format'!D2906,'Team Data'!C:AB,17,FALSE),"")</f>
        <v/>
      </c>
      <c r="H2906" t="str">
        <f>IFERROR(VLOOKUP(D2906,'Team Data'!C:AB,7,FALSE),"")</f>
        <v/>
      </c>
      <c r="I2906" t="str">
        <f>IFERROR(VLOOKUP(D2906,'Team Data'!C:AB,14,FALSE),"")</f>
        <v/>
      </c>
      <c r="J2906" t="str">
        <f>IFERROR(VLOOKUP(D2906,'Team Data'!C:AB,8,FALSE),"")</f>
        <v/>
      </c>
      <c r="K2906" t="str">
        <f>IFERROR(VLOOKUP(D2906,'Team Data'!C:AB,9,FALSE),"")</f>
        <v/>
      </c>
      <c r="L2906" t="str">
        <f>IFERROR(VLOOKUP(D2906,'Team Data'!C:AB,10,FALSE),"")</f>
        <v/>
      </c>
      <c r="M2906" t="str">
        <f t="shared" si="92"/>
        <v/>
      </c>
      <c r="N2906" t="str">
        <f>IFERROR(VLOOKUP(D2906,'Team Data'!C:AB,23,FALSE),"")</f>
        <v/>
      </c>
      <c r="O2906" t="str">
        <f>IFERROR(VLOOKUP(D2906,'Team Data'!C:AB,22,FALSE),"")</f>
        <v/>
      </c>
      <c r="P2906" t="str">
        <f t="shared" si="93"/>
        <v/>
      </c>
      <c r="Q2906" t="str">
        <f>IFERROR(VLOOKUP(D2906,'Team Data'!C:AB,15,FALSE),"")</f>
        <v/>
      </c>
      <c r="R2906" t="str">
        <f>IFERROR(VLOOKUP('OB Format'!D2906,'Team Data'!C:AB,24,FALSE),"")</f>
        <v/>
      </c>
      <c r="S2906" t="str">
        <f>IFERROR(VLOOKUP('OB Format'!D2906,'Team Data'!C:AC,25,FALSE),"")</f>
        <v/>
      </c>
    </row>
    <row r="2907" spans="5:19" x14ac:dyDescent="0.25">
      <c r="E2907" t="str">
        <f>IFERROR(VLOOKUP(D2907,'Team Data'!C:AB,4,FALSE),"")</f>
        <v/>
      </c>
      <c r="F2907" t="str">
        <f>IFERROR(VLOOKUP(D2907,'Team Data'!C:AB,5,FALSE),"")</f>
        <v/>
      </c>
      <c r="G2907" t="str">
        <f>IFERROR(VLOOKUP('OB Format'!D2907,'Team Data'!C:AB,17,FALSE),"")</f>
        <v/>
      </c>
      <c r="H2907" t="str">
        <f>IFERROR(VLOOKUP(D2907,'Team Data'!C:AB,7,FALSE),"")</f>
        <v/>
      </c>
      <c r="I2907" t="str">
        <f>IFERROR(VLOOKUP(D2907,'Team Data'!C:AB,14,FALSE),"")</f>
        <v/>
      </c>
      <c r="J2907" t="str">
        <f>IFERROR(VLOOKUP(D2907,'Team Data'!C:AB,8,FALSE),"")</f>
        <v/>
      </c>
      <c r="K2907" t="str">
        <f>IFERROR(VLOOKUP(D2907,'Team Data'!C:AB,9,FALSE),"")</f>
        <v/>
      </c>
      <c r="L2907" t="str">
        <f>IFERROR(VLOOKUP(D2907,'Team Data'!C:AB,10,FALSE),"")</f>
        <v/>
      </c>
      <c r="M2907" t="str">
        <f t="shared" si="92"/>
        <v/>
      </c>
      <c r="N2907" t="str">
        <f>IFERROR(VLOOKUP(D2907,'Team Data'!C:AB,23,FALSE),"")</f>
        <v/>
      </c>
      <c r="O2907" t="str">
        <f>IFERROR(VLOOKUP(D2907,'Team Data'!C:AB,22,FALSE),"")</f>
        <v/>
      </c>
      <c r="P2907" t="str">
        <f t="shared" si="93"/>
        <v/>
      </c>
      <c r="Q2907" t="str">
        <f>IFERROR(VLOOKUP(D2907,'Team Data'!C:AB,15,FALSE),"")</f>
        <v/>
      </c>
      <c r="R2907" t="str">
        <f>IFERROR(VLOOKUP('OB Format'!D2907,'Team Data'!C:AB,24,FALSE),"")</f>
        <v/>
      </c>
      <c r="S2907" t="str">
        <f>IFERROR(VLOOKUP('OB Format'!D2907,'Team Data'!C:AC,25,FALSE),"")</f>
        <v/>
      </c>
    </row>
    <row r="2908" spans="5:19" x14ac:dyDescent="0.25">
      <c r="E2908" t="str">
        <f>IFERROR(VLOOKUP(D2908,'Team Data'!C:AB,4,FALSE),"")</f>
        <v/>
      </c>
      <c r="F2908" t="str">
        <f>IFERROR(VLOOKUP(D2908,'Team Data'!C:AB,5,FALSE),"")</f>
        <v/>
      </c>
      <c r="G2908" t="str">
        <f>IFERROR(VLOOKUP('OB Format'!D2908,'Team Data'!C:AB,17,FALSE),"")</f>
        <v/>
      </c>
      <c r="H2908" t="str">
        <f>IFERROR(VLOOKUP(D2908,'Team Data'!C:AB,7,FALSE),"")</f>
        <v/>
      </c>
      <c r="I2908" t="str">
        <f>IFERROR(VLOOKUP(D2908,'Team Data'!C:AB,14,FALSE),"")</f>
        <v/>
      </c>
      <c r="J2908" t="str">
        <f>IFERROR(VLOOKUP(D2908,'Team Data'!C:AB,8,FALSE),"")</f>
        <v/>
      </c>
      <c r="K2908" t="str">
        <f>IFERROR(VLOOKUP(D2908,'Team Data'!C:AB,9,FALSE),"")</f>
        <v/>
      </c>
      <c r="L2908" t="str">
        <f>IFERROR(VLOOKUP(D2908,'Team Data'!C:AB,10,FALSE),"")</f>
        <v/>
      </c>
      <c r="M2908" t="str">
        <f t="shared" si="92"/>
        <v/>
      </c>
      <c r="N2908" t="str">
        <f>IFERROR(VLOOKUP(D2908,'Team Data'!C:AB,23,FALSE),"")</f>
        <v/>
      </c>
      <c r="O2908" t="str">
        <f>IFERROR(VLOOKUP(D2908,'Team Data'!C:AB,22,FALSE),"")</f>
        <v/>
      </c>
      <c r="P2908" t="str">
        <f t="shared" si="93"/>
        <v/>
      </c>
      <c r="Q2908" t="str">
        <f>IFERROR(VLOOKUP(D2908,'Team Data'!C:AB,15,FALSE),"")</f>
        <v/>
      </c>
      <c r="R2908" t="str">
        <f>IFERROR(VLOOKUP('OB Format'!D2908,'Team Data'!C:AB,24,FALSE),"")</f>
        <v/>
      </c>
      <c r="S2908" t="str">
        <f>IFERROR(VLOOKUP('OB Format'!D2908,'Team Data'!C:AC,25,FALSE),"")</f>
        <v/>
      </c>
    </row>
    <row r="2909" spans="5:19" x14ac:dyDescent="0.25">
      <c r="E2909" t="str">
        <f>IFERROR(VLOOKUP(D2909,'Team Data'!C:AB,4,FALSE),"")</f>
        <v/>
      </c>
      <c r="F2909" t="str">
        <f>IFERROR(VLOOKUP(D2909,'Team Data'!C:AB,5,FALSE),"")</f>
        <v/>
      </c>
      <c r="G2909" t="str">
        <f>IFERROR(VLOOKUP('OB Format'!D2909,'Team Data'!C:AB,17,FALSE),"")</f>
        <v/>
      </c>
      <c r="H2909" t="str">
        <f>IFERROR(VLOOKUP(D2909,'Team Data'!C:AB,7,FALSE),"")</f>
        <v/>
      </c>
      <c r="I2909" t="str">
        <f>IFERROR(VLOOKUP(D2909,'Team Data'!C:AB,14,FALSE),"")</f>
        <v/>
      </c>
      <c r="J2909" t="str">
        <f>IFERROR(VLOOKUP(D2909,'Team Data'!C:AB,8,FALSE),"")</f>
        <v/>
      </c>
      <c r="K2909" t="str">
        <f>IFERROR(VLOOKUP(D2909,'Team Data'!C:AB,9,FALSE),"")</f>
        <v/>
      </c>
      <c r="L2909" t="str">
        <f>IFERROR(VLOOKUP(D2909,'Team Data'!C:AB,10,FALSE),"")</f>
        <v/>
      </c>
      <c r="M2909" t="str">
        <f t="shared" si="92"/>
        <v/>
      </c>
      <c r="N2909" t="str">
        <f>IFERROR(VLOOKUP(D2909,'Team Data'!C:AB,23,FALSE),"")</f>
        <v/>
      </c>
      <c r="O2909" t="str">
        <f>IFERROR(VLOOKUP(D2909,'Team Data'!C:AB,22,FALSE),"")</f>
        <v/>
      </c>
      <c r="P2909" t="str">
        <f t="shared" si="93"/>
        <v/>
      </c>
      <c r="Q2909" t="str">
        <f>IFERROR(VLOOKUP(D2909,'Team Data'!C:AB,15,FALSE),"")</f>
        <v/>
      </c>
      <c r="R2909" t="str">
        <f>IFERROR(VLOOKUP('OB Format'!D2909,'Team Data'!C:AB,24,FALSE),"")</f>
        <v/>
      </c>
      <c r="S2909" t="str">
        <f>IFERROR(VLOOKUP('OB Format'!D2909,'Team Data'!C:AC,25,FALSE),"")</f>
        <v/>
      </c>
    </row>
    <row r="2910" spans="5:19" x14ac:dyDescent="0.25">
      <c r="E2910" t="str">
        <f>IFERROR(VLOOKUP(D2910,'Team Data'!C:AB,4,FALSE),"")</f>
        <v/>
      </c>
      <c r="F2910" t="str">
        <f>IFERROR(VLOOKUP(D2910,'Team Data'!C:AB,5,FALSE),"")</f>
        <v/>
      </c>
      <c r="G2910" t="str">
        <f>IFERROR(VLOOKUP('OB Format'!D2910,'Team Data'!C:AB,17,FALSE),"")</f>
        <v/>
      </c>
      <c r="H2910" t="str">
        <f>IFERROR(VLOOKUP(D2910,'Team Data'!C:AB,7,FALSE),"")</f>
        <v/>
      </c>
      <c r="I2910" t="str">
        <f>IFERROR(VLOOKUP(D2910,'Team Data'!C:AB,14,FALSE),"")</f>
        <v/>
      </c>
      <c r="J2910" t="str">
        <f>IFERROR(VLOOKUP(D2910,'Team Data'!C:AB,8,FALSE),"")</f>
        <v/>
      </c>
      <c r="K2910" t="str">
        <f>IFERROR(VLOOKUP(D2910,'Team Data'!C:AB,9,FALSE),"")</f>
        <v/>
      </c>
      <c r="L2910" t="str">
        <f>IFERROR(VLOOKUP(D2910,'Team Data'!C:AB,10,FALSE),"")</f>
        <v/>
      </c>
      <c r="M2910" t="str">
        <f t="shared" si="92"/>
        <v/>
      </c>
      <c r="N2910" t="str">
        <f>IFERROR(VLOOKUP(D2910,'Team Data'!C:AB,23,FALSE),"")</f>
        <v/>
      </c>
      <c r="O2910" t="str">
        <f>IFERROR(VLOOKUP(D2910,'Team Data'!C:AB,22,FALSE),"")</f>
        <v/>
      </c>
      <c r="P2910" t="str">
        <f t="shared" si="93"/>
        <v/>
      </c>
      <c r="Q2910" t="str">
        <f>IFERROR(VLOOKUP(D2910,'Team Data'!C:AB,15,FALSE),"")</f>
        <v/>
      </c>
      <c r="R2910" t="str">
        <f>IFERROR(VLOOKUP('OB Format'!D2910,'Team Data'!C:AB,24,FALSE),"")</f>
        <v/>
      </c>
      <c r="S2910" t="str">
        <f>IFERROR(VLOOKUP('OB Format'!D2910,'Team Data'!C:AC,25,FALSE),"")</f>
        <v/>
      </c>
    </row>
    <row r="2911" spans="5:19" x14ac:dyDescent="0.25">
      <c r="E2911" t="str">
        <f>IFERROR(VLOOKUP(D2911,'Team Data'!C:AB,4,FALSE),"")</f>
        <v/>
      </c>
      <c r="F2911" t="str">
        <f>IFERROR(VLOOKUP(D2911,'Team Data'!C:AB,5,FALSE),"")</f>
        <v/>
      </c>
      <c r="G2911" t="str">
        <f>IFERROR(VLOOKUP('OB Format'!D2911,'Team Data'!C:AB,17,FALSE),"")</f>
        <v/>
      </c>
      <c r="H2911" t="str">
        <f>IFERROR(VLOOKUP(D2911,'Team Data'!C:AB,7,FALSE),"")</f>
        <v/>
      </c>
      <c r="I2911" t="str">
        <f>IFERROR(VLOOKUP(D2911,'Team Data'!C:AB,14,FALSE),"")</f>
        <v/>
      </c>
      <c r="J2911" t="str">
        <f>IFERROR(VLOOKUP(D2911,'Team Data'!C:AB,8,FALSE),"")</f>
        <v/>
      </c>
      <c r="K2911" t="str">
        <f>IFERROR(VLOOKUP(D2911,'Team Data'!C:AB,9,FALSE),"")</f>
        <v/>
      </c>
      <c r="L2911" t="str">
        <f>IFERROR(VLOOKUP(D2911,'Team Data'!C:AB,10,FALSE),"")</f>
        <v/>
      </c>
      <c r="M2911" t="str">
        <f t="shared" si="92"/>
        <v/>
      </c>
      <c r="N2911" t="str">
        <f>IFERROR(VLOOKUP(D2911,'Team Data'!C:AB,23,FALSE),"")</f>
        <v/>
      </c>
      <c r="O2911" t="str">
        <f>IFERROR(VLOOKUP(D2911,'Team Data'!C:AB,22,FALSE),"")</f>
        <v/>
      </c>
      <c r="P2911" t="str">
        <f t="shared" si="93"/>
        <v/>
      </c>
      <c r="Q2911" t="str">
        <f>IFERROR(VLOOKUP(D2911,'Team Data'!C:AB,15,FALSE),"")</f>
        <v/>
      </c>
      <c r="R2911" t="str">
        <f>IFERROR(VLOOKUP('OB Format'!D2911,'Team Data'!C:AB,24,FALSE),"")</f>
        <v/>
      </c>
      <c r="S2911" t="str">
        <f>IFERROR(VLOOKUP('OB Format'!D2911,'Team Data'!C:AC,25,FALSE),"")</f>
        <v/>
      </c>
    </row>
    <row r="2912" spans="5:19" x14ac:dyDescent="0.25">
      <c r="E2912" t="str">
        <f>IFERROR(VLOOKUP(D2912,'Team Data'!C:AB,4,FALSE),"")</f>
        <v/>
      </c>
      <c r="F2912" t="str">
        <f>IFERROR(VLOOKUP(D2912,'Team Data'!C:AB,5,FALSE),"")</f>
        <v/>
      </c>
      <c r="G2912" t="str">
        <f>IFERROR(VLOOKUP('OB Format'!D2912,'Team Data'!C:AB,17,FALSE),"")</f>
        <v/>
      </c>
      <c r="H2912" t="str">
        <f>IFERROR(VLOOKUP(D2912,'Team Data'!C:AB,7,FALSE),"")</f>
        <v/>
      </c>
      <c r="I2912" t="str">
        <f>IFERROR(VLOOKUP(D2912,'Team Data'!C:AB,14,FALSE),"")</f>
        <v/>
      </c>
      <c r="J2912" t="str">
        <f>IFERROR(VLOOKUP(D2912,'Team Data'!C:AB,8,FALSE),"")</f>
        <v/>
      </c>
      <c r="K2912" t="str">
        <f>IFERROR(VLOOKUP(D2912,'Team Data'!C:AB,9,FALSE),"")</f>
        <v/>
      </c>
      <c r="L2912" t="str">
        <f>IFERROR(VLOOKUP(D2912,'Team Data'!C:AB,10,FALSE),"")</f>
        <v/>
      </c>
      <c r="M2912" t="str">
        <f t="shared" si="92"/>
        <v/>
      </c>
      <c r="N2912" t="str">
        <f>IFERROR(VLOOKUP(D2912,'Team Data'!C:AB,23,FALSE),"")</f>
        <v/>
      </c>
      <c r="O2912" t="str">
        <f>IFERROR(VLOOKUP(D2912,'Team Data'!C:AB,22,FALSE),"")</f>
        <v/>
      </c>
      <c r="P2912" t="str">
        <f t="shared" si="93"/>
        <v/>
      </c>
      <c r="Q2912" t="str">
        <f>IFERROR(VLOOKUP(D2912,'Team Data'!C:AB,15,FALSE),"")</f>
        <v/>
      </c>
      <c r="R2912" t="str">
        <f>IFERROR(VLOOKUP('OB Format'!D2912,'Team Data'!C:AB,24,FALSE),"")</f>
        <v/>
      </c>
      <c r="S2912" t="str">
        <f>IFERROR(VLOOKUP('OB Format'!D2912,'Team Data'!C:AC,25,FALSE),"")</f>
        <v/>
      </c>
    </row>
    <row r="2913" spans="5:19" x14ac:dyDescent="0.25">
      <c r="E2913" t="str">
        <f>IFERROR(VLOOKUP(D2913,'Team Data'!C:AB,4,FALSE),"")</f>
        <v/>
      </c>
      <c r="F2913" t="str">
        <f>IFERROR(VLOOKUP(D2913,'Team Data'!C:AB,5,FALSE),"")</f>
        <v/>
      </c>
      <c r="G2913" t="str">
        <f>IFERROR(VLOOKUP('OB Format'!D2913,'Team Data'!C:AB,17,FALSE),"")</f>
        <v/>
      </c>
      <c r="H2913" t="str">
        <f>IFERROR(VLOOKUP(D2913,'Team Data'!C:AB,7,FALSE),"")</f>
        <v/>
      </c>
      <c r="I2913" t="str">
        <f>IFERROR(VLOOKUP(D2913,'Team Data'!C:AB,14,FALSE),"")</f>
        <v/>
      </c>
      <c r="J2913" t="str">
        <f>IFERROR(VLOOKUP(D2913,'Team Data'!C:AB,8,FALSE),"")</f>
        <v/>
      </c>
      <c r="K2913" t="str">
        <f>IFERROR(VLOOKUP(D2913,'Team Data'!C:AB,9,FALSE),"")</f>
        <v/>
      </c>
      <c r="L2913" t="str">
        <f>IFERROR(VLOOKUP(D2913,'Team Data'!C:AB,10,FALSE),"")</f>
        <v/>
      </c>
      <c r="M2913" t="str">
        <f t="shared" si="92"/>
        <v/>
      </c>
      <c r="N2913" t="str">
        <f>IFERROR(VLOOKUP(D2913,'Team Data'!C:AB,23,FALSE),"")</f>
        <v/>
      </c>
      <c r="O2913" t="str">
        <f>IFERROR(VLOOKUP(D2913,'Team Data'!C:AB,22,FALSE),"")</f>
        <v/>
      </c>
      <c r="P2913" t="str">
        <f t="shared" si="93"/>
        <v/>
      </c>
      <c r="Q2913" t="str">
        <f>IFERROR(VLOOKUP(D2913,'Team Data'!C:AB,15,FALSE),"")</f>
        <v/>
      </c>
      <c r="R2913" t="str">
        <f>IFERROR(VLOOKUP('OB Format'!D2913,'Team Data'!C:AB,24,FALSE),"")</f>
        <v/>
      </c>
      <c r="S2913" t="str">
        <f>IFERROR(VLOOKUP('OB Format'!D2913,'Team Data'!C:AC,25,FALSE),"")</f>
        <v/>
      </c>
    </row>
    <row r="2914" spans="5:19" x14ac:dyDescent="0.25">
      <c r="E2914" t="str">
        <f>IFERROR(VLOOKUP(D2914,'Team Data'!C:AB,4,FALSE),"")</f>
        <v/>
      </c>
      <c r="F2914" t="str">
        <f>IFERROR(VLOOKUP(D2914,'Team Data'!C:AB,5,FALSE),"")</f>
        <v/>
      </c>
      <c r="G2914" t="str">
        <f>IFERROR(VLOOKUP('OB Format'!D2914,'Team Data'!C:AB,17,FALSE),"")</f>
        <v/>
      </c>
      <c r="H2914" t="str">
        <f>IFERROR(VLOOKUP(D2914,'Team Data'!C:AB,7,FALSE),"")</f>
        <v/>
      </c>
      <c r="I2914" t="str">
        <f>IFERROR(VLOOKUP(D2914,'Team Data'!C:AB,14,FALSE),"")</f>
        <v/>
      </c>
      <c r="J2914" t="str">
        <f>IFERROR(VLOOKUP(D2914,'Team Data'!C:AB,8,FALSE),"")</f>
        <v/>
      </c>
      <c r="K2914" t="str">
        <f>IFERROR(VLOOKUP(D2914,'Team Data'!C:AB,9,FALSE),"")</f>
        <v/>
      </c>
      <c r="L2914" t="str">
        <f>IFERROR(VLOOKUP(D2914,'Team Data'!C:AB,10,FALSE),"")</f>
        <v/>
      </c>
      <c r="M2914" t="str">
        <f t="shared" si="92"/>
        <v/>
      </c>
      <c r="N2914" t="str">
        <f>IFERROR(VLOOKUP(D2914,'Team Data'!C:AB,23,FALSE),"")</f>
        <v/>
      </c>
      <c r="O2914" t="str">
        <f>IFERROR(VLOOKUP(D2914,'Team Data'!C:AB,22,FALSE),"")</f>
        <v/>
      </c>
      <c r="P2914" t="str">
        <f t="shared" si="93"/>
        <v/>
      </c>
      <c r="Q2914" t="str">
        <f>IFERROR(VLOOKUP(D2914,'Team Data'!C:AB,15,FALSE),"")</f>
        <v/>
      </c>
      <c r="R2914" t="str">
        <f>IFERROR(VLOOKUP('OB Format'!D2914,'Team Data'!C:AB,24,FALSE),"")</f>
        <v/>
      </c>
      <c r="S2914" t="str">
        <f>IFERROR(VLOOKUP('OB Format'!D2914,'Team Data'!C:AC,25,FALSE),"")</f>
        <v/>
      </c>
    </row>
    <row r="2915" spans="5:19" x14ac:dyDescent="0.25">
      <c r="E2915" t="str">
        <f>IFERROR(VLOOKUP(D2915,'Team Data'!C:AB,4,FALSE),"")</f>
        <v/>
      </c>
      <c r="F2915" t="str">
        <f>IFERROR(VLOOKUP(D2915,'Team Data'!C:AB,5,FALSE),"")</f>
        <v/>
      </c>
      <c r="G2915" t="str">
        <f>IFERROR(VLOOKUP('OB Format'!D2915,'Team Data'!C:AB,17,FALSE),"")</f>
        <v/>
      </c>
      <c r="H2915" t="str">
        <f>IFERROR(VLOOKUP(D2915,'Team Data'!C:AB,7,FALSE),"")</f>
        <v/>
      </c>
      <c r="I2915" t="str">
        <f>IFERROR(VLOOKUP(D2915,'Team Data'!C:AB,14,FALSE),"")</f>
        <v/>
      </c>
      <c r="J2915" t="str">
        <f>IFERROR(VLOOKUP(D2915,'Team Data'!C:AB,8,FALSE),"")</f>
        <v/>
      </c>
      <c r="K2915" t="str">
        <f>IFERROR(VLOOKUP(D2915,'Team Data'!C:AB,9,FALSE),"")</f>
        <v/>
      </c>
      <c r="L2915" t="str">
        <f>IFERROR(VLOOKUP(D2915,'Team Data'!C:AB,10,FALSE),"")</f>
        <v/>
      </c>
      <c r="M2915" t="str">
        <f t="shared" si="92"/>
        <v/>
      </c>
      <c r="N2915" t="str">
        <f>IFERROR(VLOOKUP(D2915,'Team Data'!C:AB,23,FALSE),"")</f>
        <v/>
      </c>
      <c r="O2915" t="str">
        <f>IFERROR(VLOOKUP(D2915,'Team Data'!C:AB,22,FALSE),"")</f>
        <v/>
      </c>
      <c r="P2915" t="str">
        <f t="shared" si="93"/>
        <v/>
      </c>
      <c r="Q2915" t="str">
        <f>IFERROR(VLOOKUP(D2915,'Team Data'!C:AB,15,FALSE),"")</f>
        <v/>
      </c>
      <c r="R2915" t="str">
        <f>IFERROR(VLOOKUP('OB Format'!D2915,'Team Data'!C:AB,24,FALSE),"")</f>
        <v/>
      </c>
      <c r="S2915" t="str">
        <f>IFERROR(VLOOKUP('OB Format'!D2915,'Team Data'!C:AC,25,FALSE),"")</f>
        <v/>
      </c>
    </row>
    <row r="2916" spans="5:19" x14ac:dyDescent="0.25">
      <c r="E2916" t="str">
        <f>IFERROR(VLOOKUP(D2916,'Team Data'!C:AB,4,FALSE),"")</f>
        <v/>
      </c>
      <c r="F2916" t="str">
        <f>IFERROR(VLOOKUP(D2916,'Team Data'!C:AB,5,FALSE),"")</f>
        <v/>
      </c>
      <c r="G2916" t="str">
        <f>IFERROR(VLOOKUP('OB Format'!D2916,'Team Data'!C:AB,17,FALSE),"")</f>
        <v/>
      </c>
      <c r="H2916" t="str">
        <f>IFERROR(VLOOKUP(D2916,'Team Data'!C:AB,7,FALSE),"")</f>
        <v/>
      </c>
      <c r="I2916" t="str">
        <f>IFERROR(VLOOKUP(D2916,'Team Data'!C:AB,14,FALSE),"")</f>
        <v/>
      </c>
      <c r="J2916" t="str">
        <f>IFERROR(VLOOKUP(D2916,'Team Data'!C:AB,8,FALSE),"")</f>
        <v/>
      </c>
      <c r="K2916" t="str">
        <f>IFERROR(VLOOKUP(D2916,'Team Data'!C:AB,9,FALSE),"")</f>
        <v/>
      </c>
      <c r="L2916" t="str">
        <f>IFERROR(VLOOKUP(D2916,'Team Data'!C:AB,10,FALSE),"")</f>
        <v/>
      </c>
      <c r="M2916" t="str">
        <f t="shared" si="92"/>
        <v/>
      </c>
      <c r="N2916" t="str">
        <f>IFERROR(VLOOKUP(D2916,'Team Data'!C:AB,23,FALSE),"")</f>
        <v/>
      </c>
      <c r="O2916" t="str">
        <f>IFERROR(VLOOKUP(D2916,'Team Data'!C:AB,22,FALSE),"")</f>
        <v/>
      </c>
      <c r="P2916" t="str">
        <f t="shared" si="93"/>
        <v/>
      </c>
      <c r="Q2916" t="str">
        <f>IFERROR(VLOOKUP(D2916,'Team Data'!C:AB,15,FALSE),"")</f>
        <v/>
      </c>
      <c r="R2916" t="str">
        <f>IFERROR(VLOOKUP('OB Format'!D2916,'Team Data'!C:AB,24,FALSE),"")</f>
        <v/>
      </c>
      <c r="S2916" t="str">
        <f>IFERROR(VLOOKUP('OB Format'!D2916,'Team Data'!C:AC,25,FALSE),"")</f>
        <v/>
      </c>
    </row>
    <row r="2917" spans="5:19" x14ac:dyDescent="0.25">
      <c r="E2917" t="str">
        <f>IFERROR(VLOOKUP(D2917,'Team Data'!C:AB,4,FALSE),"")</f>
        <v/>
      </c>
      <c r="F2917" t="str">
        <f>IFERROR(VLOOKUP(D2917,'Team Data'!C:AB,5,FALSE),"")</f>
        <v/>
      </c>
      <c r="G2917" t="str">
        <f>IFERROR(VLOOKUP('OB Format'!D2917,'Team Data'!C:AB,17,FALSE),"")</f>
        <v/>
      </c>
      <c r="H2917" t="str">
        <f>IFERROR(VLOOKUP(D2917,'Team Data'!C:AB,7,FALSE),"")</f>
        <v/>
      </c>
      <c r="I2917" t="str">
        <f>IFERROR(VLOOKUP(D2917,'Team Data'!C:AB,14,FALSE),"")</f>
        <v/>
      </c>
      <c r="J2917" t="str">
        <f>IFERROR(VLOOKUP(D2917,'Team Data'!C:AB,8,FALSE),"")</f>
        <v/>
      </c>
      <c r="K2917" t="str">
        <f>IFERROR(VLOOKUP(D2917,'Team Data'!C:AB,9,FALSE),"")</f>
        <v/>
      </c>
      <c r="L2917" t="str">
        <f>IFERROR(VLOOKUP(D2917,'Team Data'!C:AB,10,FALSE),"")</f>
        <v/>
      </c>
      <c r="M2917" t="str">
        <f t="shared" si="92"/>
        <v/>
      </c>
      <c r="N2917" t="str">
        <f>IFERROR(VLOOKUP(D2917,'Team Data'!C:AB,23,FALSE),"")</f>
        <v/>
      </c>
      <c r="O2917" t="str">
        <f>IFERROR(VLOOKUP(D2917,'Team Data'!C:AB,22,FALSE),"")</f>
        <v/>
      </c>
      <c r="P2917" t="str">
        <f t="shared" si="93"/>
        <v/>
      </c>
      <c r="Q2917" t="str">
        <f>IFERROR(VLOOKUP(D2917,'Team Data'!C:AB,15,FALSE),"")</f>
        <v/>
      </c>
      <c r="R2917" t="str">
        <f>IFERROR(VLOOKUP('OB Format'!D2917,'Team Data'!C:AB,24,FALSE),"")</f>
        <v/>
      </c>
      <c r="S2917" t="str">
        <f>IFERROR(VLOOKUP('OB Format'!D2917,'Team Data'!C:AC,25,FALSE),"")</f>
        <v/>
      </c>
    </row>
    <row r="2918" spans="5:19" x14ac:dyDescent="0.25">
      <c r="E2918" t="str">
        <f>IFERROR(VLOOKUP(D2918,'Team Data'!C:AB,4,FALSE),"")</f>
        <v/>
      </c>
      <c r="F2918" t="str">
        <f>IFERROR(VLOOKUP(D2918,'Team Data'!C:AB,5,FALSE),"")</f>
        <v/>
      </c>
      <c r="G2918" t="str">
        <f>IFERROR(VLOOKUP('OB Format'!D2918,'Team Data'!C:AB,17,FALSE),"")</f>
        <v/>
      </c>
      <c r="H2918" t="str">
        <f>IFERROR(VLOOKUP(D2918,'Team Data'!C:AB,7,FALSE),"")</f>
        <v/>
      </c>
      <c r="I2918" t="str">
        <f>IFERROR(VLOOKUP(D2918,'Team Data'!C:AB,14,FALSE),"")</f>
        <v/>
      </c>
      <c r="J2918" t="str">
        <f>IFERROR(VLOOKUP(D2918,'Team Data'!C:AB,8,FALSE),"")</f>
        <v/>
      </c>
      <c r="K2918" t="str">
        <f>IFERROR(VLOOKUP(D2918,'Team Data'!C:AB,9,FALSE),"")</f>
        <v/>
      </c>
      <c r="L2918" t="str">
        <f>IFERROR(VLOOKUP(D2918,'Team Data'!C:AB,10,FALSE),"")</f>
        <v/>
      </c>
      <c r="M2918" t="str">
        <f t="shared" si="92"/>
        <v/>
      </c>
      <c r="N2918" t="str">
        <f>IFERROR(VLOOKUP(D2918,'Team Data'!C:AB,23,FALSE),"")</f>
        <v/>
      </c>
      <c r="O2918" t="str">
        <f>IFERROR(VLOOKUP(D2918,'Team Data'!C:AB,22,FALSE),"")</f>
        <v/>
      </c>
      <c r="P2918" t="str">
        <f t="shared" si="93"/>
        <v/>
      </c>
      <c r="Q2918" t="str">
        <f>IFERROR(VLOOKUP(D2918,'Team Data'!C:AB,15,FALSE),"")</f>
        <v/>
      </c>
      <c r="R2918" t="str">
        <f>IFERROR(VLOOKUP('OB Format'!D2918,'Team Data'!C:AB,24,FALSE),"")</f>
        <v/>
      </c>
      <c r="S2918" t="str">
        <f>IFERROR(VLOOKUP('OB Format'!D2918,'Team Data'!C:AC,25,FALSE),"")</f>
        <v/>
      </c>
    </row>
    <row r="2919" spans="5:19" x14ac:dyDescent="0.25">
      <c r="E2919" t="str">
        <f>IFERROR(VLOOKUP(D2919,'Team Data'!C:AB,4,FALSE),"")</f>
        <v/>
      </c>
      <c r="F2919" t="str">
        <f>IFERROR(VLOOKUP(D2919,'Team Data'!C:AB,5,FALSE),"")</f>
        <v/>
      </c>
      <c r="G2919" t="str">
        <f>IFERROR(VLOOKUP('OB Format'!D2919,'Team Data'!C:AB,17,FALSE),"")</f>
        <v/>
      </c>
      <c r="H2919" t="str">
        <f>IFERROR(VLOOKUP(D2919,'Team Data'!C:AB,7,FALSE),"")</f>
        <v/>
      </c>
      <c r="I2919" t="str">
        <f>IFERROR(VLOOKUP(D2919,'Team Data'!C:AB,14,FALSE),"")</f>
        <v/>
      </c>
      <c r="J2919" t="str">
        <f>IFERROR(VLOOKUP(D2919,'Team Data'!C:AB,8,FALSE),"")</f>
        <v/>
      </c>
      <c r="K2919" t="str">
        <f>IFERROR(VLOOKUP(D2919,'Team Data'!C:AB,9,FALSE),"")</f>
        <v/>
      </c>
      <c r="L2919" t="str">
        <f>IFERROR(VLOOKUP(D2919,'Team Data'!C:AB,10,FALSE),"")</f>
        <v/>
      </c>
      <c r="M2919" t="str">
        <f t="shared" si="92"/>
        <v/>
      </c>
      <c r="N2919" t="str">
        <f>IFERROR(VLOOKUP(D2919,'Team Data'!C:AB,23,FALSE),"")</f>
        <v/>
      </c>
      <c r="O2919" t="str">
        <f>IFERROR(VLOOKUP(D2919,'Team Data'!C:AB,22,FALSE),"")</f>
        <v/>
      </c>
      <c r="P2919" t="str">
        <f t="shared" si="93"/>
        <v/>
      </c>
      <c r="Q2919" t="str">
        <f>IFERROR(VLOOKUP(D2919,'Team Data'!C:AB,15,FALSE),"")</f>
        <v/>
      </c>
      <c r="R2919" t="str">
        <f>IFERROR(VLOOKUP('OB Format'!D2919,'Team Data'!C:AB,24,FALSE),"")</f>
        <v/>
      </c>
      <c r="S2919" t="str">
        <f>IFERROR(VLOOKUP('OB Format'!D2919,'Team Data'!C:AC,25,FALSE),"")</f>
        <v/>
      </c>
    </row>
    <row r="2920" spans="5:19" x14ac:dyDescent="0.25">
      <c r="E2920" t="str">
        <f>IFERROR(VLOOKUP(D2920,'Team Data'!C:AB,4,FALSE),"")</f>
        <v/>
      </c>
      <c r="F2920" t="str">
        <f>IFERROR(VLOOKUP(D2920,'Team Data'!C:AB,5,FALSE),"")</f>
        <v/>
      </c>
      <c r="G2920" t="str">
        <f>IFERROR(VLOOKUP('OB Format'!D2920,'Team Data'!C:AB,17,FALSE),"")</f>
        <v/>
      </c>
      <c r="H2920" t="str">
        <f>IFERROR(VLOOKUP(D2920,'Team Data'!C:AB,7,FALSE),"")</f>
        <v/>
      </c>
      <c r="I2920" t="str">
        <f>IFERROR(VLOOKUP(D2920,'Team Data'!C:AB,14,FALSE),"")</f>
        <v/>
      </c>
      <c r="J2920" t="str">
        <f>IFERROR(VLOOKUP(D2920,'Team Data'!C:AB,8,FALSE),"")</f>
        <v/>
      </c>
      <c r="K2920" t="str">
        <f>IFERROR(VLOOKUP(D2920,'Team Data'!C:AB,9,FALSE),"")</f>
        <v/>
      </c>
      <c r="L2920" t="str">
        <f>IFERROR(VLOOKUP(D2920,'Team Data'!C:AB,10,FALSE),"")</f>
        <v/>
      </c>
      <c r="M2920" t="str">
        <f t="shared" si="92"/>
        <v/>
      </c>
      <c r="N2920" t="str">
        <f>IFERROR(VLOOKUP(D2920,'Team Data'!C:AB,23,FALSE),"")</f>
        <v/>
      </c>
      <c r="O2920" t="str">
        <f>IFERROR(VLOOKUP(D2920,'Team Data'!C:AB,22,FALSE),"")</f>
        <v/>
      </c>
      <c r="P2920" t="str">
        <f t="shared" si="93"/>
        <v/>
      </c>
      <c r="Q2920" t="str">
        <f>IFERROR(VLOOKUP(D2920,'Team Data'!C:AB,15,FALSE),"")</f>
        <v/>
      </c>
      <c r="R2920" t="str">
        <f>IFERROR(VLOOKUP('OB Format'!D2920,'Team Data'!C:AB,24,FALSE),"")</f>
        <v/>
      </c>
      <c r="S2920" t="str">
        <f>IFERROR(VLOOKUP('OB Format'!D2920,'Team Data'!C:AC,25,FALSE),"")</f>
        <v/>
      </c>
    </row>
    <row r="2921" spans="5:19" x14ac:dyDescent="0.25">
      <c r="E2921" t="str">
        <f>IFERROR(VLOOKUP(D2921,'Team Data'!C:AB,4,FALSE),"")</f>
        <v/>
      </c>
      <c r="F2921" t="str">
        <f>IFERROR(VLOOKUP(D2921,'Team Data'!C:AB,5,FALSE),"")</f>
        <v/>
      </c>
      <c r="G2921" t="str">
        <f>IFERROR(VLOOKUP('OB Format'!D2921,'Team Data'!C:AB,17,FALSE),"")</f>
        <v/>
      </c>
      <c r="H2921" t="str">
        <f>IFERROR(VLOOKUP(D2921,'Team Data'!C:AB,7,FALSE),"")</f>
        <v/>
      </c>
      <c r="I2921" t="str">
        <f>IFERROR(VLOOKUP(D2921,'Team Data'!C:AB,14,FALSE),"")</f>
        <v/>
      </c>
      <c r="J2921" t="str">
        <f>IFERROR(VLOOKUP(D2921,'Team Data'!C:AB,8,FALSE),"")</f>
        <v/>
      </c>
      <c r="K2921" t="str">
        <f>IFERROR(VLOOKUP(D2921,'Team Data'!C:AB,9,FALSE),"")</f>
        <v/>
      </c>
      <c r="L2921" t="str">
        <f>IFERROR(VLOOKUP(D2921,'Team Data'!C:AB,10,FALSE),"")</f>
        <v/>
      </c>
      <c r="M2921" t="str">
        <f t="shared" si="92"/>
        <v/>
      </c>
      <c r="N2921" t="str">
        <f>IFERROR(VLOOKUP(D2921,'Team Data'!C:AB,23,FALSE),"")</f>
        <v/>
      </c>
      <c r="O2921" t="str">
        <f>IFERROR(VLOOKUP(D2921,'Team Data'!C:AB,22,FALSE),"")</f>
        <v/>
      </c>
      <c r="P2921" t="str">
        <f t="shared" si="93"/>
        <v/>
      </c>
      <c r="Q2921" t="str">
        <f>IFERROR(VLOOKUP(D2921,'Team Data'!C:AB,15,FALSE),"")</f>
        <v/>
      </c>
      <c r="R2921" t="str">
        <f>IFERROR(VLOOKUP('OB Format'!D2921,'Team Data'!C:AB,24,FALSE),"")</f>
        <v/>
      </c>
      <c r="S2921" t="str">
        <f>IFERROR(VLOOKUP('OB Format'!D2921,'Team Data'!C:AC,25,FALSE),"")</f>
        <v/>
      </c>
    </row>
    <row r="2922" spans="5:19" x14ac:dyDescent="0.25">
      <c r="E2922" t="str">
        <f>IFERROR(VLOOKUP(D2922,'Team Data'!C:AB,4,FALSE),"")</f>
        <v/>
      </c>
      <c r="F2922" t="str">
        <f>IFERROR(VLOOKUP(D2922,'Team Data'!C:AB,5,FALSE),"")</f>
        <v/>
      </c>
      <c r="G2922" t="str">
        <f>IFERROR(VLOOKUP('OB Format'!D2922,'Team Data'!C:AB,17,FALSE),"")</f>
        <v/>
      </c>
      <c r="H2922" t="str">
        <f>IFERROR(VLOOKUP(D2922,'Team Data'!C:AB,7,FALSE),"")</f>
        <v/>
      </c>
      <c r="I2922" t="str">
        <f>IFERROR(VLOOKUP(D2922,'Team Data'!C:AB,14,FALSE),"")</f>
        <v/>
      </c>
      <c r="J2922" t="str">
        <f>IFERROR(VLOOKUP(D2922,'Team Data'!C:AB,8,FALSE),"")</f>
        <v/>
      </c>
      <c r="K2922" t="str">
        <f>IFERROR(VLOOKUP(D2922,'Team Data'!C:AB,9,FALSE),"")</f>
        <v/>
      </c>
      <c r="L2922" t="str">
        <f>IFERROR(VLOOKUP(D2922,'Team Data'!C:AB,10,FALSE),"")</f>
        <v/>
      </c>
      <c r="M2922" t="str">
        <f t="shared" si="92"/>
        <v/>
      </c>
      <c r="N2922" t="str">
        <f>IFERROR(VLOOKUP(D2922,'Team Data'!C:AB,23,FALSE),"")</f>
        <v/>
      </c>
      <c r="O2922" t="str">
        <f>IFERROR(VLOOKUP(D2922,'Team Data'!C:AB,22,FALSE),"")</f>
        <v/>
      </c>
      <c r="P2922" t="str">
        <f t="shared" si="93"/>
        <v/>
      </c>
      <c r="Q2922" t="str">
        <f>IFERROR(VLOOKUP(D2922,'Team Data'!C:AB,15,FALSE),"")</f>
        <v/>
      </c>
      <c r="R2922" t="str">
        <f>IFERROR(VLOOKUP('OB Format'!D2922,'Team Data'!C:AB,24,FALSE),"")</f>
        <v/>
      </c>
      <c r="S2922" t="str">
        <f>IFERROR(VLOOKUP('OB Format'!D2922,'Team Data'!C:AC,25,FALSE),"")</f>
        <v/>
      </c>
    </row>
    <row r="2923" spans="5:19" x14ac:dyDescent="0.25">
      <c r="E2923" t="str">
        <f>IFERROR(VLOOKUP(D2923,'Team Data'!C:AB,4,FALSE),"")</f>
        <v/>
      </c>
      <c r="F2923" t="str">
        <f>IFERROR(VLOOKUP(D2923,'Team Data'!C:AB,5,FALSE),"")</f>
        <v/>
      </c>
      <c r="G2923" t="str">
        <f>IFERROR(VLOOKUP('OB Format'!D2923,'Team Data'!C:AB,17,FALSE),"")</f>
        <v/>
      </c>
      <c r="H2923" t="str">
        <f>IFERROR(VLOOKUP(D2923,'Team Data'!C:AB,7,FALSE),"")</f>
        <v/>
      </c>
      <c r="I2923" t="str">
        <f>IFERROR(VLOOKUP(D2923,'Team Data'!C:AB,14,FALSE),"")</f>
        <v/>
      </c>
      <c r="J2923" t="str">
        <f>IFERROR(VLOOKUP(D2923,'Team Data'!C:AB,8,FALSE),"")</f>
        <v/>
      </c>
      <c r="K2923" t="str">
        <f>IFERROR(VLOOKUP(D2923,'Team Data'!C:AB,9,FALSE),"")</f>
        <v/>
      </c>
      <c r="L2923" t="str">
        <f>IFERROR(VLOOKUP(D2923,'Team Data'!C:AB,10,FALSE),"")</f>
        <v/>
      </c>
      <c r="M2923" t="str">
        <f t="shared" si="92"/>
        <v/>
      </c>
      <c r="N2923" t="str">
        <f>IFERROR(VLOOKUP(D2923,'Team Data'!C:AB,23,FALSE),"")</f>
        <v/>
      </c>
      <c r="O2923" t="str">
        <f>IFERROR(VLOOKUP(D2923,'Team Data'!C:AB,22,FALSE),"")</f>
        <v/>
      </c>
      <c r="P2923" t="str">
        <f t="shared" si="93"/>
        <v/>
      </c>
      <c r="Q2923" t="str">
        <f>IFERROR(VLOOKUP(D2923,'Team Data'!C:AB,15,FALSE),"")</f>
        <v/>
      </c>
      <c r="R2923" t="str">
        <f>IFERROR(VLOOKUP('OB Format'!D2923,'Team Data'!C:AB,24,FALSE),"")</f>
        <v/>
      </c>
      <c r="S2923" t="str">
        <f>IFERROR(VLOOKUP('OB Format'!D2923,'Team Data'!C:AC,25,FALSE),"")</f>
        <v/>
      </c>
    </row>
    <row r="2924" spans="5:19" x14ac:dyDescent="0.25">
      <c r="E2924" t="str">
        <f>IFERROR(VLOOKUP(D2924,'Team Data'!C:AB,4,FALSE),"")</f>
        <v/>
      </c>
      <c r="F2924" t="str">
        <f>IFERROR(VLOOKUP(D2924,'Team Data'!C:AB,5,FALSE),"")</f>
        <v/>
      </c>
      <c r="G2924" t="str">
        <f>IFERROR(VLOOKUP('OB Format'!D2924,'Team Data'!C:AB,17,FALSE),"")</f>
        <v/>
      </c>
      <c r="H2924" t="str">
        <f>IFERROR(VLOOKUP(D2924,'Team Data'!C:AB,7,FALSE),"")</f>
        <v/>
      </c>
      <c r="I2924" t="str">
        <f>IFERROR(VLOOKUP(D2924,'Team Data'!C:AB,14,FALSE),"")</f>
        <v/>
      </c>
      <c r="J2924" t="str">
        <f>IFERROR(VLOOKUP(D2924,'Team Data'!C:AB,8,FALSE),"")</f>
        <v/>
      </c>
      <c r="K2924" t="str">
        <f>IFERROR(VLOOKUP(D2924,'Team Data'!C:AB,9,FALSE),"")</f>
        <v/>
      </c>
      <c r="L2924" t="str">
        <f>IFERROR(VLOOKUP(D2924,'Team Data'!C:AB,10,FALSE),"")</f>
        <v/>
      </c>
      <c r="M2924" t="str">
        <f t="shared" si="92"/>
        <v/>
      </c>
      <c r="N2924" t="str">
        <f>IFERROR(VLOOKUP(D2924,'Team Data'!C:AB,23,FALSE),"")</f>
        <v/>
      </c>
      <c r="O2924" t="str">
        <f>IFERROR(VLOOKUP(D2924,'Team Data'!C:AB,22,FALSE),"")</f>
        <v/>
      </c>
      <c r="P2924" t="str">
        <f t="shared" si="93"/>
        <v/>
      </c>
      <c r="Q2924" t="str">
        <f>IFERROR(VLOOKUP(D2924,'Team Data'!C:AB,15,FALSE),"")</f>
        <v/>
      </c>
      <c r="R2924" t="str">
        <f>IFERROR(VLOOKUP('OB Format'!D2924,'Team Data'!C:AB,24,FALSE),"")</f>
        <v/>
      </c>
      <c r="S2924" t="str">
        <f>IFERROR(VLOOKUP('OB Format'!D2924,'Team Data'!C:AC,25,FALSE),"")</f>
        <v/>
      </c>
    </row>
    <row r="2925" spans="5:19" x14ac:dyDescent="0.25">
      <c r="E2925" t="str">
        <f>IFERROR(VLOOKUP(D2925,'Team Data'!C:AB,4,FALSE),"")</f>
        <v/>
      </c>
      <c r="F2925" t="str">
        <f>IFERROR(VLOOKUP(D2925,'Team Data'!C:AB,5,FALSE),"")</f>
        <v/>
      </c>
      <c r="G2925" t="str">
        <f>IFERROR(VLOOKUP('OB Format'!D2925,'Team Data'!C:AB,17,FALSE),"")</f>
        <v/>
      </c>
      <c r="H2925" t="str">
        <f>IFERROR(VLOOKUP(D2925,'Team Data'!C:AB,7,FALSE),"")</f>
        <v/>
      </c>
      <c r="I2925" t="str">
        <f>IFERROR(VLOOKUP(D2925,'Team Data'!C:AB,14,FALSE),"")</f>
        <v/>
      </c>
      <c r="J2925" t="str">
        <f>IFERROR(VLOOKUP(D2925,'Team Data'!C:AB,8,FALSE),"")</f>
        <v/>
      </c>
      <c r="K2925" t="str">
        <f>IFERROR(VLOOKUP(D2925,'Team Data'!C:AB,9,FALSE),"")</f>
        <v/>
      </c>
      <c r="L2925" t="str">
        <f>IFERROR(VLOOKUP(D2925,'Team Data'!C:AB,10,FALSE),"")</f>
        <v/>
      </c>
      <c r="M2925" t="str">
        <f t="shared" si="92"/>
        <v/>
      </c>
      <c r="N2925" t="str">
        <f>IFERROR(VLOOKUP(D2925,'Team Data'!C:AB,23,FALSE),"")</f>
        <v/>
      </c>
      <c r="O2925" t="str">
        <f>IFERROR(VLOOKUP(D2925,'Team Data'!C:AB,22,FALSE),"")</f>
        <v/>
      </c>
      <c r="P2925" t="str">
        <f t="shared" si="93"/>
        <v/>
      </c>
      <c r="Q2925" t="str">
        <f>IFERROR(VLOOKUP(D2925,'Team Data'!C:AB,15,FALSE),"")</f>
        <v/>
      </c>
      <c r="R2925" t="str">
        <f>IFERROR(VLOOKUP('OB Format'!D2925,'Team Data'!C:AB,24,FALSE),"")</f>
        <v/>
      </c>
      <c r="S2925" t="str">
        <f>IFERROR(VLOOKUP('OB Format'!D2925,'Team Data'!C:AC,25,FALSE),"")</f>
        <v/>
      </c>
    </row>
    <row r="2926" spans="5:19" x14ac:dyDescent="0.25">
      <c r="E2926" t="str">
        <f>IFERROR(VLOOKUP(D2926,'Team Data'!C:AB,4,FALSE),"")</f>
        <v/>
      </c>
      <c r="F2926" t="str">
        <f>IFERROR(VLOOKUP(D2926,'Team Data'!C:AB,5,FALSE),"")</f>
        <v/>
      </c>
      <c r="G2926" t="str">
        <f>IFERROR(VLOOKUP('OB Format'!D2926,'Team Data'!C:AB,17,FALSE),"")</f>
        <v/>
      </c>
      <c r="H2926" t="str">
        <f>IFERROR(VLOOKUP(D2926,'Team Data'!C:AB,7,FALSE),"")</f>
        <v/>
      </c>
      <c r="I2926" t="str">
        <f>IFERROR(VLOOKUP(D2926,'Team Data'!C:AB,14,FALSE),"")</f>
        <v/>
      </c>
      <c r="J2926" t="str">
        <f>IFERROR(VLOOKUP(D2926,'Team Data'!C:AB,8,FALSE),"")</f>
        <v/>
      </c>
      <c r="K2926" t="str">
        <f>IFERROR(VLOOKUP(D2926,'Team Data'!C:AB,9,FALSE),"")</f>
        <v/>
      </c>
      <c r="L2926" t="str">
        <f>IFERROR(VLOOKUP(D2926,'Team Data'!C:AB,10,FALSE),"")</f>
        <v/>
      </c>
      <c r="M2926" t="str">
        <f t="shared" si="92"/>
        <v/>
      </c>
      <c r="N2926" t="str">
        <f>IFERROR(VLOOKUP(D2926,'Team Data'!C:AB,23,FALSE),"")</f>
        <v/>
      </c>
      <c r="O2926" t="str">
        <f>IFERROR(VLOOKUP(D2926,'Team Data'!C:AB,22,FALSE),"")</f>
        <v/>
      </c>
      <c r="P2926" t="str">
        <f t="shared" si="93"/>
        <v/>
      </c>
      <c r="Q2926" t="str">
        <f>IFERROR(VLOOKUP(D2926,'Team Data'!C:AB,15,FALSE),"")</f>
        <v/>
      </c>
      <c r="R2926" t="str">
        <f>IFERROR(VLOOKUP('OB Format'!D2926,'Team Data'!C:AB,24,FALSE),"")</f>
        <v/>
      </c>
      <c r="S2926" t="str">
        <f>IFERROR(VLOOKUP('OB Format'!D2926,'Team Data'!C:AC,25,FALSE),"")</f>
        <v/>
      </c>
    </row>
    <row r="2927" spans="5:19" x14ac:dyDescent="0.25">
      <c r="E2927" t="str">
        <f>IFERROR(VLOOKUP(D2927,'Team Data'!C:AB,4,FALSE),"")</f>
        <v/>
      </c>
      <c r="F2927" t="str">
        <f>IFERROR(VLOOKUP(D2927,'Team Data'!C:AB,5,FALSE),"")</f>
        <v/>
      </c>
      <c r="G2927" t="str">
        <f>IFERROR(VLOOKUP('OB Format'!D2927,'Team Data'!C:AB,17,FALSE),"")</f>
        <v/>
      </c>
      <c r="H2927" t="str">
        <f>IFERROR(VLOOKUP(D2927,'Team Data'!C:AB,7,FALSE),"")</f>
        <v/>
      </c>
      <c r="I2927" t="str">
        <f>IFERROR(VLOOKUP(D2927,'Team Data'!C:AB,14,FALSE),"")</f>
        <v/>
      </c>
      <c r="J2927" t="str">
        <f>IFERROR(VLOOKUP(D2927,'Team Data'!C:AB,8,FALSE),"")</f>
        <v/>
      </c>
      <c r="K2927" t="str">
        <f>IFERROR(VLOOKUP(D2927,'Team Data'!C:AB,9,FALSE),"")</f>
        <v/>
      </c>
      <c r="L2927" t="str">
        <f>IFERROR(VLOOKUP(D2927,'Team Data'!C:AB,10,FALSE),"")</f>
        <v/>
      </c>
      <c r="M2927" t="str">
        <f t="shared" si="92"/>
        <v/>
      </c>
      <c r="N2927" t="str">
        <f>IFERROR(VLOOKUP(D2927,'Team Data'!C:AB,23,FALSE),"")</f>
        <v/>
      </c>
      <c r="O2927" t="str">
        <f>IFERROR(VLOOKUP(D2927,'Team Data'!C:AB,22,FALSE),"")</f>
        <v/>
      </c>
      <c r="P2927" t="str">
        <f t="shared" si="93"/>
        <v/>
      </c>
      <c r="Q2927" t="str">
        <f>IFERROR(VLOOKUP(D2927,'Team Data'!C:AB,15,FALSE),"")</f>
        <v/>
      </c>
      <c r="R2927" t="str">
        <f>IFERROR(VLOOKUP('OB Format'!D2927,'Team Data'!C:AB,24,FALSE),"")</f>
        <v/>
      </c>
      <c r="S2927" t="str">
        <f>IFERROR(VLOOKUP('OB Format'!D2927,'Team Data'!C:AC,25,FALSE),"")</f>
        <v/>
      </c>
    </row>
    <row r="2928" spans="5:19" x14ac:dyDescent="0.25">
      <c r="E2928" t="str">
        <f>IFERROR(VLOOKUP(D2928,'Team Data'!C:AB,4,FALSE),"")</f>
        <v/>
      </c>
      <c r="F2928" t="str">
        <f>IFERROR(VLOOKUP(D2928,'Team Data'!C:AB,5,FALSE),"")</f>
        <v/>
      </c>
      <c r="G2928" t="str">
        <f>IFERROR(VLOOKUP('OB Format'!D2928,'Team Data'!C:AB,17,FALSE),"")</f>
        <v/>
      </c>
      <c r="H2928" t="str">
        <f>IFERROR(VLOOKUP(D2928,'Team Data'!C:AB,7,FALSE),"")</f>
        <v/>
      </c>
      <c r="I2928" t="str">
        <f>IFERROR(VLOOKUP(D2928,'Team Data'!C:AB,14,FALSE),"")</f>
        <v/>
      </c>
      <c r="J2928" t="str">
        <f>IFERROR(VLOOKUP(D2928,'Team Data'!C:AB,8,FALSE),"")</f>
        <v/>
      </c>
      <c r="K2928" t="str">
        <f>IFERROR(VLOOKUP(D2928,'Team Data'!C:AB,9,FALSE),"")</f>
        <v/>
      </c>
      <c r="L2928" t="str">
        <f>IFERROR(VLOOKUP(D2928,'Team Data'!C:AB,10,FALSE),"")</f>
        <v/>
      </c>
      <c r="M2928" t="str">
        <f t="shared" si="92"/>
        <v/>
      </c>
      <c r="N2928" t="str">
        <f>IFERROR(VLOOKUP(D2928,'Team Data'!C:AB,23,FALSE),"")</f>
        <v/>
      </c>
      <c r="O2928" t="str">
        <f>IFERROR(VLOOKUP(D2928,'Team Data'!C:AB,22,FALSE),"")</f>
        <v/>
      </c>
      <c r="P2928" t="str">
        <f t="shared" si="93"/>
        <v/>
      </c>
      <c r="Q2928" t="str">
        <f>IFERROR(VLOOKUP(D2928,'Team Data'!C:AB,15,FALSE),"")</f>
        <v/>
      </c>
      <c r="R2928" t="str">
        <f>IFERROR(VLOOKUP('OB Format'!D2928,'Team Data'!C:AB,24,FALSE),"")</f>
        <v/>
      </c>
      <c r="S2928" t="str">
        <f>IFERROR(VLOOKUP('OB Format'!D2928,'Team Data'!C:AC,25,FALSE),"")</f>
        <v/>
      </c>
    </row>
    <row r="2929" spans="5:19" x14ac:dyDescent="0.25">
      <c r="E2929" t="str">
        <f>IFERROR(VLOOKUP(D2929,'Team Data'!C:AB,4,FALSE),"")</f>
        <v/>
      </c>
      <c r="F2929" t="str">
        <f>IFERROR(VLOOKUP(D2929,'Team Data'!C:AB,5,FALSE),"")</f>
        <v/>
      </c>
      <c r="G2929" t="str">
        <f>IFERROR(VLOOKUP('OB Format'!D2929,'Team Data'!C:AB,17,FALSE),"")</f>
        <v/>
      </c>
      <c r="H2929" t="str">
        <f>IFERROR(VLOOKUP(D2929,'Team Data'!C:AB,7,FALSE),"")</f>
        <v/>
      </c>
      <c r="I2929" t="str">
        <f>IFERROR(VLOOKUP(D2929,'Team Data'!C:AB,14,FALSE),"")</f>
        <v/>
      </c>
      <c r="J2929" t="str">
        <f>IFERROR(VLOOKUP(D2929,'Team Data'!C:AB,8,FALSE),"")</f>
        <v/>
      </c>
      <c r="K2929" t="str">
        <f>IFERROR(VLOOKUP(D2929,'Team Data'!C:AB,9,FALSE),"")</f>
        <v/>
      </c>
      <c r="L2929" t="str">
        <f>IFERROR(VLOOKUP(D2929,'Team Data'!C:AB,10,FALSE),"")</f>
        <v/>
      </c>
      <c r="M2929" t="str">
        <f t="shared" si="92"/>
        <v/>
      </c>
      <c r="N2929" t="str">
        <f>IFERROR(VLOOKUP(D2929,'Team Data'!C:AB,23,FALSE),"")</f>
        <v/>
      </c>
      <c r="O2929" t="str">
        <f>IFERROR(VLOOKUP(D2929,'Team Data'!C:AB,22,FALSE),"")</f>
        <v/>
      </c>
      <c r="P2929" t="str">
        <f t="shared" si="93"/>
        <v/>
      </c>
      <c r="Q2929" t="str">
        <f>IFERROR(VLOOKUP(D2929,'Team Data'!C:AB,15,FALSE),"")</f>
        <v/>
      </c>
      <c r="R2929" t="str">
        <f>IFERROR(VLOOKUP('OB Format'!D2929,'Team Data'!C:AB,24,FALSE),"")</f>
        <v/>
      </c>
      <c r="S2929" t="str">
        <f>IFERROR(VLOOKUP('OB Format'!D2929,'Team Data'!C:AC,25,FALSE),"")</f>
        <v/>
      </c>
    </row>
    <row r="2930" spans="5:19" x14ac:dyDescent="0.25">
      <c r="E2930" t="str">
        <f>IFERROR(VLOOKUP(D2930,'Team Data'!C:AB,4,FALSE),"")</f>
        <v/>
      </c>
      <c r="F2930" t="str">
        <f>IFERROR(VLOOKUP(D2930,'Team Data'!C:AB,5,FALSE),"")</f>
        <v/>
      </c>
      <c r="G2930" t="str">
        <f>IFERROR(VLOOKUP('OB Format'!D2930,'Team Data'!C:AB,17,FALSE),"")</f>
        <v/>
      </c>
      <c r="H2930" t="str">
        <f>IFERROR(VLOOKUP(D2930,'Team Data'!C:AB,7,FALSE),"")</f>
        <v/>
      </c>
      <c r="I2930" t="str">
        <f>IFERROR(VLOOKUP(D2930,'Team Data'!C:AB,14,FALSE),"")</f>
        <v/>
      </c>
      <c r="J2930" t="str">
        <f>IFERROR(VLOOKUP(D2930,'Team Data'!C:AB,8,FALSE),"")</f>
        <v/>
      </c>
      <c r="K2930" t="str">
        <f>IFERROR(VLOOKUP(D2930,'Team Data'!C:AB,9,FALSE),"")</f>
        <v/>
      </c>
      <c r="L2930" t="str">
        <f>IFERROR(VLOOKUP(D2930,'Team Data'!C:AB,10,FALSE),"")</f>
        <v/>
      </c>
      <c r="M2930" t="str">
        <f t="shared" si="92"/>
        <v/>
      </c>
      <c r="N2930" t="str">
        <f>IFERROR(VLOOKUP(D2930,'Team Data'!C:AB,23,FALSE),"")</f>
        <v/>
      </c>
      <c r="O2930" t="str">
        <f>IFERROR(VLOOKUP(D2930,'Team Data'!C:AB,22,FALSE),"")</f>
        <v/>
      </c>
      <c r="P2930" t="str">
        <f t="shared" si="93"/>
        <v/>
      </c>
      <c r="Q2930" t="str">
        <f>IFERROR(VLOOKUP(D2930,'Team Data'!C:AB,15,FALSE),"")</f>
        <v/>
      </c>
      <c r="R2930" t="str">
        <f>IFERROR(VLOOKUP('OB Format'!D2930,'Team Data'!C:AB,24,FALSE),"")</f>
        <v/>
      </c>
      <c r="S2930" t="str">
        <f>IFERROR(VLOOKUP('OB Format'!D2930,'Team Data'!C:AC,25,FALSE),"")</f>
        <v/>
      </c>
    </row>
    <row r="2931" spans="5:19" x14ac:dyDescent="0.25">
      <c r="E2931" t="str">
        <f>IFERROR(VLOOKUP(D2931,'Team Data'!C:AB,4,FALSE),"")</f>
        <v/>
      </c>
      <c r="F2931" t="str">
        <f>IFERROR(VLOOKUP(D2931,'Team Data'!C:AB,5,FALSE),"")</f>
        <v/>
      </c>
      <c r="G2931" t="str">
        <f>IFERROR(VLOOKUP('OB Format'!D2931,'Team Data'!C:AB,17,FALSE),"")</f>
        <v/>
      </c>
      <c r="H2931" t="str">
        <f>IFERROR(VLOOKUP(D2931,'Team Data'!C:AB,7,FALSE),"")</f>
        <v/>
      </c>
      <c r="I2931" t="str">
        <f>IFERROR(VLOOKUP(D2931,'Team Data'!C:AB,14,FALSE),"")</f>
        <v/>
      </c>
      <c r="J2931" t="str">
        <f>IFERROR(VLOOKUP(D2931,'Team Data'!C:AB,8,FALSE),"")</f>
        <v/>
      </c>
      <c r="K2931" t="str">
        <f>IFERROR(VLOOKUP(D2931,'Team Data'!C:AB,9,FALSE),"")</f>
        <v/>
      </c>
      <c r="L2931" t="str">
        <f>IFERROR(VLOOKUP(D2931,'Team Data'!C:AB,10,FALSE),"")</f>
        <v/>
      </c>
      <c r="M2931" t="str">
        <f t="shared" si="92"/>
        <v/>
      </c>
      <c r="N2931" t="str">
        <f>IFERROR(VLOOKUP(D2931,'Team Data'!C:AB,23,FALSE),"")</f>
        <v/>
      </c>
      <c r="O2931" t="str">
        <f>IFERROR(VLOOKUP(D2931,'Team Data'!C:AB,22,FALSE),"")</f>
        <v/>
      </c>
      <c r="P2931" t="str">
        <f t="shared" si="93"/>
        <v/>
      </c>
      <c r="Q2931" t="str">
        <f>IFERROR(VLOOKUP(D2931,'Team Data'!C:AB,15,FALSE),"")</f>
        <v/>
      </c>
      <c r="R2931" t="str">
        <f>IFERROR(VLOOKUP('OB Format'!D2931,'Team Data'!C:AB,24,FALSE),"")</f>
        <v/>
      </c>
      <c r="S2931" t="str">
        <f>IFERROR(VLOOKUP('OB Format'!D2931,'Team Data'!C:AC,25,FALSE),"")</f>
        <v/>
      </c>
    </row>
    <row r="2932" spans="5:19" x14ac:dyDescent="0.25">
      <c r="E2932" t="str">
        <f>IFERROR(VLOOKUP(D2932,'Team Data'!C:AB,4,FALSE),"")</f>
        <v/>
      </c>
      <c r="F2932" t="str">
        <f>IFERROR(VLOOKUP(D2932,'Team Data'!C:AB,5,FALSE),"")</f>
        <v/>
      </c>
      <c r="G2932" t="str">
        <f>IFERROR(VLOOKUP('OB Format'!D2932,'Team Data'!C:AB,17,FALSE),"")</f>
        <v/>
      </c>
      <c r="H2932" t="str">
        <f>IFERROR(VLOOKUP(D2932,'Team Data'!C:AB,7,FALSE),"")</f>
        <v/>
      </c>
      <c r="I2932" t="str">
        <f>IFERROR(VLOOKUP(D2932,'Team Data'!C:AB,14,FALSE),"")</f>
        <v/>
      </c>
      <c r="J2932" t="str">
        <f>IFERROR(VLOOKUP(D2932,'Team Data'!C:AB,8,FALSE),"")</f>
        <v/>
      </c>
      <c r="K2932" t="str">
        <f>IFERROR(VLOOKUP(D2932,'Team Data'!C:AB,9,FALSE),"")</f>
        <v/>
      </c>
      <c r="L2932" t="str">
        <f>IFERROR(VLOOKUP(D2932,'Team Data'!C:AB,10,FALSE),"")</f>
        <v/>
      </c>
      <c r="M2932" t="str">
        <f t="shared" si="92"/>
        <v/>
      </c>
      <c r="N2932" t="str">
        <f>IFERROR(VLOOKUP(D2932,'Team Data'!C:AB,23,FALSE),"")</f>
        <v/>
      </c>
      <c r="O2932" t="str">
        <f>IFERROR(VLOOKUP(D2932,'Team Data'!C:AB,22,FALSE),"")</f>
        <v/>
      </c>
      <c r="P2932" t="str">
        <f t="shared" si="93"/>
        <v/>
      </c>
      <c r="Q2932" t="str">
        <f>IFERROR(VLOOKUP(D2932,'Team Data'!C:AB,15,FALSE),"")</f>
        <v/>
      </c>
      <c r="R2932" t="str">
        <f>IFERROR(VLOOKUP('OB Format'!D2932,'Team Data'!C:AB,24,FALSE),"")</f>
        <v/>
      </c>
      <c r="S2932" t="str">
        <f>IFERROR(VLOOKUP('OB Format'!D2932,'Team Data'!C:AC,25,FALSE),"")</f>
        <v/>
      </c>
    </row>
    <row r="2933" spans="5:19" x14ac:dyDescent="0.25">
      <c r="E2933" t="str">
        <f>IFERROR(VLOOKUP(D2933,'Team Data'!C:AB,4,FALSE),"")</f>
        <v/>
      </c>
      <c r="F2933" t="str">
        <f>IFERROR(VLOOKUP(D2933,'Team Data'!C:AB,5,FALSE),"")</f>
        <v/>
      </c>
      <c r="G2933" t="str">
        <f>IFERROR(VLOOKUP('OB Format'!D2933,'Team Data'!C:AB,17,FALSE),"")</f>
        <v/>
      </c>
      <c r="H2933" t="str">
        <f>IFERROR(VLOOKUP(D2933,'Team Data'!C:AB,7,FALSE),"")</f>
        <v/>
      </c>
      <c r="I2933" t="str">
        <f>IFERROR(VLOOKUP(D2933,'Team Data'!C:AB,14,FALSE),"")</f>
        <v/>
      </c>
      <c r="J2933" t="str">
        <f>IFERROR(VLOOKUP(D2933,'Team Data'!C:AB,8,FALSE),"")</f>
        <v/>
      </c>
      <c r="K2933" t="str">
        <f>IFERROR(VLOOKUP(D2933,'Team Data'!C:AB,9,FALSE),"")</f>
        <v/>
      </c>
      <c r="L2933" t="str">
        <f>IFERROR(VLOOKUP(D2933,'Team Data'!C:AB,10,FALSE),"")</f>
        <v/>
      </c>
      <c r="M2933" t="str">
        <f t="shared" si="92"/>
        <v/>
      </c>
      <c r="N2933" t="str">
        <f>IFERROR(VLOOKUP(D2933,'Team Data'!C:AB,23,FALSE),"")</f>
        <v/>
      </c>
      <c r="O2933" t="str">
        <f>IFERROR(VLOOKUP(D2933,'Team Data'!C:AB,22,FALSE),"")</f>
        <v/>
      </c>
      <c r="P2933" t="str">
        <f t="shared" si="93"/>
        <v/>
      </c>
      <c r="Q2933" t="str">
        <f>IFERROR(VLOOKUP(D2933,'Team Data'!C:AB,15,FALSE),"")</f>
        <v/>
      </c>
      <c r="R2933" t="str">
        <f>IFERROR(VLOOKUP('OB Format'!D2933,'Team Data'!C:AB,24,FALSE),"")</f>
        <v/>
      </c>
      <c r="S2933" t="str">
        <f>IFERROR(VLOOKUP('OB Format'!D2933,'Team Data'!C:AC,25,FALSE),"")</f>
        <v/>
      </c>
    </row>
    <row r="2934" spans="5:19" x14ac:dyDescent="0.25">
      <c r="E2934" t="str">
        <f>IFERROR(VLOOKUP(D2934,'Team Data'!C:AB,4,FALSE),"")</f>
        <v/>
      </c>
      <c r="F2934" t="str">
        <f>IFERROR(VLOOKUP(D2934,'Team Data'!C:AB,5,FALSE),"")</f>
        <v/>
      </c>
      <c r="G2934" t="str">
        <f>IFERROR(VLOOKUP('OB Format'!D2934,'Team Data'!C:AB,17,FALSE),"")</f>
        <v/>
      </c>
      <c r="H2934" t="str">
        <f>IFERROR(VLOOKUP(D2934,'Team Data'!C:AB,7,FALSE),"")</f>
        <v/>
      </c>
      <c r="I2934" t="str">
        <f>IFERROR(VLOOKUP(D2934,'Team Data'!C:AB,14,FALSE),"")</f>
        <v/>
      </c>
      <c r="J2934" t="str">
        <f>IFERROR(VLOOKUP(D2934,'Team Data'!C:AB,8,FALSE),"")</f>
        <v/>
      </c>
      <c r="K2934" t="str">
        <f>IFERROR(VLOOKUP(D2934,'Team Data'!C:AB,9,FALSE),"")</f>
        <v/>
      </c>
      <c r="L2934" t="str">
        <f>IFERROR(VLOOKUP(D2934,'Team Data'!C:AB,10,FALSE),"")</f>
        <v/>
      </c>
      <c r="M2934" t="str">
        <f t="shared" si="92"/>
        <v/>
      </c>
      <c r="N2934" t="str">
        <f>IFERROR(VLOOKUP(D2934,'Team Data'!C:AB,23,FALSE),"")</f>
        <v/>
      </c>
      <c r="O2934" t="str">
        <f>IFERROR(VLOOKUP(D2934,'Team Data'!C:AB,22,FALSE),"")</f>
        <v/>
      </c>
      <c r="P2934" t="str">
        <f t="shared" si="93"/>
        <v/>
      </c>
      <c r="Q2934" t="str">
        <f>IFERROR(VLOOKUP(D2934,'Team Data'!C:AB,15,FALSE),"")</f>
        <v/>
      </c>
      <c r="R2934" t="str">
        <f>IFERROR(VLOOKUP('OB Format'!D2934,'Team Data'!C:AB,24,FALSE),"")</f>
        <v/>
      </c>
      <c r="S2934" t="str">
        <f>IFERROR(VLOOKUP('OB Format'!D2934,'Team Data'!C:AC,25,FALSE),"")</f>
        <v/>
      </c>
    </row>
    <row r="2935" spans="5:19" x14ac:dyDescent="0.25">
      <c r="E2935" t="str">
        <f>IFERROR(VLOOKUP(D2935,'Team Data'!C:AB,4,FALSE),"")</f>
        <v/>
      </c>
      <c r="F2935" t="str">
        <f>IFERROR(VLOOKUP(D2935,'Team Data'!C:AB,5,FALSE),"")</f>
        <v/>
      </c>
      <c r="G2935" t="str">
        <f>IFERROR(VLOOKUP('OB Format'!D2935,'Team Data'!C:AB,17,FALSE),"")</f>
        <v/>
      </c>
      <c r="H2935" t="str">
        <f>IFERROR(VLOOKUP(D2935,'Team Data'!C:AB,7,FALSE),"")</f>
        <v/>
      </c>
      <c r="I2935" t="str">
        <f>IFERROR(VLOOKUP(D2935,'Team Data'!C:AB,14,FALSE),"")</f>
        <v/>
      </c>
      <c r="J2935" t="str">
        <f>IFERROR(VLOOKUP(D2935,'Team Data'!C:AB,8,FALSE),"")</f>
        <v/>
      </c>
      <c r="K2935" t="str">
        <f>IFERROR(VLOOKUP(D2935,'Team Data'!C:AB,9,FALSE),"")</f>
        <v/>
      </c>
      <c r="L2935" t="str">
        <f>IFERROR(VLOOKUP(D2935,'Team Data'!C:AB,10,FALSE),"")</f>
        <v/>
      </c>
      <c r="M2935" t="str">
        <f t="shared" si="92"/>
        <v/>
      </c>
      <c r="N2935" t="str">
        <f>IFERROR(VLOOKUP(D2935,'Team Data'!C:AB,23,FALSE),"")</f>
        <v/>
      </c>
      <c r="O2935" t="str">
        <f>IFERROR(VLOOKUP(D2935,'Team Data'!C:AB,22,FALSE),"")</f>
        <v/>
      </c>
      <c r="P2935" t="str">
        <f t="shared" si="93"/>
        <v/>
      </c>
      <c r="Q2935" t="str">
        <f>IFERROR(VLOOKUP(D2935,'Team Data'!C:AB,15,FALSE),"")</f>
        <v/>
      </c>
      <c r="R2935" t="str">
        <f>IFERROR(VLOOKUP('OB Format'!D2935,'Team Data'!C:AB,24,FALSE),"")</f>
        <v/>
      </c>
      <c r="S2935" t="str">
        <f>IFERROR(VLOOKUP('OB Format'!D2935,'Team Data'!C:AC,25,FALSE),"")</f>
        <v/>
      </c>
    </row>
    <row r="2936" spans="5:19" x14ac:dyDescent="0.25">
      <c r="E2936" t="str">
        <f>IFERROR(VLOOKUP(D2936,'Team Data'!C:AB,4,FALSE),"")</f>
        <v/>
      </c>
      <c r="F2936" t="str">
        <f>IFERROR(VLOOKUP(D2936,'Team Data'!C:AB,5,FALSE),"")</f>
        <v/>
      </c>
      <c r="G2936" t="str">
        <f>IFERROR(VLOOKUP('OB Format'!D2936,'Team Data'!C:AB,17,FALSE),"")</f>
        <v/>
      </c>
      <c r="H2936" t="str">
        <f>IFERROR(VLOOKUP(D2936,'Team Data'!C:AB,7,FALSE),"")</f>
        <v/>
      </c>
      <c r="I2936" t="str">
        <f>IFERROR(VLOOKUP(D2936,'Team Data'!C:AB,14,FALSE),"")</f>
        <v/>
      </c>
      <c r="J2936" t="str">
        <f>IFERROR(VLOOKUP(D2936,'Team Data'!C:AB,8,FALSE),"")</f>
        <v/>
      </c>
      <c r="K2936" t="str">
        <f>IFERROR(VLOOKUP(D2936,'Team Data'!C:AB,9,FALSE),"")</f>
        <v/>
      </c>
      <c r="L2936" t="str">
        <f>IFERROR(VLOOKUP(D2936,'Team Data'!C:AB,10,FALSE),"")</f>
        <v/>
      </c>
      <c r="M2936" t="str">
        <f t="shared" si="92"/>
        <v/>
      </c>
      <c r="N2936" t="str">
        <f>IFERROR(VLOOKUP(D2936,'Team Data'!C:AB,23,FALSE),"")</f>
        <v/>
      </c>
      <c r="O2936" t="str">
        <f>IFERROR(VLOOKUP(D2936,'Team Data'!C:AB,22,FALSE),"")</f>
        <v/>
      </c>
      <c r="P2936" t="str">
        <f t="shared" si="93"/>
        <v/>
      </c>
      <c r="Q2936" t="str">
        <f>IFERROR(VLOOKUP(D2936,'Team Data'!C:AB,15,FALSE),"")</f>
        <v/>
      </c>
      <c r="R2936" t="str">
        <f>IFERROR(VLOOKUP('OB Format'!D2936,'Team Data'!C:AB,24,FALSE),"")</f>
        <v/>
      </c>
      <c r="S2936" t="str">
        <f>IFERROR(VLOOKUP('OB Format'!D2936,'Team Data'!C:AC,25,FALSE),"")</f>
        <v/>
      </c>
    </row>
    <row r="2937" spans="5:19" x14ac:dyDescent="0.25">
      <c r="E2937" t="str">
        <f>IFERROR(VLOOKUP(D2937,'Team Data'!C:AB,4,FALSE),"")</f>
        <v/>
      </c>
      <c r="F2937" t="str">
        <f>IFERROR(VLOOKUP(D2937,'Team Data'!C:AB,5,FALSE),"")</f>
        <v/>
      </c>
      <c r="G2937" t="str">
        <f>IFERROR(VLOOKUP('OB Format'!D2937,'Team Data'!C:AB,17,FALSE),"")</f>
        <v/>
      </c>
      <c r="H2937" t="str">
        <f>IFERROR(VLOOKUP(D2937,'Team Data'!C:AB,7,FALSE),"")</f>
        <v/>
      </c>
      <c r="I2937" t="str">
        <f>IFERROR(VLOOKUP(D2937,'Team Data'!C:AB,14,FALSE),"")</f>
        <v/>
      </c>
      <c r="J2937" t="str">
        <f>IFERROR(VLOOKUP(D2937,'Team Data'!C:AB,8,FALSE),"")</f>
        <v/>
      </c>
      <c r="K2937" t="str">
        <f>IFERROR(VLOOKUP(D2937,'Team Data'!C:AB,9,FALSE),"")</f>
        <v/>
      </c>
      <c r="L2937" t="str">
        <f>IFERROR(VLOOKUP(D2937,'Team Data'!C:AB,10,FALSE),"")</f>
        <v/>
      </c>
      <c r="M2937" t="str">
        <f t="shared" si="92"/>
        <v/>
      </c>
      <c r="N2937" t="str">
        <f>IFERROR(VLOOKUP(D2937,'Team Data'!C:AB,23,FALSE),"")</f>
        <v/>
      </c>
      <c r="O2937" t="str">
        <f>IFERROR(VLOOKUP(D2937,'Team Data'!C:AB,22,FALSE),"")</f>
        <v/>
      </c>
      <c r="P2937" t="str">
        <f t="shared" si="93"/>
        <v/>
      </c>
      <c r="Q2937" t="str">
        <f>IFERROR(VLOOKUP(D2937,'Team Data'!C:AB,15,FALSE),"")</f>
        <v/>
      </c>
      <c r="R2937" t="str">
        <f>IFERROR(VLOOKUP('OB Format'!D2937,'Team Data'!C:AB,24,FALSE),"")</f>
        <v/>
      </c>
      <c r="S2937" t="str">
        <f>IFERROR(VLOOKUP('OB Format'!D2937,'Team Data'!C:AC,25,FALSE),"")</f>
        <v/>
      </c>
    </row>
    <row r="2938" spans="5:19" x14ac:dyDescent="0.25">
      <c r="E2938" t="str">
        <f>IFERROR(VLOOKUP(D2938,'Team Data'!C:AB,4,FALSE),"")</f>
        <v/>
      </c>
      <c r="F2938" t="str">
        <f>IFERROR(VLOOKUP(D2938,'Team Data'!C:AB,5,FALSE),"")</f>
        <v/>
      </c>
      <c r="G2938" t="str">
        <f>IFERROR(VLOOKUP('OB Format'!D2938,'Team Data'!C:AB,17,FALSE),"")</f>
        <v/>
      </c>
      <c r="H2938" t="str">
        <f>IFERROR(VLOOKUP(D2938,'Team Data'!C:AB,7,FALSE),"")</f>
        <v/>
      </c>
      <c r="I2938" t="str">
        <f>IFERROR(VLOOKUP(D2938,'Team Data'!C:AB,14,FALSE),"")</f>
        <v/>
      </c>
      <c r="J2938" t="str">
        <f>IFERROR(VLOOKUP(D2938,'Team Data'!C:AB,8,FALSE),"")</f>
        <v/>
      </c>
      <c r="K2938" t="str">
        <f>IFERROR(VLOOKUP(D2938,'Team Data'!C:AB,9,FALSE),"")</f>
        <v/>
      </c>
      <c r="L2938" t="str">
        <f>IFERROR(VLOOKUP(D2938,'Team Data'!C:AB,10,FALSE),"")</f>
        <v/>
      </c>
      <c r="M2938" t="str">
        <f t="shared" si="92"/>
        <v/>
      </c>
      <c r="N2938" t="str">
        <f>IFERROR(VLOOKUP(D2938,'Team Data'!C:AB,23,FALSE),"")</f>
        <v/>
      </c>
      <c r="O2938" t="str">
        <f>IFERROR(VLOOKUP(D2938,'Team Data'!C:AB,22,FALSE),"")</f>
        <v/>
      </c>
      <c r="P2938" t="str">
        <f t="shared" si="93"/>
        <v/>
      </c>
      <c r="Q2938" t="str">
        <f>IFERROR(VLOOKUP(D2938,'Team Data'!C:AB,15,FALSE),"")</f>
        <v/>
      </c>
      <c r="R2938" t="str">
        <f>IFERROR(VLOOKUP('OB Format'!D2938,'Team Data'!C:AB,24,FALSE),"")</f>
        <v/>
      </c>
      <c r="S2938" t="str">
        <f>IFERROR(VLOOKUP('OB Format'!D2938,'Team Data'!C:AC,25,FALSE),"")</f>
        <v/>
      </c>
    </row>
    <row r="2939" spans="5:19" x14ac:dyDescent="0.25">
      <c r="E2939" t="str">
        <f>IFERROR(VLOOKUP(D2939,'Team Data'!C:AB,4,FALSE),"")</f>
        <v/>
      </c>
      <c r="F2939" t="str">
        <f>IFERROR(VLOOKUP(D2939,'Team Data'!C:AB,5,FALSE),"")</f>
        <v/>
      </c>
      <c r="G2939" t="str">
        <f>IFERROR(VLOOKUP('OB Format'!D2939,'Team Data'!C:AB,17,FALSE),"")</f>
        <v/>
      </c>
      <c r="H2939" t="str">
        <f>IFERROR(VLOOKUP(D2939,'Team Data'!C:AB,7,FALSE),"")</f>
        <v/>
      </c>
      <c r="I2939" t="str">
        <f>IFERROR(VLOOKUP(D2939,'Team Data'!C:AB,14,FALSE),"")</f>
        <v/>
      </c>
      <c r="J2939" t="str">
        <f>IFERROR(VLOOKUP(D2939,'Team Data'!C:AB,8,FALSE),"")</f>
        <v/>
      </c>
      <c r="K2939" t="str">
        <f>IFERROR(VLOOKUP(D2939,'Team Data'!C:AB,9,FALSE),"")</f>
        <v/>
      </c>
      <c r="L2939" t="str">
        <f>IFERROR(VLOOKUP(D2939,'Team Data'!C:AB,10,FALSE),"")</f>
        <v/>
      </c>
      <c r="M2939" t="str">
        <f t="shared" si="92"/>
        <v/>
      </c>
      <c r="N2939" t="str">
        <f>IFERROR(VLOOKUP(D2939,'Team Data'!C:AB,23,FALSE),"")</f>
        <v/>
      </c>
      <c r="O2939" t="str">
        <f>IFERROR(VLOOKUP(D2939,'Team Data'!C:AB,22,FALSE),"")</f>
        <v/>
      </c>
      <c r="P2939" t="str">
        <f t="shared" si="93"/>
        <v/>
      </c>
      <c r="Q2939" t="str">
        <f>IFERROR(VLOOKUP(D2939,'Team Data'!C:AB,15,FALSE),"")</f>
        <v/>
      </c>
      <c r="R2939" t="str">
        <f>IFERROR(VLOOKUP('OB Format'!D2939,'Team Data'!C:AB,24,FALSE),"")</f>
        <v/>
      </c>
      <c r="S2939" t="str">
        <f>IFERROR(VLOOKUP('OB Format'!D2939,'Team Data'!C:AC,25,FALSE),"")</f>
        <v/>
      </c>
    </row>
    <row r="2940" spans="5:19" x14ac:dyDescent="0.25">
      <c r="E2940" t="str">
        <f>IFERROR(VLOOKUP(D2940,'Team Data'!C:AB,4,FALSE),"")</f>
        <v/>
      </c>
      <c r="F2940" t="str">
        <f>IFERROR(VLOOKUP(D2940,'Team Data'!C:AB,5,FALSE),"")</f>
        <v/>
      </c>
      <c r="G2940" t="str">
        <f>IFERROR(VLOOKUP('OB Format'!D2940,'Team Data'!C:AB,17,FALSE),"")</f>
        <v/>
      </c>
      <c r="H2940" t="str">
        <f>IFERROR(VLOOKUP(D2940,'Team Data'!C:AB,7,FALSE),"")</f>
        <v/>
      </c>
      <c r="I2940" t="str">
        <f>IFERROR(VLOOKUP(D2940,'Team Data'!C:AB,14,FALSE),"")</f>
        <v/>
      </c>
      <c r="J2940" t="str">
        <f>IFERROR(VLOOKUP(D2940,'Team Data'!C:AB,8,FALSE),"")</f>
        <v/>
      </c>
      <c r="K2940" t="str">
        <f>IFERROR(VLOOKUP(D2940,'Team Data'!C:AB,9,FALSE),"")</f>
        <v/>
      </c>
      <c r="L2940" t="str">
        <f>IFERROR(VLOOKUP(D2940,'Team Data'!C:AB,10,FALSE),"")</f>
        <v/>
      </c>
      <c r="M2940" t="str">
        <f t="shared" si="92"/>
        <v/>
      </c>
      <c r="N2940" t="str">
        <f>IFERROR(VLOOKUP(D2940,'Team Data'!C:AB,23,FALSE),"")</f>
        <v/>
      </c>
      <c r="O2940" t="str">
        <f>IFERROR(VLOOKUP(D2940,'Team Data'!C:AB,22,FALSE),"")</f>
        <v/>
      </c>
      <c r="P2940" t="str">
        <f t="shared" si="93"/>
        <v/>
      </c>
      <c r="Q2940" t="str">
        <f>IFERROR(VLOOKUP(D2940,'Team Data'!C:AB,15,FALSE),"")</f>
        <v/>
      </c>
      <c r="R2940" t="str">
        <f>IFERROR(VLOOKUP('OB Format'!D2940,'Team Data'!C:AB,24,FALSE),"")</f>
        <v/>
      </c>
      <c r="S2940" t="str">
        <f>IFERROR(VLOOKUP('OB Format'!D2940,'Team Data'!C:AC,25,FALSE),"")</f>
        <v/>
      </c>
    </row>
    <row r="2941" spans="5:19" x14ac:dyDescent="0.25">
      <c r="E2941" t="str">
        <f>IFERROR(VLOOKUP(D2941,'Team Data'!C:AB,4,FALSE),"")</f>
        <v/>
      </c>
      <c r="F2941" t="str">
        <f>IFERROR(VLOOKUP(D2941,'Team Data'!C:AB,5,FALSE),"")</f>
        <v/>
      </c>
      <c r="G2941" t="str">
        <f>IFERROR(VLOOKUP('OB Format'!D2941,'Team Data'!C:AB,17,FALSE),"")</f>
        <v/>
      </c>
      <c r="H2941" t="str">
        <f>IFERROR(VLOOKUP(D2941,'Team Data'!C:AB,7,FALSE),"")</f>
        <v/>
      </c>
      <c r="I2941" t="str">
        <f>IFERROR(VLOOKUP(D2941,'Team Data'!C:AB,14,FALSE),"")</f>
        <v/>
      </c>
      <c r="J2941" t="str">
        <f>IFERROR(VLOOKUP(D2941,'Team Data'!C:AB,8,FALSE),"")</f>
        <v/>
      </c>
      <c r="K2941" t="str">
        <f>IFERROR(VLOOKUP(D2941,'Team Data'!C:AB,9,FALSE),"")</f>
        <v/>
      </c>
      <c r="L2941" t="str">
        <f>IFERROR(VLOOKUP(D2941,'Team Data'!C:AB,10,FALSE),"")</f>
        <v/>
      </c>
      <c r="M2941" t="str">
        <f t="shared" si="92"/>
        <v/>
      </c>
      <c r="N2941" t="str">
        <f>IFERROR(VLOOKUP(D2941,'Team Data'!C:AB,23,FALSE),"")</f>
        <v/>
      </c>
      <c r="O2941" t="str">
        <f>IFERROR(VLOOKUP(D2941,'Team Data'!C:AB,22,FALSE),"")</f>
        <v/>
      </c>
      <c r="P2941" t="str">
        <f t="shared" si="93"/>
        <v/>
      </c>
      <c r="Q2941" t="str">
        <f>IFERROR(VLOOKUP(D2941,'Team Data'!C:AB,15,FALSE),"")</f>
        <v/>
      </c>
      <c r="R2941" t="str">
        <f>IFERROR(VLOOKUP('OB Format'!D2941,'Team Data'!C:AB,24,FALSE),"")</f>
        <v/>
      </c>
      <c r="S2941" t="str">
        <f>IFERROR(VLOOKUP('OB Format'!D2941,'Team Data'!C:AC,25,FALSE),"")</f>
        <v/>
      </c>
    </row>
    <row r="2942" spans="5:19" x14ac:dyDescent="0.25">
      <c r="E2942" t="str">
        <f>IFERROR(VLOOKUP(D2942,'Team Data'!C:AB,4,FALSE),"")</f>
        <v/>
      </c>
      <c r="F2942" t="str">
        <f>IFERROR(VLOOKUP(D2942,'Team Data'!C:AB,5,FALSE),"")</f>
        <v/>
      </c>
      <c r="G2942" t="str">
        <f>IFERROR(VLOOKUP('OB Format'!D2942,'Team Data'!C:AB,17,FALSE),"")</f>
        <v/>
      </c>
      <c r="H2942" t="str">
        <f>IFERROR(VLOOKUP(D2942,'Team Data'!C:AB,7,FALSE),"")</f>
        <v/>
      </c>
      <c r="I2942" t="str">
        <f>IFERROR(VLOOKUP(D2942,'Team Data'!C:AB,14,FALSE),"")</f>
        <v/>
      </c>
      <c r="J2942" t="str">
        <f>IFERROR(VLOOKUP(D2942,'Team Data'!C:AB,8,FALSE),"")</f>
        <v/>
      </c>
      <c r="K2942" t="str">
        <f>IFERROR(VLOOKUP(D2942,'Team Data'!C:AB,9,FALSE),"")</f>
        <v/>
      </c>
      <c r="L2942" t="str">
        <f>IFERROR(VLOOKUP(D2942,'Team Data'!C:AB,10,FALSE),"")</f>
        <v/>
      </c>
      <c r="M2942" t="str">
        <f t="shared" si="92"/>
        <v/>
      </c>
      <c r="N2942" t="str">
        <f>IFERROR(VLOOKUP(D2942,'Team Data'!C:AB,23,FALSE),"")</f>
        <v/>
      </c>
      <c r="O2942" t="str">
        <f>IFERROR(VLOOKUP(D2942,'Team Data'!C:AB,22,FALSE),"")</f>
        <v/>
      </c>
      <c r="P2942" t="str">
        <f t="shared" si="93"/>
        <v/>
      </c>
      <c r="Q2942" t="str">
        <f>IFERROR(VLOOKUP(D2942,'Team Data'!C:AB,15,FALSE),"")</f>
        <v/>
      </c>
      <c r="R2942" t="str">
        <f>IFERROR(VLOOKUP('OB Format'!D2942,'Team Data'!C:AB,24,FALSE),"")</f>
        <v/>
      </c>
      <c r="S2942" t="str">
        <f>IFERROR(VLOOKUP('OB Format'!D2942,'Team Data'!C:AC,25,FALSE),"")</f>
        <v/>
      </c>
    </row>
    <row r="2943" spans="5:19" x14ac:dyDescent="0.25">
      <c r="E2943" t="str">
        <f>IFERROR(VLOOKUP(D2943,'Team Data'!C:AB,4,FALSE),"")</f>
        <v/>
      </c>
      <c r="F2943" t="str">
        <f>IFERROR(VLOOKUP(D2943,'Team Data'!C:AB,5,FALSE),"")</f>
        <v/>
      </c>
      <c r="G2943" t="str">
        <f>IFERROR(VLOOKUP('OB Format'!D2943,'Team Data'!C:AB,17,FALSE),"")</f>
        <v/>
      </c>
      <c r="H2943" t="str">
        <f>IFERROR(VLOOKUP(D2943,'Team Data'!C:AB,7,FALSE),"")</f>
        <v/>
      </c>
      <c r="I2943" t="str">
        <f>IFERROR(VLOOKUP(D2943,'Team Data'!C:AB,14,FALSE),"")</f>
        <v/>
      </c>
      <c r="J2943" t="str">
        <f>IFERROR(VLOOKUP(D2943,'Team Data'!C:AB,8,FALSE),"")</f>
        <v/>
      </c>
      <c r="K2943" t="str">
        <f>IFERROR(VLOOKUP(D2943,'Team Data'!C:AB,9,FALSE),"")</f>
        <v/>
      </c>
      <c r="L2943" t="str">
        <f>IFERROR(VLOOKUP(D2943,'Team Data'!C:AB,10,FALSE),"")</f>
        <v/>
      </c>
      <c r="M2943" t="str">
        <f t="shared" si="92"/>
        <v/>
      </c>
      <c r="N2943" t="str">
        <f>IFERROR(VLOOKUP(D2943,'Team Data'!C:AB,23,FALSE),"")</f>
        <v/>
      </c>
      <c r="O2943" t="str">
        <f>IFERROR(VLOOKUP(D2943,'Team Data'!C:AB,22,FALSE),"")</f>
        <v/>
      </c>
      <c r="P2943" t="str">
        <f t="shared" si="93"/>
        <v/>
      </c>
      <c r="Q2943" t="str">
        <f>IFERROR(VLOOKUP(D2943,'Team Data'!C:AB,15,FALSE),"")</f>
        <v/>
      </c>
      <c r="R2943" t="str">
        <f>IFERROR(VLOOKUP('OB Format'!D2943,'Team Data'!C:AB,24,FALSE),"")</f>
        <v/>
      </c>
      <c r="S2943" t="str">
        <f>IFERROR(VLOOKUP('OB Format'!D2943,'Team Data'!C:AC,25,FALSE),"")</f>
        <v/>
      </c>
    </row>
    <row r="2944" spans="5:19" x14ac:dyDescent="0.25">
      <c r="E2944" t="str">
        <f>IFERROR(VLOOKUP(D2944,'Team Data'!C:AB,4,FALSE),"")</f>
        <v/>
      </c>
      <c r="F2944" t="str">
        <f>IFERROR(VLOOKUP(D2944,'Team Data'!C:AB,5,FALSE),"")</f>
        <v/>
      </c>
      <c r="G2944" t="str">
        <f>IFERROR(VLOOKUP('OB Format'!D2944,'Team Data'!C:AB,17,FALSE),"")</f>
        <v/>
      </c>
      <c r="H2944" t="str">
        <f>IFERROR(VLOOKUP(D2944,'Team Data'!C:AB,7,FALSE),"")</f>
        <v/>
      </c>
      <c r="I2944" t="str">
        <f>IFERROR(VLOOKUP(D2944,'Team Data'!C:AB,14,FALSE),"")</f>
        <v/>
      </c>
      <c r="J2944" t="str">
        <f>IFERROR(VLOOKUP(D2944,'Team Data'!C:AB,8,FALSE),"")</f>
        <v/>
      </c>
      <c r="K2944" t="str">
        <f>IFERROR(VLOOKUP(D2944,'Team Data'!C:AB,9,FALSE),"")</f>
        <v/>
      </c>
      <c r="L2944" t="str">
        <f>IFERROR(VLOOKUP(D2944,'Team Data'!C:AB,10,FALSE),"")</f>
        <v/>
      </c>
      <c r="M2944" t="str">
        <f t="shared" si="92"/>
        <v/>
      </c>
      <c r="N2944" t="str">
        <f>IFERROR(VLOOKUP(D2944,'Team Data'!C:AB,23,FALSE),"")</f>
        <v/>
      </c>
      <c r="O2944" t="str">
        <f>IFERROR(VLOOKUP(D2944,'Team Data'!C:AB,22,FALSE),"")</f>
        <v/>
      </c>
      <c r="P2944" t="str">
        <f t="shared" si="93"/>
        <v/>
      </c>
      <c r="Q2944" t="str">
        <f>IFERROR(VLOOKUP(D2944,'Team Data'!C:AB,15,FALSE),"")</f>
        <v/>
      </c>
      <c r="R2944" t="str">
        <f>IFERROR(VLOOKUP('OB Format'!D2944,'Team Data'!C:AB,24,FALSE),"")</f>
        <v/>
      </c>
      <c r="S2944" t="str">
        <f>IFERROR(VLOOKUP('OB Format'!D2944,'Team Data'!C:AC,25,FALSE),"")</f>
        <v/>
      </c>
    </row>
    <row r="2945" spans="5:19" x14ac:dyDescent="0.25">
      <c r="E2945" t="str">
        <f>IFERROR(VLOOKUP(D2945,'Team Data'!C:AB,4,FALSE),"")</f>
        <v/>
      </c>
      <c r="F2945" t="str">
        <f>IFERROR(VLOOKUP(D2945,'Team Data'!C:AB,5,FALSE),"")</f>
        <v/>
      </c>
      <c r="G2945" t="str">
        <f>IFERROR(VLOOKUP('OB Format'!D2945,'Team Data'!C:AB,17,FALSE),"")</f>
        <v/>
      </c>
      <c r="H2945" t="str">
        <f>IFERROR(VLOOKUP(D2945,'Team Data'!C:AB,7,FALSE),"")</f>
        <v/>
      </c>
      <c r="I2945" t="str">
        <f>IFERROR(VLOOKUP(D2945,'Team Data'!C:AB,14,FALSE),"")</f>
        <v/>
      </c>
      <c r="J2945" t="str">
        <f>IFERROR(VLOOKUP(D2945,'Team Data'!C:AB,8,FALSE),"")</f>
        <v/>
      </c>
      <c r="K2945" t="str">
        <f>IFERROR(VLOOKUP(D2945,'Team Data'!C:AB,9,FALSE),"")</f>
        <v/>
      </c>
      <c r="L2945" t="str">
        <f>IFERROR(VLOOKUP(D2945,'Team Data'!C:AB,10,FALSE),"")</f>
        <v/>
      </c>
      <c r="M2945" t="str">
        <f t="shared" si="92"/>
        <v/>
      </c>
      <c r="N2945" t="str">
        <f>IFERROR(VLOOKUP(D2945,'Team Data'!C:AB,23,FALSE),"")</f>
        <v/>
      </c>
      <c r="O2945" t="str">
        <f>IFERROR(VLOOKUP(D2945,'Team Data'!C:AB,22,FALSE),"")</f>
        <v/>
      </c>
      <c r="P2945" t="str">
        <f t="shared" si="93"/>
        <v/>
      </c>
      <c r="Q2945" t="str">
        <f>IFERROR(VLOOKUP(D2945,'Team Data'!C:AB,15,FALSE),"")</f>
        <v/>
      </c>
      <c r="R2945" t="str">
        <f>IFERROR(VLOOKUP('OB Format'!D2945,'Team Data'!C:AB,24,FALSE),"")</f>
        <v/>
      </c>
      <c r="S2945" t="str">
        <f>IFERROR(VLOOKUP('OB Format'!D2945,'Team Data'!C:AC,25,FALSE),"")</f>
        <v/>
      </c>
    </row>
    <row r="2946" spans="5:19" x14ac:dyDescent="0.25">
      <c r="E2946" t="str">
        <f>IFERROR(VLOOKUP(D2946,'Team Data'!C:AB,4,FALSE),"")</f>
        <v/>
      </c>
      <c r="F2946" t="str">
        <f>IFERROR(VLOOKUP(D2946,'Team Data'!C:AB,5,FALSE),"")</f>
        <v/>
      </c>
      <c r="G2946" t="str">
        <f>IFERROR(VLOOKUP('OB Format'!D2946,'Team Data'!C:AB,17,FALSE),"")</f>
        <v/>
      </c>
      <c r="H2946" t="str">
        <f>IFERROR(VLOOKUP(D2946,'Team Data'!C:AB,7,FALSE),"")</f>
        <v/>
      </c>
      <c r="I2946" t="str">
        <f>IFERROR(VLOOKUP(D2946,'Team Data'!C:AB,14,FALSE),"")</f>
        <v/>
      </c>
      <c r="J2946" t="str">
        <f>IFERROR(VLOOKUP(D2946,'Team Data'!C:AB,8,FALSE),"")</f>
        <v/>
      </c>
      <c r="K2946" t="str">
        <f>IFERROR(VLOOKUP(D2946,'Team Data'!C:AB,9,FALSE),"")</f>
        <v/>
      </c>
      <c r="L2946" t="str">
        <f>IFERROR(VLOOKUP(D2946,'Team Data'!C:AB,10,FALSE),"")</f>
        <v/>
      </c>
      <c r="M2946" t="str">
        <f t="shared" si="92"/>
        <v/>
      </c>
      <c r="N2946" t="str">
        <f>IFERROR(VLOOKUP(D2946,'Team Data'!C:AB,23,FALSE),"")</f>
        <v/>
      </c>
      <c r="O2946" t="str">
        <f>IFERROR(VLOOKUP(D2946,'Team Data'!C:AB,22,FALSE),"")</f>
        <v/>
      </c>
      <c r="P2946" t="str">
        <f t="shared" si="93"/>
        <v/>
      </c>
      <c r="Q2946" t="str">
        <f>IFERROR(VLOOKUP(D2946,'Team Data'!C:AB,15,FALSE),"")</f>
        <v/>
      </c>
      <c r="R2946" t="str">
        <f>IFERROR(VLOOKUP('OB Format'!D2946,'Team Data'!C:AB,24,FALSE),"")</f>
        <v/>
      </c>
      <c r="S2946" t="str">
        <f>IFERROR(VLOOKUP('OB Format'!D2946,'Team Data'!C:AC,25,FALSE),"")</f>
        <v/>
      </c>
    </row>
    <row r="2947" spans="5:19" x14ac:dyDescent="0.25">
      <c r="E2947" t="str">
        <f>IFERROR(VLOOKUP(D2947,'Team Data'!C:AB,4,FALSE),"")</f>
        <v/>
      </c>
      <c r="F2947" t="str">
        <f>IFERROR(VLOOKUP(D2947,'Team Data'!C:AB,5,FALSE),"")</f>
        <v/>
      </c>
      <c r="G2947" t="str">
        <f>IFERROR(VLOOKUP('OB Format'!D2947,'Team Data'!C:AB,17,FALSE),"")</f>
        <v/>
      </c>
      <c r="H2947" t="str">
        <f>IFERROR(VLOOKUP(D2947,'Team Data'!C:AB,7,FALSE),"")</f>
        <v/>
      </c>
      <c r="I2947" t="str">
        <f>IFERROR(VLOOKUP(D2947,'Team Data'!C:AB,14,FALSE),"")</f>
        <v/>
      </c>
      <c r="J2947" t="str">
        <f>IFERROR(VLOOKUP(D2947,'Team Data'!C:AB,8,FALSE),"")</f>
        <v/>
      </c>
      <c r="K2947" t="str">
        <f>IFERROR(VLOOKUP(D2947,'Team Data'!C:AB,9,FALSE),"")</f>
        <v/>
      </c>
      <c r="L2947" t="str">
        <f>IFERROR(VLOOKUP(D2947,'Team Data'!C:AB,10,FALSE),"")</f>
        <v/>
      </c>
      <c r="M2947" t="str">
        <f t="shared" si="92"/>
        <v/>
      </c>
      <c r="N2947" t="str">
        <f>IFERROR(VLOOKUP(D2947,'Team Data'!C:AB,23,FALSE),"")</f>
        <v/>
      </c>
      <c r="O2947" t="str">
        <f>IFERROR(VLOOKUP(D2947,'Team Data'!C:AB,22,FALSE),"")</f>
        <v/>
      </c>
      <c r="P2947" t="str">
        <f t="shared" si="93"/>
        <v/>
      </c>
      <c r="Q2947" t="str">
        <f>IFERROR(VLOOKUP(D2947,'Team Data'!C:AB,15,FALSE),"")</f>
        <v/>
      </c>
      <c r="R2947" t="str">
        <f>IFERROR(VLOOKUP('OB Format'!D2947,'Team Data'!C:AB,24,FALSE),"")</f>
        <v/>
      </c>
      <c r="S2947" t="str">
        <f>IFERROR(VLOOKUP('OB Format'!D2947,'Team Data'!C:AC,25,FALSE),"")</f>
        <v/>
      </c>
    </row>
    <row r="2948" spans="5:19" x14ac:dyDescent="0.25">
      <c r="E2948" t="str">
        <f>IFERROR(VLOOKUP(D2948,'Team Data'!C:AB,4,FALSE),"")</f>
        <v/>
      </c>
      <c r="F2948" t="str">
        <f>IFERROR(VLOOKUP(D2948,'Team Data'!C:AB,5,FALSE),"")</f>
        <v/>
      </c>
      <c r="G2948" t="str">
        <f>IFERROR(VLOOKUP('OB Format'!D2948,'Team Data'!C:AB,17,FALSE),"")</f>
        <v/>
      </c>
      <c r="H2948" t="str">
        <f>IFERROR(VLOOKUP(D2948,'Team Data'!C:AB,7,FALSE),"")</f>
        <v/>
      </c>
      <c r="I2948" t="str">
        <f>IFERROR(VLOOKUP(D2948,'Team Data'!C:AB,14,FALSE),"")</f>
        <v/>
      </c>
      <c r="J2948" t="str">
        <f>IFERROR(VLOOKUP(D2948,'Team Data'!C:AB,8,FALSE),"")</f>
        <v/>
      </c>
      <c r="K2948" t="str">
        <f>IFERROR(VLOOKUP(D2948,'Team Data'!C:AB,9,FALSE),"")</f>
        <v/>
      </c>
      <c r="L2948" t="str">
        <f>IFERROR(VLOOKUP(D2948,'Team Data'!C:AB,10,FALSE),"")</f>
        <v/>
      </c>
      <c r="M2948" t="str">
        <f t="shared" si="92"/>
        <v/>
      </c>
      <c r="N2948" t="str">
        <f>IFERROR(VLOOKUP(D2948,'Team Data'!C:AB,23,FALSE),"")</f>
        <v/>
      </c>
      <c r="O2948" t="str">
        <f>IFERROR(VLOOKUP(D2948,'Team Data'!C:AB,22,FALSE),"")</f>
        <v/>
      </c>
      <c r="P2948" t="str">
        <f t="shared" si="93"/>
        <v/>
      </c>
      <c r="Q2948" t="str">
        <f>IFERROR(VLOOKUP(D2948,'Team Data'!C:AB,15,FALSE),"")</f>
        <v/>
      </c>
      <c r="R2948" t="str">
        <f>IFERROR(VLOOKUP('OB Format'!D2948,'Team Data'!C:AB,24,FALSE),"")</f>
        <v/>
      </c>
      <c r="S2948" t="str">
        <f>IFERROR(VLOOKUP('OB Format'!D2948,'Team Data'!C:AC,25,FALSE),"")</f>
        <v/>
      </c>
    </row>
    <row r="2949" spans="5:19" x14ac:dyDescent="0.25">
      <c r="E2949" t="str">
        <f>IFERROR(VLOOKUP(D2949,'Team Data'!C:AB,4,FALSE),"")</f>
        <v/>
      </c>
      <c r="F2949" t="str">
        <f>IFERROR(VLOOKUP(D2949,'Team Data'!C:AB,5,FALSE),"")</f>
        <v/>
      </c>
      <c r="G2949" t="str">
        <f>IFERROR(VLOOKUP('OB Format'!D2949,'Team Data'!C:AB,17,FALSE),"")</f>
        <v/>
      </c>
      <c r="H2949" t="str">
        <f>IFERROR(VLOOKUP(D2949,'Team Data'!C:AB,7,FALSE),"")</f>
        <v/>
      </c>
      <c r="I2949" t="str">
        <f>IFERROR(VLOOKUP(D2949,'Team Data'!C:AB,14,FALSE),"")</f>
        <v/>
      </c>
      <c r="J2949" t="str">
        <f>IFERROR(VLOOKUP(D2949,'Team Data'!C:AB,8,FALSE),"")</f>
        <v/>
      </c>
      <c r="K2949" t="str">
        <f>IFERROR(VLOOKUP(D2949,'Team Data'!C:AB,9,FALSE),"")</f>
        <v/>
      </c>
      <c r="L2949" t="str">
        <f>IFERROR(VLOOKUP(D2949,'Team Data'!C:AB,10,FALSE),"")</f>
        <v/>
      </c>
      <c r="M2949" t="str">
        <f t="shared" si="92"/>
        <v/>
      </c>
      <c r="N2949" t="str">
        <f>IFERROR(VLOOKUP(D2949,'Team Data'!C:AB,23,FALSE),"")</f>
        <v/>
      </c>
      <c r="O2949" t="str">
        <f>IFERROR(VLOOKUP(D2949,'Team Data'!C:AB,22,FALSE),"")</f>
        <v/>
      </c>
      <c r="P2949" t="str">
        <f t="shared" si="93"/>
        <v/>
      </c>
      <c r="Q2949" t="str">
        <f>IFERROR(VLOOKUP(D2949,'Team Data'!C:AB,15,FALSE),"")</f>
        <v/>
      </c>
      <c r="R2949" t="str">
        <f>IFERROR(VLOOKUP('OB Format'!D2949,'Team Data'!C:AB,24,FALSE),"")</f>
        <v/>
      </c>
      <c r="S2949" t="str">
        <f>IFERROR(VLOOKUP('OB Format'!D2949,'Team Data'!C:AC,25,FALSE),"")</f>
        <v/>
      </c>
    </row>
    <row r="2950" spans="5:19" x14ac:dyDescent="0.25">
      <c r="E2950" t="str">
        <f>IFERROR(VLOOKUP(D2950,'Team Data'!C:AB,4,FALSE),"")</f>
        <v/>
      </c>
      <c r="F2950" t="str">
        <f>IFERROR(VLOOKUP(D2950,'Team Data'!C:AB,5,FALSE),"")</f>
        <v/>
      </c>
      <c r="G2950" t="str">
        <f>IFERROR(VLOOKUP('OB Format'!D2950,'Team Data'!C:AB,17,FALSE),"")</f>
        <v/>
      </c>
      <c r="H2950" t="str">
        <f>IFERROR(VLOOKUP(D2950,'Team Data'!C:AB,7,FALSE),"")</f>
        <v/>
      </c>
      <c r="I2950" t="str">
        <f>IFERROR(VLOOKUP(D2950,'Team Data'!C:AB,14,FALSE),"")</f>
        <v/>
      </c>
      <c r="J2950" t="str">
        <f>IFERROR(VLOOKUP(D2950,'Team Data'!C:AB,8,FALSE),"")</f>
        <v/>
      </c>
      <c r="K2950" t="str">
        <f>IFERROR(VLOOKUP(D2950,'Team Data'!C:AB,9,FALSE),"")</f>
        <v/>
      </c>
      <c r="L2950" t="str">
        <f>IFERROR(VLOOKUP(D2950,'Team Data'!C:AB,10,FALSE),"")</f>
        <v/>
      </c>
      <c r="M2950" t="str">
        <f t="shared" si="92"/>
        <v/>
      </c>
      <c r="N2950" t="str">
        <f>IFERROR(VLOOKUP(D2950,'Team Data'!C:AB,23,FALSE),"")</f>
        <v/>
      </c>
      <c r="O2950" t="str">
        <f>IFERROR(VLOOKUP(D2950,'Team Data'!C:AB,22,FALSE),"")</f>
        <v/>
      </c>
      <c r="P2950" t="str">
        <f t="shared" si="93"/>
        <v/>
      </c>
      <c r="Q2950" t="str">
        <f>IFERROR(VLOOKUP(D2950,'Team Data'!C:AB,15,FALSE),"")</f>
        <v/>
      </c>
      <c r="R2950" t="str">
        <f>IFERROR(VLOOKUP('OB Format'!D2950,'Team Data'!C:AB,24,FALSE),"")</f>
        <v/>
      </c>
      <c r="S2950" t="str">
        <f>IFERROR(VLOOKUP('OB Format'!D2950,'Team Data'!C:AC,25,FALSE),"")</f>
        <v/>
      </c>
    </row>
    <row r="2951" spans="5:19" x14ac:dyDescent="0.25">
      <c r="E2951" t="str">
        <f>IFERROR(VLOOKUP(D2951,'Team Data'!C:AB,4,FALSE),"")</f>
        <v/>
      </c>
      <c r="F2951" t="str">
        <f>IFERROR(VLOOKUP(D2951,'Team Data'!C:AB,5,FALSE),"")</f>
        <v/>
      </c>
      <c r="G2951" t="str">
        <f>IFERROR(VLOOKUP('OB Format'!D2951,'Team Data'!C:AB,17,FALSE),"")</f>
        <v/>
      </c>
      <c r="H2951" t="str">
        <f>IFERROR(VLOOKUP(D2951,'Team Data'!C:AB,7,FALSE),"")</f>
        <v/>
      </c>
      <c r="I2951" t="str">
        <f>IFERROR(VLOOKUP(D2951,'Team Data'!C:AB,14,FALSE),"")</f>
        <v/>
      </c>
      <c r="J2951" t="str">
        <f>IFERROR(VLOOKUP(D2951,'Team Data'!C:AB,8,FALSE),"")</f>
        <v/>
      </c>
      <c r="K2951" t="str">
        <f>IFERROR(VLOOKUP(D2951,'Team Data'!C:AB,9,FALSE),"")</f>
        <v/>
      </c>
      <c r="L2951" t="str">
        <f>IFERROR(VLOOKUP(D2951,'Team Data'!C:AB,10,FALSE),"")</f>
        <v/>
      </c>
      <c r="M2951" t="str">
        <f t="shared" si="92"/>
        <v/>
      </c>
      <c r="N2951" t="str">
        <f>IFERROR(VLOOKUP(D2951,'Team Data'!C:AB,23,FALSE),"")</f>
        <v/>
      </c>
      <c r="O2951" t="str">
        <f>IFERROR(VLOOKUP(D2951,'Team Data'!C:AB,22,FALSE),"")</f>
        <v/>
      </c>
      <c r="P2951" t="str">
        <f t="shared" si="93"/>
        <v/>
      </c>
      <c r="Q2951" t="str">
        <f>IFERROR(VLOOKUP(D2951,'Team Data'!C:AB,15,FALSE),"")</f>
        <v/>
      </c>
      <c r="R2951" t="str">
        <f>IFERROR(VLOOKUP('OB Format'!D2951,'Team Data'!C:AB,24,FALSE),"")</f>
        <v/>
      </c>
      <c r="S2951" t="str">
        <f>IFERROR(VLOOKUP('OB Format'!D2951,'Team Data'!C:AC,25,FALSE),"")</f>
        <v/>
      </c>
    </row>
    <row r="2952" spans="5:19" x14ac:dyDescent="0.25">
      <c r="E2952" t="str">
        <f>IFERROR(VLOOKUP(D2952,'Team Data'!C:AB,4,FALSE),"")</f>
        <v/>
      </c>
      <c r="F2952" t="str">
        <f>IFERROR(VLOOKUP(D2952,'Team Data'!C:AB,5,FALSE),"")</f>
        <v/>
      </c>
      <c r="G2952" t="str">
        <f>IFERROR(VLOOKUP('OB Format'!D2952,'Team Data'!C:AB,17,FALSE),"")</f>
        <v/>
      </c>
      <c r="H2952" t="str">
        <f>IFERROR(VLOOKUP(D2952,'Team Data'!C:AB,7,FALSE),"")</f>
        <v/>
      </c>
      <c r="I2952" t="str">
        <f>IFERROR(VLOOKUP(D2952,'Team Data'!C:AB,14,FALSE),"")</f>
        <v/>
      </c>
      <c r="J2952" t="str">
        <f>IFERROR(VLOOKUP(D2952,'Team Data'!C:AB,8,FALSE),"")</f>
        <v/>
      </c>
      <c r="K2952" t="str">
        <f>IFERROR(VLOOKUP(D2952,'Team Data'!C:AB,9,FALSE),"")</f>
        <v/>
      </c>
      <c r="L2952" t="str">
        <f>IFERROR(VLOOKUP(D2952,'Team Data'!C:AB,10,FALSE),"")</f>
        <v/>
      </c>
      <c r="M2952" t="str">
        <f t="shared" si="92"/>
        <v/>
      </c>
      <c r="N2952" t="str">
        <f>IFERROR(VLOOKUP(D2952,'Team Data'!C:AB,23,FALSE),"")</f>
        <v/>
      </c>
      <c r="O2952" t="str">
        <f>IFERROR(VLOOKUP(D2952,'Team Data'!C:AB,22,FALSE),"")</f>
        <v/>
      </c>
      <c r="P2952" t="str">
        <f t="shared" si="93"/>
        <v/>
      </c>
      <c r="Q2952" t="str">
        <f>IFERROR(VLOOKUP(D2952,'Team Data'!C:AB,15,FALSE),"")</f>
        <v/>
      </c>
      <c r="R2952" t="str">
        <f>IFERROR(VLOOKUP('OB Format'!D2952,'Team Data'!C:AB,24,FALSE),"")</f>
        <v/>
      </c>
      <c r="S2952" t="str">
        <f>IFERROR(VLOOKUP('OB Format'!D2952,'Team Data'!C:AC,25,FALSE),"")</f>
        <v/>
      </c>
    </row>
    <row r="2953" spans="5:19" x14ac:dyDescent="0.25">
      <c r="E2953" t="str">
        <f>IFERROR(VLOOKUP(D2953,'Team Data'!C:AB,4,FALSE),"")</f>
        <v/>
      </c>
      <c r="F2953" t="str">
        <f>IFERROR(VLOOKUP(D2953,'Team Data'!C:AB,5,FALSE),"")</f>
        <v/>
      </c>
      <c r="G2953" t="str">
        <f>IFERROR(VLOOKUP('OB Format'!D2953,'Team Data'!C:AB,17,FALSE),"")</f>
        <v/>
      </c>
      <c r="H2953" t="str">
        <f>IFERROR(VLOOKUP(D2953,'Team Data'!C:AB,7,FALSE),"")</f>
        <v/>
      </c>
      <c r="I2953" t="str">
        <f>IFERROR(VLOOKUP(D2953,'Team Data'!C:AB,14,FALSE),"")</f>
        <v/>
      </c>
      <c r="J2953" t="str">
        <f>IFERROR(VLOOKUP(D2953,'Team Data'!C:AB,8,FALSE),"")</f>
        <v/>
      </c>
      <c r="K2953" t="str">
        <f>IFERROR(VLOOKUP(D2953,'Team Data'!C:AB,9,FALSE),"")</f>
        <v/>
      </c>
      <c r="L2953" t="str">
        <f>IFERROR(VLOOKUP(D2953,'Team Data'!C:AB,10,FALSE),"")</f>
        <v/>
      </c>
      <c r="M2953" t="str">
        <f t="shared" si="92"/>
        <v/>
      </c>
      <c r="N2953" t="str">
        <f>IFERROR(VLOOKUP(D2953,'Team Data'!C:AB,23,FALSE),"")</f>
        <v/>
      </c>
      <c r="O2953" t="str">
        <f>IFERROR(VLOOKUP(D2953,'Team Data'!C:AB,22,FALSE),"")</f>
        <v/>
      </c>
      <c r="P2953" t="str">
        <f t="shared" si="93"/>
        <v/>
      </c>
      <c r="Q2953" t="str">
        <f>IFERROR(VLOOKUP(D2953,'Team Data'!C:AB,15,FALSE),"")</f>
        <v/>
      </c>
      <c r="R2953" t="str">
        <f>IFERROR(VLOOKUP('OB Format'!D2953,'Team Data'!C:AB,24,FALSE),"")</f>
        <v/>
      </c>
      <c r="S2953" t="str">
        <f>IFERROR(VLOOKUP('OB Format'!D2953,'Team Data'!C:AC,25,FALSE),"")</f>
        <v/>
      </c>
    </row>
    <row r="2954" spans="5:19" x14ac:dyDescent="0.25">
      <c r="E2954" t="str">
        <f>IFERROR(VLOOKUP(D2954,'Team Data'!C:AB,4,FALSE),"")</f>
        <v/>
      </c>
      <c r="F2954" t="str">
        <f>IFERROR(VLOOKUP(D2954,'Team Data'!C:AB,5,FALSE),"")</f>
        <v/>
      </c>
      <c r="G2954" t="str">
        <f>IFERROR(VLOOKUP('OB Format'!D2954,'Team Data'!C:AB,17,FALSE),"")</f>
        <v/>
      </c>
      <c r="H2954" t="str">
        <f>IFERROR(VLOOKUP(D2954,'Team Data'!C:AB,7,FALSE),"")</f>
        <v/>
      </c>
      <c r="I2954" t="str">
        <f>IFERROR(VLOOKUP(D2954,'Team Data'!C:AB,14,FALSE),"")</f>
        <v/>
      </c>
      <c r="J2954" t="str">
        <f>IFERROR(VLOOKUP(D2954,'Team Data'!C:AB,8,FALSE),"")</f>
        <v/>
      </c>
      <c r="K2954" t="str">
        <f>IFERROR(VLOOKUP(D2954,'Team Data'!C:AB,9,FALSE),"")</f>
        <v/>
      </c>
      <c r="L2954" t="str">
        <f>IFERROR(VLOOKUP(D2954,'Team Data'!C:AB,10,FALSE),"")</f>
        <v/>
      </c>
      <c r="M2954" t="str">
        <f t="shared" si="92"/>
        <v/>
      </c>
      <c r="N2954" t="str">
        <f>IFERROR(VLOOKUP(D2954,'Team Data'!C:AB,23,FALSE),"")</f>
        <v/>
      </c>
      <c r="O2954" t="str">
        <f>IFERROR(VLOOKUP(D2954,'Team Data'!C:AB,22,FALSE),"")</f>
        <v/>
      </c>
      <c r="P2954" t="str">
        <f t="shared" si="93"/>
        <v/>
      </c>
      <c r="Q2954" t="str">
        <f>IFERROR(VLOOKUP(D2954,'Team Data'!C:AB,15,FALSE),"")</f>
        <v/>
      </c>
      <c r="R2954" t="str">
        <f>IFERROR(VLOOKUP('OB Format'!D2954,'Team Data'!C:AB,24,FALSE),"")</f>
        <v/>
      </c>
      <c r="S2954" t="str">
        <f>IFERROR(VLOOKUP('OB Format'!D2954,'Team Data'!C:AC,25,FALSE),"")</f>
        <v/>
      </c>
    </row>
    <row r="2955" spans="5:19" x14ac:dyDescent="0.25">
      <c r="E2955" t="str">
        <f>IFERROR(VLOOKUP(D2955,'Team Data'!C:AB,4,FALSE),"")</f>
        <v/>
      </c>
      <c r="F2955" t="str">
        <f>IFERROR(VLOOKUP(D2955,'Team Data'!C:AB,5,FALSE),"")</f>
        <v/>
      </c>
      <c r="G2955" t="str">
        <f>IFERROR(VLOOKUP('OB Format'!D2955,'Team Data'!C:AB,17,FALSE),"")</f>
        <v/>
      </c>
      <c r="H2955" t="str">
        <f>IFERROR(VLOOKUP(D2955,'Team Data'!C:AB,7,FALSE),"")</f>
        <v/>
      </c>
      <c r="I2955" t="str">
        <f>IFERROR(VLOOKUP(D2955,'Team Data'!C:AB,14,FALSE),"")</f>
        <v/>
      </c>
      <c r="J2955" t="str">
        <f>IFERROR(VLOOKUP(D2955,'Team Data'!C:AB,8,FALSE),"")</f>
        <v/>
      </c>
      <c r="K2955" t="str">
        <f>IFERROR(VLOOKUP(D2955,'Team Data'!C:AB,9,FALSE),"")</f>
        <v/>
      </c>
      <c r="L2955" t="str">
        <f>IFERROR(VLOOKUP(D2955,'Team Data'!C:AB,10,FALSE),"")</f>
        <v/>
      </c>
      <c r="M2955" t="str">
        <f t="shared" si="92"/>
        <v/>
      </c>
      <c r="N2955" t="str">
        <f>IFERROR(VLOOKUP(D2955,'Team Data'!C:AB,23,FALSE),"")</f>
        <v/>
      </c>
      <c r="O2955" t="str">
        <f>IFERROR(VLOOKUP(D2955,'Team Data'!C:AB,22,FALSE),"")</f>
        <v/>
      </c>
      <c r="P2955" t="str">
        <f t="shared" si="93"/>
        <v/>
      </c>
      <c r="Q2955" t="str">
        <f>IFERROR(VLOOKUP(D2955,'Team Data'!C:AB,15,FALSE),"")</f>
        <v/>
      </c>
      <c r="R2955" t="str">
        <f>IFERROR(VLOOKUP('OB Format'!D2955,'Team Data'!C:AB,24,FALSE),"")</f>
        <v/>
      </c>
      <c r="S2955" t="str">
        <f>IFERROR(VLOOKUP('OB Format'!D2955,'Team Data'!C:AC,25,FALSE),"")</f>
        <v/>
      </c>
    </row>
    <row r="2956" spans="5:19" x14ac:dyDescent="0.25">
      <c r="E2956" t="str">
        <f>IFERROR(VLOOKUP(D2956,'Team Data'!C:AB,4,FALSE),"")</f>
        <v/>
      </c>
      <c r="F2956" t="str">
        <f>IFERROR(VLOOKUP(D2956,'Team Data'!C:AB,5,FALSE),"")</f>
        <v/>
      </c>
      <c r="G2956" t="str">
        <f>IFERROR(VLOOKUP('OB Format'!D2956,'Team Data'!C:AB,17,FALSE),"")</f>
        <v/>
      </c>
      <c r="H2956" t="str">
        <f>IFERROR(VLOOKUP(D2956,'Team Data'!C:AB,7,FALSE),"")</f>
        <v/>
      </c>
      <c r="I2956" t="str">
        <f>IFERROR(VLOOKUP(D2956,'Team Data'!C:AB,14,FALSE),"")</f>
        <v/>
      </c>
      <c r="J2956" t="str">
        <f>IFERROR(VLOOKUP(D2956,'Team Data'!C:AB,8,FALSE),"")</f>
        <v/>
      </c>
      <c r="K2956" t="str">
        <f>IFERROR(VLOOKUP(D2956,'Team Data'!C:AB,9,FALSE),"")</f>
        <v/>
      </c>
      <c r="L2956" t="str">
        <f>IFERROR(VLOOKUP(D2956,'Team Data'!C:AB,10,FALSE),"")</f>
        <v/>
      </c>
      <c r="M2956" t="str">
        <f t="shared" si="92"/>
        <v/>
      </c>
      <c r="N2956" t="str">
        <f>IFERROR(VLOOKUP(D2956,'Team Data'!C:AB,23,FALSE),"")</f>
        <v/>
      </c>
      <c r="O2956" t="str">
        <f>IFERROR(VLOOKUP(D2956,'Team Data'!C:AB,22,FALSE),"")</f>
        <v/>
      </c>
      <c r="P2956" t="str">
        <f t="shared" si="93"/>
        <v/>
      </c>
      <c r="Q2956" t="str">
        <f>IFERROR(VLOOKUP(D2956,'Team Data'!C:AB,15,FALSE),"")</f>
        <v/>
      </c>
      <c r="R2956" t="str">
        <f>IFERROR(VLOOKUP('OB Format'!D2956,'Team Data'!C:AB,24,FALSE),"")</f>
        <v/>
      </c>
      <c r="S2956" t="str">
        <f>IFERROR(VLOOKUP('OB Format'!D2956,'Team Data'!C:AC,25,FALSE),"")</f>
        <v/>
      </c>
    </row>
    <row r="2957" spans="5:19" x14ac:dyDescent="0.25">
      <c r="E2957" t="str">
        <f>IFERROR(VLOOKUP(D2957,'Team Data'!C:AB,4,FALSE),"")</f>
        <v/>
      </c>
      <c r="F2957" t="str">
        <f>IFERROR(VLOOKUP(D2957,'Team Data'!C:AB,5,FALSE),"")</f>
        <v/>
      </c>
      <c r="G2957" t="str">
        <f>IFERROR(VLOOKUP('OB Format'!D2957,'Team Data'!C:AB,17,FALSE),"")</f>
        <v/>
      </c>
      <c r="H2957" t="str">
        <f>IFERROR(VLOOKUP(D2957,'Team Data'!C:AB,7,FALSE),"")</f>
        <v/>
      </c>
      <c r="I2957" t="str">
        <f>IFERROR(VLOOKUP(D2957,'Team Data'!C:AB,14,FALSE),"")</f>
        <v/>
      </c>
      <c r="J2957" t="str">
        <f>IFERROR(VLOOKUP(D2957,'Team Data'!C:AB,8,FALSE),"")</f>
        <v/>
      </c>
      <c r="K2957" t="str">
        <f>IFERROR(VLOOKUP(D2957,'Team Data'!C:AB,9,FALSE),"")</f>
        <v/>
      </c>
      <c r="L2957" t="str">
        <f>IFERROR(VLOOKUP(D2957,'Team Data'!C:AB,10,FALSE),"")</f>
        <v/>
      </c>
      <c r="M2957" t="str">
        <f t="shared" ref="M2957:M3000" si="94">IFERROR(H2957-(J2957+L2957+K2957),"")</f>
        <v/>
      </c>
      <c r="N2957" t="str">
        <f>IFERROR(VLOOKUP(D2957,'Team Data'!C:AB,23,FALSE),"")</f>
        <v/>
      </c>
      <c r="O2957" t="str">
        <f>IFERROR(VLOOKUP(D2957,'Team Data'!C:AB,22,FALSE),"")</f>
        <v/>
      </c>
      <c r="P2957" t="str">
        <f t="shared" ref="P2957:P3000" si="95">IFERROR(E2957-(H2957+N2957+Q2957+I2957+O2957),"")</f>
        <v/>
      </c>
      <c r="Q2957" t="str">
        <f>IFERROR(VLOOKUP(D2957,'Team Data'!C:AB,15,FALSE),"")</f>
        <v/>
      </c>
      <c r="R2957" t="str">
        <f>IFERROR(VLOOKUP('OB Format'!D2957,'Team Data'!C:AB,24,FALSE),"")</f>
        <v/>
      </c>
      <c r="S2957" t="str">
        <f>IFERROR(VLOOKUP('OB Format'!D2957,'Team Data'!C:AC,25,FALSE),"")</f>
        <v/>
      </c>
    </row>
    <row r="2958" spans="5:19" x14ac:dyDescent="0.25">
      <c r="E2958" t="str">
        <f>IFERROR(VLOOKUP(D2958,'Team Data'!C:AB,4,FALSE),"")</f>
        <v/>
      </c>
      <c r="F2958" t="str">
        <f>IFERROR(VLOOKUP(D2958,'Team Data'!C:AB,5,FALSE),"")</f>
        <v/>
      </c>
      <c r="G2958" t="str">
        <f>IFERROR(VLOOKUP('OB Format'!D2958,'Team Data'!C:AB,17,FALSE),"")</f>
        <v/>
      </c>
      <c r="H2958" t="str">
        <f>IFERROR(VLOOKUP(D2958,'Team Data'!C:AB,7,FALSE),"")</f>
        <v/>
      </c>
      <c r="I2958" t="str">
        <f>IFERROR(VLOOKUP(D2958,'Team Data'!C:AB,14,FALSE),"")</f>
        <v/>
      </c>
      <c r="J2958" t="str">
        <f>IFERROR(VLOOKUP(D2958,'Team Data'!C:AB,8,FALSE),"")</f>
        <v/>
      </c>
      <c r="K2958" t="str">
        <f>IFERROR(VLOOKUP(D2958,'Team Data'!C:AB,9,FALSE),"")</f>
        <v/>
      </c>
      <c r="L2958" t="str">
        <f>IFERROR(VLOOKUP(D2958,'Team Data'!C:AB,10,FALSE),"")</f>
        <v/>
      </c>
      <c r="M2958" t="str">
        <f t="shared" si="94"/>
        <v/>
      </c>
      <c r="N2958" t="str">
        <f>IFERROR(VLOOKUP(D2958,'Team Data'!C:AB,23,FALSE),"")</f>
        <v/>
      </c>
      <c r="O2958" t="str">
        <f>IFERROR(VLOOKUP(D2958,'Team Data'!C:AB,22,FALSE),"")</f>
        <v/>
      </c>
      <c r="P2958" t="str">
        <f t="shared" si="95"/>
        <v/>
      </c>
      <c r="Q2958" t="str">
        <f>IFERROR(VLOOKUP(D2958,'Team Data'!C:AB,15,FALSE),"")</f>
        <v/>
      </c>
      <c r="R2958" t="str">
        <f>IFERROR(VLOOKUP('OB Format'!D2958,'Team Data'!C:AB,24,FALSE),"")</f>
        <v/>
      </c>
      <c r="S2958" t="str">
        <f>IFERROR(VLOOKUP('OB Format'!D2958,'Team Data'!C:AC,25,FALSE),"")</f>
        <v/>
      </c>
    </row>
    <row r="2959" spans="5:19" x14ac:dyDescent="0.25">
      <c r="E2959" t="str">
        <f>IFERROR(VLOOKUP(D2959,'Team Data'!C:AB,4,FALSE),"")</f>
        <v/>
      </c>
      <c r="F2959" t="str">
        <f>IFERROR(VLOOKUP(D2959,'Team Data'!C:AB,5,FALSE),"")</f>
        <v/>
      </c>
      <c r="G2959" t="str">
        <f>IFERROR(VLOOKUP('OB Format'!D2959,'Team Data'!C:AB,17,FALSE),"")</f>
        <v/>
      </c>
      <c r="H2959" t="str">
        <f>IFERROR(VLOOKUP(D2959,'Team Data'!C:AB,7,FALSE),"")</f>
        <v/>
      </c>
      <c r="I2959" t="str">
        <f>IFERROR(VLOOKUP(D2959,'Team Data'!C:AB,14,FALSE),"")</f>
        <v/>
      </c>
      <c r="J2959" t="str">
        <f>IFERROR(VLOOKUP(D2959,'Team Data'!C:AB,8,FALSE),"")</f>
        <v/>
      </c>
      <c r="K2959" t="str">
        <f>IFERROR(VLOOKUP(D2959,'Team Data'!C:AB,9,FALSE),"")</f>
        <v/>
      </c>
      <c r="L2959" t="str">
        <f>IFERROR(VLOOKUP(D2959,'Team Data'!C:AB,10,FALSE),"")</f>
        <v/>
      </c>
      <c r="M2959" t="str">
        <f t="shared" si="94"/>
        <v/>
      </c>
      <c r="N2959" t="str">
        <f>IFERROR(VLOOKUP(D2959,'Team Data'!C:AB,23,FALSE),"")</f>
        <v/>
      </c>
      <c r="O2959" t="str">
        <f>IFERROR(VLOOKUP(D2959,'Team Data'!C:AB,22,FALSE),"")</f>
        <v/>
      </c>
      <c r="P2959" t="str">
        <f t="shared" si="95"/>
        <v/>
      </c>
      <c r="Q2959" t="str">
        <f>IFERROR(VLOOKUP(D2959,'Team Data'!C:AB,15,FALSE),"")</f>
        <v/>
      </c>
      <c r="R2959" t="str">
        <f>IFERROR(VLOOKUP('OB Format'!D2959,'Team Data'!C:AB,24,FALSE),"")</f>
        <v/>
      </c>
      <c r="S2959" t="str">
        <f>IFERROR(VLOOKUP('OB Format'!D2959,'Team Data'!C:AC,25,FALSE),"")</f>
        <v/>
      </c>
    </row>
    <row r="2960" spans="5:19" x14ac:dyDescent="0.25">
      <c r="E2960" t="str">
        <f>IFERROR(VLOOKUP(D2960,'Team Data'!C:AB,4,FALSE),"")</f>
        <v/>
      </c>
      <c r="F2960" t="str">
        <f>IFERROR(VLOOKUP(D2960,'Team Data'!C:AB,5,FALSE),"")</f>
        <v/>
      </c>
      <c r="G2960" t="str">
        <f>IFERROR(VLOOKUP('OB Format'!D2960,'Team Data'!C:AB,17,FALSE),"")</f>
        <v/>
      </c>
      <c r="H2960" t="str">
        <f>IFERROR(VLOOKUP(D2960,'Team Data'!C:AB,7,FALSE),"")</f>
        <v/>
      </c>
      <c r="I2960" t="str">
        <f>IFERROR(VLOOKUP(D2960,'Team Data'!C:AB,14,FALSE),"")</f>
        <v/>
      </c>
      <c r="J2960" t="str">
        <f>IFERROR(VLOOKUP(D2960,'Team Data'!C:AB,8,FALSE),"")</f>
        <v/>
      </c>
      <c r="K2960" t="str">
        <f>IFERROR(VLOOKUP(D2960,'Team Data'!C:AB,9,FALSE),"")</f>
        <v/>
      </c>
      <c r="L2960" t="str">
        <f>IFERROR(VLOOKUP(D2960,'Team Data'!C:AB,10,FALSE),"")</f>
        <v/>
      </c>
      <c r="M2960" t="str">
        <f t="shared" si="94"/>
        <v/>
      </c>
      <c r="N2960" t="str">
        <f>IFERROR(VLOOKUP(D2960,'Team Data'!C:AB,23,FALSE),"")</f>
        <v/>
      </c>
      <c r="O2960" t="str">
        <f>IFERROR(VLOOKUP(D2960,'Team Data'!C:AB,22,FALSE),"")</f>
        <v/>
      </c>
      <c r="P2960" t="str">
        <f t="shared" si="95"/>
        <v/>
      </c>
      <c r="Q2960" t="str">
        <f>IFERROR(VLOOKUP(D2960,'Team Data'!C:AB,15,FALSE),"")</f>
        <v/>
      </c>
      <c r="R2960" t="str">
        <f>IFERROR(VLOOKUP('OB Format'!D2960,'Team Data'!C:AB,24,FALSE),"")</f>
        <v/>
      </c>
      <c r="S2960" t="str">
        <f>IFERROR(VLOOKUP('OB Format'!D2960,'Team Data'!C:AC,25,FALSE),"")</f>
        <v/>
      </c>
    </row>
    <row r="2961" spans="5:19" x14ac:dyDescent="0.25">
      <c r="E2961" t="str">
        <f>IFERROR(VLOOKUP(D2961,'Team Data'!C:AB,4,FALSE),"")</f>
        <v/>
      </c>
      <c r="F2961" t="str">
        <f>IFERROR(VLOOKUP(D2961,'Team Data'!C:AB,5,FALSE),"")</f>
        <v/>
      </c>
      <c r="G2961" t="str">
        <f>IFERROR(VLOOKUP('OB Format'!D2961,'Team Data'!C:AB,17,FALSE),"")</f>
        <v/>
      </c>
      <c r="H2961" t="str">
        <f>IFERROR(VLOOKUP(D2961,'Team Data'!C:AB,7,FALSE),"")</f>
        <v/>
      </c>
      <c r="I2961" t="str">
        <f>IFERROR(VLOOKUP(D2961,'Team Data'!C:AB,14,FALSE),"")</f>
        <v/>
      </c>
      <c r="J2961" t="str">
        <f>IFERROR(VLOOKUP(D2961,'Team Data'!C:AB,8,FALSE),"")</f>
        <v/>
      </c>
      <c r="K2961" t="str">
        <f>IFERROR(VLOOKUP(D2961,'Team Data'!C:AB,9,FALSE),"")</f>
        <v/>
      </c>
      <c r="L2961" t="str">
        <f>IFERROR(VLOOKUP(D2961,'Team Data'!C:AB,10,FALSE),"")</f>
        <v/>
      </c>
      <c r="M2961" t="str">
        <f t="shared" si="94"/>
        <v/>
      </c>
      <c r="N2961" t="str">
        <f>IFERROR(VLOOKUP(D2961,'Team Data'!C:AB,23,FALSE),"")</f>
        <v/>
      </c>
      <c r="O2961" t="str">
        <f>IFERROR(VLOOKUP(D2961,'Team Data'!C:AB,22,FALSE),"")</f>
        <v/>
      </c>
      <c r="P2961" t="str">
        <f t="shared" si="95"/>
        <v/>
      </c>
      <c r="Q2961" t="str">
        <f>IFERROR(VLOOKUP(D2961,'Team Data'!C:AB,15,FALSE),"")</f>
        <v/>
      </c>
      <c r="R2961" t="str">
        <f>IFERROR(VLOOKUP('OB Format'!D2961,'Team Data'!C:AB,24,FALSE),"")</f>
        <v/>
      </c>
      <c r="S2961" t="str">
        <f>IFERROR(VLOOKUP('OB Format'!D2961,'Team Data'!C:AC,25,FALSE),"")</f>
        <v/>
      </c>
    </row>
    <row r="2962" spans="5:19" x14ac:dyDescent="0.25">
      <c r="E2962" t="str">
        <f>IFERROR(VLOOKUP(D2962,'Team Data'!C:AB,4,FALSE),"")</f>
        <v/>
      </c>
      <c r="F2962" t="str">
        <f>IFERROR(VLOOKUP(D2962,'Team Data'!C:AB,5,FALSE),"")</f>
        <v/>
      </c>
      <c r="G2962" t="str">
        <f>IFERROR(VLOOKUP('OB Format'!D2962,'Team Data'!C:AB,17,FALSE),"")</f>
        <v/>
      </c>
      <c r="H2962" t="str">
        <f>IFERROR(VLOOKUP(D2962,'Team Data'!C:AB,7,FALSE),"")</f>
        <v/>
      </c>
      <c r="I2962" t="str">
        <f>IFERROR(VLOOKUP(D2962,'Team Data'!C:AB,14,FALSE),"")</f>
        <v/>
      </c>
      <c r="J2962" t="str">
        <f>IFERROR(VLOOKUP(D2962,'Team Data'!C:AB,8,FALSE),"")</f>
        <v/>
      </c>
      <c r="K2962" t="str">
        <f>IFERROR(VLOOKUP(D2962,'Team Data'!C:AB,9,FALSE),"")</f>
        <v/>
      </c>
      <c r="L2962" t="str">
        <f>IFERROR(VLOOKUP(D2962,'Team Data'!C:AB,10,FALSE),"")</f>
        <v/>
      </c>
      <c r="M2962" t="str">
        <f t="shared" si="94"/>
        <v/>
      </c>
      <c r="N2962" t="str">
        <f>IFERROR(VLOOKUP(D2962,'Team Data'!C:AB,23,FALSE),"")</f>
        <v/>
      </c>
      <c r="O2962" t="str">
        <f>IFERROR(VLOOKUP(D2962,'Team Data'!C:AB,22,FALSE),"")</f>
        <v/>
      </c>
      <c r="P2962" t="str">
        <f t="shared" si="95"/>
        <v/>
      </c>
      <c r="Q2962" t="str">
        <f>IFERROR(VLOOKUP(D2962,'Team Data'!C:AB,15,FALSE),"")</f>
        <v/>
      </c>
      <c r="R2962" t="str">
        <f>IFERROR(VLOOKUP('OB Format'!D2962,'Team Data'!C:AB,24,FALSE),"")</f>
        <v/>
      </c>
      <c r="S2962" t="str">
        <f>IFERROR(VLOOKUP('OB Format'!D2962,'Team Data'!C:AC,25,FALSE),"")</f>
        <v/>
      </c>
    </row>
    <row r="2963" spans="5:19" x14ac:dyDescent="0.25">
      <c r="E2963" t="str">
        <f>IFERROR(VLOOKUP(D2963,'Team Data'!C:AB,4,FALSE),"")</f>
        <v/>
      </c>
      <c r="F2963" t="str">
        <f>IFERROR(VLOOKUP(D2963,'Team Data'!C:AB,5,FALSE),"")</f>
        <v/>
      </c>
      <c r="G2963" t="str">
        <f>IFERROR(VLOOKUP('OB Format'!D2963,'Team Data'!C:AB,17,FALSE),"")</f>
        <v/>
      </c>
      <c r="H2963" t="str">
        <f>IFERROR(VLOOKUP(D2963,'Team Data'!C:AB,7,FALSE),"")</f>
        <v/>
      </c>
      <c r="I2963" t="str">
        <f>IFERROR(VLOOKUP(D2963,'Team Data'!C:AB,14,FALSE),"")</f>
        <v/>
      </c>
      <c r="J2963" t="str">
        <f>IFERROR(VLOOKUP(D2963,'Team Data'!C:AB,8,FALSE),"")</f>
        <v/>
      </c>
      <c r="K2963" t="str">
        <f>IFERROR(VLOOKUP(D2963,'Team Data'!C:AB,9,FALSE),"")</f>
        <v/>
      </c>
      <c r="L2963" t="str">
        <f>IFERROR(VLOOKUP(D2963,'Team Data'!C:AB,10,FALSE),"")</f>
        <v/>
      </c>
      <c r="M2963" t="str">
        <f t="shared" si="94"/>
        <v/>
      </c>
      <c r="N2963" t="str">
        <f>IFERROR(VLOOKUP(D2963,'Team Data'!C:AB,23,FALSE),"")</f>
        <v/>
      </c>
      <c r="O2963" t="str">
        <f>IFERROR(VLOOKUP(D2963,'Team Data'!C:AB,22,FALSE),"")</f>
        <v/>
      </c>
      <c r="P2963" t="str">
        <f t="shared" si="95"/>
        <v/>
      </c>
      <c r="Q2963" t="str">
        <f>IFERROR(VLOOKUP(D2963,'Team Data'!C:AB,15,FALSE),"")</f>
        <v/>
      </c>
      <c r="R2963" t="str">
        <f>IFERROR(VLOOKUP('OB Format'!D2963,'Team Data'!C:AB,24,FALSE),"")</f>
        <v/>
      </c>
      <c r="S2963" t="str">
        <f>IFERROR(VLOOKUP('OB Format'!D2963,'Team Data'!C:AC,25,FALSE),"")</f>
        <v/>
      </c>
    </row>
    <row r="2964" spans="5:19" x14ac:dyDescent="0.25">
      <c r="E2964" t="str">
        <f>IFERROR(VLOOKUP(D2964,'Team Data'!C:AB,4,FALSE),"")</f>
        <v/>
      </c>
      <c r="F2964" t="str">
        <f>IFERROR(VLOOKUP(D2964,'Team Data'!C:AB,5,FALSE),"")</f>
        <v/>
      </c>
      <c r="G2964" t="str">
        <f>IFERROR(VLOOKUP('OB Format'!D2964,'Team Data'!C:AB,17,FALSE),"")</f>
        <v/>
      </c>
      <c r="H2964" t="str">
        <f>IFERROR(VLOOKUP(D2964,'Team Data'!C:AB,7,FALSE),"")</f>
        <v/>
      </c>
      <c r="I2964" t="str">
        <f>IFERROR(VLOOKUP(D2964,'Team Data'!C:AB,14,FALSE),"")</f>
        <v/>
      </c>
      <c r="J2964" t="str">
        <f>IFERROR(VLOOKUP(D2964,'Team Data'!C:AB,8,FALSE),"")</f>
        <v/>
      </c>
      <c r="K2964" t="str">
        <f>IFERROR(VLOOKUP(D2964,'Team Data'!C:AB,9,FALSE),"")</f>
        <v/>
      </c>
      <c r="L2964" t="str">
        <f>IFERROR(VLOOKUP(D2964,'Team Data'!C:AB,10,FALSE),"")</f>
        <v/>
      </c>
      <c r="M2964" t="str">
        <f t="shared" si="94"/>
        <v/>
      </c>
      <c r="N2964" t="str">
        <f>IFERROR(VLOOKUP(D2964,'Team Data'!C:AB,23,FALSE),"")</f>
        <v/>
      </c>
      <c r="O2964" t="str">
        <f>IFERROR(VLOOKUP(D2964,'Team Data'!C:AB,22,FALSE),"")</f>
        <v/>
      </c>
      <c r="P2964" t="str">
        <f t="shared" si="95"/>
        <v/>
      </c>
      <c r="Q2964" t="str">
        <f>IFERROR(VLOOKUP(D2964,'Team Data'!C:AB,15,FALSE),"")</f>
        <v/>
      </c>
      <c r="R2964" t="str">
        <f>IFERROR(VLOOKUP('OB Format'!D2964,'Team Data'!C:AB,24,FALSE),"")</f>
        <v/>
      </c>
      <c r="S2964" t="str">
        <f>IFERROR(VLOOKUP('OB Format'!D2964,'Team Data'!C:AC,25,FALSE),"")</f>
        <v/>
      </c>
    </row>
    <row r="2965" spans="5:19" x14ac:dyDescent="0.25">
      <c r="E2965" t="str">
        <f>IFERROR(VLOOKUP(D2965,'Team Data'!C:AB,4,FALSE),"")</f>
        <v/>
      </c>
      <c r="F2965" t="str">
        <f>IFERROR(VLOOKUP(D2965,'Team Data'!C:AB,5,FALSE),"")</f>
        <v/>
      </c>
      <c r="G2965" t="str">
        <f>IFERROR(VLOOKUP('OB Format'!D2965,'Team Data'!C:AB,17,FALSE),"")</f>
        <v/>
      </c>
      <c r="H2965" t="str">
        <f>IFERROR(VLOOKUP(D2965,'Team Data'!C:AB,7,FALSE),"")</f>
        <v/>
      </c>
      <c r="I2965" t="str">
        <f>IFERROR(VLOOKUP(D2965,'Team Data'!C:AB,14,FALSE),"")</f>
        <v/>
      </c>
      <c r="J2965" t="str">
        <f>IFERROR(VLOOKUP(D2965,'Team Data'!C:AB,8,FALSE),"")</f>
        <v/>
      </c>
      <c r="K2965" t="str">
        <f>IFERROR(VLOOKUP(D2965,'Team Data'!C:AB,9,FALSE),"")</f>
        <v/>
      </c>
      <c r="L2965" t="str">
        <f>IFERROR(VLOOKUP(D2965,'Team Data'!C:AB,10,FALSE),"")</f>
        <v/>
      </c>
      <c r="M2965" t="str">
        <f t="shared" si="94"/>
        <v/>
      </c>
      <c r="N2965" t="str">
        <f>IFERROR(VLOOKUP(D2965,'Team Data'!C:AB,23,FALSE),"")</f>
        <v/>
      </c>
      <c r="O2965" t="str">
        <f>IFERROR(VLOOKUP(D2965,'Team Data'!C:AB,22,FALSE),"")</f>
        <v/>
      </c>
      <c r="P2965" t="str">
        <f t="shared" si="95"/>
        <v/>
      </c>
      <c r="Q2965" t="str">
        <f>IFERROR(VLOOKUP(D2965,'Team Data'!C:AB,15,FALSE),"")</f>
        <v/>
      </c>
      <c r="R2965" t="str">
        <f>IFERROR(VLOOKUP('OB Format'!D2965,'Team Data'!C:AB,24,FALSE),"")</f>
        <v/>
      </c>
      <c r="S2965" t="str">
        <f>IFERROR(VLOOKUP('OB Format'!D2965,'Team Data'!C:AC,25,FALSE),"")</f>
        <v/>
      </c>
    </row>
    <row r="2966" spans="5:19" x14ac:dyDescent="0.25">
      <c r="E2966" t="str">
        <f>IFERROR(VLOOKUP(D2966,'Team Data'!C:AB,4,FALSE),"")</f>
        <v/>
      </c>
      <c r="F2966" t="str">
        <f>IFERROR(VLOOKUP(D2966,'Team Data'!C:AB,5,FALSE),"")</f>
        <v/>
      </c>
      <c r="G2966" t="str">
        <f>IFERROR(VLOOKUP('OB Format'!D2966,'Team Data'!C:AB,17,FALSE),"")</f>
        <v/>
      </c>
      <c r="H2966" t="str">
        <f>IFERROR(VLOOKUP(D2966,'Team Data'!C:AB,7,FALSE),"")</f>
        <v/>
      </c>
      <c r="I2966" t="str">
        <f>IFERROR(VLOOKUP(D2966,'Team Data'!C:AB,14,FALSE),"")</f>
        <v/>
      </c>
      <c r="J2966" t="str">
        <f>IFERROR(VLOOKUP(D2966,'Team Data'!C:AB,8,FALSE),"")</f>
        <v/>
      </c>
      <c r="K2966" t="str">
        <f>IFERROR(VLOOKUP(D2966,'Team Data'!C:AB,9,FALSE),"")</f>
        <v/>
      </c>
      <c r="L2966" t="str">
        <f>IFERROR(VLOOKUP(D2966,'Team Data'!C:AB,10,FALSE),"")</f>
        <v/>
      </c>
      <c r="M2966" t="str">
        <f t="shared" si="94"/>
        <v/>
      </c>
      <c r="N2966" t="str">
        <f>IFERROR(VLOOKUP(D2966,'Team Data'!C:AB,23,FALSE),"")</f>
        <v/>
      </c>
      <c r="O2966" t="str">
        <f>IFERROR(VLOOKUP(D2966,'Team Data'!C:AB,22,FALSE),"")</f>
        <v/>
      </c>
      <c r="P2966" t="str">
        <f t="shared" si="95"/>
        <v/>
      </c>
      <c r="Q2966" t="str">
        <f>IFERROR(VLOOKUP(D2966,'Team Data'!C:AB,15,FALSE),"")</f>
        <v/>
      </c>
      <c r="R2966" t="str">
        <f>IFERROR(VLOOKUP('OB Format'!D2966,'Team Data'!C:AB,24,FALSE),"")</f>
        <v/>
      </c>
      <c r="S2966" t="str">
        <f>IFERROR(VLOOKUP('OB Format'!D2966,'Team Data'!C:AC,25,FALSE),"")</f>
        <v/>
      </c>
    </row>
    <row r="2967" spans="5:19" x14ac:dyDescent="0.25">
      <c r="E2967" t="str">
        <f>IFERROR(VLOOKUP(D2967,'Team Data'!C:AB,4,FALSE),"")</f>
        <v/>
      </c>
      <c r="F2967" t="str">
        <f>IFERROR(VLOOKUP(D2967,'Team Data'!C:AB,5,FALSE),"")</f>
        <v/>
      </c>
      <c r="G2967" t="str">
        <f>IFERROR(VLOOKUP('OB Format'!D2967,'Team Data'!C:AB,17,FALSE),"")</f>
        <v/>
      </c>
      <c r="H2967" t="str">
        <f>IFERROR(VLOOKUP(D2967,'Team Data'!C:AB,7,FALSE),"")</f>
        <v/>
      </c>
      <c r="I2967" t="str">
        <f>IFERROR(VLOOKUP(D2967,'Team Data'!C:AB,14,FALSE),"")</f>
        <v/>
      </c>
      <c r="J2967" t="str">
        <f>IFERROR(VLOOKUP(D2967,'Team Data'!C:AB,8,FALSE),"")</f>
        <v/>
      </c>
      <c r="K2967" t="str">
        <f>IFERROR(VLOOKUP(D2967,'Team Data'!C:AB,9,FALSE),"")</f>
        <v/>
      </c>
      <c r="L2967" t="str">
        <f>IFERROR(VLOOKUP(D2967,'Team Data'!C:AB,10,FALSE),"")</f>
        <v/>
      </c>
      <c r="M2967" t="str">
        <f t="shared" si="94"/>
        <v/>
      </c>
      <c r="N2967" t="str">
        <f>IFERROR(VLOOKUP(D2967,'Team Data'!C:AB,23,FALSE),"")</f>
        <v/>
      </c>
      <c r="O2967" t="str">
        <f>IFERROR(VLOOKUP(D2967,'Team Data'!C:AB,22,FALSE),"")</f>
        <v/>
      </c>
      <c r="P2967" t="str">
        <f t="shared" si="95"/>
        <v/>
      </c>
      <c r="Q2967" t="str">
        <f>IFERROR(VLOOKUP(D2967,'Team Data'!C:AB,15,FALSE),"")</f>
        <v/>
      </c>
      <c r="R2967" t="str">
        <f>IFERROR(VLOOKUP('OB Format'!D2967,'Team Data'!C:AB,24,FALSE),"")</f>
        <v/>
      </c>
      <c r="S2967" t="str">
        <f>IFERROR(VLOOKUP('OB Format'!D2967,'Team Data'!C:AC,25,FALSE),"")</f>
        <v/>
      </c>
    </row>
    <row r="2968" spans="5:19" x14ac:dyDescent="0.25">
      <c r="E2968" t="str">
        <f>IFERROR(VLOOKUP(D2968,'Team Data'!C:AB,4,FALSE),"")</f>
        <v/>
      </c>
      <c r="F2968" t="str">
        <f>IFERROR(VLOOKUP(D2968,'Team Data'!C:AB,5,FALSE),"")</f>
        <v/>
      </c>
      <c r="G2968" t="str">
        <f>IFERROR(VLOOKUP('OB Format'!D2968,'Team Data'!C:AB,17,FALSE),"")</f>
        <v/>
      </c>
      <c r="H2968" t="str">
        <f>IFERROR(VLOOKUP(D2968,'Team Data'!C:AB,7,FALSE),"")</f>
        <v/>
      </c>
      <c r="I2968" t="str">
        <f>IFERROR(VLOOKUP(D2968,'Team Data'!C:AB,14,FALSE),"")</f>
        <v/>
      </c>
      <c r="J2968" t="str">
        <f>IFERROR(VLOOKUP(D2968,'Team Data'!C:AB,8,FALSE),"")</f>
        <v/>
      </c>
      <c r="K2968" t="str">
        <f>IFERROR(VLOOKUP(D2968,'Team Data'!C:AB,9,FALSE),"")</f>
        <v/>
      </c>
      <c r="L2968" t="str">
        <f>IFERROR(VLOOKUP(D2968,'Team Data'!C:AB,10,FALSE),"")</f>
        <v/>
      </c>
      <c r="M2968" t="str">
        <f t="shared" si="94"/>
        <v/>
      </c>
      <c r="N2968" t="str">
        <f>IFERROR(VLOOKUP(D2968,'Team Data'!C:AB,23,FALSE),"")</f>
        <v/>
      </c>
      <c r="O2968" t="str">
        <f>IFERROR(VLOOKUP(D2968,'Team Data'!C:AB,22,FALSE),"")</f>
        <v/>
      </c>
      <c r="P2968" t="str">
        <f t="shared" si="95"/>
        <v/>
      </c>
      <c r="Q2968" t="str">
        <f>IFERROR(VLOOKUP(D2968,'Team Data'!C:AB,15,FALSE),"")</f>
        <v/>
      </c>
      <c r="R2968" t="str">
        <f>IFERROR(VLOOKUP('OB Format'!D2968,'Team Data'!C:AB,24,FALSE),"")</f>
        <v/>
      </c>
      <c r="S2968" t="str">
        <f>IFERROR(VLOOKUP('OB Format'!D2968,'Team Data'!C:AC,25,FALSE),"")</f>
        <v/>
      </c>
    </row>
    <row r="2969" spans="5:19" x14ac:dyDescent="0.25">
      <c r="E2969" t="str">
        <f>IFERROR(VLOOKUP(D2969,'Team Data'!C:AB,4,FALSE),"")</f>
        <v/>
      </c>
      <c r="F2969" t="str">
        <f>IFERROR(VLOOKUP(D2969,'Team Data'!C:AB,5,FALSE),"")</f>
        <v/>
      </c>
      <c r="G2969" t="str">
        <f>IFERROR(VLOOKUP('OB Format'!D2969,'Team Data'!C:AB,17,FALSE),"")</f>
        <v/>
      </c>
      <c r="H2969" t="str">
        <f>IFERROR(VLOOKUP(D2969,'Team Data'!C:AB,7,FALSE),"")</f>
        <v/>
      </c>
      <c r="I2969" t="str">
        <f>IFERROR(VLOOKUP(D2969,'Team Data'!C:AB,14,FALSE),"")</f>
        <v/>
      </c>
      <c r="J2969" t="str">
        <f>IFERROR(VLOOKUP(D2969,'Team Data'!C:AB,8,FALSE),"")</f>
        <v/>
      </c>
      <c r="K2969" t="str">
        <f>IFERROR(VLOOKUP(D2969,'Team Data'!C:AB,9,FALSE),"")</f>
        <v/>
      </c>
      <c r="L2969" t="str">
        <f>IFERROR(VLOOKUP(D2969,'Team Data'!C:AB,10,FALSE),"")</f>
        <v/>
      </c>
      <c r="M2969" t="str">
        <f t="shared" si="94"/>
        <v/>
      </c>
      <c r="N2969" t="str">
        <f>IFERROR(VLOOKUP(D2969,'Team Data'!C:AB,23,FALSE),"")</f>
        <v/>
      </c>
      <c r="O2969" t="str">
        <f>IFERROR(VLOOKUP(D2969,'Team Data'!C:AB,22,FALSE),"")</f>
        <v/>
      </c>
      <c r="P2969" t="str">
        <f t="shared" si="95"/>
        <v/>
      </c>
      <c r="Q2969" t="str">
        <f>IFERROR(VLOOKUP(D2969,'Team Data'!C:AB,15,FALSE),"")</f>
        <v/>
      </c>
      <c r="R2969" t="str">
        <f>IFERROR(VLOOKUP('OB Format'!D2969,'Team Data'!C:AB,24,FALSE),"")</f>
        <v/>
      </c>
      <c r="S2969" t="str">
        <f>IFERROR(VLOOKUP('OB Format'!D2969,'Team Data'!C:AC,25,FALSE),"")</f>
        <v/>
      </c>
    </row>
    <row r="2970" spans="5:19" x14ac:dyDescent="0.25">
      <c r="E2970" t="str">
        <f>IFERROR(VLOOKUP(D2970,'Team Data'!C:AB,4,FALSE),"")</f>
        <v/>
      </c>
      <c r="F2970" t="str">
        <f>IFERROR(VLOOKUP(D2970,'Team Data'!C:AB,5,FALSE),"")</f>
        <v/>
      </c>
      <c r="G2970" t="str">
        <f>IFERROR(VLOOKUP('OB Format'!D2970,'Team Data'!C:AB,17,FALSE),"")</f>
        <v/>
      </c>
      <c r="H2970" t="str">
        <f>IFERROR(VLOOKUP(D2970,'Team Data'!C:AB,7,FALSE),"")</f>
        <v/>
      </c>
      <c r="I2970" t="str">
        <f>IFERROR(VLOOKUP(D2970,'Team Data'!C:AB,14,FALSE),"")</f>
        <v/>
      </c>
      <c r="J2970" t="str">
        <f>IFERROR(VLOOKUP(D2970,'Team Data'!C:AB,8,FALSE),"")</f>
        <v/>
      </c>
      <c r="K2970" t="str">
        <f>IFERROR(VLOOKUP(D2970,'Team Data'!C:AB,9,FALSE),"")</f>
        <v/>
      </c>
      <c r="L2970" t="str">
        <f>IFERROR(VLOOKUP(D2970,'Team Data'!C:AB,10,FALSE),"")</f>
        <v/>
      </c>
      <c r="M2970" t="str">
        <f t="shared" si="94"/>
        <v/>
      </c>
      <c r="N2970" t="str">
        <f>IFERROR(VLOOKUP(D2970,'Team Data'!C:AB,23,FALSE),"")</f>
        <v/>
      </c>
      <c r="O2970" t="str">
        <f>IFERROR(VLOOKUP(D2970,'Team Data'!C:AB,22,FALSE),"")</f>
        <v/>
      </c>
      <c r="P2970" t="str">
        <f t="shared" si="95"/>
        <v/>
      </c>
      <c r="Q2970" t="str">
        <f>IFERROR(VLOOKUP(D2970,'Team Data'!C:AB,15,FALSE),"")</f>
        <v/>
      </c>
      <c r="R2970" t="str">
        <f>IFERROR(VLOOKUP('OB Format'!D2970,'Team Data'!C:AB,24,FALSE),"")</f>
        <v/>
      </c>
      <c r="S2970" t="str">
        <f>IFERROR(VLOOKUP('OB Format'!D2970,'Team Data'!C:AC,25,FALSE),"")</f>
        <v/>
      </c>
    </row>
    <row r="2971" spans="5:19" x14ac:dyDescent="0.25">
      <c r="E2971" t="str">
        <f>IFERROR(VLOOKUP(D2971,'Team Data'!C:AB,4,FALSE),"")</f>
        <v/>
      </c>
      <c r="F2971" t="str">
        <f>IFERROR(VLOOKUP(D2971,'Team Data'!C:AB,5,FALSE),"")</f>
        <v/>
      </c>
      <c r="G2971" t="str">
        <f>IFERROR(VLOOKUP('OB Format'!D2971,'Team Data'!C:AB,17,FALSE),"")</f>
        <v/>
      </c>
      <c r="H2971" t="str">
        <f>IFERROR(VLOOKUP(D2971,'Team Data'!C:AB,7,FALSE),"")</f>
        <v/>
      </c>
      <c r="I2971" t="str">
        <f>IFERROR(VLOOKUP(D2971,'Team Data'!C:AB,14,FALSE),"")</f>
        <v/>
      </c>
      <c r="J2971" t="str">
        <f>IFERROR(VLOOKUP(D2971,'Team Data'!C:AB,8,FALSE),"")</f>
        <v/>
      </c>
      <c r="K2971" t="str">
        <f>IFERROR(VLOOKUP(D2971,'Team Data'!C:AB,9,FALSE),"")</f>
        <v/>
      </c>
      <c r="L2971" t="str">
        <f>IFERROR(VLOOKUP(D2971,'Team Data'!C:AB,10,FALSE),"")</f>
        <v/>
      </c>
      <c r="M2971" t="str">
        <f t="shared" si="94"/>
        <v/>
      </c>
      <c r="N2971" t="str">
        <f>IFERROR(VLOOKUP(D2971,'Team Data'!C:AB,23,FALSE),"")</f>
        <v/>
      </c>
      <c r="O2971" t="str">
        <f>IFERROR(VLOOKUP(D2971,'Team Data'!C:AB,22,FALSE),"")</f>
        <v/>
      </c>
      <c r="P2971" t="str">
        <f t="shared" si="95"/>
        <v/>
      </c>
      <c r="Q2971" t="str">
        <f>IFERROR(VLOOKUP(D2971,'Team Data'!C:AB,15,FALSE),"")</f>
        <v/>
      </c>
      <c r="R2971" t="str">
        <f>IFERROR(VLOOKUP('OB Format'!D2971,'Team Data'!C:AB,24,FALSE),"")</f>
        <v/>
      </c>
      <c r="S2971" t="str">
        <f>IFERROR(VLOOKUP('OB Format'!D2971,'Team Data'!C:AC,25,FALSE),"")</f>
        <v/>
      </c>
    </row>
    <row r="2972" spans="5:19" x14ac:dyDescent="0.25">
      <c r="E2972" t="str">
        <f>IFERROR(VLOOKUP(D2972,'Team Data'!C:AB,4,FALSE),"")</f>
        <v/>
      </c>
      <c r="F2972" t="str">
        <f>IFERROR(VLOOKUP(D2972,'Team Data'!C:AB,5,FALSE),"")</f>
        <v/>
      </c>
      <c r="G2972" t="str">
        <f>IFERROR(VLOOKUP('OB Format'!D2972,'Team Data'!C:AB,17,FALSE),"")</f>
        <v/>
      </c>
      <c r="H2972" t="str">
        <f>IFERROR(VLOOKUP(D2972,'Team Data'!C:AB,7,FALSE),"")</f>
        <v/>
      </c>
      <c r="I2972" t="str">
        <f>IFERROR(VLOOKUP(D2972,'Team Data'!C:AB,14,FALSE),"")</f>
        <v/>
      </c>
      <c r="J2972" t="str">
        <f>IFERROR(VLOOKUP(D2972,'Team Data'!C:AB,8,FALSE),"")</f>
        <v/>
      </c>
      <c r="K2972" t="str">
        <f>IFERROR(VLOOKUP(D2972,'Team Data'!C:AB,9,FALSE),"")</f>
        <v/>
      </c>
      <c r="L2972" t="str">
        <f>IFERROR(VLOOKUP(D2972,'Team Data'!C:AB,10,FALSE),"")</f>
        <v/>
      </c>
      <c r="M2972" t="str">
        <f t="shared" si="94"/>
        <v/>
      </c>
      <c r="N2972" t="str">
        <f>IFERROR(VLOOKUP(D2972,'Team Data'!C:AB,23,FALSE),"")</f>
        <v/>
      </c>
      <c r="O2972" t="str">
        <f>IFERROR(VLOOKUP(D2972,'Team Data'!C:AB,22,FALSE),"")</f>
        <v/>
      </c>
      <c r="P2972" t="str">
        <f t="shared" si="95"/>
        <v/>
      </c>
      <c r="Q2972" t="str">
        <f>IFERROR(VLOOKUP(D2972,'Team Data'!C:AB,15,FALSE),"")</f>
        <v/>
      </c>
      <c r="R2972" t="str">
        <f>IFERROR(VLOOKUP('OB Format'!D2972,'Team Data'!C:AB,24,FALSE),"")</f>
        <v/>
      </c>
      <c r="S2972" t="str">
        <f>IFERROR(VLOOKUP('OB Format'!D2972,'Team Data'!C:AC,25,FALSE),"")</f>
        <v/>
      </c>
    </row>
    <row r="2973" spans="5:19" x14ac:dyDescent="0.25">
      <c r="E2973" t="str">
        <f>IFERROR(VLOOKUP(D2973,'Team Data'!C:AB,4,FALSE),"")</f>
        <v/>
      </c>
      <c r="F2973" t="str">
        <f>IFERROR(VLOOKUP(D2973,'Team Data'!C:AB,5,FALSE),"")</f>
        <v/>
      </c>
      <c r="G2973" t="str">
        <f>IFERROR(VLOOKUP('OB Format'!D2973,'Team Data'!C:AB,17,FALSE),"")</f>
        <v/>
      </c>
      <c r="H2973" t="str">
        <f>IFERROR(VLOOKUP(D2973,'Team Data'!C:AB,7,FALSE),"")</f>
        <v/>
      </c>
      <c r="I2973" t="str">
        <f>IFERROR(VLOOKUP(D2973,'Team Data'!C:AB,14,FALSE),"")</f>
        <v/>
      </c>
      <c r="J2973" t="str">
        <f>IFERROR(VLOOKUP(D2973,'Team Data'!C:AB,8,FALSE),"")</f>
        <v/>
      </c>
      <c r="K2973" t="str">
        <f>IFERROR(VLOOKUP(D2973,'Team Data'!C:AB,9,FALSE),"")</f>
        <v/>
      </c>
      <c r="L2973" t="str">
        <f>IFERROR(VLOOKUP(D2973,'Team Data'!C:AB,10,FALSE),"")</f>
        <v/>
      </c>
      <c r="M2973" t="str">
        <f t="shared" si="94"/>
        <v/>
      </c>
      <c r="N2973" t="str">
        <f>IFERROR(VLOOKUP(D2973,'Team Data'!C:AB,23,FALSE),"")</f>
        <v/>
      </c>
      <c r="O2973" t="str">
        <f>IFERROR(VLOOKUP(D2973,'Team Data'!C:AB,22,FALSE),"")</f>
        <v/>
      </c>
      <c r="P2973" t="str">
        <f t="shared" si="95"/>
        <v/>
      </c>
      <c r="Q2973" t="str">
        <f>IFERROR(VLOOKUP(D2973,'Team Data'!C:AB,15,FALSE),"")</f>
        <v/>
      </c>
      <c r="R2973" t="str">
        <f>IFERROR(VLOOKUP('OB Format'!D2973,'Team Data'!C:AB,24,FALSE),"")</f>
        <v/>
      </c>
      <c r="S2973" t="str">
        <f>IFERROR(VLOOKUP('OB Format'!D2973,'Team Data'!C:AC,25,FALSE),"")</f>
        <v/>
      </c>
    </row>
    <row r="2974" spans="5:19" x14ac:dyDescent="0.25">
      <c r="E2974" t="str">
        <f>IFERROR(VLOOKUP(D2974,'Team Data'!C:AB,4,FALSE),"")</f>
        <v/>
      </c>
      <c r="F2974" t="str">
        <f>IFERROR(VLOOKUP(D2974,'Team Data'!C:AB,5,FALSE),"")</f>
        <v/>
      </c>
      <c r="G2974" t="str">
        <f>IFERROR(VLOOKUP('OB Format'!D2974,'Team Data'!C:AB,17,FALSE),"")</f>
        <v/>
      </c>
      <c r="H2974" t="str">
        <f>IFERROR(VLOOKUP(D2974,'Team Data'!C:AB,7,FALSE),"")</f>
        <v/>
      </c>
      <c r="I2974" t="str">
        <f>IFERROR(VLOOKUP(D2974,'Team Data'!C:AB,14,FALSE),"")</f>
        <v/>
      </c>
      <c r="J2974" t="str">
        <f>IFERROR(VLOOKUP(D2974,'Team Data'!C:AB,8,FALSE),"")</f>
        <v/>
      </c>
      <c r="K2974" t="str">
        <f>IFERROR(VLOOKUP(D2974,'Team Data'!C:AB,9,FALSE),"")</f>
        <v/>
      </c>
      <c r="L2974" t="str">
        <f>IFERROR(VLOOKUP(D2974,'Team Data'!C:AB,10,FALSE),"")</f>
        <v/>
      </c>
      <c r="M2974" t="str">
        <f t="shared" si="94"/>
        <v/>
      </c>
      <c r="N2974" t="str">
        <f>IFERROR(VLOOKUP(D2974,'Team Data'!C:AB,23,FALSE),"")</f>
        <v/>
      </c>
      <c r="O2974" t="str">
        <f>IFERROR(VLOOKUP(D2974,'Team Data'!C:AB,22,FALSE),"")</f>
        <v/>
      </c>
      <c r="P2974" t="str">
        <f t="shared" si="95"/>
        <v/>
      </c>
      <c r="Q2974" t="str">
        <f>IFERROR(VLOOKUP(D2974,'Team Data'!C:AB,15,FALSE),"")</f>
        <v/>
      </c>
      <c r="R2974" t="str">
        <f>IFERROR(VLOOKUP('OB Format'!D2974,'Team Data'!C:AB,24,FALSE),"")</f>
        <v/>
      </c>
      <c r="S2974" t="str">
        <f>IFERROR(VLOOKUP('OB Format'!D2974,'Team Data'!C:AC,25,FALSE),"")</f>
        <v/>
      </c>
    </row>
    <row r="2975" spans="5:19" x14ac:dyDescent="0.25">
      <c r="E2975" t="str">
        <f>IFERROR(VLOOKUP(D2975,'Team Data'!C:AB,4,FALSE),"")</f>
        <v/>
      </c>
      <c r="F2975" t="str">
        <f>IFERROR(VLOOKUP(D2975,'Team Data'!C:AB,5,FALSE),"")</f>
        <v/>
      </c>
      <c r="G2975" t="str">
        <f>IFERROR(VLOOKUP('OB Format'!D2975,'Team Data'!C:AB,17,FALSE),"")</f>
        <v/>
      </c>
      <c r="H2975" t="str">
        <f>IFERROR(VLOOKUP(D2975,'Team Data'!C:AB,7,FALSE),"")</f>
        <v/>
      </c>
      <c r="I2975" t="str">
        <f>IFERROR(VLOOKUP(D2975,'Team Data'!C:AB,14,FALSE),"")</f>
        <v/>
      </c>
      <c r="J2975" t="str">
        <f>IFERROR(VLOOKUP(D2975,'Team Data'!C:AB,8,FALSE),"")</f>
        <v/>
      </c>
      <c r="K2975" t="str">
        <f>IFERROR(VLOOKUP(D2975,'Team Data'!C:AB,9,FALSE),"")</f>
        <v/>
      </c>
      <c r="L2975" t="str">
        <f>IFERROR(VLOOKUP(D2975,'Team Data'!C:AB,10,FALSE),"")</f>
        <v/>
      </c>
      <c r="M2975" t="str">
        <f t="shared" si="94"/>
        <v/>
      </c>
      <c r="N2975" t="str">
        <f>IFERROR(VLOOKUP(D2975,'Team Data'!C:AB,23,FALSE),"")</f>
        <v/>
      </c>
      <c r="O2975" t="str">
        <f>IFERROR(VLOOKUP(D2975,'Team Data'!C:AB,22,FALSE),"")</f>
        <v/>
      </c>
      <c r="P2975" t="str">
        <f t="shared" si="95"/>
        <v/>
      </c>
      <c r="Q2975" t="str">
        <f>IFERROR(VLOOKUP(D2975,'Team Data'!C:AB,15,FALSE),"")</f>
        <v/>
      </c>
      <c r="R2975" t="str">
        <f>IFERROR(VLOOKUP('OB Format'!D2975,'Team Data'!C:AB,24,FALSE),"")</f>
        <v/>
      </c>
      <c r="S2975" t="str">
        <f>IFERROR(VLOOKUP('OB Format'!D2975,'Team Data'!C:AC,25,FALSE),"")</f>
        <v/>
      </c>
    </row>
    <row r="2976" spans="5:19" x14ac:dyDescent="0.25">
      <c r="E2976" t="str">
        <f>IFERROR(VLOOKUP(D2976,'Team Data'!C:AB,4,FALSE),"")</f>
        <v/>
      </c>
      <c r="F2976" t="str">
        <f>IFERROR(VLOOKUP(D2976,'Team Data'!C:AB,5,FALSE),"")</f>
        <v/>
      </c>
      <c r="G2976" t="str">
        <f>IFERROR(VLOOKUP('OB Format'!D2976,'Team Data'!C:AB,17,FALSE),"")</f>
        <v/>
      </c>
      <c r="H2976" t="str">
        <f>IFERROR(VLOOKUP(D2976,'Team Data'!C:AB,7,FALSE),"")</f>
        <v/>
      </c>
      <c r="I2976" t="str">
        <f>IFERROR(VLOOKUP(D2976,'Team Data'!C:AB,14,FALSE),"")</f>
        <v/>
      </c>
      <c r="J2976" t="str">
        <f>IFERROR(VLOOKUP(D2976,'Team Data'!C:AB,8,FALSE),"")</f>
        <v/>
      </c>
      <c r="K2976" t="str">
        <f>IFERROR(VLOOKUP(D2976,'Team Data'!C:AB,9,FALSE),"")</f>
        <v/>
      </c>
      <c r="L2976" t="str">
        <f>IFERROR(VLOOKUP(D2976,'Team Data'!C:AB,10,FALSE),"")</f>
        <v/>
      </c>
      <c r="M2976" t="str">
        <f t="shared" si="94"/>
        <v/>
      </c>
      <c r="N2976" t="str">
        <f>IFERROR(VLOOKUP(D2976,'Team Data'!C:AB,23,FALSE),"")</f>
        <v/>
      </c>
      <c r="O2976" t="str">
        <f>IFERROR(VLOOKUP(D2976,'Team Data'!C:AB,22,FALSE),"")</f>
        <v/>
      </c>
      <c r="P2976" t="str">
        <f t="shared" si="95"/>
        <v/>
      </c>
      <c r="Q2976" t="str">
        <f>IFERROR(VLOOKUP(D2976,'Team Data'!C:AB,15,FALSE),"")</f>
        <v/>
      </c>
      <c r="R2976" t="str">
        <f>IFERROR(VLOOKUP('OB Format'!D2976,'Team Data'!C:AB,24,FALSE),"")</f>
        <v/>
      </c>
      <c r="S2976" t="str">
        <f>IFERROR(VLOOKUP('OB Format'!D2976,'Team Data'!C:AC,25,FALSE),"")</f>
        <v/>
      </c>
    </row>
    <row r="2977" spans="5:19" x14ac:dyDescent="0.25">
      <c r="E2977" t="str">
        <f>IFERROR(VLOOKUP(D2977,'Team Data'!C:AB,4,FALSE),"")</f>
        <v/>
      </c>
      <c r="F2977" t="str">
        <f>IFERROR(VLOOKUP(D2977,'Team Data'!C:AB,5,FALSE),"")</f>
        <v/>
      </c>
      <c r="G2977" t="str">
        <f>IFERROR(VLOOKUP('OB Format'!D2977,'Team Data'!C:AB,17,FALSE),"")</f>
        <v/>
      </c>
      <c r="H2977" t="str">
        <f>IFERROR(VLOOKUP(D2977,'Team Data'!C:AB,7,FALSE),"")</f>
        <v/>
      </c>
      <c r="I2977" t="str">
        <f>IFERROR(VLOOKUP(D2977,'Team Data'!C:AB,14,FALSE),"")</f>
        <v/>
      </c>
      <c r="J2977" t="str">
        <f>IFERROR(VLOOKUP(D2977,'Team Data'!C:AB,8,FALSE),"")</f>
        <v/>
      </c>
      <c r="K2977" t="str">
        <f>IFERROR(VLOOKUP(D2977,'Team Data'!C:AB,9,FALSE),"")</f>
        <v/>
      </c>
      <c r="L2977" t="str">
        <f>IFERROR(VLOOKUP(D2977,'Team Data'!C:AB,10,FALSE),"")</f>
        <v/>
      </c>
      <c r="M2977" t="str">
        <f t="shared" si="94"/>
        <v/>
      </c>
      <c r="N2977" t="str">
        <f>IFERROR(VLOOKUP(D2977,'Team Data'!C:AB,23,FALSE),"")</f>
        <v/>
      </c>
      <c r="O2977" t="str">
        <f>IFERROR(VLOOKUP(D2977,'Team Data'!C:AB,22,FALSE),"")</f>
        <v/>
      </c>
      <c r="P2977" t="str">
        <f t="shared" si="95"/>
        <v/>
      </c>
      <c r="Q2977" t="str">
        <f>IFERROR(VLOOKUP(D2977,'Team Data'!C:AB,15,FALSE),"")</f>
        <v/>
      </c>
      <c r="R2977" t="str">
        <f>IFERROR(VLOOKUP('OB Format'!D2977,'Team Data'!C:AB,24,FALSE),"")</f>
        <v/>
      </c>
      <c r="S2977" t="str">
        <f>IFERROR(VLOOKUP('OB Format'!D2977,'Team Data'!C:AC,25,FALSE),"")</f>
        <v/>
      </c>
    </row>
    <row r="2978" spans="5:19" x14ac:dyDescent="0.25">
      <c r="E2978" t="str">
        <f>IFERROR(VLOOKUP(D2978,'Team Data'!C:AB,4,FALSE),"")</f>
        <v/>
      </c>
      <c r="F2978" t="str">
        <f>IFERROR(VLOOKUP(D2978,'Team Data'!C:AB,5,FALSE),"")</f>
        <v/>
      </c>
      <c r="G2978" t="str">
        <f>IFERROR(VLOOKUP('OB Format'!D2978,'Team Data'!C:AB,17,FALSE),"")</f>
        <v/>
      </c>
      <c r="H2978" t="str">
        <f>IFERROR(VLOOKUP(D2978,'Team Data'!C:AB,7,FALSE),"")</f>
        <v/>
      </c>
      <c r="I2978" t="str">
        <f>IFERROR(VLOOKUP(D2978,'Team Data'!C:AB,14,FALSE),"")</f>
        <v/>
      </c>
      <c r="J2978" t="str">
        <f>IFERROR(VLOOKUP(D2978,'Team Data'!C:AB,8,FALSE),"")</f>
        <v/>
      </c>
      <c r="K2978" t="str">
        <f>IFERROR(VLOOKUP(D2978,'Team Data'!C:AB,9,FALSE),"")</f>
        <v/>
      </c>
      <c r="L2978" t="str">
        <f>IFERROR(VLOOKUP(D2978,'Team Data'!C:AB,10,FALSE),"")</f>
        <v/>
      </c>
      <c r="M2978" t="str">
        <f t="shared" si="94"/>
        <v/>
      </c>
      <c r="N2978" t="str">
        <f>IFERROR(VLOOKUP(D2978,'Team Data'!C:AB,23,FALSE),"")</f>
        <v/>
      </c>
      <c r="O2978" t="str">
        <f>IFERROR(VLOOKUP(D2978,'Team Data'!C:AB,22,FALSE),"")</f>
        <v/>
      </c>
      <c r="P2978" t="str">
        <f t="shared" si="95"/>
        <v/>
      </c>
      <c r="Q2978" t="str">
        <f>IFERROR(VLOOKUP(D2978,'Team Data'!C:AB,15,FALSE),"")</f>
        <v/>
      </c>
      <c r="R2978" t="str">
        <f>IFERROR(VLOOKUP('OB Format'!D2978,'Team Data'!C:AB,24,FALSE),"")</f>
        <v/>
      </c>
      <c r="S2978" t="str">
        <f>IFERROR(VLOOKUP('OB Format'!D2978,'Team Data'!C:AC,25,FALSE),"")</f>
        <v/>
      </c>
    </row>
    <row r="2979" spans="5:19" x14ac:dyDescent="0.25">
      <c r="E2979" t="str">
        <f>IFERROR(VLOOKUP(D2979,'Team Data'!C:AB,4,FALSE),"")</f>
        <v/>
      </c>
      <c r="F2979" t="str">
        <f>IFERROR(VLOOKUP(D2979,'Team Data'!C:AB,5,FALSE),"")</f>
        <v/>
      </c>
      <c r="G2979" t="str">
        <f>IFERROR(VLOOKUP('OB Format'!D2979,'Team Data'!C:AB,17,FALSE),"")</f>
        <v/>
      </c>
      <c r="H2979" t="str">
        <f>IFERROR(VLOOKUP(D2979,'Team Data'!C:AB,7,FALSE),"")</f>
        <v/>
      </c>
      <c r="I2979" t="str">
        <f>IFERROR(VLOOKUP(D2979,'Team Data'!C:AB,14,FALSE),"")</f>
        <v/>
      </c>
      <c r="J2979" t="str">
        <f>IFERROR(VLOOKUP(D2979,'Team Data'!C:AB,8,FALSE),"")</f>
        <v/>
      </c>
      <c r="K2979" t="str">
        <f>IFERROR(VLOOKUP(D2979,'Team Data'!C:AB,9,FALSE),"")</f>
        <v/>
      </c>
      <c r="L2979" t="str">
        <f>IFERROR(VLOOKUP(D2979,'Team Data'!C:AB,10,FALSE),"")</f>
        <v/>
      </c>
      <c r="M2979" t="str">
        <f t="shared" si="94"/>
        <v/>
      </c>
      <c r="N2979" t="str">
        <f>IFERROR(VLOOKUP(D2979,'Team Data'!C:AB,23,FALSE),"")</f>
        <v/>
      </c>
      <c r="O2979" t="str">
        <f>IFERROR(VLOOKUP(D2979,'Team Data'!C:AB,22,FALSE),"")</f>
        <v/>
      </c>
      <c r="P2979" t="str">
        <f t="shared" si="95"/>
        <v/>
      </c>
      <c r="Q2979" t="str">
        <f>IFERROR(VLOOKUP(D2979,'Team Data'!C:AB,15,FALSE),"")</f>
        <v/>
      </c>
      <c r="R2979" t="str">
        <f>IFERROR(VLOOKUP('OB Format'!D2979,'Team Data'!C:AB,24,FALSE),"")</f>
        <v/>
      </c>
      <c r="S2979" t="str">
        <f>IFERROR(VLOOKUP('OB Format'!D2979,'Team Data'!C:AC,25,FALSE),"")</f>
        <v/>
      </c>
    </row>
    <row r="2980" spans="5:19" x14ac:dyDescent="0.25">
      <c r="E2980" t="str">
        <f>IFERROR(VLOOKUP(D2980,'Team Data'!C:AB,4,FALSE),"")</f>
        <v/>
      </c>
      <c r="F2980" t="str">
        <f>IFERROR(VLOOKUP(D2980,'Team Data'!C:AB,5,FALSE),"")</f>
        <v/>
      </c>
      <c r="G2980" t="str">
        <f>IFERROR(VLOOKUP('OB Format'!D2980,'Team Data'!C:AB,17,FALSE),"")</f>
        <v/>
      </c>
      <c r="H2980" t="str">
        <f>IFERROR(VLOOKUP(D2980,'Team Data'!C:AB,7,FALSE),"")</f>
        <v/>
      </c>
      <c r="I2980" t="str">
        <f>IFERROR(VLOOKUP(D2980,'Team Data'!C:AB,14,FALSE),"")</f>
        <v/>
      </c>
      <c r="J2980" t="str">
        <f>IFERROR(VLOOKUP(D2980,'Team Data'!C:AB,8,FALSE),"")</f>
        <v/>
      </c>
      <c r="K2980" t="str">
        <f>IFERROR(VLOOKUP(D2980,'Team Data'!C:AB,9,FALSE),"")</f>
        <v/>
      </c>
      <c r="L2980" t="str">
        <f>IFERROR(VLOOKUP(D2980,'Team Data'!C:AB,10,FALSE),"")</f>
        <v/>
      </c>
      <c r="M2980" t="str">
        <f t="shared" si="94"/>
        <v/>
      </c>
      <c r="N2980" t="str">
        <f>IFERROR(VLOOKUP(D2980,'Team Data'!C:AB,23,FALSE),"")</f>
        <v/>
      </c>
      <c r="O2980" t="str">
        <f>IFERROR(VLOOKUP(D2980,'Team Data'!C:AB,22,FALSE),"")</f>
        <v/>
      </c>
      <c r="P2980" t="str">
        <f t="shared" si="95"/>
        <v/>
      </c>
      <c r="Q2980" t="str">
        <f>IFERROR(VLOOKUP(D2980,'Team Data'!C:AB,15,FALSE),"")</f>
        <v/>
      </c>
      <c r="R2980" t="str">
        <f>IFERROR(VLOOKUP('OB Format'!D2980,'Team Data'!C:AB,24,FALSE),"")</f>
        <v/>
      </c>
      <c r="S2980" t="str">
        <f>IFERROR(VLOOKUP('OB Format'!D2980,'Team Data'!C:AC,25,FALSE),"")</f>
        <v/>
      </c>
    </row>
    <row r="2981" spans="5:19" x14ac:dyDescent="0.25">
      <c r="E2981" t="str">
        <f>IFERROR(VLOOKUP(D2981,'Team Data'!C:AB,4,FALSE),"")</f>
        <v/>
      </c>
      <c r="F2981" t="str">
        <f>IFERROR(VLOOKUP(D2981,'Team Data'!C:AB,5,FALSE),"")</f>
        <v/>
      </c>
      <c r="G2981" t="str">
        <f>IFERROR(VLOOKUP('OB Format'!D2981,'Team Data'!C:AB,17,FALSE),"")</f>
        <v/>
      </c>
      <c r="H2981" t="str">
        <f>IFERROR(VLOOKUP(D2981,'Team Data'!C:AB,7,FALSE),"")</f>
        <v/>
      </c>
      <c r="I2981" t="str">
        <f>IFERROR(VLOOKUP(D2981,'Team Data'!C:AB,14,FALSE),"")</f>
        <v/>
      </c>
      <c r="J2981" t="str">
        <f>IFERROR(VLOOKUP(D2981,'Team Data'!C:AB,8,FALSE),"")</f>
        <v/>
      </c>
      <c r="K2981" t="str">
        <f>IFERROR(VLOOKUP(D2981,'Team Data'!C:AB,9,FALSE),"")</f>
        <v/>
      </c>
      <c r="L2981" t="str">
        <f>IFERROR(VLOOKUP(D2981,'Team Data'!C:AB,10,FALSE),"")</f>
        <v/>
      </c>
      <c r="M2981" t="str">
        <f t="shared" si="94"/>
        <v/>
      </c>
      <c r="N2981" t="str">
        <f>IFERROR(VLOOKUP(D2981,'Team Data'!C:AB,23,FALSE),"")</f>
        <v/>
      </c>
      <c r="O2981" t="str">
        <f>IFERROR(VLOOKUP(D2981,'Team Data'!C:AB,22,FALSE),"")</f>
        <v/>
      </c>
      <c r="P2981" t="str">
        <f t="shared" si="95"/>
        <v/>
      </c>
      <c r="Q2981" t="str">
        <f>IFERROR(VLOOKUP(D2981,'Team Data'!C:AB,15,FALSE),"")</f>
        <v/>
      </c>
      <c r="R2981" t="str">
        <f>IFERROR(VLOOKUP('OB Format'!D2981,'Team Data'!C:AB,24,FALSE),"")</f>
        <v/>
      </c>
      <c r="S2981" t="str">
        <f>IFERROR(VLOOKUP('OB Format'!D2981,'Team Data'!C:AC,25,FALSE),"")</f>
        <v/>
      </c>
    </row>
    <row r="2982" spans="5:19" x14ac:dyDescent="0.25">
      <c r="E2982" t="str">
        <f>IFERROR(VLOOKUP(D2982,'Team Data'!C:AB,4,FALSE),"")</f>
        <v/>
      </c>
      <c r="F2982" t="str">
        <f>IFERROR(VLOOKUP(D2982,'Team Data'!C:AB,5,FALSE),"")</f>
        <v/>
      </c>
      <c r="G2982" t="str">
        <f>IFERROR(VLOOKUP('OB Format'!D2982,'Team Data'!C:AB,17,FALSE),"")</f>
        <v/>
      </c>
      <c r="H2982" t="str">
        <f>IFERROR(VLOOKUP(D2982,'Team Data'!C:AB,7,FALSE),"")</f>
        <v/>
      </c>
      <c r="I2982" t="str">
        <f>IFERROR(VLOOKUP(D2982,'Team Data'!C:AB,14,FALSE),"")</f>
        <v/>
      </c>
      <c r="J2982" t="str">
        <f>IFERROR(VLOOKUP(D2982,'Team Data'!C:AB,8,FALSE),"")</f>
        <v/>
      </c>
      <c r="K2982" t="str">
        <f>IFERROR(VLOOKUP(D2982,'Team Data'!C:AB,9,FALSE),"")</f>
        <v/>
      </c>
      <c r="L2982" t="str">
        <f>IFERROR(VLOOKUP(D2982,'Team Data'!C:AB,10,FALSE),"")</f>
        <v/>
      </c>
      <c r="M2982" t="str">
        <f t="shared" si="94"/>
        <v/>
      </c>
      <c r="N2982" t="str">
        <f>IFERROR(VLOOKUP(D2982,'Team Data'!C:AB,23,FALSE),"")</f>
        <v/>
      </c>
      <c r="O2982" t="str">
        <f>IFERROR(VLOOKUP(D2982,'Team Data'!C:AB,22,FALSE),"")</f>
        <v/>
      </c>
      <c r="P2982" t="str">
        <f t="shared" si="95"/>
        <v/>
      </c>
      <c r="Q2982" t="str">
        <f>IFERROR(VLOOKUP(D2982,'Team Data'!C:AB,15,FALSE),"")</f>
        <v/>
      </c>
      <c r="R2982" t="str">
        <f>IFERROR(VLOOKUP('OB Format'!D2982,'Team Data'!C:AB,24,FALSE),"")</f>
        <v/>
      </c>
      <c r="S2982" t="str">
        <f>IFERROR(VLOOKUP('OB Format'!D2982,'Team Data'!C:AC,25,FALSE),"")</f>
        <v/>
      </c>
    </row>
    <row r="2983" spans="5:19" x14ac:dyDescent="0.25">
      <c r="E2983" t="str">
        <f>IFERROR(VLOOKUP(D2983,'Team Data'!C:AB,4,FALSE),"")</f>
        <v/>
      </c>
      <c r="F2983" t="str">
        <f>IFERROR(VLOOKUP(D2983,'Team Data'!C:AB,5,FALSE),"")</f>
        <v/>
      </c>
      <c r="G2983" t="str">
        <f>IFERROR(VLOOKUP('OB Format'!D2983,'Team Data'!C:AB,17,FALSE),"")</f>
        <v/>
      </c>
      <c r="H2983" t="str">
        <f>IFERROR(VLOOKUP(D2983,'Team Data'!C:AB,7,FALSE),"")</f>
        <v/>
      </c>
      <c r="I2983" t="str">
        <f>IFERROR(VLOOKUP(D2983,'Team Data'!C:AB,14,FALSE),"")</f>
        <v/>
      </c>
      <c r="J2983" t="str">
        <f>IFERROR(VLOOKUP(D2983,'Team Data'!C:AB,8,FALSE),"")</f>
        <v/>
      </c>
      <c r="K2983" t="str">
        <f>IFERROR(VLOOKUP(D2983,'Team Data'!C:AB,9,FALSE),"")</f>
        <v/>
      </c>
      <c r="L2983" t="str">
        <f>IFERROR(VLOOKUP(D2983,'Team Data'!C:AB,10,FALSE),"")</f>
        <v/>
      </c>
      <c r="M2983" t="str">
        <f t="shared" si="94"/>
        <v/>
      </c>
      <c r="N2983" t="str">
        <f>IFERROR(VLOOKUP(D2983,'Team Data'!C:AB,23,FALSE),"")</f>
        <v/>
      </c>
      <c r="O2983" t="str">
        <f>IFERROR(VLOOKUP(D2983,'Team Data'!C:AB,22,FALSE),"")</f>
        <v/>
      </c>
      <c r="P2983" t="str">
        <f t="shared" si="95"/>
        <v/>
      </c>
      <c r="Q2983" t="str">
        <f>IFERROR(VLOOKUP(D2983,'Team Data'!C:AB,15,FALSE),"")</f>
        <v/>
      </c>
      <c r="R2983" t="str">
        <f>IFERROR(VLOOKUP('OB Format'!D2983,'Team Data'!C:AB,24,FALSE),"")</f>
        <v/>
      </c>
      <c r="S2983" t="str">
        <f>IFERROR(VLOOKUP('OB Format'!D2983,'Team Data'!C:AC,25,FALSE),"")</f>
        <v/>
      </c>
    </row>
    <row r="2984" spans="5:19" x14ac:dyDescent="0.25">
      <c r="E2984" t="str">
        <f>IFERROR(VLOOKUP(D2984,'Team Data'!C:AB,4,FALSE),"")</f>
        <v/>
      </c>
      <c r="F2984" t="str">
        <f>IFERROR(VLOOKUP(D2984,'Team Data'!C:AB,5,FALSE),"")</f>
        <v/>
      </c>
      <c r="G2984" t="str">
        <f>IFERROR(VLOOKUP('OB Format'!D2984,'Team Data'!C:AB,17,FALSE),"")</f>
        <v/>
      </c>
      <c r="H2984" t="str">
        <f>IFERROR(VLOOKUP(D2984,'Team Data'!C:AB,7,FALSE),"")</f>
        <v/>
      </c>
      <c r="I2984" t="str">
        <f>IFERROR(VLOOKUP(D2984,'Team Data'!C:AB,14,FALSE),"")</f>
        <v/>
      </c>
      <c r="J2984" t="str">
        <f>IFERROR(VLOOKUP(D2984,'Team Data'!C:AB,8,FALSE),"")</f>
        <v/>
      </c>
      <c r="K2984" t="str">
        <f>IFERROR(VLOOKUP(D2984,'Team Data'!C:AB,9,FALSE),"")</f>
        <v/>
      </c>
      <c r="L2984" t="str">
        <f>IFERROR(VLOOKUP(D2984,'Team Data'!C:AB,10,FALSE),"")</f>
        <v/>
      </c>
      <c r="M2984" t="str">
        <f t="shared" si="94"/>
        <v/>
      </c>
      <c r="N2984" t="str">
        <f>IFERROR(VLOOKUP(D2984,'Team Data'!C:AB,23,FALSE),"")</f>
        <v/>
      </c>
      <c r="O2984" t="str">
        <f>IFERROR(VLOOKUP(D2984,'Team Data'!C:AB,22,FALSE),"")</f>
        <v/>
      </c>
      <c r="P2984" t="str">
        <f t="shared" si="95"/>
        <v/>
      </c>
      <c r="Q2984" t="str">
        <f>IFERROR(VLOOKUP(D2984,'Team Data'!C:AB,15,FALSE),"")</f>
        <v/>
      </c>
      <c r="R2984" t="str">
        <f>IFERROR(VLOOKUP('OB Format'!D2984,'Team Data'!C:AB,24,FALSE),"")</f>
        <v/>
      </c>
      <c r="S2984" t="str">
        <f>IFERROR(VLOOKUP('OB Format'!D2984,'Team Data'!C:AC,25,FALSE),"")</f>
        <v/>
      </c>
    </row>
    <row r="2985" spans="5:19" x14ac:dyDescent="0.25">
      <c r="E2985" t="str">
        <f>IFERROR(VLOOKUP(D2985,'Team Data'!C:AB,4,FALSE),"")</f>
        <v/>
      </c>
      <c r="F2985" t="str">
        <f>IFERROR(VLOOKUP(D2985,'Team Data'!C:AB,5,FALSE),"")</f>
        <v/>
      </c>
      <c r="G2985" t="str">
        <f>IFERROR(VLOOKUP('OB Format'!D2985,'Team Data'!C:AB,17,FALSE),"")</f>
        <v/>
      </c>
      <c r="H2985" t="str">
        <f>IFERROR(VLOOKUP(D2985,'Team Data'!C:AB,7,FALSE),"")</f>
        <v/>
      </c>
      <c r="I2985" t="str">
        <f>IFERROR(VLOOKUP(D2985,'Team Data'!C:AB,14,FALSE),"")</f>
        <v/>
      </c>
      <c r="J2985" t="str">
        <f>IFERROR(VLOOKUP(D2985,'Team Data'!C:AB,8,FALSE),"")</f>
        <v/>
      </c>
      <c r="K2985" t="str">
        <f>IFERROR(VLOOKUP(D2985,'Team Data'!C:AB,9,FALSE),"")</f>
        <v/>
      </c>
      <c r="L2985" t="str">
        <f>IFERROR(VLOOKUP(D2985,'Team Data'!C:AB,10,FALSE),"")</f>
        <v/>
      </c>
      <c r="M2985" t="str">
        <f t="shared" si="94"/>
        <v/>
      </c>
      <c r="N2985" t="str">
        <f>IFERROR(VLOOKUP(D2985,'Team Data'!C:AB,23,FALSE),"")</f>
        <v/>
      </c>
      <c r="O2985" t="str">
        <f>IFERROR(VLOOKUP(D2985,'Team Data'!C:AB,22,FALSE),"")</f>
        <v/>
      </c>
      <c r="P2985" t="str">
        <f t="shared" si="95"/>
        <v/>
      </c>
      <c r="Q2985" t="str">
        <f>IFERROR(VLOOKUP(D2985,'Team Data'!C:AB,15,FALSE),"")</f>
        <v/>
      </c>
      <c r="R2985" t="str">
        <f>IFERROR(VLOOKUP('OB Format'!D2985,'Team Data'!C:AB,24,FALSE),"")</f>
        <v/>
      </c>
      <c r="S2985" t="str">
        <f>IFERROR(VLOOKUP('OB Format'!D2985,'Team Data'!C:AC,25,FALSE),"")</f>
        <v/>
      </c>
    </row>
    <row r="2986" spans="5:19" x14ac:dyDescent="0.25">
      <c r="E2986" t="str">
        <f>IFERROR(VLOOKUP(D2986,'Team Data'!C:AB,4,FALSE),"")</f>
        <v/>
      </c>
      <c r="F2986" t="str">
        <f>IFERROR(VLOOKUP(D2986,'Team Data'!C:AB,5,FALSE),"")</f>
        <v/>
      </c>
      <c r="G2986" t="str">
        <f>IFERROR(VLOOKUP('OB Format'!D2986,'Team Data'!C:AB,17,FALSE),"")</f>
        <v/>
      </c>
      <c r="H2986" t="str">
        <f>IFERROR(VLOOKUP(D2986,'Team Data'!C:AB,7,FALSE),"")</f>
        <v/>
      </c>
      <c r="I2986" t="str">
        <f>IFERROR(VLOOKUP(D2986,'Team Data'!C:AB,14,FALSE),"")</f>
        <v/>
      </c>
      <c r="J2986" t="str">
        <f>IFERROR(VLOOKUP(D2986,'Team Data'!C:AB,8,FALSE),"")</f>
        <v/>
      </c>
      <c r="K2986" t="str">
        <f>IFERROR(VLOOKUP(D2986,'Team Data'!C:AB,9,FALSE),"")</f>
        <v/>
      </c>
      <c r="L2986" t="str">
        <f>IFERROR(VLOOKUP(D2986,'Team Data'!C:AB,10,FALSE),"")</f>
        <v/>
      </c>
      <c r="M2986" t="str">
        <f t="shared" si="94"/>
        <v/>
      </c>
      <c r="N2986" t="str">
        <f>IFERROR(VLOOKUP(D2986,'Team Data'!C:AB,23,FALSE),"")</f>
        <v/>
      </c>
      <c r="O2986" t="str">
        <f>IFERROR(VLOOKUP(D2986,'Team Data'!C:AB,22,FALSE),"")</f>
        <v/>
      </c>
      <c r="P2986" t="str">
        <f t="shared" si="95"/>
        <v/>
      </c>
      <c r="Q2986" t="str">
        <f>IFERROR(VLOOKUP(D2986,'Team Data'!C:AB,15,FALSE),"")</f>
        <v/>
      </c>
      <c r="R2986" t="str">
        <f>IFERROR(VLOOKUP('OB Format'!D2986,'Team Data'!C:AB,24,FALSE),"")</f>
        <v/>
      </c>
      <c r="S2986" t="str">
        <f>IFERROR(VLOOKUP('OB Format'!D2986,'Team Data'!C:AC,25,FALSE),"")</f>
        <v/>
      </c>
    </row>
    <row r="2987" spans="5:19" x14ac:dyDescent="0.25">
      <c r="E2987" t="str">
        <f>IFERROR(VLOOKUP(D2987,'Team Data'!C:AB,4,FALSE),"")</f>
        <v/>
      </c>
      <c r="F2987" t="str">
        <f>IFERROR(VLOOKUP(D2987,'Team Data'!C:AB,5,FALSE),"")</f>
        <v/>
      </c>
      <c r="G2987" t="str">
        <f>IFERROR(VLOOKUP('OB Format'!D2987,'Team Data'!C:AB,17,FALSE),"")</f>
        <v/>
      </c>
      <c r="H2987" t="str">
        <f>IFERROR(VLOOKUP(D2987,'Team Data'!C:AB,7,FALSE),"")</f>
        <v/>
      </c>
      <c r="I2987" t="str">
        <f>IFERROR(VLOOKUP(D2987,'Team Data'!C:AB,14,FALSE),"")</f>
        <v/>
      </c>
      <c r="J2987" t="str">
        <f>IFERROR(VLOOKUP(D2987,'Team Data'!C:AB,8,FALSE),"")</f>
        <v/>
      </c>
      <c r="K2987" t="str">
        <f>IFERROR(VLOOKUP(D2987,'Team Data'!C:AB,9,FALSE),"")</f>
        <v/>
      </c>
      <c r="L2987" t="str">
        <f>IFERROR(VLOOKUP(D2987,'Team Data'!C:AB,10,FALSE),"")</f>
        <v/>
      </c>
      <c r="M2987" t="str">
        <f t="shared" si="94"/>
        <v/>
      </c>
      <c r="N2987" t="str">
        <f>IFERROR(VLOOKUP(D2987,'Team Data'!C:AB,23,FALSE),"")</f>
        <v/>
      </c>
      <c r="O2987" t="str">
        <f>IFERROR(VLOOKUP(D2987,'Team Data'!C:AB,22,FALSE),"")</f>
        <v/>
      </c>
      <c r="P2987" t="str">
        <f t="shared" si="95"/>
        <v/>
      </c>
      <c r="Q2987" t="str">
        <f>IFERROR(VLOOKUP(D2987,'Team Data'!C:AB,15,FALSE),"")</f>
        <v/>
      </c>
      <c r="R2987" t="str">
        <f>IFERROR(VLOOKUP('OB Format'!D2987,'Team Data'!C:AB,24,FALSE),"")</f>
        <v/>
      </c>
      <c r="S2987" t="str">
        <f>IFERROR(VLOOKUP('OB Format'!D2987,'Team Data'!C:AC,25,FALSE),"")</f>
        <v/>
      </c>
    </row>
    <row r="2988" spans="5:19" x14ac:dyDescent="0.25">
      <c r="E2988" t="str">
        <f>IFERROR(VLOOKUP(D2988,'Team Data'!C:AB,4,FALSE),"")</f>
        <v/>
      </c>
      <c r="F2988" t="str">
        <f>IFERROR(VLOOKUP(D2988,'Team Data'!C:AB,5,FALSE),"")</f>
        <v/>
      </c>
      <c r="G2988" t="str">
        <f>IFERROR(VLOOKUP('OB Format'!D2988,'Team Data'!C:AB,17,FALSE),"")</f>
        <v/>
      </c>
      <c r="H2988" t="str">
        <f>IFERROR(VLOOKUP(D2988,'Team Data'!C:AB,7,FALSE),"")</f>
        <v/>
      </c>
      <c r="I2988" t="str">
        <f>IFERROR(VLOOKUP(D2988,'Team Data'!C:AB,14,FALSE),"")</f>
        <v/>
      </c>
      <c r="J2988" t="str">
        <f>IFERROR(VLOOKUP(D2988,'Team Data'!C:AB,8,FALSE),"")</f>
        <v/>
      </c>
      <c r="K2988" t="str">
        <f>IFERROR(VLOOKUP(D2988,'Team Data'!C:AB,9,FALSE),"")</f>
        <v/>
      </c>
      <c r="L2988" t="str">
        <f>IFERROR(VLOOKUP(D2988,'Team Data'!C:AB,10,FALSE),"")</f>
        <v/>
      </c>
      <c r="M2988" t="str">
        <f t="shared" si="94"/>
        <v/>
      </c>
      <c r="N2988" t="str">
        <f>IFERROR(VLOOKUP(D2988,'Team Data'!C:AB,23,FALSE),"")</f>
        <v/>
      </c>
      <c r="O2988" t="str">
        <f>IFERROR(VLOOKUP(D2988,'Team Data'!C:AB,22,FALSE),"")</f>
        <v/>
      </c>
      <c r="P2988" t="str">
        <f t="shared" si="95"/>
        <v/>
      </c>
      <c r="Q2988" t="str">
        <f>IFERROR(VLOOKUP(D2988,'Team Data'!C:AB,15,FALSE),"")</f>
        <v/>
      </c>
      <c r="R2988" t="str">
        <f>IFERROR(VLOOKUP('OB Format'!D2988,'Team Data'!C:AB,24,FALSE),"")</f>
        <v/>
      </c>
      <c r="S2988" t="str">
        <f>IFERROR(VLOOKUP('OB Format'!D2988,'Team Data'!C:AC,25,FALSE),"")</f>
        <v/>
      </c>
    </row>
    <row r="2989" spans="5:19" x14ac:dyDescent="0.25">
      <c r="E2989" t="str">
        <f>IFERROR(VLOOKUP(D2989,'Team Data'!C:AB,4,FALSE),"")</f>
        <v/>
      </c>
      <c r="F2989" t="str">
        <f>IFERROR(VLOOKUP(D2989,'Team Data'!C:AB,5,FALSE),"")</f>
        <v/>
      </c>
      <c r="G2989" t="str">
        <f>IFERROR(VLOOKUP('OB Format'!D2989,'Team Data'!C:AB,17,FALSE),"")</f>
        <v/>
      </c>
      <c r="H2989" t="str">
        <f>IFERROR(VLOOKUP(D2989,'Team Data'!C:AB,7,FALSE),"")</f>
        <v/>
      </c>
      <c r="I2989" t="str">
        <f>IFERROR(VLOOKUP(D2989,'Team Data'!C:AB,14,FALSE),"")</f>
        <v/>
      </c>
      <c r="J2989" t="str">
        <f>IFERROR(VLOOKUP(D2989,'Team Data'!C:AB,8,FALSE),"")</f>
        <v/>
      </c>
      <c r="K2989" t="str">
        <f>IFERROR(VLOOKUP(D2989,'Team Data'!C:AB,9,FALSE),"")</f>
        <v/>
      </c>
      <c r="L2989" t="str">
        <f>IFERROR(VLOOKUP(D2989,'Team Data'!C:AB,10,FALSE),"")</f>
        <v/>
      </c>
      <c r="M2989" t="str">
        <f t="shared" si="94"/>
        <v/>
      </c>
      <c r="N2989" t="str">
        <f>IFERROR(VLOOKUP(D2989,'Team Data'!C:AB,23,FALSE),"")</f>
        <v/>
      </c>
      <c r="O2989" t="str">
        <f>IFERROR(VLOOKUP(D2989,'Team Data'!C:AB,22,FALSE),"")</f>
        <v/>
      </c>
      <c r="P2989" t="str">
        <f t="shared" si="95"/>
        <v/>
      </c>
      <c r="Q2989" t="str">
        <f>IFERROR(VLOOKUP(D2989,'Team Data'!C:AB,15,FALSE),"")</f>
        <v/>
      </c>
      <c r="R2989" t="str">
        <f>IFERROR(VLOOKUP('OB Format'!D2989,'Team Data'!C:AB,24,FALSE),"")</f>
        <v/>
      </c>
      <c r="S2989" t="str">
        <f>IFERROR(VLOOKUP('OB Format'!D2989,'Team Data'!C:AC,25,FALSE),"")</f>
        <v/>
      </c>
    </row>
    <row r="2990" spans="5:19" x14ac:dyDescent="0.25">
      <c r="E2990" t="str">
        <f>IFERROR(VLOOKUP(D2990,'Team Data'!C:AB,4,FALSE),"")</f>
        <v/>
      </c>
      <c r="F2990" t="str">
        <f>IFERROR(VLOOKUP(D2990,'Team Data'!C:AB,5,FALSE),"")</f>
        <v/>
      </c>
      <c r="G2990" t="str">
        <f>IFERROR(VLOOKUP('OB Format'!D2990,'Team Data'!C:AB,17,FALSE),"")</f>
        <v/>
      </c>
      <c r="H2990" t="str">
        <f>IFERROR(VLOOKUP(D2990,'Team Data'!C:AB,7,FALSE),"")</f>
        <v/>
      </c>
      <c r="I2990" t="str">
        <f>IFERROR(VLOOKUP(D2990,'Team Data'!C:AB,14,FALSE),"")</f>
        <v/>
      </c>
      <c r="J2990" t="str">
        <f>IFERROR(VLOOKUP(D2990,'Team Data'!C:AB,8,FALSE),"")</f>
        <v/>
      </c>
      <c r="K2990" t="str">
        <f>IFERROR(VLOOKUP(D2990,'Team Data'!C:AB,9,FALSE),"")</f>
        <v/>
      </c>
      <c r="L2990" t="str">
        <f>IFERROR(VLOOKUP(D2990,'Team Data'!C:AB,10,FALSE),"")</f>
        <v/>
      </c>
      <c r="M2990" t="str">
        <f t="shared" si="94"/>
        <v/>
      </c>
      <c r="N2990" t="str">
        <f>IFERROR(VLOOKUP(D2990,'Team Data'!C:AB,23,FALSE),"")</f>
        <v/>
      </c>
      <c r="O2990" t="str">
        <f>IFERROR(VLOOKUP(D2990,'Team Data'!C:AB,22,FALSE),"")</f>
        <v/>
      </c>
      <c r="P2990" t="str">
        <f t="shared" si="95"/>
        <v/>
      </c>
      <c r="Q2990" t="str">
        <f>IFERROR(VLOOKUP(D2990,'Team Data'!C:AB,15,FALSE),"")</f>
        <v/>
      </c>
      <c r="R2990" t="str">
        <f>IFERROR(VLOOKUP('OB Format'!D2990,'Team Data'!C:AB,24,FALSE),"")</f>
        <v/>
      </c>
      <c r="S2990" t="str">
        <f>IFERROR(VLOOKUP('OB Format'!D2990,'Team Data'!C:AC,25,FALSE),"")</f>
        <v/>
      </c>
    </row>
    <row r="2991" spans="5:19" x14ac:dyDescent="0.25">
      <c r="E2991" t="str">
        <f>IFERROR(VLOOKUP(D2991,'Team Data'!C:AB,4,FALSE),"")</f>
        <v/>
      </c>
      <c r="F2991" t="str">
        <f>IFERROR(VLOOKUP(D2991,'Team Data'!C:AB,5,FALSE),"")</f>
        <v/>
      </c>
      <c r="G2991" t="str">
        <f>IFERROR(VLOOKUP('OB Format'!D2991,'Team Data'!C:AB,17,FALSE),"")</f>
        <v/>
      </c>
      <c r="H2991" t="str">
        <f>IFERROR(VLOOKUP(D2991,'Team Data'!C:AB,7,FALSE),"")</f>
        <v/>
      </c>
      <c r="I2991" t="str">
        <f>IFERROR(VLOOKUP(D2991,'Team Data'!C:AB,14,FALSE),"")</f>
        <v/>
      </c>
      <c r="J2991" t="str">
        <f>IFERROR(VLOOKUP(D2991,'Team Data'!C:AB,8,FALSE),"")</f>
        <v/>
      </c>
      <c r="K2991" t="str">
        <f>IFERROR(VLOOKUP(D2991,'Team Data'!C:AB,9,FALSE),"")</f>
        <v/>
      </c>
      <c r="L2991" t="str">
        <f>IFERROR(VLOOKUP(D2991,'Team Data'!C:AB,10,FALSE),"")</f>
        <v/>
      </c>
      <c r="M2991" t="str">
        <f t="shared" si="94"/>
        <v/>
      </c>
      <c r="N2991" t="str">
        <f>IFERROR(VLOOKUP(D2991,'Team Data'!C:AB,23,FALSE),"")</f>
        <v/>
      </c>
      <c r="O2991" t="str">
        <f>IFERROR(VLOOKUP(D2991,'Team Data'!C:AB,22,FALSE),"")</f>
        <v/>
      </c>
      <c r="P2991" t="str">
        <f t="shared" si="95"/>
        <v/>
      </c>
      <c r="Q2991" t="str">
        <f>IFERROR(VLOOKUP(D2991,'Team Data'!C:AB,15,FALSE),"")</f>
        <v/>
      </c>
      <c r="R2991" t="str">
        <f>IFERROR(VLOOKUP('OB Format'!D2991,'Team Data'!C:AB,24,FALSE),"")</f>
        <v/>
      </c>
      <c r="S2991" t="str">
        <f>IFERROR(VLOOKUP('OB Format'!D2991,'Team Data'!C:AC,25,FALSE),"")</f>
        <v/>
      </c>
    </row>
    <row r="2992" spans="5:19" x14ac:dyDescent="0.25">
      <c r="E2992" t="str">
        <f>IFERROR(VLOOKUP(D2992,'Team Data'!C:AB,4,FALSE),"")</f>
        <v/>
      </c>
      <c r="F2992" t="str">
        <f>IFERROR(VLOOKUP(D2992,'Team Data'!C:AB,5,FALSE),"")</f>
        <v/>
      </c>
      <c r="G2992" t="str">
        <f>IFERROR(VLOOKUP('OB Format'!D2992,'Team Data'!C:AB,17,FALSE),"")</f>
        <v/>
      </c>
      <c r="H2992" t="str">
        <f>IFERROR(VLOOKUP(D2992,'Team Data'!C:AB,7,FALSE),"")</f>
        <v/>
      </c>
      <c r="I2992" t="str">
        <f>IFERROR(VLOOKUP(D2992,'Team Data'!C:AB,14,FALSE),"")</f>
        <v/>
      </c>
      <c r="J2992" t="str">
        <f>IFERROR(VLOOKUP(D2992,'Team Data'!C:AB,8,FALSE),"")</f>
        <v/>
      </c>
      <c r="K2992" t="str">
        <f>IFERROR(VLOOKUP(D2992,'Team Data'!C:AB,9,FALSE),"")</f>
        <v/>
      </c>
      <c r="L2992" t="str">
        <f>IFERROR(VLOOKUP(D2992,'Team Data'!C:AB,10,FALSE),"")</f>
        <v/>
      </c>
      <c r="M2992" t="str">
        <f t="shared" si="94"/>
        <v/>
      </c>
      <c r="N2992" t="str">
        <f>IFERROR(VLOOKUP(D2992,'Team Data'!C:AB,23,FALSE),"")</f>
        <v/>
      </c>
      <c r="O2992" t="str">
        <f>IFERROR(VLOOKUP(D2992,'Team Data'!C:AB,22,FALSE),"")</f>
        <v/>
      </c>
      <c r="P2992" t="str">
        <f t="shared" si="95"/>
        <v/>
      </c>
      <c r="Q2992" t="str">
        <f>IFERROR(VLOOKUP(D2992,'Team Data'!C:AB,15,FALSE),"")</f>
        <v/>
      </c>
      <c r="R2992" t="str">
        <f>IFERROR(VLOOKUP('OB Format'!D2992,'Team Data'!C:AB,24,FALSE),"")</f>
        <v/>
      </c>
      <c r="S2992" t="str">
        <f>IFERROR(VLOOKUP('OB Format'!D2992,'Team Data'!C:AC,25,FALSE),"")</f>
        <v/>
      </c>
    </row>
    <row r="2993" spans="5:19" x14ac:dyDescent="0.25">
      <c r="E2993" t="str">
        <f>IFERROR(VLOOKUP(D2993,'Team Data'!C:AB,4,FALSE),"")</f>
        <v/>
      </c>
      <c r="F2993" t="str">
        <f>IFERROR(VLOOKUP(D2993,'Team Data'!C:AB,5,FALSE),"")</f>
        <v/>
      </c>
      <c r="G2993" t="str">
        <f>IFERROR(VLOOKUP('OB Format'!D2993,'Team Data'!C:AB,17,FALSE),"")</f>
        <v/>
      </c>
      <c r="H2993" t="str">
        <f>IFERROR(VLOOKUP(D2993,'Team Data'!C:AB,7,FALSE),"")</f>
        <v/>
      </c>
      <c r="I2993" t="str">
        <f>IFERROR(VLOOKUP(D2993,'Team Data'!C:AB,14,FALSE),"")</f>
        <v/>
      </c>
      <c r="J2993" t="str">
        <f>IFERROR(VLOOKUP(D2993,'Team Data'!C:AB,8,FALSE),"")</f>
        <v/>
      </c>
      <c r="K2993" t="str">
        <f>IFERROR(VLOOKUP(D2993,'Team Data'!C:AB,9,FALSE),"")</f>
        <v/>
      </c>
      <c r="L2993" t="str">
        <f>IFERROR(VLOOKUP(D2993,'Team Data'!C:AB,10,FALSE),"")</f>
        <v/>
      </c>
      <c r="M2993" t="str">
        <f t="shared" si="94"/>
        <v/>
      </c>
      <c r="N2993" t="str">
        <f>IFERROR(VLOOKUP(D2993,'Team Data'!C:AB,23,FALSE),"")</f>
        <v/>
      </c>
      <c r="O2993" t="str">
        <f>IFERROR(VLOOKUP(D2993,'Team Data'!C:AB,22,FALSE),"")</f>
        <v/>
      </c>
      <c r="P2993" t="str">
        <f t="shared" si="95"/>
        <v/>
      </c>
      <c r="Q2993" t="str">
        <f>IFERROR(VLOOKUP(D2993,'Team Data'!C:AB,15,FALSE),"")</f>
        <v/>
      </c>
      <c r="R2993" t="str">
        <f>IFERROR(VLOOKUP('OB Format'!D2993,'Team Data'!C:AB,24,FALSE),"")</f>
        <v/>
      </c>
      <c r="S2993" t="str">
        <f>IFERROR(VLOOKUP('OB Format'!D2993,'Team Data'!C:AC,25,FALSE),"")</f>
        <v/>
      </c>
    </row>
    <row r="2994" spans="5:19" x14ac:dyDescent="0.25">
      <c r="E2994" t="str">
        <f>IFERROR(VLOOKUP(D2994,'Team Data'!C:AB,4,FALSE),"")</f>
        <v/>
      </c>
      <c r="F2994" t="str">
        <f>IFERROR(VLOOKUP(D2994,'Team Data'!C:AB,5,FALSE),"")</f>
        <v/>
      </c>
      <c r="G2994" t="str">
        <f>IFERROR(VLOOKUP('OB Format'!D2994,'Team Data'!C:AB,17,FALSE),"")</f>
        <v/>
      </c>
      <c r="H2994" t="str">
        <f>IFERROR(VLOOKUP(D2994,'Team Data'!C:AB,7,FALSE),"")</f>
        <v/>
      </c>
      <c r="I2994" t="str">
        <f>IFERROR(VLOOKUP(D2994,'Team Data'!C:AB,14,FALSE),"")</f>
        <v/>
      </c>
      <c r="J2994" t="str">
        <f>IFERROR(VLOOKUP(D2994,'Team Data'!C:AB,8,FALSE),"")</f>
        <v/>
      </c>
      <c r="K2994" t="str">
        <f>IFERROR(VLOOKUP(D2994,'Team Data'!C:AB,9,FALSE),"")</f>
        <v/>
      </c>
      <c r="L2994" t="str">
        <f>IFERROR(VLOOKUP(D2994,'Team Data'!C:AB,10,FALSE),"")</f>
        <v/>
      </c>
      <c r="M2994" t="str">
        <f t="shared" si="94"/>
        <v/>
      </c>
      <c r="N2994" t="str">
        <f>IFERROR(VLOOKUP(D2994,'Team Data'!C:AB,23,FALSE),"")</f>
        <v/>
      </c>
      <c r="O2994" t="str">
        <f>IFERROR(VLOOKUP(D2994,'Team Data'!C:AB,22,FALSE),"")</f>
        <v/>
      </c>
      <c r="P2994" t="str">
        <f t="shared" si="95"/>
        <v/>
      </c>
      <c r="Q2994" t="str">
        <f>IFERROR(VLOOKUP(D2994,'Team Data'!C:AB,15,FALSE),"")</f>
        <v/>
      </c>
      <c r="R2994" t="str">
        <f>IFERROR(VLOOKUP('OB Format'!D2994,'Team Data'!C:AB,24,FALSE),"")</f>
        <v/>
      </c>
      <c r="S2994" t="str">
        <f>IFERROR(VLOOKUP('OB Format'!D2994,'Team Data'!C:AC,25,FALSE),"")</f>
        <v/>
      </c>
    </row>
    <row r="2995" spans="5:19" x14ac:dyDescent="0.25">
      <c r="E2995" t="str">
        <f>IFERROR(VLOOKUP(D2995,'Team Data'!C:AB,4,FALSE),"")</f>
        <v/>
      </c>
      <c r="F2995" t="str">
        <f>IFERROR(VLOOKUP(D2995,'Team Data'!C:AB,5,FALSE),"")</f>
        <v/>
      </c>
      <c r="G2995" t="str">
        <f>IFERROR(VLOOKUP('OB Format'!D2995,'Team Data'!C:AB,17,FALSE),"")</f>
        <v/>
      </c>
      <c r="H2995" t="str">
        <f>IFERROR(VLOOKUP(D2995,'Team Data'!C:AB,7,FALSE),"")</f>
        <v/>
      </c>
      <c r="I2995" t="str">
        <f>IFERROR(VLOOKUP(D2995,'Team Data'!C:AB,14,FALSE),"")</f>
        <v/>
      </c>
      <c r="J2995" t="str">
        <f>IFERROR(VLOOKUP(D2995,'Team Data'!C:AB,8,FALSE),"")</f>
        <v/>
      </c>
      <c r="K2995" t="str">
        <f>IFERROR(VLOOKUP(D2995,'Team Data'!C:AB,9,FALSE),"")</f>
        <v/>
      </c>
      <c r="L2995" t="str">
        <f>IFERROR(VLOOKUP(D2995,'Team Data'!C:AB,10,FALSE),"")</f>
        <v/>
      </c>
      <c r="M2995" t="str">
        <f t="shared" si="94"/>
        <v/>
      </c>
      <c r="N2995" t="str">
        <f>IFERROR(VLOOKUP(D2995,'Team Data'!C:AB,23,FALSE),"")</f>
        <v/>
      </c>
      <c r="O2995" t="str">
        <f>IFERROR(VLOOKUP(D2995,'Team Data'!C:AB,22,FALSE),"")</f>
        <v/>
      </c>
      <c r="P2995" t="str">
        <f t="shared" si="95"/>
        <v/>
      </c>
      <c r="Q2995" t="str">
        <f>IFERROR(VLOOKUP(D2995,'Team Data'!C:AB,15,FALSE),"")</f>
        <v/>
      </c>
      <c r="R2995" t="str">
        <f>IFERROR(VLOOKUP('OB Format'!D2995,'Team Data'!C:AB,24,FALSE),"")</f>
        <v/>
      </c>
      <c r="S2995" t="str">
        <f>IFERROR(VLOOKUP('OB Format'!D2995,'Team Data'!C:AC,25,FALSE),"")</f>
        <v/>
      </c>
    </row>
    <row r="2996" spans="5:19" x14ac:dyDescent="0.25">
      <c r="E2996" t="str">
        <f>IFERROR(VLOOKUP(D2996,'Team Data'!C:AB,4,FALSE),"")</f>
        <v/>
      </c>
      <c r="F2996" t="str">
        <f>IFERROR(VLOOKUP(D2996,'Team Data'!C:AB,5,FALSE),"")</f>
        <v/>
      </c>
      <c r="G2996" t="str">
        <f>IFERROR(VLOOKUP('OB Format'!D2996,'Team Data'!C:AB,17,FALSE),"")</f>
        <v/>
      </c>
      <c r="H2996" t="str">
        <f>IFERROR(VLOOKUP(D2996,'Team Data'!C:AB,7,FALSE),"")</f>
        <v/>
      </c>
      <c r="I2996" t="str">
        <f>IFERROR(VLOOKUP(D2996,'Team Data'!C:AB,14,FALSE),"")</f>
        <v/>
      </c>
      <c r="J2996" t="str">
        <f>IFERROR(VLOOKUP(D2996,'Team Data'!C:AB,8,FALSE),"")</f>
        <v/>
      </c>
      <c r="K2996" t="str">
        <f>IFERROR(VLOOKUP(D2996,'Team Data'!C:AB,9,FALSE),"")</f>
        <v/>
      </c>
      <c r="L2996" t="str">
        <f>IFERROR(VLOOKUP(D2996,'Team Data'!C:AB,10,FALSE),"")</f>
        <v/>
      </c>
      <c r="M2996" t="str">
        <f t="shared" si="94"/>
        <v/>
      </c>
      <c r="N2996" t="str">
        <f>IFERROR(VLOOKUP(D2996,'Team Data'!C:AB,23,FALSE),"")</f>
        <v/>
      </c>
      <c r="O2996" t="str">
        <f>IFERROR(VLOOKUP(D2996,'Team Data'!C:AB,22,FALSE),"")</f>
        <v/>
      </c>
      <c r="P2996" t="str">
        <f t="shared" si="95"/>
        <v/>
      </c>
      <c r="Q2996" t="str">
        <f>IFERROR(VLOOKUP(D2996,'Team Data'!C:AB,15,FALSE),"")</f>
        <v/>
      </c>
      <c r="R2996" t="str">
        <f>IFERROR(VLOOKUP('OB Format'!D2996,'Team Data'!C:AB,24,FALSE),"")</f>
        <v/>
      </c>
      <c r="S2996" t="str">
        <f>IFERROR(VLOOKUP('OB Format'!D2996,'Team Data'!C:AC,25,FALSE),"")</f>
        <v/>
      </c>
    </row>
    <row r="2997" spans="5:19" x14ac:dyDescent="0.25">
      <c r="E2997" t="str">
        <f>IFERROR(VLOOKUP(D2997,'Team Data'!C:AB,4,FALSE),"")</f>
        <v/>
      </c>
      <c r="F2997" t="str">
        <f>IFERROR(VLOOKUP(D2997,'Team Data'!C:AB,5,FALSE),"")</f>
        <v/>
      </c>
      <c r="G2997" t="str">
        <f>IFERROR(VLOOKUP('OB Format'!D2997,'Team Data'!C:AB,17,FALSE),"")</f>
        <v/>
      </c>
      <c r="H2997" t="str">
        <f>IFERROR(VLOOKUP(D2997,'Team Data'!C:AB,7,FALSE),"")</f>
        <v/>
      </c>
      <c r="I2997" t="str">
        <f>IFERROR(VLOOKUP(D2997,'Team Data'!C:AB,14,FALSE),"")</f>
        <v/>
      </c>
      <c r="J2997" t="str">
        <f>IFERROR(VLOOKUP(D2997,'Team Data'!C:AB,8,FALSE),"")</f>
        <v/>
      </c>
      <c r="K2997" t="str">
        <f>IFERROR(VLOOKUP(D2997,'Team Data'!C:AB,9,FALSE),"")</f>
        <v/>
      </c>
      <c r="L2997" t="str">
        <f>IFERROR(VLOOKUP(D2997,'Team Data'!C:AB,10,FALSE),"")</f>
        <v/>
      </c>
      <c r="M2997" t="str">
        <f t="shared" si="94"/>
        <v/>
      </c>
      <c r="N2997" t="str">
        <f>IFERROR(VLOOKUP(D2997,'Team Data'!C:AB,23,FALSE),"")</f>
        <v/>
      </c>
      <c r="O2997" t="str">
        <f>IFERROR(VLOOKUP(D2997,'Team Data'!C:AB,22,FALSE),"")</f>
        <v/>
      </c>
      <c r="P2997" t="str">
        <f t="shared" si="95"/>
        <v/>
      </c>
      <c r="Q2997" t="str">
        <f>IFERROR(VLOOKUP(D2997,'Team Data'!C:AB,15,FALSE),"")</f>
        <v/>
      </c>
      <c r="R2997" t="str">
        <f>IFERROR(VLOOKUP('OB Format'!D2997,'Team Data'!C:AB,24,FALSE),"")</f>
        <v/>
      </c>
      <c r="S2997" t="str">
        <f>IFERROR(VLOOKUP('OB Format'!D2997,'Team Data'!C:AC,25,FALSE),"")</f>
        <v/>
      </c>
    </row>
    <row r="2998" spans="5:19" x14ac:dyDescent="0.25">
      <c r="E2998" t="str">
        <f>IFERROR(VLOOKUP(D2998,'Team Data'!C:AB,4,FALSE),"")</f>
        <v/>
      </c>
      <c r="F2998" t="str">
        <f>IFERROR(VLOOKUP(D2998,'Team Data'!C:AB,5,FALSE),"")</f>
        <v/>
      </c>
      <c r="G2998" t="str">
        <f>IFERROR(VLOOKUP('OB Format'!D2998,'Team Data'!C:AB,17,FALSE),"")</f>
        <v/>
      </c>
      <c r="H2998" t="str">
        <f>IFERROR(VLOOKUP(D2998,'Team Data'!C:AB,7,FALSE),"")</f>
        <v/>
      </c>
      <c r="I2998" t="str">
        <f>IFERROR(VLOOKUP(D2998,'Team Data'!C:AB,14,FALSE),"")</f>
        <v/>
      </c>
      <c r="J2998" t="str">
        <f>IFERROR(VLOOKUP(D2998,'Team Data'!C:AB,8,FALSE),"")</f>
        <v/>
      </c>
      <c r="K2998" t="str">
        <f>IFERROR(VLOOKUP(D2998,'Team Data'!C:AB,9,FALSE),"")</f>
        <v/>
      </c>
      <c r="L2998" t="str">
        <f>IFERROR(VLOOKUP(D2998,'Team Data'!C:AB,10,FALSE),"")</f>
        <v/>
      </c>
      <c r="M2998" t="str">
        <f t="shared" si="94"/>
        <v/>
      </c>
      <c r="N2998" t="str">
        <f>IFERROR(VLOOKUP(D2998,'Team Data'!C:AB,23,FALSE),"")</f>
        <v/>
      </c>
      <c r="O2998" t="str">
        <f>IFERROR(VLOOKUP(D2998,'Team Data'!C:AB,22,FALSE),"")</f>
        <v/>
      </c>
      <c r="P2998" t="str">
        <f t="shared" si="95"/>
        <v/>
      </c>
      <c r="Q2998" t="str">
        <f>IFERROR(VLOOKUP(D2998,'Team Data'!C:AB,15,FALSE),"")</f>
        <v/>
      </c>
      <c r="R2998" t="str">
        <f>IFERROR(VLOOKUP('OB Format'!D2998,'Team Data'!C:AB,24,FALSE),"")</f>
        <v/>
      </c>
      <c r="S2998" t="str">
        <f>IFERROR(VLOOKUP('OB Format'!D2998,'Team Data'!C:AC,25,FALSE),"")</f>
        <v/>
      </c>
    </row>
    <row r="2999" spans="5:19" x14ac:dyDescent="0.25">
      <c r="E2999" t="str">
        <f>IFERROR(VLOOKUP(D2999,'Team Data'!C:AB,4,FALSE),"")</f>
        <v/>
      </c>
      <c r="F2999" t="str">
        <f>IFERROR(VLOOKUP(D2999,'Team Data'!C:AB,5,FALSE),"")</f>
        <v/>
      </c>
      <c r="G2999" t="str">
        <f>IFERROR(VLOOKUP('OB Format'!D2999,'Team Data'!C:AB,17,FALSE),"")</f>
        <v/>
      </c>
      <c r="H2999" t="str">
        <f>IFERROR(VLOOKUP(D2999,'Team Data'!C:AB,7,FALSE),"")</f>
        <v/>
      </c>
      <c r="I2999" t="str">
        <f>IFERROR(VLOOKUP(D2999,'Team Data'!C:AB,14,FALSE),"")</f>
        <v/>
      </c>
      <c r="J2999" t="str">
        <f>IFERROR(VLOOKUP(D2999,'Team Data'!C:AB,8,FALSE),"")</f>
        <v/>
      </c>
      <c r="K2999" t="str">
        <f>IFERROR(VLOOKUP(D2999,'Team Data'!C:AB,9,FALSE),"")</f>
        <v/>
      </c>
      <c r="L2999" t="str">
        <f>IFERROR(VLOOKUP(D2999,'Team Data'!C:AB,10,FALSE),"")</f>
        <v/>
      </c>
      <c r="M2999" t="str">
        <f t="shared" si="94"/>
        <v/>
      </c>
      <c r="N2999" t="str">
        <f>IFERROR(VLOOKUP(D2999,'Team Data'!C:AB,23,FALSE),"")</f>
        <v/>
      </c>
      <c r="O2999" t="str">
        <f>IFERROR(VLOOKUP(D2999,'Team Data'!C:AB,22,FALSE),"")</f>
        <v/>
      </c>
      <c r="P2999" t="str">
        <f t="shared" si="95"/>
        <v/>
      </c>
      <c r="Q2999" t="str">
        <f>IFERROR(VLOOKUP(D2999,'Team Data'!C:AB,15,FALSE),"")</f>
        <v/>
      </c>
      <c r="R2999" t="str">
        <f>IFERROR(VLOOKUP('OB Format'!D2999,'Team Data'!C:AB,24,FALSE),"")</f>
        <v/>
      </c>
      <c r="S2999" t="str">
        <f>IFERROR(VLOOKUP('OB Format'!D2999,'Team Data'!C:AC,25,FALSE),"")</f>
        <v/>
      </c>
    </row>
    <row r="3000" spans="5:19" x14ac:dyDescent="0.25">
      <c r="E3000" t="str">
        <f>IFERROR(VLOOKUP(D3000,'Team Data'!C:AB,4,FALSE),"")</f>
        <v/>
      </c>
      <c r="F3000" t="str">
        <f>IFERROR(VLOOKUP(D3000,'Team Data'!C:AB,5,FALSE),"")</f>
        <v/>
      </c>
      <c r="G3000" t="str">
        <f>IFERROR(VLOOKUP('OB Format'!D3000,'Team Data'!C:AB,17,FALSE),"")</f>
        <v/>
      </c>
      <c r="H3000" t="str">
        <f>IFERROR(VLOOKUP(D3000,'Team Data'!C:AB,7,FALSE),"")</f>
        <v/>
      </c>
      <c r="I3000" t="str">
        <f>IFERROR(VLOOKUP(D3000,'Team Data'!C:AB,14,FALSE),"")</f>
        <v/>
      </c>
      <c r="J3000" t="str">
        <f>IFERROR(VLOOKUP(D3000,'Team Data'!C:AB,8,FALSE),"")</f>
        <v/>
      </c>
      <c r="K3000" t="str">
        <f>IFERROR(VLOOKUP(D3000,'Team Data'!C:AB,9,FALSE),"")</f>
        <v/>
      </c>
      <c r="L3000" t="str">
        <f>IFERROR(VLOOKUP(D3000,'Team Data'!C:AB,10,FALSE),"")</f>
        <v/>
      </c>
      <c r="M3000" t="str">
        <f t="shared" si="94"/>
        <v/>
      </c>
      <c r="N3000" t="str">
        <f>IFERROR(VLOOKUP(D3000,'Team Data'!C:AB,23,FALSE),"")</f>
        <v/>
      </c>
      <c r="O3000" t="str">
        <f>IFERROR(VLOOKUP(D3000,'Team Data'!C:AB,22,FALSE),"")</f>
        <v/>
      </c>
      <c r="P3000" t="str">
        <f t="shared" si="95"/>
        <v/>
      </c>
      <c r="Q3000" t="str">
        <f>IFERROR(VLOOKUP(D3000,'Team Data'!C:AB,15,FALSE),"")</f>
        <v/>
      </c>
      <c r="R3000" t="str">
        <f>IFERROR(VLOOKUP('OB Format'!D3000,'Team Data'!C:AB,24,FALSE),"")</f>
        <v/>
      </c>
      <c r="S3000" t="str">
        <f>IFERROR(VLOOKUP('OB Format'!D3000,'Team Data'!C:AC,25,FALSE),"")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6"/>
  <sheetViews>
    <sheetView workbookViewId="0">
      <selection activeCell="A39" sqref="A39"/>
    </sheetView>
  </sheetViews>
  <sheetFormatPr defaultRowHeight="15" x14ac:dyDescent="0.25"/>
  <cols>
    <col min="1" max="3" width="30.7109375" customWidth="1"/>
    <col min="4" max="12" width="11.140625" customWidth="1"/>
  </cols>
  <sheetData>
    <row r="1" spans="1:17" x14ac:dyDescent="0.25">
      <c r="A1" s="7" t="s">
        <v>66</v>
      </c>
      <c r="B1" s="7" t="s">
        <v>56</v>
      </c>
      <c r="C1" s="7" t="s">
        <v>78</v>
      </c>
    </row>
    <row r="2" spans="1:17" x14ac:dyDescent="0.25">
      <c r="D2" t="s">
        <v>71</v>
      </c>
      <c r="E2" t="e">
        <v>#N/A</v>
      </c>
      <c r="F2" t="e">
        <v>#N/A</v>
      </c>
      <c r="G2" t="e">
        <v>#N/A</v>
      </c>
      <c r="H2" t="e">
        <v>#N/A</v>
      </c>
      <c r="I2" t="e">
        <v>#N/A</v>
      </c>
      <c r="J2" t="e">
        <v>#N/A</v>
      </c>
      <c r="K2" t="e">
        <v>#N/A</v>
      </c>
      <c r="L2" t="e">
        <v>#N/A</v>
      </c>
      <c r="M2" t="s">
        <v>76</v>
      </c>
      <c r="N2" t="e">
        <v>#N/A</v>
      </c>
      <c r="O2" t="e">
        <v>#N/A</v>
      </c>
      <c r="P2" t="e">
        <v>#N/A</v>
      </c>
      <c r="Q2" t="e">
        <v>#N/A</v>
      </c>
    </row>
    <row r="3" spans="1:17" x14ac:dyDescent="0.25">
      <c r="D3" s="8" t="s">
        <v>67</v>
      </c>
      <c r="E3" s="8" t="s">
        <v>65</v>
      </c>
      <c r="F3" s="8" t="s">
        <v>29</v>
      </c>
      <c r="G3" s="8" t="s">
        <v>4</v>
      </c>
      <c r="H3" s="8" t="s">
        <v>63</v>
      </c>
      <c r="I3" s="8" t="s">
        <v>25</v>
      </c>
      <c r="J3" s="8" t="s">
        <v>64</v>
      </c>
      <c r="K3" s="8" t="s">
        <v>38</v>
      </c>
      <c r="L3" s="10" t="s">
        <v>32</v>
      </c>
    </row>
    <row r="4" spans="1:17" x14ac:dyDescent="0.25">
      <c r="D4" s="5" t="s">
        <v>68</v>
      </c>
      <c r="E4" s="8" t="e">
        <f>SUM(F4:K4)</f>
        <v>#N/A</v>
      </c>
      <c r="F4" s="5" t="e">
        <f>VLOOKUP(A2,'OB Format'!D:S,6,FALSE)</f>
        <v>#N/A</v>
      </c>
      <c r="G4" s="5" t="e">
        <f>VLOOKUP(A2,'OB Format'!D:S,7,FALSE)</f>
        <v>#N/A</v>
      </c>
      <c r="H4" s="5" t="e">
        <f>VLOOKUP(A2,'OB Format'!D:S,8,FALSE)</f>
        <v>#N/A</v>
      </c>
      <c r="I4" s="5" t="e">
        <f>VLOOKUP(A2,'OB Format'!D:S,9,FALSE)</f>
        <v>#N/A</v>
      </c>
      <c r="J4" s="5" t="e">
        <f>VLOOKUP(A2,'OB Format'!D:S,10,FALSE)</f>
        <v>#N/A</v>
      </c>
      <c r="K4" s="5" t="e">
        <f>VLOOKUP(A2,'OB Format'!D:S,11,FALSE)</f>
        <v>#N/A</v>
      </c>
    </row>
    <row r="5" spans="1:17" x14ac:dyDescent="0.25">
      <c r="D5" s="5" t="s">
        <v>69</v>
      </c>
      <c r="F5" s="9" t="e">
        <f t="shared" ref="F5:K5" si="0">F4/$E$4</f>
        <v>#N/A</v>
      </c>
      <c r="G5" s="9" t="e">
        <f t="shared" si="0"/>
        <v>#N/A</v>
      </c>
      <c r="H5" s="9" t="e">
        <f t="shared" si="0"/>
        <v>#N/A</v>
      </c>
      <c r="I5" s="9" t="e">
        <f t="shared" si="0"/>
        <v>#N/A</v>
      </c>
      <c r="J5" s="9" t="e">
        <f t="shared" si="0"/>
        <v>#N/A</v>
      </c>
      <c r="K5" s="9" t="e">
        <f t="shared" si="0"/>
        <v>#N/A</v>
      </c>
    </row>
    <row r="6" spans="1:17" x14ac:dyDescent="0.25">
      <c r="D6" s="5" t="s">
        <v>70</v>
      </c>
      <c r="E6" s="5"/>
      <c r="F6" s="6" t="e">
        <f>F5*1000</f>
        <v>#N/A</v>
      </c>
      <c r="G6" s="6" t="e">
        <f t="shared" ref="G6:K6" si="1">G5*1000</f>
        <v>#N/A</v>
      </c>
      <c r="H6" s="6" t="e">
        <f t="shared" si="1"/>
        <v>#N/A</v>
      </c>
      <c r="I6" s="6" t="e">
        <f t="shared" si="1"/>
        <v>#N/A</v>
      </c>
      <c r="J6" s="6" t="e">
        <f t="shared" si="1"/>
        <v>#N/A</v>
      </c>
      <c r="K6" s="6" t="e">
        <f t="shared" si="1"/>
        <v>#N/A</v>
      </c>
    </row>
    <row r="7" spans="1:17" x14ac:dyDescent="0.25">
      <c r="D7" s="5" t="s">
        <v>71</v>
      </c>
      <c r="E7" s="8" t="e">
        <f>SUM(F4:K4)</f>
        <v>#N/A</v>
      </c>
      <c r="F7" s="6" t="e">
        <f>E6+F6</f>
        <v>#N/A</v>
      </c>
      <c r="G7" s="6" t="e">
        <f>F7+G6</f>
        <v>#N/A</v>
      </c>
      <c r="H7" s="6" t="e">
        <f t="shared" ref="H7:K7" si="2">G7+H6</f>
        <v>#N/A</v>
      </c>
      <c r="I7" s="6" t="e">
        <f t="shared" si="2"/>
        <v>#N/A</v>
      </c>
      <c r="J7" s="6" t="e">
        <f t="shared" si="2"/>
        <v>#N/A</v>
      </c>
      <c r="K7" s="6" t="e">
        <f t="shared" si="2"/>
        <v>#N/A</v>
      </c>
      <c r="L7" t="e">
        <f>VLOOKUP(A2,'OB Format'!D:S,4,FALSE)</f>
        <v>#N/A</v>
      </c>
    </row>
    <row r="12" spans="1:17" x14ac:dyDescent="0.25">
      <c r="D12" s="8" t="s">
        <v>72</v>
      </c>
      <c r="E12" s="8" t="s">
        <v>73</v>
      </c>
      <c r="F12" s="8" t="s">
        <v>77</v>
      </c>
      <c r="G12" s="8" t="s">
        <v>74</v>
      </c>
      <c r="H12" s="8" t="s">
        <v>75</v>
      </c>
    </row>
    <row r="13" spans="1:17" x14ac:dyDescent="0.25">
      <c r="D13" s="5" t="s">
        <v>68</v>
      </c>
      <c r="E13" s="8" t="e">
        <f>SUM(F13:H13)</f>
        <v>#N/A</v>
      </c>
      <c r="F13" s="5" t="e">
        <f>VLOOKUP(A2,'OB Format'!D:S,12,FALSE)</f>
        <v>#N/A</v>
      </c>
      <c r="G13" s="5" t="e">
        <f>VLOOKUP(A2,'OB Format'!D:S,13,FALSE)</f>
        <v>#N/A</v>
      </c>
      <c r="H13" s="5" t="e">
        <f>VLOOKUP(A2,'OB Format'!D:S,14,FALSE)</f>
        <v>#N/A</v>
      </c>
    </row>
    <row r="14" spans="1:17" x14ac:dyDescent="0.25">
      <c r="D14" s="5" t="s">
        <v>69</v>
      </c>
      <c r="E14" s="5"/>
      <c r="F14" s="9" t="e">
        <f>F13/$E$13</f>
        <v>#N/A</v>
      </c>
      <c r="G14" s="9" t="e">
        <f t="shared" ref="G14:H14" si="3">G13/$E$13</f>
        <v>#N/A</v>
      </c>
      <c r="H14" s="9" t="e">
        <f t="shared" si="3"/>
        <v>#N/A</v>
      </c>
    </row>
    <row r="15" spans="1:17" x14ac:dyDescent="0.25">
      <c r="D15" s="5" t="s">
        <v>70</v>
      </c>
      <c r="E15" s="5"/>
      <c r="F15" s="6" t="e">
        <f>F14*1000</f>
        <v>#N/A</v>
      </c>
      <c r="G15" s="6" t="e">
        <f t="shared" ref="G15:H15" si="4">G14*1000</f>
        <v>#N/A</v>
      </c>
      <c r="H15" s="6" t="e">
        <f t="shared" si="4"/>
        <v>#N/A</v>
      </c>
    </row>
    <row r="16" spans="1:17" x14ac:dyDescent="0.25">
      <c r="D16" s="5" t="s">
        <v>76</v>
      </c>
      <c r="E16" s="8" t="e">
        <f>SUM(F13:H13)</f>
        <v>#N/A</v>
      </c>
      <c r="F16" s="6" t="e">
        <f>F15</f>
        <v>#N/A</v>
      </c>
      <c r="G16" s="6" t="e">
        <f>F16+G15</f>
        <v>#N/A</v>
      </c>
      <c r="H16" s="6" t="e">
        <f>G16+H15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47"/>
  <sheetViews>
    <sheetView tabSelected="1" topLeftCell="A25" workbookViewId="0">
      <selection activeCell="J33" sqref="J33"/>
    </sheetView>
  </sheetViews>
  <sheetFormatPr defaultRowHeight="15" x14ac:dyDescent="0.25"/>
  <cols>
    <col min="1" max="1" width="16.5703125" bestFit="1" customWidth="1"/>
    <col min="2" max="6" width="12.42578125" customWidth="1"/>
    <col min="7" max="10" width="14.5703125" bestFit="1" customWidth="1"/>
    <col min="11" max="11" width="15.5703125" bestFit="1" customWidth="1"/>
    <col min="12" max="12" width="9.42578125" style="17" bestFit="1" customWidth="1"/>
    <col min="13" max="18" width="12.42578125" customWidth="1"/>
  </cols>
  <sheetData>
    <row r="1" spans="1:17" x14ac:dyDescent="0.25">
      <c r="A1" s="7" t="s">
        <v>18</v>
      </c>
      <c r="B1" s="7" t="s">
        <v>56</v>
      </c>
      <c r="C1" s="7" t="s">
        <v>97</v>
      </c>
      <c r="D1" s="7"/>
      <c r="E1" s="12" t="s">
        <v>65</v>
      </c>
      <c r="F1" s="12" t="s">
        <v>29</v>
      </c>
      <c r="G1" s="12" t="s">
        <v>4</v>
      </c>
      <c r="H1" s="12" t="s">
        <v>63</v>
      </c>
      <c r="I1" s="12" t="s">
        <v>25</v>
      </c>
      <c r="J1" s="12" t="s">
        <v>64</v>
      </c>
      <c r="K1" s="12" t="s">
        <v>38</v>
      </c>
      <c r="L1" s="15" t="s">
        <v>32</v>
      </c>
      <c r="M1" s="12" t="s">
        <v>72</v>
      </c>
      <c r="N1" s="12" t="s">
        <v>73</v>
      </c>
      <c r="O1" s="12" t="s">
        <v>77</v>
      </c>
      <c r="P1" s="12" t="s">
        <v>74</v>
      </c>
      <c r="Q1" s="12" t="s">
        <v>75</v>
      </c>
    </row>
    <row r="2" spans="1:17" x14ac:dyDescent="0.25">
      <c r="A2" s="13" t="s">
        <v>79</v>
      </c>
      <c r="B2" s="13" t="s">
        <v>96</v>
      </c>
      <c r="C2" t="s">
        <v>85</v>
      </c>
      <c r="D2" s="13" t="s">
        <v>71</v>
      </c>
      <c r="E2" s="14">
        <v>134</v>
      </c>
      <c r="F2" s="14">
        <v>283.58208955223881</v>
      </c>
      <c r="G2" s="14">
        <v>432.83582089552237</v>
      </c>
      <c r="H2" s="14">
        <v>432.83582089552237</v>
      </c>
      <c r="I2" s="14">
        <v>507.46268656716416</v>
      </c>
      <c r="J2" s="14">
        <v>992.53731343283584</v>
      </c>
      <c r="K2" s="14">
        <v>1000</v>
      </c>
      <c r="L2" s="16">
        <v>288</v>
      </c>
      <c r="M2" s="14" t="s">
        <v>76</v>
      </c>
      <c r="N2" s="14">
        <v>331</v>
      </c>
      <c r="O2" s="14">
        <v>42.296072507552871</v>
      </c>
      <c r="P2" s="14">
        <v>716.01208459214502</v>
      </c>
      <c r="Q2" s="13">
        <v>1000</v>
      </c>
    </row>
    <row r="3" spans="1:17" x14ac:dyDescent="0.25">
      <c r="A3" s="13" t="s">
        <v>3</v>
      </c>
      <c r="B3" s="13" t="s">
        <v>96</v>
      </c>
      <c r="C3" t="s">
        <v>85</v>
      </c>
      <c r="D3" s="13" t="s">
        <v>71</v>
      </c>
      <c r="E3" s="14">
        <v>206</v>
      </c>
      <c r="F3" s="14">
        <v>213.59223300970874</v>
      </c>
      <c r="G3" s="14">
        <v>373.78640776699029</v>
      </c>
      <c r="H3" s="14">
        <v>373.78640776699029</v>
      </c>
      <c r="I3" s="14">
        <v>548.54368932038835</v>
      </c>
      <c r="J3" s="14">
        <v>985.43689320388353</v>
      </c>
      <c r="K3" s="14">
        <v>1000</v>
      </c>
      <c r="L3" s="16">
        <v>358</v>
      </c>
      <c r="M3" s="14" t="s">
        <v>76</v>
      </c>
      <c r="N3" s="14">
        <v>370</v>
      </c>
      <c r="O3" s="14">
        <v>43.243243243243242</v>
      </c>
      <c r="P3" s="14">
        <v>659.45945945945948</v>
      </c>
      <c r="Q3" s="13">
        <v>1000</v>
      </c>
    </row>
    <row r="4" spans="1:17" x14ac:dyDescent="0.25">
      <c r="A4" s="13" t="s">
        <v>80</v>
      </c>
      <c r="B4" s="13" t="s">
        <v>96</v>
      </c>
      <c r="C4" t="s">
        <v>85</v>
      </c>
      <c r="D4" s="13" t="s">
        <v>71</v>
      </c>
      <c r="E4" s="14">
        <v>228</v>
      </c>
      <c r="F4" s="14">
        <v>228.07017543859646</v>
      </c>
      <c r="G4" s="14">
        <v>416.66666666666663</v>
      </c>
      <c r="H4" s="14">
        <v>429.82456140350871</v>
      </c>
      <c r="I4" s="14">
        <v>530.70175438596482</v>
      </c>
      <c r="J4" s="14">
        <v>982.45614035087715</v>
      </c>
      <c r="K4" s="14">
        <v>1000</v>
      </c>
      <c r="L4" s="16">
        <v>384</v>
      </c>
      <c r="M4" s="14" t="s">
        <v>76</v>
      </c>
      <c r="N4" s="14">
        <v>365</v>
      </c>
      <c r="O4" s="14">
        <v>43.835616438356162</v>
      </c>
      <c r="P4" s="14">
        <v>789.04109589041104</v>
      </c>
      <c r="Q4" s="13">
        <v>1000.0000000000001</v>
      </c>
    </row>
    <row r="5" spans="1:17" x14ac:dyDescent="0.25">
      <c r="A5" s="13" t="s">
        <v>7</v>
      </c>
      <c r="B5" s="13" t="s">
        <v>96</v>
      </c>
      <c r="C5" t="s">
        <v>85</v>
      </c>
      <c r="D5" s="13" t="s">
        <v>71</v>
      </c>
      <c r="E5" s="14">
        <v>151</v>
      </c>
      <c r="F5" s="14">
        <v>198.6754966887417</v>
      </c>
      <c r="G5" s="14">
        <v>357.61589403973505</v>
      </c>
      <c r="H5" s="14">
        <v>397.35099337748341</v>
      </c>
      <c r="I5" s="14">
        <v>470.19867549668868</v>
      </c>
      <c r="J5" s="14">
        <v>973.50993377483439</v>
      </c>
      <c r="K5" s="14">
        <v>1000</v>
      </c>
      <c r="L5" s="16">
        <v>338</v>
      </c>
      <c r="M5" s="14" t="s">
        <v>76</v>
      </c>
      <c r="N5" s="14">
        <v>296</v>
      </c>
      <c r="O5" s="14">
        <v>13.513513513513514</v>
      </c>
      <c r="P5" s="14">
        <v>729.7297297297298</v>
      </c>
      <c r="Q5" s="13">
        <v>1000</v>
      </c>
    </row>
    <row r="6" spans="1:17" x14ac:dyDescent="0.25">
      <c r="A6" t="s">
        <v>9</v>
      </c>
      <c r="B6" s="13" t="s">
        <v>96</v>
      </c>
      <c r="C6" t="s">
        <v>85</v>
      </c>
      <c r="D6" t="s">
        <v>71</v>
      </c>
      <c r="E6" s="11">
        <v>244</v>
      </c>
      <c r="F6" s="11">
        <v>344.26229508196718</v>
      </c>
      <c r="G6" s="11">
        <v>512.29508196721304</v>
      </c>
      <c r="H6" s="11">
        <v>516.39344262295072</v>
      </c>
      <c r="I6" s="11">
        <v>618.85245901639337</v>
      </c>
      <c r="J6" s="11">
        <v>971.31147540983602</v>
      </c>
      <c r="K6" s="11">
        <v>1000</v>
      </c>
      <c r="L6" s="17">
        <v>403</v>
      </c>
      <c r="M6" s="11" t="s">
        <v>76</v>
      </c>
      <c r="N6" s="11">
        <v>361</v>
      </c>
      <c r="O6" s="11">
        <v>19.390581717451521</v>
      </c>
      <c r="P6" s="11">
        <v>772.85318559556788</v>
      </c>
      <c r="Q6">
        <v>1000</v>
      </c>
    </row>
    <row r="7" spans="1:17" x14ac:dyDescent="0.25">
      <c r="A7" t="s">
        <v>11</v>
      </c>
      <c r="B7" s="13" t="s">
        <v>96</v>
      </c>
      <c r="C7" t="s">
        <v>85</v>
      </c>
      <c r="D7" t="s">
        <v>71</v>
      </c>
      <c r="E7" s="11">
        <v>93</v>
      </c>
      <c r="F7" s="11">
        <v>376.34408602150535</v>
      </c>
      <c r="G7" s="11">
        <v>483.87096774193549</v>
      </c>
      <c r="H7" s="11">
        <v>494.6236559139785</v>
      </c>
      <c r="I7" s="11">
        <v>602.15053763440858</v>
      </c>
      <c r="J7" s="11">
        <v>989.24731182795699</v>
      </c>
      <c r="K7" s="11">
        <v>1000</v>
      </c>
      <c r="L7" s="17">
        <v>322</v>
      </c>
      <c r="M7" s="11" t="s">
        <v>76</v>
      </c>
      <c r="N7" s="11">
        <v>196</v>
      </c>
      <c r="O7" s="11">
        <v>20.408163265306122</v>
      </c>
      <c r="P7" s="11">
        <v>647.9591836734694</v>
      </c>
      <c r="Q7">
        <v>1000</v>
      </c>
    </row>
    <row r="8" spans="1:17" x14ac:dyDescent="0.25">
      <c r="A8" t="s">
        <v>13</v>
      </c>
      <c r="B8" s="13" t="s">
        <v>96</v>
      </c>
      <c r="C8" t="s">
        <v>85</v>
      </c>
      <c r="D8" t="s">
        <v>71</v>
      </c>
      <c r="E8" s="11">
        <v>138</v>
      </c>
      <c r="F8" s="11">
        <v>210.14492753623188</v>
      </c>
      <c r="G8" s="11">
        <v>376.8115942028985</v>
      </c>
      <c r="H8" s="11">
        <v>398.55072463768113</v>
      </c>
      <c r="I8" s="11">
        <v>536.231884057971</v>
      </c>
      <c r="J8" s="11">
        <v>992.75362318840575</v>
      </c>
      <c r="K8" s="11">
        <v>1000</v>
      </c>
      <c r="L8" s="17">
        <v>320</v>
      </c>
      <c r="M8" s="11" t="s">
        <v>76</v>
      </c>
      <c r="N8" s="11">
        <v>294</v>
      </c>
      <c r="O8" s="11">
        <v>10.204081632653061</v>
      </c>
      <c r="P8" s="11">
        <v>534.01360544217687</v>
      </c>
      <c r="Q8">
        <v>1000</v>
      </c>
    </row>
    <row r="9" spans="1:17" x14ac:dyDescent="0.25">
      <c r="A9" t="s">
        <v>81</v>
      </c>
      <c r="B9" s="13" t="s">
        <v>96</v>
      </c>
      <c r="C9" t="s">
        <v>85</v>
      </c>
      <c r="D9" t="s">
        <v>71</v>
      </c>
      <c r="E9" s="11">
        <v>203</v>
      </c>
      <c r="F9" s="11">
        <v>334.97536945812806</v>
      </c>
      <c r="G9" s="11">
        <v>467.98029556650243</v>
      </c>
      <c r="H9" s="11">
        <v>472.90640394088666</v>
      </c>
      <c r="I9" s="11">
        <v>615.76354679802955</v>
      </c>
      <c r="J9" s="11">
        <v>995.07389162561572</v>
      </c>
      <c r="K9" s="11">
        <v>1000</v>
      </c>
      <c r="L9" s="17">
        <v>413</v>
      </c>
      <c r="M9" s="11" t="s">
        <v>76</v>
      </c>
      <c r="N9" s="11">
        <v>289</v>
      </c>
      <c r="O9" s="11">
        <v>51.903114186851205</v>
      </c>
      <c r="P9" s="11">
        <v>657.43944636678191</v>
      </c>
      <c r="Q9">
        <v>999.99999999999989</v>
      </c>
    </row>
    <row r="10" spans="1:17" x14ac:dyDescent="0.25">
      <c r="A10" t="s">
        <v>82</v>
      </c>
      <c r="B10" s="13" t="s">
        <v>96</v>
      </c>
      <c r="C10" t="s">
        <v>85</v>
      </c>
      <c r="D10" t="s">
        <v>71</v>
      </c>
      <c r="E10" s="11">
        <v>115</v>
      </c>
      <c r="F10" s="11">
        <v>208.69565217391303</v>
      </c>
      <c r="G10" s="11">
        <v>295.6521739130435</v>
      </c>
      <c r="H10" s="11">
        <v>330.43478260869568</v>
      </c>
      <c r="I10" s="11">
        <v>373.91304347826087</v>
      </c>
      <c r="J10" s="11">
        <v>991.304347826087</v>
      </c>
      <c r="K10" s="11">
        <v>1000</v>
      </c>
      <c r="L10" s="17">
        <v>319</v>
      </c>
      <c r="M10" s="11" t="s">
        <v>76</v>
      </c>
      <c r="N10" s="11">
        <v>250</v>
      </c>
      <c r="O10" s="11">
        <v>28</v>
      </c>
      <c r="P10" s="11">
        <v>704</v>
      </c>
      <c r="Q10">
        <v>1000</v>
      </c>
    </row>
    <row r="11" spans="1:17" x14ac:dyDescent="0.25">
      <c r="A11" t="s">
        <v>83</v>
      </c>
      <c r="B11" s="13" t="s">
        <v>96</v>
      </c>
      <c r="C11" t="s">
        <v>85</v>
      </c>
      <c r="D11" t="s">
        <v>71</v>
      </c>
      <c r="E11" s="11">
        <v>109</v>
      </c>
      <c r="F11" s="11">
        <v>256.88073394495416</v>
      </c>
      <c r="G11" s="11">
        <v>385.32110091743124</v>
      </c>
      <c r="H11" s="11">
        <v>385.32110091743124</v>
      </c>
      <c r="I11" s="11">
        <v>513.76146788990832</v>
      </c>
      <c r="J11" s="11">
        <v>1000.0000000000001</v>
      </c>
      <c r="K11" s="11">
        <v>1000.0000000000001</v>
      </c>
      <c r="L11" s="17">
        <v>362</v>
      </c>
      <c r="M11" s="11" t="s">
        <v>76</v>
      </c>
      <c r="N11" s="11">
        <v>192</v>
      </c>
      <c r="O11" s="11">
        <v>31.25</v>
      </c>
      <c r="P11" s="11">
        <v>755.20833333333337</v>
      </c>
      <c r="Q11">
        <v>1000</v>
      </c>
    </row>
    <row r="12" spans="1:17" x14ac:dyDescent="0.25">
      <c r="A12" t="s">
        <v>86</v>
      </c>
      <c r="B12" t="s">
        <v>84</v>
      </c>
      <c r="C12" t="s">
        <v>85</v>
      </c>
      <c r="F12">
        <v>209</v>
      </c>
      <c r="G12">
        <v>382</v>
      </c>
      <c r="H12">
        <v>391</v>
      </c>
      <c r="I12" s="17">
        <v>536</v>
      </c>
      <c r="J12">
        <v>982</v>
      </c>
      <c r="K12">
        <v>1001</v>
      </c>
      <c r="L12">
        <v>293</v>
      </c>
      <c r="O12">
        <v>45</v>
      </c>
      <c r="P12">
        <v>778</v>
      </c>
      <c r="Q12">
        <v>1001</v>
      </c>
    </row>
    <row r="13" spans="1:17" x14ac:dyDescent="0.25">
      <c r="A13" t="s">
        <v>87</v>
      </c>
      <c r="B13" t="s">
        <v>84</v>
      </c>
      <c r="C13" t="s">
        <v>85</v>
      </c>
      <c r="F13">
        <v>366</v>
      </c>
      <c r="G13">
        <v>574</v>
      </c>
      <c r="H13">
        <v>1003</v>
      </c>
      <c r="I13" s="17">
        <v>743</v>
      </c>
      <c r="J13">
        <v>980</v>
      </c>
      <c r="K13">
        <v>1001</v>
      </c>
      <c r="L13">
        <v>347</v>
      </c>
      <c r="O13">
        <v>32</v>
      </c>
      <c r="P13">
        <v>616</v>
      </c>
      <c r="Q13">
        <v>1000</v>
      </c>
    </row>
    <row r="14" spans="1:17" x14ac:dyDescent="0.25">
      <c r="A14" t="s">
        <v>88</v>
      </c>
      <c r="B14" t="s">
        <v>84</v>
      </c>
      <c r="C14" t="s">
        <v>85</v>
      </c>
      <c r="F14">
        <v>267</v>
      </c>
      <c r="G14">
        <v>396</v>
      </c>
      <c r="H14">
        <v>416</v>
      </c>
      <c r="I14" s="17">
        <v>515</v>
      </c>
      <c r="J14">
        <v>960</v>
      </c>
      <c r="K14">
        <v>1001</v>
      </c>
      <c r="L14">
        <v>339</v>
      </c>
      <c r="O14">
        <v>20</v>
      </c>
      <c r="P14">
        <v>763</v>
      </c>
      <c r="Q14">
        <v>1001</v>
      </c>
    </row>
    <row r="15" spans="1:17" x14ac:dyDescent="0.25">
      <c r="A15" t="s">
        <v>89</v>
      </c>
      <c r="B15" t="s">
        <v>84</v>
      </c>
      <c r="C15" t="s">
        <v>85</v>
      </c>
      <c r="F15">
        <v>286</v>
      </c>
      <c r="G15">
        <v>429</v>
      </c>
      <c r="H15">
        <v>469</v>
      </c>
      <c r="I15" s="17">
        <v>554</v>
      </c>
      <c r="J15">
        <v>989</v>
      </c>
      <c r="K15">
        <v>1001</v>
      </c>
      <c r="L15">
        <v>315</v>
      </c>
      <c r="O15">
        <v>8</v>
      </c>
      <c r="P15">
        <v>795</v>
      </c>
      <c r="Q15">
        <v>1001</v>
      </c>
    </row>
    <row r="16" spans="1:17" x14ac:dyDescent="0.25">
      <c r="A16" t="s">
        <v>90</v>
      </c>
      <c r="B16" t="s">
        <v>84</v>
      </c>
      <c r="C16" t="s">
        <v>85</v>
      </c>
      <c r="F16">
        <v>153</v>
      </c>
      <c r="G16">
        <v>306</v>
      </c>
      <c r="H16">
        <v>315</v>
      </c>
      <c r="I16" s="17">
        <v>477</v>
      </c>
      <c r="J16">
        <v>973</v>
      </c>
      <c r="K16">
        <v>1001</v>
      </c>
      <c r="L16">
        <v>307</v>
      </c>
      <c r="O16">
        <v>56</v>
      </c>
      <c r="P16">
        <v>785</v>
      </c>
      <c r="Q16">
        <v>1001</v>
      </c>
    </row>
    <row r="17" spans="1:17" x14ac:dyDescent="0.25">
      <c r="A17" t="s">
        <v>91</v>
      </c>
      <c r="B17" t="s">
        <v>84</v>
      </c>
      <c r="C17" t="s">
        <v>85</v>
      </c>
      <c r="F17">
        <v>230</v>
      </c>
      <c r="G17">
        <v>381</v>
      </c>
      <c r="H17">
        <v>398</v>
      </c>
      <c r="I17" s="17">
        <v>549</v>
      </c>
      <c r="J17">
        <v>982</v>
      </c>
      <c r="K17">
        <v>1001</v>
      </c>
      <c r="L17">
        <v>352</v>
      </c>
      <c r="O17">
        <v>34</v>
      </c>
      <c r="P17">
        <v>707</v>
      </c>
      <c r="Q17">
        <v>1001</v>
      </c>
    </row>
    <row r="18" spans="1:17" x14ac:dyDescent="0.25">
      <c r="A18" t="s">
        <v>92</v>
      </c>
      <c r="B18" t="s">
        <v>84</v>
      </c>
      <c r="C18" t="s">
        <v>85</v>
      </c>
      <c r="F18">
        <v>175</v>
      </c>
      <c r="G18">
        <v>375</v>
      </c>
      <c r="H18">
        <v>400</v>
      </c>
      <c r="I18" s="17">
        <v>438</v>
      </c>
      <c r="J18">
        <v>963</v>
      </c>
      <c r="K18">
        <v>1001</v>
      </c>
      <c r="L18">
        <v>296</v>
      </c>
      <c r="O18">
        <v>31</v>
      </c>
      <c r="P18">
        <v>708</v>
      </c>
      <c r="Q18">
        <v>1001</v>
      </c>
    </row>
    <row r="19" spans="1:17" x14ac:dyDescent="0.25">
      <c r="A19" t="s">
        <v>93</v>
      </c>
      <c r="B19" t="s">
        <v>84</v>
      </c>
      <c r="C19" t="s">
        <v>85</v>
      </c>
      <c r="F19">
        <v>271</v>
      </c>
      <c r="G19">
        <v>410</v>
      </c>
      <c r="H19">
        <v>1005</v>
      </c>
      <c r="I19" s="17">
        <v>611</v>
      </c>
      <c r="J19">
        <v>993</v>
      </c>
      <c r="K19">
        <v>1001</v>
      </c>
      <c r="L19">
        <v>321</v>
      </c>
      <c r="O19">
        <v>30</v>
      </c>
      <c r="P19">
        <v>664</v>
      </c>
      <c r="Q19">
        <v>1001</v>
      </c>
    </row>
    <row r="20" spans="1:17" x14ac:dyDescent="0.25">
      <c r="A20" t="s">
        <v>94</v>
      </c>
      <c r="B20" t="s">
        <v>84</v>
      </c>
      <c r="C20" t="s">
        <v>85</v>
      </c>
      <c r="F20">
        <v>265</v>
      </c>
      <c r="G20">
        <v>434</v>
      </c>
      <c r="H20">
        <v>1005</v>
      </c>
      <c r="I20" s="17">
        <v>508</v>
      </c>
      <c r="J20">
        <v>974</v>
      </c>
      <c r="K20">
        <v>1001</v>
      </c>
      <c r="L20">
        <v>351</v>
      </c>
      <c r="O20">
        <v>54</v>
      </c>
      <c r="P20">
        <v>764</v>
      </c>
      <c r="Q20">
        <v>1001</v>
      </c>
    </row>
    <row r="21" spans="1:17" x14ac:dyDescent="0.25">
      <c r="A21" t="s">
        <v>95</v>
      </c>
      <c r="B21" t="s">
        <v>84</v>
      </c>
      <c r="C21" t="s">
        <v>85</v>
      </c>
      <c r="F21">
        <v>337</v>
      </c>
      <c r="G21">
        <v>456</v>
      </c>
      <c r="H21">
        <v>462</v>
      </c>
      <c r="I21" s="17">
        <v>621</v>
      </c>
      <c r="J21">
        <v>953</v>
      </c>
      <c r="K21">
        <v>1001</v>
      </c>
      <c r="L21">
        <v>384</v>
      </c>
      <c r="O21">
        <v>11</v>
      </c>
      <c r="P21">
        <v>583</v>
      </c>
      <c r="Q21">
        <v>1001</v>
      </c>
    </row>
    <row r="28" spans="1:17" x14ac:dyDescent="0.25">
      <c r="A28" t="str">
        <f>"Factory.GetPlayer('"&amp;A2&amp;"', "&amp;B2&amp;", " &amp; C2 &amp; ")"</f>
        <v>Factory.GetPlayer('Matt Wieters', TheNationals,  'TBC')</v>
      </c>
      <c r="E28" t="s">
        <v>98</v>
      </c>
      <c r="F28" t="str">
        <f>E28&amp;" = " &amp; A28</f>
        <v>p1 = Factory.GetPlayer('Matt Wieters', TheNationals,  'TBC')</v>
      </c>
    </row>
    <row r="29" spans="1:17" x14ac:dyDescent="0.25">
      <c r="A29" t="str">
        <f t="shared" ref="A29:A59" si="0">"Factory.GetPlayer('"&amp;A3&amp;"', "&amp;B3&amp;", " &amp; C3 &amp; ")"</f>
        <v>Factory.GetPlayer('Ryan Zimmerman', TheNationals,  'TBC')</v>
      </c>
      <c r="E29" t="s">
        <v>99</v>
      </c>
      <c r="F29" t="str">
        <f t="shared" ref="F29:F47" si="1">E29&amp;" = " &amp; A29</f>
        <v>p2 = Factory.GetPlayer('Ryan Zimmerman', TheNationals,  'TBC')</v>
      </c>
    </row>
    <row r="30" spans="1:17" x14ac:dyDescent="0.25">
      <c r="A30" t="str">
        <f t="shared" si="0"/>
        <v>Factory.GetPlayer('Daniel Murphy', TheNationals,  'TBC')</v>
      </c>
      <c r="E30" t="s">
        <v>100</v>
      </c>
      <c r="F30" t="str">
        <f t="shared" si="1"/>
        <v>p3 = Factory.GetPlayer('Daniel Murphy', TheNationals,  'TBC')</v>
      </c>
    </row>
    <row r="31" spans="1:17" x14ac:dyDescent="0.25">
      <c r="A31" t="str">
        <f t="shared" si="0"/>
        <v>Factory.GetPlayer('Trea Turner', TheNationals,  'TBC')</v>
      </c>
      <c r="E31" t="s">
        <v>101</v>
      </c>
      <c r="F31" t="str">
        <f t="shared" si="1"/>
        <v>p4 = Factory.GetPlayer('Trea Turner', TheNationals,  'TBC')</v>
      </c>
    </row>
    <row r="32" spans="1:17" x14ac:dyDescent="0.25">
      <c r="A32" t="str">
        <f t="shared" si="0"/>
        <v>Factory.GetPlayer('Anthony Rendon', TheNationals,  'TBC')</v>
      </c>
      <c r="E32" t="s">
        <v>102</v>
      </c>
      <c r="F32" t="str">
        <f t="shared" si="1"/>
        <v>p5 = Factory.GetPlayer('Anthony Rendon', TheNationals,  'TBC')</v>
      </c>
    </row>
    <row r="33" spans="1:6" x14ac:dyDescent="0.25">
      <c r="A33" t="str">
        <f t="shared" si="0"/>
        <v>Factory.GetPlayer('Jayson Werth', TheNationals,  'TBC')</v>
      </c>
      <c r="E33" t="s">
        <v>103</v>
      </c>
      <c r="F33" t="str">
        <f t="shared" si="1"/>
        <v>p6 = Factory.GetPlayer('Jayson Werth', TheNationals,  'TBC')</v>
      </c>
    </row>
    <row r="34" spans="1:6" x14ac:dyDescent="0.25">
      <c r="A34" t="str">
        <f t="shared" si="0"/>
        <v>Factory.GetPlayer('Michael Taylor', TheNationals,  'TBC')</v>
      </c>
      <c r="E34" t="s">
        <v>104</v>
      </c>
      <c r="F34" t="str">
        <f t="shared" si="1"/>
        <v>p7 = Factory.GetPlayer('Michael Taylor', TheNationals,  'TBC')</v>
      </c>
    </row>
    <row r="35" spans="1:6" x14ac:dyDescent="0.25">
      <c r="A35" t="str">
        <f t="shared" si="0"/>
        <v>Factory.GetPlayer('Bryce Harper', TheNationals,  'TBC')</v>
      </c>
      <c r="E35" t="s">
        <v>105</v>
      </c>
      <c r="F35" t="str">
        <f t="shared" si="1"/>
        <v>p8 = Factory.GetPlayer('Bryce Harper', TheNationals,  'TBC')</v>
      </c>
    </row>
    <row r="36" spans="1:6" x14ac:dyDescent="0.25">
      <c r="A36" t="str">
        <f t="shared" si="0"/>
        <v>Factory.GetPlayer('Wilmer Difo', TheNationals,  'TBC')</v>
      </c>
      <c r="E36" t="s">
        <v>106</v>
      </c>
      <c r="F36" t="str">
        <f t="shared" si="1"/>
        <v>p9 = Factory.GetPlayer('Wilmer Difo', TheNationals,  'TBC')</v>
      </c>
    </row>
    <row r="37" spans="1:6" x14ac:dyDescent="0.25">
      <c r="A37" t="str">
        <f t="shared" si="0"/>
        <v>Factory.GetPlayer('Adam Lind', TheNationals,  'TBC')</v>
      </c>
      <c r="E37" t="s">
        <v>107</v>
      </c>
      <c r="F37" t="str">
        <f t="shared" si="1"/>
        <v>p10 = Factory.GetPlayer('Adam Lind', TheNationals,  'TBC')</v>
      </c>
    </row>
    <row r="38" spans="1:6" x14ac:dyDescent="0.25">
      <c r="A38" t="str">
        <f t="shared" si="0"/>
        <v>Factory.GetPlayer('Travis d'Arnoud',  TheMets,  'TBC')</v>
      </c>
      <c r="E38" t="s">
        <v>108</v>
      </c>
      <c r="F38" t="str">
        <f t="shared" si="1"/>
        <v>p11 = Factory.GetPlayer('Travis d'Arnoud',  TheMets,  'TBC')</v>
      </c>
    </row>
    <row r="39" spans="1:6" x14ac:dyDescent="0.25">
      <c r="A39" t="str">
        <f t="shared" si="0"/>
        <v>Factory.GetPlayer('Lucas Duda',  TheMets,  'TBC')</v>
      </c>
      <c r="E39" t="s">
        <v>109</v>
      </c>
      <c r="F39" t="str">
        <f t="shared" si="1"/>
        <v>p12 = Factory.GetPlayer('Lucas Duda',  TheMets,  'TBC')</v>
      </c>
    </row>
    <row r="40" spans="1:6" x14ac:dyDescent="0.25">
      <c r="A40" t="str">
        <f t="shared" si="0"/>
        <v>Factory.GetPlayer('Neil Walker',  TheMets,  'TBC')</v>
      </c>
      <c r="E40" t="s">
        <v>110</v>
      </c>
      <c r="F40" t="str">
        <f t="shared" si="1"/>
        <v>p13 = Factory.GetPlayer('Neil Walker',  TheMets,  'TBC')</v>
      </c>
    </row>
    <row r="41" spans="1:6" x14ac:dyDescent="0.25">
      <c r="A41" t="str">
        <f t="shared" si="0"/>
        <v>Factory.GetPlayer('Jose Reyes',  TheMets,  'TBC')</v>
      </c>
      <c r="E41" t="s">
        <v>111</v>
      </c>
      <c r="F41" t="str">
        <f t="shared" si="1"/>
        <v>p14 = Factory.GetPlayer('Jose Reyes',  TheMets,  'TBC')</v>
      </c>
    </row>
    <row r="42" spans="1:6" x14ac:dyDescent="0.25">
      <c r="A42" t="str">
        <f t="shared" si="0"/>
        <v>Factory.GetPlayer('Wilmer Flores',  TheMets,  'TBC')</v>
      </c>
      <c r="E42" t="s">
        <v>112</v>
      </c>
      <c r="F42" t="str">
        <f t="shared" si="1"/>
        <v>p15 = Factory.GetPlayer('Wilmer Flores',  TheMets,  'TBC')</v>
      </c>
    </row>
    <row r="43" spans="1:6" x14ac:dyDescent="0.25">
      <c r="A43" t="str">
        <f t="shared" si="0"/>
        <v>Factory.GetPlayer('Yoenis Cespedes',  TheMets,  'TBC')</v>
      </c>
      <c r="E43" t="s">
        <v>113</v>
      </c>
      <c r="F43" t="str">
        <f t="shared" si="1"/>
        <v>p16 = Factory.GetPlayer('Yoenis Cespedes',  TheMets,  'TBC')</v>
      </c>
    </row>
    <row r="44" spans="1:6" x14ac:dyDescent="0.25">
      <c r="A44" t="str">
        <f t="shared" si="0"/>
        <v>Factory.GetPlayer('Juan Lagares',  TheMets,  'TBC')</v>
      </c>
      <c r="E44" t="s">
        <v>114</v>
      </c>
      <c r="F44" t="str">
        <f t="shared" si="1"/>
        <v>p17 = Factory.GetPlayer('Juan Lagares',  TheMets,  'TBC')</v>
      </c>
    </row>
    <row r="45" spans="1:6" x14ac:dyDescent="0.25">
      <c r="A45" t="str">
        <f t="shared" si="0"/>
        <v>Factory.GetPlayer('Jay Bruce',  TheMets,  'TBC')</v>
      </c>
      <c r="E45" t="s">
        <v>115</v>
      </c>
      <c r="F45" t="str">
        <f t="shared" si="1"/>
        <v>p18 = Factory.GetPlayer('Jay Bruce',  TheMets,  'TBC')</v>
      </c>
    </row>
    <row r="46" spans="1:6" x14ac:dyDescent="0.25">
      <c r="A46" t="str">
        <f t="shared" si="0"/>
        <v>Factory.GetPlayer('Asdrubal Carbrera',  TheMets,  'TBC')</v>
      </c>
      <c r="E46" t="s">
        <v>116</v>
      </c>
      <c r="F46" t="str">
        <f t="shared" si="1"/>
        <v>p19 = Factory.GetPlayer('Asdrubal Carbrera',  TheMets,  'TBC')</v>
      </c>
    </row>
    <row r="47" spans="1:6" x14ac:dyDescent="0.25">
      <c r="A47" t="str">
        <f t="shared" si="0"/>
        <v>Factory.GetPlayer('Michael Conforto',  TheMets,  'TBC')</v>
      </c>
      <c r="E47" t="s">
        <v>117</v>
      </c>
      <c r="F47" t="str">
        <f t="shared" si="1"/>
        <v>p20 = Factory.GetPlayer('Michael Conforto',  TheMets,  'TBC')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4:A7"/>
  <sheetViews>
    <sheetView workbookViewId="0">
      <selection activeCell="A9" sqref="A9"/>
    </sheetView>
  </sheetViews>
  <sheetFormatPr defaultRowHeight="15" x14ac:dyDescent="0.25"/>
  <sheetData>
    <row r="4" spans="1:1" x14ac:dyDescent="0.25">
      <c r="A4" t="s">
        <v>61</v>
      </c>
    </row>
    <row r="7" spans="1:1" x14ac:dyDescent="0.25">
      <c r="A7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Team Data</vt:lpstr>
      <vt:lpstr>OB Format</vt:lpstr>
      <vt:lpstr>Range Generators</vt:lpstr>
      <vt:lpstr>Results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Wallace</dc:creator>
  <cp:lastModifiedBy>Sandford, Todd @ Auckland</cp:lastModifiedBy>
  <dcterms:created xsi:type="dcterms:W3CDTF">2018-02-26T05:39:44Z</dcterms:created>
  <dcterms:modified xsi:type="dcterms:W3CDTF">2018-03-18T23:26:58Z</dcterms:modified>
</cp:coreProperties>
</file>